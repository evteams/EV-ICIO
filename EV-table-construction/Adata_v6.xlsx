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EV\Data\"/>
    </mc:Choice>
  </mc:AlternateContent>
  <xr:revisionPtr revIDLastSave="0" documentId="13_ncr:1_{E6F38064-6626-42C3-8329-AED22DCC8642}" xr6:coauthVersionLast="47" xr6:coauthVersionMax="47" xr10:uidLastSave="{00000000-0000-0000-0000-000000000000}"/>
  <bookViews>
    <workbookView xWindow="-108" yWindow="-108" windowWidth="30936" windowHeight="16776" tabRatio="893" xr2:uid="{00000000-000D-0000-FFFF-FFFF00000000}"/>
  </bookViews>
  <sheets>
    <sheet name="README" sheetId="1" r:id="rId1"/>
    <sheet name="Countries" sheetId="2" r:id="rId2"/>
    <sheet name="Sectors" sheetId="3" r:id="rId3"/>
    <sheet name="BOM_raw" sheetId="4" r:id="rId4"/>
    <sheet name="BOM_scenarios" sheetId="5" r:id="rId5"/>
    <sheet name="Sector_mapping" sheetId="6" r:id="rId6"/>
    <sheet name="ICIO_intensity" sheetId="7" r:id="rId7"/>
    <sheet name="Beta_derived" sheetId="8" r:id="rId8"/>
    <sheet name="Alpha_2020" sheetId="9" r:id="rId9"/>
    <sheet name="Alpha_history" sheetId="10" r:id="rId10"/>
    <sheet name="IMshareM" sheetId="11" r:id="rId11"/>
    <sheet name="IMshareC" sheetId="12" r:id="rId12"/>
    <sheet name="Pi_T" sheetId="13" r:id="rId13"/>
    <sheet name="Pi_M" sheetId="14" r:id="rId14"/>
    <sheet name="Pi_E" sheetId="15" r:id="rId15"/>
    <sheet name="EV_trade" sheetId="16" r:id="rId16"/>
    <sheet name="FV_trade" sheetId="17" r:id="rId17"/>
    <sheet name="QA" sheetId="19" r:id="rId18"/>
    <sheet name="BOM_figure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9" l="1"/>
  <c r="E103" i="4"/>
  <c r="E92" i="4"/>
  <c r="E88" i="4"/>
  <c r="E77" i="4"/>
  <c r="E73" i="4"/>
  <c r="E62" i="4"/>
  <c r="E58" i="4"/>
  <c r="E47" i="4"/>
  <c r="E43" i="4"/>
  <c r="E32" i="4"/>
  <c r="E28" i="4"/>
  <c r="E17" i="4"/>
  <c r="E13" i="4"/>
  <c r="E2" i="4"/>
  <c r="E10" i="19"/>
  <c r="F10" i="19" s="1"/>
  <c r="E9" i="19"/>
  <c r="F9" i="19" s="1"/>
  <c r="E8" i="19"/>
  <c r="F8" i="19" s="1"/>
  <c r="E5" i="19"/>
  <c r="F5" i="19" s="1"/>
  <c r="E4" i="19"/>
  <c r="F4" i="19" s="1"/>
  <c r="E3" i="19"/>
  <c r="F3" i="19" s="1"/>
  <c r="E2" i="19"/>
  <c r="F2" i="19" s="1"/>
  <c r="BZ78" i="15"/>
  <c r="BY78" i="15"/>
  <c r="BX78" i="15"/>
  <c r="BW78" i="15"/>
  <c r="BV78" i="15"/>
  <c r="BU78" i="15"/>
  <c r="BT78" i="15"/>
  <c r="BS78" i="15"/>
  <c r="BR78" i="15"/>
  <c r="BQ78" i="15"/>
  <c r="BP78" i="15"/>
  <c r="BO78" i="15"/>
  <c r="BN78" i="15"/>
  <c r="BM78" i="15"/>
  <c r="BL78" i="15"/>
  <c r="BK78" i="15"/>
  <c r="BJ78" i="15"/>
  <c r="BI78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Z77" i="15"/>
  <c r="BY77" i="15"/>
  <c r="BX77" i="15"/>
  <c r="BW77" i="15"/>
  <c r="BV77" i="15"/>
  <c r="BU77" i="15"/>
  <c r="BT77" i="15"/>
  <c r="BS77" i="15"/>
  <c r="BR77" i="15"/>
  <c r="BQ77" i="15"/>
  <c r="BP77" i="15"/>
  <c r="BO77" i="15"/>
  <c r="BN77" i="15"/>
  <c r="BM77" i="15"/>
  <c r="BL77" i="15"/>
  <c r="BK77" i="15"/>
  <c r="BJ77" i="15"/>
  <c r="BI77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Z76" i="15"/>
  <c r="BY76" i="15"/>
  <c r="BX76" i="15"/>
  <c r="BW76" i="15"/>
  <c r="BV76" i="15"/>
  <c r="BU76" i="15"/>
  <c r="BT76" i="15"/>
  <c r="BS76" i="15"/>
  <c r="BR76" i="15"/>
  <c r="BQ76" i="15"/>
  <c r="BP76" i="15"/>
  <c r="BO76" i="15"/>
  <c r="BN76" i="15"/>
  <c r="BM76" i="15"/>
  <c r="BL76" i="15"/>
  <c r="BK76" i="15"/>
  <c r="BJ76" i="15"/>
  <c r="BI76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Z74" i="15"/>
  <c r="BY74" i="15"/>
  <c r="BX74" i="15"/>
  <c r="BW74" i="15"/>
  <c r="BV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BZ67" i="15"/>
  <c r="BY67" i="15"/>
  <c r="BX67" i="15"/>
  <c r="BW67" i="15"/>
  <c r="BV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BJ65" i="15"/>
  <c r="BI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BJ63" i="15"/>
  <c r="BI63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BJ62" i="15"/>
  <c r="BI62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BJ61" i="15"/>
  <c r="BI61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BZ60" i="15"/>
  <c r="BY60" i="15"/>
  <c r="BX60" i="15"/>
  <c r="BW60" i="15"/>
  <c r="BV60" i="15"/>
  <c r="BU60" i="15"/>
  <c r="BT60" i="15"/>
  <c r="BS60" i="15"/>
  <c r="BR60" i="15"/>
  <c r="BQ60" i="15"/>
  <c r="BP60" i="15"/>
  <c r="BO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BJ57" i="15"/>
  <c r="BI57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BJ55" i="15"/>
  <c r="BI55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BJ54" i="15"/>
  <c r="BI54" i="15"/>
  <c r="BH54" i="15"/>
  <c r="BG54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Z53" i="15"/>
  <c r="BY53" i="15"/>
  <c r="BX53" i="15"/>
  <c r="BW53" i="15"/>
  <c r="BV53" i="15"/>
  <c r="BU53" i="15"/>
  <c r="BT53" i="15"/>
  <c r="BS53" i="15"/>
  <c r="BR53" i="15"/>
  <c r="BQ53" i="15"/>
  <c r="BP53" i="15"/>
  <c r="BO53" i="15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BZ46" i="15"/>
  <c r="BY46" i="15"/>
  <c r="BX46" i="15"/>
  <c r="BW46" i="15"/>
  <c r="BV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Z39" i="15"/>
  <c r="BY39" i="15"/>
  <c r="BX39" i="15"/>
  <c r="BW39" i="15"/>
  <c r="BV39" i="15"/>
  <c r="BU39" i="15"/>
  <c r="BT39" i="15"/>
  <c r="BS39" i="15"/>
  <c r="BR39" i="15"/>
  <c r="BQ39" i="15"/>
  <c r="BP39" i="15"/>
  <c r="BO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Z32" i="15"/>
  <c r="BY32" i="15"/>
  <c r="BX32" i="15"/>
  <c r="BW32" i="15"/>
  <c r="BV32" i="15"/>
  <c r="BU32" i="15"/>
  <c r="BT32" i="15"/>
  <c r="BS32" i="15"/>
  <c r="BR32" i="15"/>
  <c r="BQ32" i="15"/>
  <c r="BP32" i="15"/>
  <c r="BO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BZ25" i="15"/>
  <c r="BY25" i="15"/>
  <c r="BX25" i="15"/>
  <c r="BW25" i="15"/>
  <c r="BV25" i="15"/>
  <c r="BU25" i="15"/>
  <c r="BT25" i="15"/>
  <c r="BS25" i="15"/>
  <c r="BR25" i="15"/>
  <c r="BQ25" i="15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BZ78" i="14"/>
  <c r="BY78" i="14"/>
  <c r="BX78" i="14"/>
  <c r="BW78" i="14"/>
  <c r="BV78" i="14"/>
  <c r="BU78" i="14"/>
  <c r="BT78" i="14"/>
  <c r="BS78" i="14"/>
  <c r="BR78" i="14"/>
  <c r="BQ78" i="14"/>
  <c r="BP78" i="14"/>
  <c r="BO78" i="14"/>
  <c r="BN78" i="14"/>
  <c r="BM78" i="14"/>
  <c r="BL78" i="14"/>
  <c r="BK78" i="14"/>
  <c r="BJ78" i="14"/>
  <c r="BI78" i="14"/>
  <c r="BH78" i="14"/>
  <c r="BG78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Z77" i="14"/>
  <c r="BY77" i="14"/>
  <c r="BX77" i="14"/>
  <c r="BW77" i="14"/>
  <c r="BV77" i="14"/>
  <c r="BU77" i="14"/>
  <c r="BT77" i="14"/>
  <c r="BS77" i="14"/>
  <c r="BR77" i="14"/>
  <c r="BQ77" i="14"/>
  <c r="BP77" i="14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Z76" i="14"/>
  <c r="BY76" i="14"/>
  <c r="BX76" i="14"/>
  <c r="BW76" i="14"/>
  <c r="BV76" i="14"/>
  <c r="BU76" i="14"/>
  <c r="BT76" i="14"/>
  <c r="BS76" i="14"/>
  <c r="BR76" i="14"/>
  <c r="BQ76" i="14"/>
  <c r="BP76" i="14"/>
  <c r="BO76" i="14"/>
  <c r="BN76" i="14"/>
  <c r="BM76" i="14"/>
  <c r="BL76" i="14"/>
  <c r="BK76" i="14"/>
  <c r="BJ76" i="14"/>
  <c r="BI76" i="14"/>
  <c r="BH76" i="14"/>
  <c r="BG76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Z75" i="14"/>
  <c r="BY75" i="14"/>
  <c r="BX75" i="14"/>
  <c r="BW75" i="14"/>
  <c r="BV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H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Z74" i="14"/>
  <c r="BY74" i="14"/>
  <c r="BX74" i="14"/>
  <c r="BW74" i="14"/>
  <c r="BV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Z73" i="14"/>
  <c r="BY73" i="14"/>
  <c r="BX73" i="14"/>
  <c r="BW73" i="14"/>
  <c r="BV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Z72" i="14"/>
  <c r="BY72" i="14"/>
  <c r="BX72" i="14"/>
  <c r="BW72" i="14"/>
  <c r="BV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Z71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Z70" i="14"/>
  <c r="BY70" i="14"/>
  <c r="BX70" i="14"/>
  <c r="BW70" i="14"/>
  <c r="BV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BZ69" i="14"/>
  <c r="BY69" i="14"/>
  <c r="BX69" i="14"/>
  <c r="BW69" i="14"/>
  <c r="BV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BZ68" i="14"/>
  <c r="BY68" i="14"/>
  <c r="BX68" i="14"/>
  <c r="BW68" i="14"/>
  <c r="BV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BZ67" i="14"/>
  <c r="BY67" i="14"/>
  <c r="BX67" i="14"/>
  <c r="BW67" i="14"/>
  <c r="BV67" i="14"/>
  <c r="BU67" i="14"/>
  <c r="BT67" i="14"/>
  <c r="BS67" i="14"/>
  <c r="BR67" i="14"/>
  <c r="BQ67" i="14"/>
  <c r="BP67" i="14"/>
  <c r="BO67" i="14"/>
  <c r="BN67" i="14"/>
  <c r="BM67" i="14"/>
  <c r="BL67" i="14"/>
  <c r="BK67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BZ66" i="14"/>
  <c r="BY66" i="14"/>
  <c r="BX66" i="14"/>
  <c r="BW66" i="14"/>
  <c r="BV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H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BZ65" i="14"/>
  <c r="BY65" i="14"/>
  <c r="BX65" i="14"/>
  <c r="BW65" i="14"/>
  <c r="BV65" i="14"/>
  <c r="BU65" i="14"/>
  <c r="BT65" i="14"/>
  <c r="BS65" i="14"/>
  <c r="BR65" i="14"/>
  <c r="BQ65" i="14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P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BZ64" i="14"/>
  <c r="BY64" i="14"/>
  <c r="BX64" i="14"/>
  <c r="BW64" i="14"/>
  <c r="BV64" i="14"/>
  <c r="BU64" i="14"/>
  <c r="BT64" i="14"/>
  <c r="BS64" i="14"/>
  <c r="BR64" i="14"/>
  <c r="BQ64" i="14"/>
  <c r="BP64" i="14"/>
  <c r="BO64" i="14"/>
  <c r="BN64" i="14"/>
  <c r="BM64" i="14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BZ63" i="14"/>
  <c r="BY63" i="14"/>
  <c r="BX63" i="14"/>
  <c r="BW63" i="14"/>
  <c r="BV63" i="14"/>
  <c r="BU63" i="14"/>
  <c r="BT63" i="14"/>
  <c r="BS63" i="14"/>
  <c r="BR63" i="14"/>
  <c r="BQ63" i="14"/>
  <c r="BP63" i="14"/>
  <c r="BO63" i="14"/>
  <c r="BN63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BZ62" i="14"/>
  <c r="BY62" i="14"/>
  <c r="BX62" i="14"/>
  <c r="BW62" i="14"/>
  <c r="BV62" i="14"/>
  <c r="BU62" i="14"/>
  <c r="BT62" i="14"/>
  <c r="BS62" i="14"/>
  <c r="BR62" i="14"/>
  <c r="BQ62" i="14"/>
  <c r="BP62" i="14"/>
  <c r="BO62" i="14"/>
  <c r="BN62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BZ61" i="14"/>
  <c r="BY61" i="14"/>
  <c r="BX61" i="14"/>
  <c r="BW61" i="14"/>
  <c r="BV61" i="14"/>
  <c r="BU61" i="14"/>
  <c r="BT61" i="14"/>
  <c r="BS61" i="14"/>
  <c r="BR61" i="14"/>
  <c r="BQ61" i="14"/>
  <c r="BP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BZ60" i="14"/>
  <c r="BY60" i="14"/>
  <c r="BX60" i="14"/>
  <c r="BW60" i="14"/>
  <c r="BV60" i="14"/>
  <c r="BU60" i="14"/>
  <c r="BT60" i="14"/>
  <c r="BS60" i="14"/>
  <c r="BR60" i="14"/>
  <c r="BQ60" i="14"/>
  <c r="BP60" i="14"/>
  <c r="BO60" i="14"/>
  <c r="BN60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BZ59" i="14"/>
  <c r="BY59" i="14"/>
  <c r="BX59" i="14"/>
  <c r="BW59" i="14"/>
  <c r="BV59" i="14"/>
  <c r="BU59" i="14"/>
  <c r="BT59" i="14"/>
  <c r="BS59" i="14"/>
  <c r="BR59" i="14"/>
  <c r="BQ59" i="14"/>
  <c r="BP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BZ58" i="14"/>
  <c r="BY58" i="14"/>
  <c r="BX58" i="14"/>
  <c r="BW58" i="14"/>
  <c r="BV58" i="14"/>
  <c r="BU58" i="14"/>
  <c r="BT58" i="14"/>
  <c r="BS58" i="14"/>
  <c r="BR58" i="14"/>
  <c r="BQ58" i="14"/>
  <c r="BP58" i="14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BZ57" i="14"/>
  <c r="BY57" i="14"/>
  <c r="BX57" i="14"/>
  <c r="BW57" i="14"/>
  <c r="BV57" i="14"/>
  <c r="BU57" i="14"/>
  <c r="BT57" i="14"/>
  <c r="BS57" i="14"/>
  <c r="BR57" i="14"/>
  <c r="BQ57" i="14"/>
  <c r="BP57" i="14"/>
  <c r="BO57" i="14"/>
  <c r="BN57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Z55" i="14"/>
  <c r="BY55" i="14"/>
  <c r="BX55" i="14"/>
  <c r="BW55" i="14"/>
  <c r="BV55" i="14"/>
  <c r="BU55" i="14"/>
  <c r="BT55" i="14"/>
  <c r="BS55" i="14"/>
  <c r="BR55" i="14"/>
  <c r="BQ55" i="14"/>
  <c r="BP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Z54" i="14"/>
  <c r="BY54" i="14"/>
  <c r="BX54" i="14"/>
  <c r="BW54" i="14"/>
  <c r="BV54" i="14"/>
  <c r="BU54" i="14"/>
  <c r="BT54" i="14"/>
  <c r="BS54" i="14"/>
  <c r="BR54" i="14"/>
  <c r="BQ54" i="14"/>
  <c r="BP54" i="14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Z53" i="14"/>
  <c r="BY53" i="14"/>
  <c r="BX53" i="14"/>
  <c r="BW53" i="14"/>
  <c r="BV53" i="14"/>
  <c r="BU53" i="14"/>
  <c r="BT53" i="14"/>
  <c r="BS53" i="14"/>
  <c r="BR53" i="14"/>
  <c r="BQ53" i="14"/>
  <c r="BP53" i="14"/>
  <c r="BO53" i="14"/>
  <c r="BN53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Z52" i="14"/>
  <c r="BY52" i="14"/>
  <c r="BX52" i="14"/>
  <c r="BW52" i="14"/>
  <c r="BV52" i="14"/>
  <c r="BU52" i="14"/>
  <c r="BT52" i="14"/>
  <c r="BS52" i="14"/>
  <c r="BR52" i="14"/>
  <c r="BQ52" i="14"/>
  <c r="BP52" i="14"/>
  <c r="BO52" i="14"/>
  <c r="BN52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Z51" i="14"/>
  <c r="BY51" i="14"/>
  <c r="BX51" i="14"/>
  <c r="BW51" i="14"/>
  <c r="BV51" i="14"/>
  <c r="BU51" i="14"/>
  <c r="BT51" i="14"/>
  <c r="BS51" i="14"/>
  <c r="BR51" i="14"/>
  <c r="BQ51" i="14"/>
  <c r="BP51" i="14"/>
  <c r="BO51" i="14"/>
  <c r="BN51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Z50" i="14"/>
  <c r="BY50" i="14"/>
  <c r="BX50" i="14"/>
  <c r="BW50" i="14"/>
  <c r="BV50" i="14"/>
  <c r="BU50" i="14"/>
  <c r="BT50" i="14"/>
  <c r="BS50" i="14"/>
  <c r="BR50" i="14"/>
  <c r="BQ50" i="14"/>
  <c r="BP50" i="14"/>
  <c r="BO50" i="14"/>
  <c r="BN50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Z49" i="14"/>
  <c r="BY49" i="14"/>
  <c r="BX49" i="14"/>
  <c r="BW49" i="14"/>
  <c r="BV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Z48" i="14"/>
  <c r="BY48" i="14"/>
  <c r="BX48" i="14"/>
  <c r="BW48" i="14"/>
  <c r="BV48" i="14"/>
  <c r="BU48" i="14"/>
  <c r="BT48" i="14"/>
  <c r="BS48" i="14"/>
  <c r="BR48" i="14"/>
  <c r="BQ48" i="14"/>
  <c r="BP48" i="14"/>
  <c r="BO48" i="14"/>
  <c r="BN48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BZ47" i="14"/>
  <c r="BY47" i="14"/>
  <c r="BX47" i="14"/>
  <c r="BW47" i="14"/>
  <c r="BV47" i="14"/>
  <c r="BU47" i="14"/>
  <c r="BT47" i="14"/>
  <c r="BS47" i="14"/>
  <c r="BR47" i="14"/>
  <c r="BQ47" i="14"/>
  <c r="BP47" i="14"/>
  <c r="BO47" i="14"/>
  <c r="BN47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BZ46" i="14"/>
  <c r="BY46" i="14"/>
  <c r="BX46" i="14"/>
  <c r="BW46" i="14"/>
  <c r="BV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BZ45" i="14"/>
  <c r="BY45" i="14"/>
  <c r="BX45" i="14"/>
  <c r="BW45" i="14"/>
  <c r="BV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H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Z43" i="14"/>
  <c r="BY43" i="14"/>
  <c r="BX43" i="14"/>
  <c r="BW43" i="14"/>
  <c r="BV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Z42" i="14"/>
  <c r="BY42" i="14"/>
  <c r="BX42" i="14"/>
  <c r="BW42" i="14"/>
  <c r="BV42" i="14"/>
  <c r="BU42" i="14"/>
  <c r="BT42" i="14"/>
  <c r="BS42" i="14"/>
  <c r="BR42" i="14"/>
  <c r="BQ42" i="14"/>
  <c r="BP42" i="14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Z41" i="14"/>
  <c r="BY41" i="14"/>
  <c r="BX41" i="14"/>
  <c r="BW41" i="14"/>
  <c r="BV41" i="14"/>
  <c r="BU41" i="14"/>
  <c r="BT41" i="14"/>
  <c r="BS41" i="14"/>
  <c r="BR41" i="14"/>
  <c r="BQ41" i="14"/>
  <c r="BP41" i="14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Z40" i="14"/>
  <c r="BY40" i="14"/>
  <c r="BX40" i="14"/>
  <c r="BW40" i="14"/>
  <c r="BV40" i="14"/>
  <c r="BU40" i="14"/>
  <c r="BT40" i="14"/>
  <c r="BS40" i="14"/>
  <c r="BR40" i="14"/>
  <c r="BQ40" i="14"/>
  <c r="BP40" i="14"/>
  <c r="BO40" i="14"/>
  <c r="BN40" i="14"/>
  <c r="BM40" i="14"/>
  <c r="BL40" i="14"/>
  <c r="BK40" i="14"/>
  <c r="BJ40" i="14"/>
  <c r="BI40" i="14"/>
  <c r="BH40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Z39" i="14"/>
  <c r="BY39" i="14"/>
  <c r="BX39" i="14"/>
  <c r="BW39" i="14"/>
  <c r="BV39" i="14"/>
  <c r="BU39" i="14"/>
  <c r="BT39" i="14"/>
  <c r="BS39" i="14"/>
  <c r="BR39" i="14"/>
  <c r="BQ39" i="14"/>
  <c r="BP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Z38" i="14"/>
  <c r="BY38" i="14"/>
  <c r="BX38" i="14"/>
  <c r="BW38" i="14"/>
  <c r="BV38" i="14"/>
  <c r="BU38" i="14"/>
  <c r="BT38" i="14"/>
  <c r="BS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Z37" i="14"/>
  <c r="BY37" i="14"/>
  <c r="BX37" i="14"/>
  <c r="BW37" i="14"/>
  <c r="BV37" i="14"/>
  <c r="BU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BZ36" i="14"/>
  <c r="BY36" i="14"/>
  <c r="BX36" i="14"/>
  <c r="BW36" i="14"/>
  <c r="BV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BZ35" i="14"/>
  <c r="BY35" i="14"/>
  <c r="BX35" i="14"/>
  <c r="BW35" i="14"/>
  <c r="BV35" i="14"/>
  <c r="BU35" i="14"/>
  <c r="BT35" i="14"/>
  <c r="BS35" i="14"/>
  <c r="BR35" i="14"/>
  <c r="BQ35" i="14"/>
  <c r="BP35" i="14"/>
  <c r="BO35" i="14"/>
  <c r="BN35" i="14"/>
  <c r="BM35" i="14"/>
  <c r="BL35" i="14"/>
  <c r="BK35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BZ34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Z31" i="14"/>
  <c r="BY31" i="14"/>
  <c r="BX31" i="14"/>
  <c r="BW31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Z28" i="14"/>
  <c r="BY28" i="14"/>
  <c r="BX28" i="14"/>
  <c r="BW28" i="14"/>
  <c r="BV28" i="14"/>
  <c r="BU28" i="14"/>
  <c r="BT28" i="14"/>
  <c r="BS28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Z27" i="14"/>
  <c r="BY27" i="14"/>
  <c r="BX27" i="14"/>
  <c r="BW27" i="14"/>
  <c r="BV27" i="14"/>
  <c r="BU27" i="14"/>
  <c r="BT27" i="14"/>
  <c r="BS27" i="14"/>
  <c r="BR27" i="14"/>
  <c r="BQ27" i="14"/>
  <c r="BP27" i="14"/>
  <c r="BO27" i="14"/>
  <c r="BN27" i="14"/>
  <c r="BM27" i="14"/>
  <c r="BL27" i="14"/>
  <c r="BK27" i="14"/>
  <c r="BJ27" i="14"/>
  <c r="BI27" i="14"/>
  <c r="BH27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Z26" i="14"/>
  <c r="BY26" i="14"/>
  <c r="BX26" i="14"/>
  <c r="BW26" i="14"/>
  <c r="BV26" i="14"/>
  <c r="BU26" i="14"/>
  <c r="BT26" i="14"/>
  <c r="BS26" i="14"/>
  <c r="BR26" i="14"/>
  <c r="BQ26" i="14"/>
  <c r="BP26" i="14"/>
  <c r="BO26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BZ25" i="14"/>
  <c r="BY25" i="14"/>
  <c r="BX25" i="14"/>
  <c r="BW25" i="14"/>
  <c r="BV25" i="14"/>
  <c r="BU25" i="14"/>
  <c r="BT25" i="14"/>
  <c r="BS25" i="14"/>
  <c r="BR25" i="14"/>
  <c r="BQ25" i="14"/>
  <c r="BP25" i="14"/>
  <c r="BO25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BZ24" i="14"/>
  <c r="BY24" i="14"/>
  <c r="BX24" i="14"/>
  <c r="BW24" i="14"/>
  <c r="BV24" i="14"/>
  <c r="BU24" i="14"/>
  <c r="BT24" i="14"/>
  <c r="BS24" i="14"/>
  <c r="BR24" i="14"/>
  <c r="BQ24" i="14"/>
  <c r="BP24" i="14"/>
  <c r="BO24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BZ23" i="14"/>
  <c r="BY23" i="14"/>
  <c r="BX23" i="14"/>
  <c r="BW23" i="14"/>
  <c r="BV23" i="14"/>
  <c r="BU23" i="14"/>
  <c r="BT23" i="14"/>
  <c r="BS23" i="14"/>
  <c r="BR23" i="14"/>
  <c r="BQ23" i="14"/>
  <c r="BP23" i="14"/>
  <c r="BO23" i="14"/>
  <c r="BN23" i="14"/>
  <c r="BM23" i="14"/>
  <c r="BL23" i="14"/>
  <c r="BK23" i="14"/>
  <c r="BJ23" i="14"/>
  <c r="BI23" i="14"/>
  <c r="BH23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Z22" i="14"/>
  <c r="BY22" i="14"/>
  <c r="BX22" i="14"/>
  <c r="BW22" i="14"/>
  <c r="BV22" i="14"/>
  <c r="BU22" i="14"/>
  <c r="BT22" i="14"/>
  <c r="BS22" i="14"/>
  <c r="BR22" i="14"/>
  <c r="BQ22" i="14"/>
  <c r="BP22" i="14"/>
  <c r="BO22" i="14"/>
  <c r="BN22" i="14"/>
  <c r="BM22" i="14"/>
  <c r="BL22" i="14"/>
  <c r="BK22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Z21" i="14"/>
  <c r="BY21" i="14"/>
  <c r="BX21" i="14"/>
  <c r="BW21" i="14"/>
  <c r="BV21" i="14"/>
  <c r="BU21" i="14"/>
  <c r="BT21" i="14"/>
  <c r="BS21" i="14"/>
  <c r="BR21" i="14"/>
  <c r="BQ21" i="14"/>
  <c r="BP21" i="14"/>
  <c r="BO21" i="14"/>
  <c r="BN21" i="14"/>
  <c r="BM21" i="14"/>
  <c r="BL21" i="14"/>
  <c r="BK21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BZ14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BZ10" i="14"/>
  <c r="BY10" i="14"/>
  <c r="BX10" i="14"/>
  <c r="BW10" i="14"/>
  <c r="BV10" i="14"/>
  <c r="BU10" i="14"/>
  <c r="BT10" i="14"/>
  <c r="BS10" i="14"/>
  <c r="BR10" i="14"/>
  <c r="BQ10" i="14"/>
  <c r="BP10" i="14"/>
  <c r="BO10" i="14"/>
  <c r="BN10" i="14"/>
  <c r="BM10" i="14"/>
  <c r="BL10" i="14"/>
  <c r="BK10" i="14"/>
  <c r="BJ10" i="14"/>
  <c r="BI10" i="14"/>
  <c r="BH10" i="14"/>
  <c r="BG10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BZ9" i="14"/>
  <c r="BY9" i="14"/>
  <c r="BX9" i="14"/>
  <c r="BW9" i="14"/>
  <c r="BV9" i="14"/>
  <c r="BU9" i="14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BZ6" i="14"/>
  <c r="BY6" i="14"/>
  <c r="BX6" i="14"/>
  <c r="BW6" i="14"/>
  <c r="BV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BZ5" i="14"/>
  <c r="BY5" i="14"/>
  <c r="BX5" i="14"/>
  <c r="BW5" i="14"/>
  <c r="BV5" i="14"/>
  <c r="BU5" i="14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BZ78" i="13"/>
  <c r="BY78" i="13"/>
  <c r="BX78" i="13"/>
  <c r="BW78" i="13"/>
  <c r="BV78" i="13"/>
  <c r="BU78" i="13"/>
  <c r="BT78" i="13"/>
  <c r="BS78" i="13"/>
  <c r="BR78" i="13"/>
  <c r="BQ78" i="13"/>
  <c r="BP78" i="13"/>
  <c r="BO78" i="13"/>
  <c r="BN78" i="13"/>
  <c r="BM78" i="13"/>
  <c r="BL78" i="13"/>
  <c r="BK78" i="13"/>
  <c r="BJ78" i="13"/>
  <c r="BI78" i="13"/>
  <c r="BH78" i="13"/>
  <c r="BG78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Z77" i="13"/>
  <c r="BY77" i="13"/>
  <c r="BX77" i="13"/>
  <c r="BW77" i="13"/>
  <c r="BV77" i="13"/>
  <c r="BU77" i="13"/>
  <c r="BT77" i="13"/>
  <c r="BS77" i="13"/>
  <c r="BR77" i="13"/>
  <c r="BQ77" i="13"/>
  <c r="BP77" i="13"/>
  <c r="BO77" i="13"/>
  <c r="BN77" i="13"/>
  <c r="BM77" i="13"/>
  <c r="BL77" i="13"/>
  <c r="BK77" i="13"/>
  <c r="BJ77" i="13"/>
  <c r="BI77" i="13"/>
  <c r="BH77" i="13"/>
  <c r="BG77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Z76" i="13"/>
  <c r="BY76" i="13"/>
  <c r="BX76" i="13"/>
  <c r="BW76" i="13"/>
  <c r="BV76" i="13"/>
  <c r="BU76" i="13"/>
  <c r="BT76" i="13"/>
  <c r="BS76" i="13"/>
  <c r="BR76" i="13"/>
  <c r="BQ76" i="13"/>
  <c r="BP76" i="13"/>
  <c r="BO76" i="13"/>
  <c r="BN76" i="13"/>
  <c r="BM76" i="13"/>
  <c r="BL76" i="13"/>
  <c r="BK76" i="13"/>
  <c r="BJ76" i="13"/>
  <c r="BI76" i="13"/>
  <c r="BH76" i="13"/>
  <c r="BG76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Z75" i="13"/>
  <c r="BY75" i="13"/>
  <c r="BX75" i="13"/>
  <c r="BW75" i="13"/>
  <c r="BV75" i="13"/>
  <c r="BU75" i="13"/>
  <c r="BT75" i="13"/>
  <c r="BS75" i="13"/>
  <c r="BR75" i="13"/>
  <c r="BQ75" i="13"/>
  <c r="BP75" i="13"/>
  <c r="BO75" i="13"/>
  <c r="BN75" i="13"/>
  <c r="BM75" i="13"/>
  <c r="BL75" i="13"/>
  <c r="BK75" i="13"/>
  <c r="BJ75" i="13"/>
  <c r="BI75" i="13"/>
  <c r="BH75" i="13"/>
  <c r="BG75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Z74" i="13"/>
  <c r="BY74" i="13"/>
  <c r="BX74" i="13"/>
  <c r="BW74" i="13"/>
  <c r="BV74" i="13"/>
  <c r="BU74" i="13"/>
  <c r="BT74" i="13"/>
  <c r="BS74" i="13"/>
  <c r="BR74" i="13"/>
  <c r="BQ74" i="13"/>
  <c r="BP74" i="13"/>
  <c r="BO74" i="13"/>
  <c r="BN74" i="13"/>
  <c r="BM74" i="13"/>
  <c r="BL74" i="13"/>
  <c r="BK74" i="13"/>
  <c r="BJ74" i="13"/>
  <c r="BI74" i="13"/>
  <c r="BH74" i="13"/>
  <c r="BG74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Z73" i="13"/>
  <c r="BY73" i="13"/>
  <c r="BX73" i="13"/>
  <c r="BW73" i="13"/>
  <c r="BV73" i="13"/>
  <c r="BU73" i="13"/>
  <c r="BT73" i="13"/>
  <c r="BS73" i="13"/>
  <c r="BR73" i="13"/>
  <c r="BQ73" i="13"/>
  <c r="BP73" i="13"/>
  <c r="BO73" i="13"/>
  <c r="BN73" i="13"/>
  <c r="BM73" i="13"/>
  <c r="BL73" i="13"/>
  <c r="BK73" i="13"/>
  <c r="BJ73" i="13"/>
  <c r="BI73" i="13"/>
  <c r="BH73" i="13"/>
  <c r="BG73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Z72" i="13"/>
  <c r="BY72" i="13"/>
  <c r="BX72" i="13"/>
  <c r="BW72" i="13"/>
  <c r="BV72" i="13"/>
  <c r="BU72" i="13"/>
  <c r="BT72" i="13"/>
  <c r="BS72" i="13"/>
  <c r="BR72" i="13"/>
  <c r="BQ72" i="13"/>
  <c r="BP72" i="13"/>
  <c r="BO72" i="13"/>
  <c r="BN72" i="13"/>
  <c r="BM72" i="13"/>
  <c r="BL72" i="13"/>
  <c r="BK72" i="13"/>
  <c r="BJ72" i="13"/>
  <c r="BI72" i="13"/>
  <c r="BH72" i="13"/>
  <c r="BG72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Z71" i="13"/>
  <c r="BY71" i="13"/>
  <c r="BX71" i="13"/>
  <c r="BW71" i="13"/>
  <c r="BV71" i="13"/>
  <c r="BU71" i="13"/>
  <c r="BT71" i="13"/>
  <c r="BS71" i="13"/>
  <c r="BR71" i="13"/>
  <c r="BQ71" i="13"/>
  <c r="BP71" i="13"/>
  <c r="BO71" i="13"/>
  <c r="BN71" i="13"/>
  <c r="BM71" i="13"/>
  <c r="BL71" i="13"/>
  <c r="BK71" i="13"/>
  <c r="BJ71" i="13"/>
  <c r="BI71" i="13"/>
  <c r="BH71" i="13"/>
  <c r="BG71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Z70" i="13"/>
  <c r="BY70" i="13"/>
  <c r="BX70" i="13"/>
  <c r="BW70" i="13"/>
  <c r="BV70" i="13"/>
  <c r="BU70" i="13"/>
  <c r="BT70" i="13"/>
  <c r="BS70" i="13"/>
  <c r="BR70" i="13"/>
  <c r="BQ70" i="13"/>
  <c r="BP70" i="13"/>
  <c r="BO70" i="13"/>
  <c r="BN70" i="13"/>
  <c r="BM70" i="13"/>
  <c r="BL70" i="13"/>
  <c r="BK70" i="13"/>
  <c r="BJ70" i="13"/>
  <c r="BI70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BZ69" i="13"/>
  <c r="BY69" i="13"/>
  <c r="BX69" i="13"/>
  <c r="BW69" i="13"/>
  <c r="BV69" i="13"/>
  <c r="BU69" i="13"/>
  <c r="BT69" i="13"/>
  <c r="BS69" i="13"/>
  <c r="BR69" i="13"/>
  <c r="BQ69" i="13"/>
  <c r="BP69" i="13"/>
  <c r="BO69" i="13"/>
  <c r="BN69" i="13"/>
  <c r="BM69" i="13"/>
  <c r="BL69" i="13"/>
  <c r="BK69" i="13"/>
  <c r="BJ69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BZ68" i="13"/>
  <c r="BY68" i="13"/>
  <c r="BX68" i="13"/>
  <c r="BW68" i="13"/>
  <c r="BV68" i="13"/>
  <c r="BU68" i="13"/>
  <c r="BT68" i="13"/>
  <c r="BS68" i="13"/>
  <c r="BR68" i="13"/>
  <c r="BQ68" i="13"/>
  <c r="BP68" i="13"/>
  <c r="BO68" i="13"/>
  <c r="BN68" i="13"/>
  <c r="BM68" i="13"/>
  <c r="BL68" i="13"/>
  <c r="BK68" i="13"/>
  <c r="BJ68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BZ67" i="13"/>
  <c r="BY67" i="13"/>
  <c r="BX67" i="13"/>
  <c r="BW67" i="13"/>
  <c r="BV67" i="13"/>
  <c r="BU67" i="13"/>
  <c r="BT67" i="13"/>
  <c r="BS67" i="13"/>
  <c r="BR67" i="13"/>
  <c r="BQ67" i="13"/>
  <c r="BP67" i="13"/>
  <c r="BO67" i="13"/>
  <c r="BN67" i="13"/>
  <c r="BM67" i="13"/>
  <c r="BL67" i="13"/>
  <c r="BK67" i="13"/>
  <c r="BJ67" i="13"/>
  <c r="BI67" i="13"/>
  <c r="BH67" i="13"/>
  <c r="BG67" i="13"/>
  <c r="BF67" i="13"/>
  <c r="BE67" i="13"/>
  <c r="BD67" i="13"/>
  <c r="BC67" i="13"/>
  <c r="BB67" i="13"/>
  <c r="BA67" i="13"/>
  <c r="AZ67" i="13"/>
  <c r="AY67" i="13"/>
  <c r="AX67" i="13"/>
  <c r="AW67" i="13"/>
  <c r="AV67" i="13"/>
  <c r="AU67" i="13"/>
  <c r="AT67" i="13"/>
  <c r="AS67" i="13"/>
  <c r="AR67" i="13"/>
  <c r="AQ67" i="13"/>
  <c r="AP67" i="13"/>
  <c r="AO67" i="13"/>
  <c r="AN67" i="13"/>
  <c r="AM67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BZ66" i="13"/>
  <c r="BY66" i="13"/>
  <c r="BX66" i="13"/>
  <c r="BW66" i="13"/>
  <c r="BV66" i="13"/>
  <c r="BU66" i="13"/>
  <c r="BT66" i="13"/>
  <c r="BS66" i="13"/>
  <c r="BR66" i="13"/>
  <c r="BQ66" i="13"/>
  <c r="BP66" i="13"/>
  <c r="BO66" i="13"/>
  <c r="BN66" i="13"/>
  <c r="BM66" i="13"/>
  <c r="BL66" i="13"/>
  <c r="BK66" i="13"/>
  <c r="BJ66" i="13"/>
  <c r="BI66" i="13"/>
  <c r="BH66" i="13"/>
  <c r="BG66" i="13"/>
  <c r="BF66" i="13"/>
  <c r="BE66" i="13"/>
  <c r="BD66" i="13"/>
  <c r="BC66" i="13"/>
  <c r="BB66" i="13"/>
  <c r="BA66" i="13"/>
  <c r="AZ66" i="13"/>
  <c r="AY66" i="13"/>
  <c r="AX66" i="13"/>
  <c r="AW66" i="13"/>
  <c r="AV66" i="13"/>
  <c r="AU66" i="13"/>
  <c r="AT66" i="13"/>
  <c r="AS66" i="13"/>
  <c r="AR66" i="13"/>
  <c r="AQ66" i="13"/>
  <c r="AP66" i="13"/>
  <c r="AO66" i="13"/>
  <c r="AN66" i="13"/>
  <c r="AM66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BZ65" i="13"/>
  <c r="BY65" i="13"/>
  <c r="BX65" i="13"/>
  <c r="BW65" i="13"/>
  <c r="BV65" i="13"/>
  <c r="BU65" i="13"/>
  <c r="BT65" i="13"/>
  <c r="BS65" i="13"/>
  <c r="BR65" i="13"/>
  <c r="BQ65" i="13"/>
  <c r="BP65" i="13"/>
  <c r="BO65" i="13"/>
  <c r="BN65" i="13"/>
  <c r="BM65" i="13"/>
  <c r="BL65" i="13"/>
  <c r="BK65" i="13"/>
  <c r="BJ65" i="13"/>
  <c r="BI65" i="13"/>
  <c r="BH65" i="13"/>
  <c r="BG65" i="13"/>
  <c r="BF65" i="13"/>
  <c r="BE65" i="13"/>
  <c r="BD65" i="13"/>
  <c r="BC65" i="13"/>
  <c r="BB65" i="13"/>
  <c r="BA65" i="13"/>
  <c r="AZ65" i="13"/>
  <c r="AY65" i="13"/>
  <c r="AX65" i="13"/>
  <c r="AW65" i="13"/>
  <c r="AV65" i="13"/>
  <c r="AU65" i="13"/>
  <c r="AT65" i="13"/>
  <c r="AS65" i="13"/>
  <c r="AR65" i="13"/>
  <c r="AQ65" i="13"/>
  <c r="AP65" i="13"/>
  <c r="AO65" i="13"/>
  <c r="AN65" i="13"/>
  <c r="AM65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BZ64" i="13"/>
  <c r="BY64" i="13"/>
  <c r="BX64" i="13"/>
  <c r="BW64" i="13"/>
  <c r="BV64" i="13"/>
  <c r="BU64" i="13"/>
  <c r="BT64" i="13"/>
  <c r="BS64" i="13"/>
  <c r="BR64" i="13"/>
  <c r="BQ64" i="13"/>
  <c r="BP64" i="13"/>
  <c r="BO64" i="13"/>
  <c r="BN64" i="13"/>
  <c r="BM64" i="13"/>
  <c r="BL64" i="13"/>
  <c r="BK64" i="13"/>
  <c r="BJ64" i="13"/>
  <c r="BI64" i="13"/>
  <c r="BH64" i="13"/>
  <c r="BG64" i="13"/>
  <c r="BF64" i="13"/>
  <c r="BE64" i="13"/>
  <c r="BD64" i="13"/>
  <c r="BC64" i="13"/>
  <c r="BB64" i="13"/>
  <c r="BA64" i="13"/>
  <c r="AZ64" i="13"/>
  <c r="AY64" i="13"/>
  <c r="AX64" i="13"/>
  <c r="AW64" i="13"/>
  <c r="AV64" i="13"/>
  <c r="AU64" i="13"/>
  <c r="AT64" i="13"/>
  <c r="AS64" i="13"/>
  <c r="AR64" i="13"/>
  <c r="AQ64" i="13"/>
  <c r="AP64" i="13"/>
  <c r="AO64" i="13"/>
  <c r="AN64" i="13"/>
  <c r="AM64" i="13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BZ63" i="13"/>
  <c r="BY63" i="13"/>
  <c r="BX63" i="13"/>
  <c r="BW63" i="13"/>
  <c r="BV63" i="13"/>
  <c r="BU63" i="13"/>
  <c r="BT63" i="13"/>
  <c r="BS63" i="13"/>
  <c r="BR63" i="13"/>
  <c r="BQ63" i="13"/>
  <c r="BP63" i="13"/>
  <c r="BO63" i="13"/>
  <c r="BN63" i="13"/>
  <c r="BM63" i="13"/>
  <c r="BL63" i="13"/>
  <c r="BK63" i="13"/>
  <c r="BJ63" i="13"/>
  <c r="BI63" i="13"/>
  <c r="BH63" i="13"/>
  <c r="BG63" i="13"/>
  <c r="BF63" i="13"/>
  <c r="BE63" i="13"/>
  <c r="BD63" i="13"/>
  <c r="BC63" i="13"/>
  <c r="BB63" i="13"/>
  <c r="BA63" i="13"/>
  <c r="AZ63" i="13"/>
  <c r="AY63" i="13"/>
  <c r="AX63" i="13"/>
  <c r="AW63" i="13"/>
  <c r="AV63" i="13"/>
  <c r="AU63" i="13"/>
  <c r="AT63" i="13"/>
  <c r="AS63" i="13"/>
  <c r="AR63" i="13"/>
  <c r="AQ63" i="13"/>
  <c r="AP63" i="13"/>
  <c r="AO63" i="13"/>
  <c r="AN63" i="13"/>
  <c r="AM63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BZ62" i="13"/>
  <c r="BY62" i="13"/>
  <c r="BX62" i="13"/>
  <c r="BW62" i="13"/>
  <c r="BV62" i="13"/>
  <c r="BU62" i="13"/>
  <c r="BT62" i="13"/>
  <c r="BS62" i="13"/>
  <c r="BR62" i="13"/>
  <c r="BQ62" i="13"/>
  <c r="BP62" i="13"/>
  <c r="BO62" i="13"/>
  <c r="BN62" i="13"/>
  <c r="BM62" i="13"/>
  <c r="BL62" i="13"/>
  <c r="BK62" i="13"/>
  <c r="BJ62" i="13"/>
  <c r="BI62" i="13"/>
  <c r="BH62" i="13"/>
  <c r="BG62" i="13"/>
  <c r="BF62" i="13"/>
  <c r="BE62" i="13"/>
  <c r="BD62" i="13"/>
  <c r="BC62" i="13"/>
  <c r="BB62" i="13"/>
  <c r="BA62" i="13"/>
  <c r="AZ62" i="13"/>
  <c r="AY62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BZ61" i="13"/>
  <c r="BY61" i="13"/>
  <c r="BX61" i="13"/>
  <c r="BW61" i="13"/>
  <c r="BV61" i="13"/>
  <c r="BU61" i="13"/>
  <c r="BT61" i="13"/>
  <c r="BS61" i="13"/>
  <c r="BR61" i="13"/>
  <c r="BQ61" i="13"/>
  <c r="BP61" i="13"/>
  <c r="BO61" i="13"/>
  <c r="BN61" i="13"/>
  <c r="BM61" i="13"/>
  <c r="BL61" i="13"/>
  <c r="BK61" i="13"/>
  <c r="BJ61" i="13"/>
  <c r="BI61" i="13"/>
  <c r="BH61" i="13"/>
  <c r="BG61" i="13"/>
  <c r="BF61" i="13"/>
  <c r="BE61" i="13"/>
  <c r="BD61" i="13"/>
  <c r="BC61" i="13"/>
  <c r="BB61" i="13"/>
  <c r="BA61" i="13"/>
  <c r="AZ61" i="13"/>
  <c r="AY61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BZ60" i="13"/>
  <c r="BY60" i="13"/>
  <c r="BX60" i="13"/>
  <c r="BW60" i="13"/>
  <c r="BV60" i="13"/>
  <c r="BU60" i="13"/>
  <c r="BT60" i="13"/>
  <c r="BS60" i="13"/>
  <c r="BR60" i="13"/>
  <c r="BQ60" i="13"/>
  <c r="BP60" i="13"/>
  <c r="BO60" i="13"/>
  <c r="BN60" i="13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Z59" i="13"/>
  <c r="BY59" i="13"/>
  <c r="BX59" i="13"/>
  <c r="BW59" i="13"/>
  <c r="BV59" i="13"/>
  <c r="BU59" i="13"/>
  <c r="BT59" i="13"/>
  <c r="BS59" i="13"/>
  <c r="BR59" i="13"/>
  <c r="BQ59" i="13"/>
  <c r="BP59" i="13"/>
  <c r="BO59" i="13"/>
  <c r="BN59" i="13"/>
  <c r="BM59" i="13"/>
  <c r="BL59" i="13"/>
  <c r="BK59" i="13"/>
  <c r="BJ59" i="13"/>
  <c r="BI59" i="13"/>
  <c r="BH59" i="13"/>
  <c r="BG59" i="13"/>
  <c r="BF59" i="13"/>
  <c r="BE59" i="13"/>
  <c r="BD59" i="13"/>
  <c r="BC59" i="13"/>
  <c r="BB59" i="13"/>
  <c r="BA59" i="13"/>
  <c r="AZ59" i="13"/>
  <c r="AY59" i="13"/>
  <c r="AX59" i="13"/>
  <c r="AW59" i="13"/>
  <c r="AV59" i="13"/>
  <c r="AU59" i="13"/>
  <c r="AT59" i="13"/>
  <c r="AS59" i="13"/>
  <c r="AR59" i="13"/>
  <c r="AQ59" i="13"/>
  <c r="AP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BZ58" i="13"/>
  <c r="BY58" i="13"/>
  <c r="BX58" i="13"/>
  <c r="BW58" i="13"/>
  <c r="BV58" i="13"/>
  <c r="BU58" i="13"/>
  <c r="BT58" i="13"/>
  <c r="BS58" i="13"/>
  <c r="BR58" i="13"/>
  <c r="BQ58" i="13"/>
  <c r="BP58" i="13"/>
  <c r="BO58" i="13"/>
  <c r="BN58" i="13"/>
  <c r="BM58" i="13"/>
  <c r="BL58" i="13"/>
  <c r="BK58" i="13"/>
  <c r="BJ58" i="13"/>
  <c r="BI58" i="13"/>
  <c r="BH58" i="13"/>
  <c r="BG58" i="13"/>
  <c r="BF58" i="13"/>
  <c r="BE58" i="13"/>
  <c r="BD58" i="13"/>
  <c r="BC58" i="13"/>
  <c r="BB58" i="13"/>
  <c r="BA58" i="13"/>
  <c r="AZ58" i="13"/>
  <c r="AY58" i="13"/>
  <c r="AX58" i="13"/>
  <c r="AW58" i="13"/>
  <c r="AV58" i="13"/>
  <c r="AU58" i="13"/>
  <c r="AT58" i="13"/>
  <c r="AS58" i="13"/>
  <c r="AR58" i="13"/>
  <c r="AQ58" i="13"/>
  <c r="AP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BZ57" i="13"/>
  <c r="BY57" i="13"/>
  <c r="BX57" i="13"/>
  <c r="BW57" i="13"/>
  <c r="BV57" i="13"/>
  <c r="BU57" i="13"/>
  <c r="BT57" i="13"/>
  <c r="BS57" i="13"/>
  <c r="BR57" i="13"/>
  <c r="BQ57" i="13"/>
  <c r="BP57" i="13"/>
  <c r="BO57" i="13"/>
  <c r="BN57" i="13"/>
  <c r="BM57" i="13"/>
  <c r="BL57" i="13"/>
  <c r="BK57" i="13"/>
  <c r="BJ57" i="13"/>
  <c r="BI57" i="13"/>
  <c r="BH57" i="13"/>
  <c r="BG57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BZ56" i="13"/>
  <c r="BY56" i="13"/>
  <c r="BX56" i="13"/>
  <c r="BW56" i="13"/>
  <c r="BV56" i="13"/>
  <c r="BU56" i="13"/>
  <c r="BT56" i="13"/>
  <c r="BS56" i="13"/>
  <c r="BR56" i="13"/>
  <c r="BQ56" i="13"/>
  <c r="BP56" i="13"/>
  <c r="BO56" i="13"/>
  <c r="BN56" i="13"/>
  <c r="BM56" i="13"/>
  <c r="BL56" i="13"/>
  <c r="BK56" i="13"/>
  <c r="BJ56" i="13"/>
  <c r="BI56" i="13"/>
  <c r="BH56" i="13"/>
  <c r="BG56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Z55" i="13"/>
  <c r="BY55" i="13"/>
  <c r="BX55" i="13"/>
  <c r="BW55" i="13"/>
  <c r="BV55" i="13"/>
  <c r="BU55" i="13"/>
  <c r="BT55" i="13"/>
  <c r="BS55" i="13"/>
  <c r="BR55" i="13"/>
  <c r="BQ55" i="13"/>
  <c r="BP55" i="13"/>
  <c r="BO55" i="13"/>
  <c r="BN55" i="13"/>
  <c r="BM55" i="13"/>
  <c r="BL55" i="13"/>
  <c r="BK55" i="13"/>
  <c r="BJ55" i="13"/>
  <c r="BI55" i="13"/>
  <c r="BH55" i="13"/>
  <c r="BG55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Z54" i="13"/>
  <c r="BY54" i="13"/>
  <c r="BX54" i="13"/>
  <c r="BW54" i="13"/>
  <c r="BV54" i="13"/>
  <c r="BU54" i="13"/>
  <c r="BT54" i="13"/>
  <c r="BS54" i="13"/>
  <c r="BR54" i="13"/>
  <c r="BQ54" i="13"/>
  <c r="BP54" i="13"/>
  <c r="BO54" i="13"/>
  <c r="BN54" i="13"/>
  <c r="BM54" i="13"/>
  <c r="BL54" i="13"/>
  <c r="BK54" i="13"/>
  <c r="BJ54" i="13"/>
  <c r="BI54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Z53" i="13"/>
  <c r="BY53" i="13"/>
  <c r="BX53" i="13"/>
  <c r="BW53" i="13"/>
  <c r="BV53" i="13"/>
  <c r="BU53" i="13"/>
  <c r="BT53" i="13"/>
  <c r="BS53" i="13"/>
  <c r="BR53" i="13"/>
  <c r="BQ53" i="13"/>
  <c r="BP53" i="13"/>
  <c r="BO53" i="13"/>
  <c r="BN53" i="13"/>
  <c r="BM53" i="13"/>
  <c r="BL53" i="13"/>
  <c r="BK53" i="13"/>
  <c r="BJ53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Z52" i="13"/>
  <c r="BY52" i="13"/>
  <c r="BX52" i="13"/>
  <c r="BW52" i="13"/>
  <c r="BV52" i="13"/>
  <c r="BU52" i="13"/>
  <c r="BT52" i="13"/>
  <c r="BS52" i="13"/>
  <c r="BR52" i="13"/>
  <c r="BQ52" i="13"/>
  <c r="BP52" i="13"/>
  <c r="BO52" i="13"/>
  <c r="BN52" i="13"/>
  <c r="BM52" i="13"/>
  <c r="BL52" i="13"/>
  <c r="BK52" i="13"/>
  <c r="BJ52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Z51" i="13"/>
  <c r="BY51" i="13"/>
  <c r="BX51" i="13"/>
  <c r="BW51" i="13"/>
  <c r="BV51" i="13"/>
  <c r="BU51" i="13"/>
  <c r="BT51" i="13"/>
  <c r="BS51" i="13"/>
  <c r="BR51" i="13"/>
  <c r="BQ51" i="13"/>
  <c r="BP51" i="13"/>
  <c r="BO51" i="13"/>
  <c r="BN51" i="13"/>
  <c r="BM51" i="13"/>
  <c r="BL51" i="13"/>
  <c r="BK51" i="13"/>
  <c r="BJ51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Z50" i="13"/>
  <c r="BY50" i="13"/>
  <c r="BX50" i="13"/>
  <c r="BW50" i="13"/>
  <c r="BV50" i="13"/>
  <c r="BU50" i="13"/>
  <c r="BT50" i="13"/>
  <c r="BS50" i="13"/>
  <c r="BR50" i="13"/>
  <c r="BQ50" i="13"/>
  <c r="BP50" i="13"/>
  <c r="BO50" i="13"/>
  <c r="BN50" i="13"/>
  <c r="BM50" i="13"/>
  <c r="BL50" i="13"/>
  <c r="BK50" i="13"/>
  <c r="BJ50" i="13"/>
  <c r="BI50" i="13"/>
  <c r="BH50" i="13"/>
  <c r="BG50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Z49" i="13"/>
  <c r="BY49" i="13"/>
  <c r="BX49" i="13"/>
  <c r="BW49" i="13"/>
  <c r="BV49" i="13"/>
  <c r="BU49" i="13"/>
  <c r="BT49" i="13"/>
  <c r="BS49" i="13"/>
  <c r="BR49" i="13"/>
  <c r="BQ49" i="13"/>
  <c r="BP49" i="13"/>
  <c r="BO49" i="13"/>
  <c r="BN49" i="13"/>
  <c r="BM49" i="13"/>
  <c r="BL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Z48" i="13"/>
  <c r="BY48" i="13"/>
  <c r="BX48" i="13"/>
  <c r="BW48" i="13"/>
  <c r="BV48" i="13"/>
  <c r="BU48" i="13"/>
  <c r="BT48" i="13"/>
  <c r="BS48" i="13"/>
  <c r="BR48" i="13"/>
  <c r="BQ48" i="13"/>
  <c r="BP48" i="13"/>
  <c r="BO48" i="13"/>
  <c r="BN48" i="13"/>
  <c r="BM48" i="13"/>
  <c r="BL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BZ47" i="13"/>
  <c r="BY47" i="13"/>
  <c r="BX47" i="13"/>
  <c r="BW47" i="13"/>
  <c r="BV47" i="13"/>
  <c r="BU47" i="13"/>
  <c r="BT47" i="13"/>
  <c r="BS47" i="13"/>
  <c r="BR47" i="13"/>
  <c r="BQ47" i="13"/>
  <c r="BP47" i="13"/>
  <c r="BO47" i="13"/>
  <c r="BN47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Z46" i="13"/>
  <c r="BY46" i="13"/>
  <c r="BX46" i="13"/>
  <c r="BW46" i="13"/>
  <c r="BV46" i="13"/>
  <c r="BU46" i="13"/>
  <c r="BT46" i="13"/>
  <c r="BS46" i="13"/>
  <c r="BR46" i="13"/>
  <c r="BQ46" i="13"/>
  <c r="BP46" i="13"/>
  <c r="BO46" i="13"/>
  <c r="BN46" i="13"/>
  <c r="BM46" i="13"/>
  <c r="BL46" i="13"/>
  <c r="BK46" i="13"/>
  <c r="BJ46" i="13"/>
  <c r="BI46" i="13"/>
  <c r="BH46" i="13"/>
  <c r="BG46" i="13"/>
  <c r="BF46" i="13"/>
  <c r="BE46" i="13"/>
  <c r="BD46" i="13"/>
  <c r="BC46" i="13"/>
  <c r="BB46" i="13"/>
  <c r="BA46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BZ45" i="13"/>
  <c r="BY45" i="13"/>
  <c r="BX45" i="13"/>
  <c r="BW45" i="13"/>
  <c r="BV45" i="13"/>
  <c r="BU45" i="13"/>
  <c r="BT45" i="13"/>
  <c r="BS45" i="13"/>
  <c r="BR45" i="13"/>
  <c r="BQ45" i="13"/>
  <c r="BP45" i="13"/>
  <c r="BO45" i="13"/>
  <c r="BN45" i="13"/>
  <c r="BM45" i="13"/>
  <c r="BL45" i="13"/>
  <c r="BK45" i="13"/>
  <c r="BJ45" i="13"/>
  <c r="BI45" i="13"/>
  <c r="BH45" i="13"/>
  <c r="BG45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Z44" i="13"/>
  <c r="BY44" i="13"/>
  <c r="BX44" i="13"/>
  <c r="BW44" i="13"/>
  <c r="BV44" i="13"/>
  <c r="BU44" i="13"/>
  <c r="BT44" i="13"/>
  <c r="BS44" i="13"/>
  <c r="BR44" i="13"/>
  <c r="BQ44" i="13"/>
  <c r="BP44" i="13"/>
  <c r="BO44" i="13"/>
  <c r="BN44" i="13"/>
  <c r="BM44" i="13"/>
  <c r="BL44" i="13"/>
  <c r="BK44" i="13"/>
  <c r="BJ44" i="13"/>
  <c r="BI44" i="13"/>
  <c r="BH44" i="13"/>
  <c r="BG44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Z43" i="13"/>
  <c r="BY43" i="13"/>
  <c r="BX43" i="13"/>
  <c r="BW43" i="13"/>
  <c r="BV43" i="13"/>
  <c r="BU43" i="13"/>
  <c r="BT43" i="13"/>
  <c r="BS43" i="13"/>
  <c r="BR43" i="13"/>
  <c r="BQ43" i="13"/>
  <c r="BP43" i="13"/>
  <c r="BO43" i="13"/>
  <c r="BN43" i="13"/>
  <c r="BM43" i="13"/>
  <c r="BL43" i="13"/>
  <c r="BK43" i="13"/>
  <c r="BJ43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Z42" i="13"/>
  <c r="BY42" i="13"/>
  <c r="BX42" i="13"/>
  <c r="BW42" i="13"/>
  <c r="BV42" i="13"/>
  <c r="BU42" i="13"/>
  <c r="BT42" i="13"/>
  <c r="BS42" i="13"/>
  <c r="BR42" i="13"/>
  <c r="BQ42" i="13"/>
  <c r="BP42" i="13"/>
  <c r="BO42" i="13"/>
  <c r="BN42" i="13"/>
  <c r="BM42" i="13"/>
  <c r="BL42" i="13"/>
  <c r="BK42" i="13"/>
  <c r="BJ42" i="13"/>
  <c r="BI42" i="13"/>
  <c r="BH42" i="13"/>
  <c r="BG42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Z41" i="13"/>
  <c r="BY41" i="13"/>
  <c r="BX41" i="13"/>
  <c r="BW41" i="13"/>
  <c r="BV41" i="13"/>
  <c r="BU41" i="13"/>
  <c r="BT41" i="13"/>
  <c r="BS41" i="13"/>
  <c r="BR41" i="13"/>
  <c r="BQ41" i="13"/>
  <c r="BP41" i="13"/>
  <c r="BO41" i="13"/>
  <c r="BN41" i="13"/>
  <c r="BM41" i="13"/>
  <c r="BL41" i="13"/>
  <c r="BK41" i="13"/>
  <c r="BJ41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Z40" i="13"/>
  <c r="BY40" i="13"/>
  <c r="BX40" i="13"/>
  <c r="BW40" i="13"/>
  <c r="BV40" i="13"/>
  <c r="BU40" i="13"/>
  <c r="BT40" i="13"/>
  <c r="BS40" i="13"/>
  <c r="BR40" i="13"/>
  <c r="BQ40" i="13"/>
  <c r="BP40" i="13"/>
  <c r="BO40" i="13"/>
  <c r="BN40" i="13"/>
  <c r="BM40" i="13"/>
  <c r="BL40" i="13"/>
  <c r="BK40" i="13"/>
  <c r="BJ40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Z39" i="13"/>
  <c r="BY39" i="13"/>
  <c r="BX39" i="13"/>
  <c r="BW39" i="13"/>
  <c r="BV39" i="13"/>
  <c r="BU39" i="13"/>
  <c r="BT39" i="13"/>
  <c r="BS39" i="13"/>
  <c r="BR39" i="13"/>
  <c r="BQ39" i="13"/>
  <c r="BP39" i="13"/>
  <c r="BO39" i="13"/>
  <c r="BN39" i="13"/>
  <c r="BM39" i="13"/>
  <c r="BL39" i="13"/>
  <c r="BK39" i="13"/>
  <c r="BJ39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Z38" i="13"/>
  <c r="BY38" i="13"/>
  <c r="BX38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Z37" i="13"/>
  <c r="BY37" i="13"/>
  <c r="BX37" i="13"/>
  <c r="BW37" i="13"/>
  <c r="BV37" i="13"/>
  <c r="BU37" i="13"/>
  <c r="BT37" i="13"/>
  <c r="BS37" i="13"/>
  <c r="BR37" i="13"/>
  <c r="BQ37" i="13"/>
  <c r="BP37" i="13"/>
  <c r="BO37" i="13"/>
  <c r="BN37" i="13"/>
  <c r="BM37" i="13"/>
  <c r="BL37" i="13"/>
  <c r="BK37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BZ36" i="13"/>
  <c r="BY36" i="13"/>
  <c r="BX36" i="13"/>
  <c r="BW36" i="13"/>
  <c r="BV36" i="13"/>
  <c r="BU36" i="13"/>
  <c r="BT36" i="13"/>
  <c r="BS36" i="13"/>
  <c r="BR36" i="13"/>
  <c r="BQ36" i="13"/>
  <c r="BP36" i="13"/>
  <c r="BO36" i="13"/>
  <c r="BN36" i="13"/>
  <c r="BM36" i="13"/>
  <c r="BL36" i="13"/>
  <c r="BK36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BZ35" i="13"/>
  <c r="BY35" i="13"/>
  <c r="BX35" i="13"/>
  <c r="BW35" i="13"/>
  <c r="BV35" i="13"/>
  <c r="BU35" i="13"/>
  <c r="BT35" i="13"/>
  <c r="BS35" i="13"/>
  <c r="BR35" i="13"/>
  <c r="BQ35" i="13"/>
  <c r="BP35" i="13"/>
  <c r="BO35" i="13"/>
  <c r="BN35" i="13"/>
  <c r="BM35" i="13"/>
  <c r="BL35" i="13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BZ34" i="13"/>
  <c r="BY34" i="13"/>
  <c r="BX34" i="13"/>
  <c r="BW34" i="13"/>
  <c r="BV34" i="13"/>
  <c r="BU34" i="13"/>
  <c r="BT34" i="13"/>
  <c r="BS34" i="13"/>
  <c r="BR34" i="13"/>
  <c r="BQ34" i="13"/>
  <c r="BP34" i="13"/>
  <c r="BO34" i="13"/>
  <c r="BN34" i="13"/>
  <c r="BM34" i="13"/>
  <c r="BL34" i="13"/>
  <c r="BK34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Z33" i="13"/>
  <c r="BY33" i="13"/>
  <c r="BX33" i="13"/>
  <c r="BW33" i="13"/>
  <c r="BV33" i="13"/>
  <c r="BU33" i="13"/>
  <c r="BT33" i="13"/>
  <c r="BS33" i="13"/>
  <c r="BR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Z32" i="13"/>
  <c r="BY32" i="13"/>
  <c r="BX32" i="13"/>
  <c r="BW32" i="13"/>
  <c r="BV32" i="13"/>
  <c r="BU32" i="13"/>
  <c r="BT32" i="13"/>
  <c r="BS32" i="13"/>
  <c r="BR32" i="13"/>
  <c r="BQ32" i="13"/>
  <c r="BP32" i="13"/>
  <c r="BO32" i="13"/>
  <c r="BN32" i="13"/>
  <c r="BM32" i="13"/>
  <c r="BL32" i="13"/>
  <c r="BK32" i="13"/>
  <c r="BJ32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Z31" i="13"/>
  <c r="BY31" i="13"/>
  <c r="BX31" i="13"/>
  <c r="BW31" i="13"/>
  <c r="BV31" i="13"/>
  <c r="BU31" i="13"/>
  <c r="BT31" i="13"/>
  <c r="BS31" i="13"/>
  <c r="BR31" i="13"/>
  <c r="BQ31" i="13"/>
  <c r="BP31" i="13"/>
  <c r="BO31" i="13"/>
  <c r="BN31" i="13"/>
  <c r="BM31" i="13"/>
  <c r="BL31" i="13"/>
  <c r="BK31" i="13"/>
  <c r="BJ31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Z30" i="13"/>
  <c r="BY30" i="13"/>
  <c r="BX30" i="13"/>
  <c r="BW30" i="13"/>
  <c r="BV30" i="13"/>
  <c r="BU30" i="13"/>
  <c r="BT30" i="13"/>
  <c r="BS30" i="13"/>
  <c r="BR30" i="13"/>
  <c r="BQ30" i="13"/>
  <c r="BP30" i="13"/>
  <c r="BO30" i="13"/>
  <c r="BN30" i="13"/>
  <c r="BM30" i="13"/>
  <c r="BL30" i="13"/>
  <c r="BK30" i="13"/>
  <c r="BJ30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Z29" i="13"/>
  <c r="BY29" i="13"/>
  <c r="BX29" i="13"/>
  <c r="BW29" i="13"/>
  <c r="BV29" i="13"/>
  <c r="BU29" i="13"/>
  <c r="BT29" i="13"/>
  <c r="BS29" i="13"/>
  <c r="BR29" i="13"/>
  <c r="BQ29" i="13"/>
  <c r="BP29" i="13"/>
  <c r="BO29" i="13"/>
  <c r="BN29" i="13"/>
  <c r="BM29" i="13"/>
  <c r="BL29" i="13"/>
  <c r="BK29" i="13"/>
  <c r="BJ29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Z28" i="13"/>
  <c r="BY28" i="13"/>
  <c r="BX28" i="13"/>
  <c r="BW28" i="13"/>
  <c r="BV28" i="13"/>
  <c r="BU28" i="13"/>
  <c r="BT28" i="13"/>
  <c r="BS28" i="13"/>
  <c r="BR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Z27" i="13"/>
  <c r="BY27" i="13"/>
  <c r="BX27" i="13"/>
  <c r="BW27" i="13"/>
  <c r="BV27" i="13"/>
  <c r="BU27" i="13"/>
  <c r="BT27" i="13"/>
  <c r="BS27" i="13"/>
  <c r="BR27" i="13"/>
  <c r="BQ27" i="13"/>
  <c r="BP27" i="13"/>
  <c r="BO27" i="13"/>
  <c r="BN27" i="13"/>
  <c r="BM27" i="13"/>
  <c r="BL27" i="13"/>
  <c r="BK27" i="13"/>
  <c r="BJ27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Z26" i="13"/>
  <c r="BY26" i="13"/>
  <c r="BX26" i="13"/>
  <c r="BW26" i="13"/>
  <c r="BV26" i="13"/>
  <c r="BU26" i="13"/>
  <c r="BT26" i="13"/>
  <c r="BS26" i="13"/>
  <c r="BR26" i="13"/>
  <c r="BQ26" i="13"/>
  <c r="BP26" i="13"/>
  <c r="BO26" i="13"/>
  <c r="BN26" i="13"/>
  <c r="BM26" i="13"/>
  <c r="BL26" i="13"/>
  <c r="BK26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BZ25" i="13"/>
  <c r="BY25" i="13"/>
  <c r="BX25" i="13"/>
  <c r="BW25" i="13"/>
  <c r="BV25" i="13"/>
  <c r="BU25" i="13"/>
  <c r="BT25" i="13"/>
  <c r="BS25" i="13"/>
  <c r="BR25" i="13"/>
  <c r="BQ25" i="13"/>
  <c r="BP25" i="13"/>
  <c r="BO25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BZ24" i="13"/>
  <c r="BY24" i="13"/>
  <c r="BX24" i="13"/>
  <c r="BW24" i="13"/>
  <c r="BV24" i="13"/>
  <c r="BU24" i="13"/>
  <c r="BT24" i="13"/>
  <c r="BS24" i="13"/>
  <c r="BR24" i="13"/>
  <c r="BQ24" i="13"/>
  <c r="BP24" i="13"/>
  <c r="BO24" i="13"/>
  <c r="BN24" i="13"/>
  <c r="BM24" i="13"/>
  <c r="BL24" i="13"/>
  <c r="BK24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BZ23" i="13"/>
  <c r="BY23" i="13"/>
  <c r="BX23" i="13"/>
  <c r="BW23" i="13"/>
  <c r="BV23" i="13"/>
  <c r="BU23" i="13"/>
  <c r="BT23" i="13"/>
  <c r="BS23" i="13"/>
  <c r="BR23" i="13"/>
  <c r="BQ23" i="13"/>
  <c r="BP23" i="13"/>
  <c r="BO23" i="13"/>
  <c r="BN23" i="13"/>
  <c r="BM23" i="13"/>
  <c r="BL23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Z22" i="13"/>
  <c r="BY22" i="13"/>
  <c r="BX22" i="13"/>
  <c r="BW22" i="13"/>
  <c r="BV22" i="13"/>
  <c r="BU22" i="13"/>
  <c r="BT22" i="13"/>
  <c r="BS22" i="13"/>
  <c r="BR22" i="13"/>
  <c r="BQ22" i="13"/>
  <c r="BP22" i="13"/>
  <c r="BO22" i="13"/>
  <c r="BN22" i="13"/>
  <c r="BM22" i="13"/>
  <c r="BL22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Z21" i="13"/>
  <c r="BY21" i="13"/>
  <c r="BX21" i="13"/>
  <c r="BW21" i="13"/>
  <c r="BV21" i="13"/>
  <c r="BU21" i="13"/>
  <c r="BT21" i="13"/>
  <c r="BS21" i="13"/>
  <c r="BR21" i="13"/>
  <c r="BQ21" i="13"/>
  <c r="BP21" i="13"/>
  <c r="BO21" i="13"/>
  <c r="BN21" i="13"/>
  <c r="BM21" i="13"/>
  <c r="BL21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Z20" i="13"/>
  <c r="BY20" i="13"/>
  <c r="BX20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Z19" i="13"/>
  <c r="BY19" i="13"/>
  <c r="BX19" i="13"/>
  <c r="BW19" i="13"/>
  <c r="BV19" i="13"/>
  <c r="BU19" i="13"/>
  <c r="BT19" i="13"/>
  <c r="BS19" i="13"/>
  <c r="BR19" i="13"/>
  <c r="BQ19" i="13"/>
  <c r="BP19" i="13"/>
  <c r="BO19" i="13"/>
  <c r="BN19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Z18" i="13"/>
  <c r="BY18" i="13"/>
  <c r="BX18" i="13"/>
  <c r="BW18" i="13"/>
  <c r="BV18" i="13"/>
  <c r="BU18" i="13"/>
  <c r="BT18" i="13"/>
  <c r="BS18" i="13"/>
  <c r="BR18" i="13"/>
  <c r="BQ18" i="13"/>
  <c r="BP18" i="13"/>
  <c r="BO18" i="13"/>
  <c r="BN18" i="13"/>
  <c r="BM18" i="13"/>
  <c r="BL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Z17" i="13"/>
  <c r="BY17" i="13"/>
  <c r="BX17" i="13"/>
  <c r="BW17" i="13"/>
  <c r="BV17" i="13"/>
  <c r="BU17" i="13"/>
  <c r="BT17" i="13"/>
  <c r="BS17" i="13"/>
  <c r="BR17" i="13"/>
  <c r="BQ17" i="13"/>
  <c r="BP17" i="13"/>
  <c r="BO17" i="13"/>
  <c r="BN17" i="13"/>
  <c r="BM17" i="13"/>
  <c r="BL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Z16" i="13"/>
  <c r="BY16" i="13"/>
  <c r="BX16" i="13"/>
  <c r="BW16" i="13"/>
  <c r="BV16" i="13"/>
  <c r="BU16" i="13"/>
  <c r="BT16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Z15" i="13"/>
  <c r="BY15" i="13"/>
  <c r="BX15" i="13"/>
  <c r="BW15" i="13"/>
  <c r="BV15" i="13"/>
  <c r="BU15" i="13"/>
  <c r="BT15" i="13"/>
  <c r="BS15" i="13"/>
  <c r="BR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BZ14" i="13"/>
  <c r="BY14" i="13"/>
  <c r="BX14" i="13"/>
  <c r="BW14" i="13"/>
  <c r="BV14" i="13"/>
  <c r="BU14" i="13"/>
  <c r="BT14" i="13"/>
  <c r="BS14" i="13"/>
  <c r="BR14" i="13"/>
  <c r="BQ14" i="13"/>
  <c r="BP14" i="13"/>
  <c r="BO14" i="13"/>
  <c r="BN14" i="13"/>
  <c r="BM14" i="13"/>
  <c r="BL14" i="13"/>
  <c r="BK14" i="13"/>
  <c r="BJ14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BZ13" i="13"/>
  <c r="BY13" i="13"/>
  <c r="BX13" i="13"/>
  <c r="BW13" i="13"/>
  <c r="BV13" i="13"/>
  <c r="BU13" i="13"/>
  <c r="BT13" i="13"/>
  <c r="BS13" i="13"/>
  <c r="BR13" i="13"/>
  <c r="BQ13" i="13"/>
  <c r="BP13" i="13"/>
  <c r="BO13" i="13"/>
  <c r="BN13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BZ12" i="13"/>
  <c r="BY12" i="13"/>
  <c r="BX12" i="13"/>
  <c r="BW12" i="13"/>
  <c r="BV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BZ11" i="13"/>
  <c r="BY11" i="13"/>
  <c r="BX11" i="13"/>
  <c r="BW11" i="13"/>
  <c r="BV11" i="13"/>
  <c r="BU11" i="13"/>
  <c r="BT11" i="13"/>
  <c r="BS11" i="13"/>
  <c r="BR11" i="13"/>
  <c r="BQ11" i="13"/>
  <c r="BP11" i="13"/>
  <c r="BO11" i="13"/>
  <c r="BN11" i="13"/>
  <c r="BM11" i="13"/>
  <c r="BL11" i="13"/>
  <c r="BK11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BZ10" i="13"/>
  <c r="BY10" i="13"/>
  <c r="BX10" i="13"/>
  <c r="BW10" i="13"/>
  <c r="BV10" i="13"/>
  <c r="BU10" i="13"/>
  <c r="BT10" i="13"/>
  <c r="BS10" i="13"/>
  <c r="BR10" i="13"/>
  <c r="BQ10" i="13"/>
  <c r="BP10" i="13"/>
  <c r="BO10" i="13"/>
  <c r="BN10" i="13"/>
  <c r="BM10" i="13"/>
  <c r="BL10" i="13"/>
  <c r="BK10" i="13"/>
  <c r="BJ10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BZ9" i="13"/>
  <c r="BY9" i="13"/>
  <c r="BX9" i="13"/>
  <c r="BW9" i="13"/>
  <c r="BV9" i="13"/>
  <c r="BU9" i="13"/>
  <c r="BT9" i="13"/>
  <c r="BS9" i="13"/>
  <c r="BR9" i="13"/>
  <c r="BQ9" i="13"/>
  <c r="BP9" i="13"/>
  <c r="BO9" i="13"/>
  <c r="BN9" i="13"/>
  <c r="BM9" i="13"/>
  <c r="BL9" i="13"/>
  <c r="BK9" i="13"/>
  <c r="BJ9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BZ8" i="13"/>
  <c r="BY8" i="13"/>
  <c r="BX8" i="13"/>
  <c r="BW8" i="13"/>
  <c r="BV8" i="13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BZ7" i="13"/>
  <c r="BY7" i="13"/>
  <c r="BX7" i="13"/>
  <c r="BW7" i="13"/>
  <c r="BV7" i="13"/>
  <c r="BU7" i="13"/>
  <c r="BT7" i="13"/>
  <c r="BS7" i="13"/>
  <c r="BR7" i="13"/>
  <c r="BQ7" i="13"/>
  <c r="BP7" i="13"/>
  <c r="BO7" i="13"/>
  <c r="BN7" i="13"/>
  <c r="BM7" i="13"/>
  <c r="BL7" i="13"/>
  <c r="BK7" i="13"/>
  <c r="BJ7" i="13"/>
  <c r="BI7" i="13"/>
  <c r="BH7" i="13"/>
  <c r="BG7" i="13"/>
  <c r="BF7" i="13"/>
  <c r="BE7" i="13"/>
  <c r="BD7" i="13"/>
  <c r="BC7" i="13"/>
  <c r="BB7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BZ5" i="13"/>
  <c r="BY5" i="13"/>
  <c r="BX5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BZ4" i="13"/>
  <c r="BY4" i="13"/>
  <c r="BX4" i="13"/>
  <c r="BW4" i="13"/>
  <c r="BV4" i="13"/>
  <c r="BU4" i="13"/>
  <c r="BT4" i="13"/>
  <c r="BS4" i="13"/>
  <c r="BR4" i="13"/>
  <c r="BQ4" i="13"/>
  <c r="BP4" i="13"/>
  <c r="BO4" i="13"/>
  <c r="BN4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BZ3" i="13"/>
  <c r="BY3" i="13"/>
  <c r="BX3" i="13"/>
  <c r="BW3" i="13"/>
  <c r="B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BZ2" i="13"/>
  <c r="BY2" i="13"/>
  <c r="BX2" i="13"/>
  <c r="BW2" i="13"/>
  <c r="BV2" i="13"/>
  <c r="BU2" i="13"/>
  <c r="BT2" i="13"/>
  <c r="BS2" i="13"/>
  <c r="BR2" i="13"/>
  <c r="BQ2" i="13"/>
  <c r="BP2" i="13"/>
  <c r="BO2" i="13"/>
  <c r="BN2" i="13"/>
  <c r="BM2" i="13"/>
  <c r="BL2" i="13"/>
  <c r="BK2" i="13"/>
  <c r="BJ2" i="13"/>
  <c r="BI2" i="13"/>
  <c r="BH2" i="13"/>
  <c r="BG2" i="13"/>
  <c r="BF2" i="13"/>
  <c r="BE2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G78" i="8"/>
  <c r="F78" i="8"/>
  <c r="E78" i="8"/>
  <c r="B78" i="8"/>
  <c r="C78" i="8" s="1"/>
  <c r="A78" i="8"/>
  <c r="G77" i="8"/>
  <c r="F77" i="8"/>
  <c r="E77" i="8"/>
  <c r="B77" i="8"/>
  <c r="C77" i="8" s="1"/>
  <c r="D77" i="8" s="1"/>
  <c r="A77" i="8"/>
  <c r="G76" i="8"/>
  <c r="F76" i="8"/>
  <c r="P76" i="8" s="1"/>
  <c r="E76" i="8"/>
  <c r="B76" i="8"/>
  <c r="C76" i="8" s="1"/>
  <c r="A76" i="8"/>
  <c r="G75" i="8"/>
  <c r="F75" i="8"/>
  <c r="E75" i="8"/>
  <c r="P75" i="8" s="1"/>
  <c r="B75" i="8"/>
  <c r="C75" i="8" s="1"/>
  <c r="A75" i="8"/>
  <c r="G74" i="8"/>
  <c r="F74" i="8"/>
  <c r="E74" i="8"/>
  <c r="P74" i="8" s="1"/>
  <c r="B74" i="8"/>
  <c r="C74" i="8" s="1"/>
  <c r="A74" i="8"/>
  <c r="G73" i="8"/>
  <c r="F73" i="8"/>
  <c r="E73" i="8"/>
  <c r="B73" i="8"/>
  <c r="C73" i="8" s="1"/>
  <c r="A73" i="8"/>
  <c r="G72" i="8"/>
  <c r="F72" i="8"/>
  <c r="E72" i="8"/>
  <c r="B72" i="8"/>
  <c r="C72" i="8" s="1"/>
  <c r="A72" i="8"/>
  <c r="G71" i="8"/>
  <c r="F71" i="8"/>
  <c r="E71" i="8"/>
  <c r="B71" i="8"/>
  <c r="C71" i="8" s="1"/>
  <c r="A71" i="8"/>
  <c r="G70" i="8"/>
  <c r="F70" i="8"/>
  <c r="E70" i="8"/>
  <c r="P70" i="8" s="1"/>
  <c r="B70" i="8"/>
  <c r="C70" i="8" s="1"/>
  <c r="A70" i="8"/>
  <c r="G69" i="8"/>
  <c r="F69" i="8"/>
  <c r="P69" i="8" s="1"/>
  <c r="E69" i="8"/>
  <c r="B69" i="8"/>
  <c r="C69" i="8" s="1"/>
  <c r="A69" i="8"/>
  <c r="G68" i="8"/>
  <c r="F68" i="8"/>
  <c r="E68" i="8"/>
  <c r="B68" i="8"/>
  <c r="C68" i="8" s="1"/>
  <c r="A68" i="8"/>
  <c r="G67" i="8"/>
  <c r="F67" i="8"/>
  <c r="E67" i="8"/>
  <c r="P67" i="8" s="1"/>
  <c r="B67" i="8"/>
  <c r="C67" i="8" s="1"/>
  <c r="A67" i="8"/>
  <c r="G66" i="8"/>
  <c r="F66" i="8"/>
  <c r="E66" i="8"/>
  <c r="B66" i="8"/>
  <c r="C66" i="8" s="1"/>
  <c r="A66" i="8"/>
  <c r="G65" i="8"/>
  <c r="F65" i="8"/>
  <c r="E65" i="8"/>
  <c r="B65" i="8"/>
  <c r="C65" i="8" s="1"/>
  <c r="H65" i="8" s="1"/>
  <c r="A65" i="8"/>
  <c r="G64" i="8"/>
  <c r="F64" i="8"/>
  <c r="E64" i="8"/>
  <c r="P64" i="8" s="1"/>
  <c r="B64" i="8"/>
  <c r="C64" i="8" s="1"/>
  <c r="A64" i="8"/>
  <c r="I63" i="8"/>
  <c r="G63" i="8"/>
  <c r="F63" i="8"/>
  <c r="E63" i="8"/>
  <c r="B63" i="8"/>
  <c r="C63" i="8" s="1"/>
  <c r="D63" i="8" s="1"/>
  <c r="A63" i="8"/>
  <c r="G62" i="8"/>
  <c r="F62" i="8"/>
  <c r="E62" i="8"/>
  <c r="B62" i="8"/>
  <c r="C62" i="8" s="1"/>
  <c r="A62" i="8"/>
  <c r="G61" i="8"/>
  <c r="F61" i="8"/>
  <c r="E61" i="8"/>
  <c r="P61" i="8" s="1"/>
  <c r="B61" i="8"/>
  <c r="C61" i="8" s="1"/>
  <c r="D61" i="8" s="1"/>
  <c r="A61" i="8"/>
  <c r="G60" i="8"/>
  <c r="F60" i="8"/>
  <c r="E60" i="8"/>
  <c r="B60" i="8"/>
  <c r="C60" i="8" s="1"/>
  <c r="A60" i="8"/>
  <c r="G59" i="8"/>
  <c r="F59" i="8"/>
  <c r="E59" i="8"/>
  <c r="B59" i="8"/>
  <c r="C59" i="8" s="1"/>
  <c r="N59" i="8" s="1"/>
  <c r="A59" i="8"/>
  <c r="G58" i="8"/>
  <c r="F58" i="8"/>
  <c r="E58" i="8"/>
  <c r="B58" i="8"/>
  <c r="C58" i="8" s="1"/>
  <c r="A58" i="8"/>
  <c r="G57" i="8"/>
  <c r="F57" i="8"/>
  <c r="E57" i="8"/>
  <c r="P57" i="8" s="1"/>
  <c r="B57" i="8"/>
  <c r="C57" i="8" s="1"/>
  <c r="N57" i="8" s="1"/>
  <c r="A57" i="8"/>
  <c r="G56" i="8"/>
  <c r="F56" i="8"/>
  <c r="E56" i="8"/>
  <c r="B56" i="8"/>
  <c r="C56" i="8" s="1"/>
  <c r="A56" i="8"/>
  <c r="G55" i="8"/>
  <c r="F55" i="8"/>
  <c r="E55" i="8"/>
  <c r="B55" i="8"/>
  <c r="C55" i="8" s="1"/>
  <c r="A55" i="8"/>
  <c r="G54" i="8"/>
  <c r="F54" i="8"/>
  <c r="E54" i="8"/>
  <c r="P54" i="8" s="1"/>
  <c r="B54" i="8"/>
  <c r="C54" i="8" s="1"/>
  <c r="M54" i="8" s="1"/>
  <c r="A54" i="8"/>
  <c r="G53" i="8"/>
  <c r="F53" i="8"/>
  <c r="E53" i="8"/>
  <c r="B53" i="8"/>
  <c r="C53" i="8" s="1"/>
  <c r="D53" i="8" s="1"/>
  <c r="A53" i="8"/>
  <c r="G52" i="8"/>
  <c r="F52" i="8"/>
  <c r="E52" i="8"/>
  <c r="B52" i="8"/>
  <c r="C52" i="8" s="1"/>
  <c r="A52" i="8"/>
  <c r="G51" i="8"/>
  <c r="F51" i="8"/>
  <c r="E51" i="8"/>
  <c r="B51" i="8"/>
  <c r="C51" i="8" s="1"/>
  <c r="A51" i="8"/>
  <c r="G50" i="8"/>
  <c r="F50" i="8"/>
  <c r="E50" i="8"/>
  <c r="B50" i="8"/>
  <c r="C50" i="8" s="1"/>
  <c r="A50" i="8"/>
  <c r="G49" i="8"/>
  <c r="F49" i="8"/>
  <c r="E49" i="8"/>
  <c r="B49" i="8"/>
  <c r="C49" i="8" s="1"/>
  <c r="A49" i="8"/>
  <c r="G48" i="8"/>
  <c r="F48" i="8"/>
  <c r="E48" i="8"/>
  <c r="P48" i="8" s="1"/>
  <c r="B48" i="8"/>
  <c r="C48" i="8" s="1"/>
  <c r="D48" i="8" s="1"/>
  <c r="A48" i="8"/>
  <c r="G47" i="8"/>
  <c r="F47" i="8"/>
  <c r="E47" i="8"/>
  <c r="B47" i="8"/>
  <c r="C47" i="8" s="1"/>
  <c r="D47" i="8" s="1"/>
  <c r="A47" i="8"/>
  <c r="G46" i="8"/>
  <c r="F46" i="8"/>
  <c r="E46" i="8"/>
  <c r="B46" i="8"/>
  <c r="C46" i="8" s="1"/>
  <c r="A46" i="8"/>
  <c r="G45" i="8"/>
  <c r="F45" i="8"/>
  <c r="E45" i="8"/>
  <c r="B45" i="8"/>
  <c r="C45" i="8" s="1"/>
  <c r="A45" i="8"/>
  <c r="G44" i="8"/>
  <c r="F44" i="8"/>
  <c r="E44" i="8"/>
  <c r="B44" i="8"/>
  <c r="C44" i="8" s="1"/>
  <c r="A44" i="8"/>
  <c r="G43" i="8"/>
  <c r="F43" i="8"/>
  <c r="E43" i="8"/>
  <c r="B43" i="8"/>
  <c r="C43" i="8" s="1"/>
  <c r="A43" i="8"/>
  <c r="G42" i="8"/>
  <c r="F42" i="8"/>
  <c r="E42" i="8"/>
  <c r="B42" i="8"/>
  <c r="C42" i="8" s="1"/>
  <c r="A42" i="8"/>
  <c r="L41" i="8"/>
  <c r="G41" i="8"/>
  <c r="F41" i="8"/>
  <c r="E41" i="8"/>
  <c r="B41" i="8"/>
  <c r="C41" i="8" s="1"/>
  <c r="I41" i="8" s="1"/>
  <c r="A41" i="8"/>
  <c r="G40" i="8"/>
  <c r="F40" i="8"/>
  <c r="E40" i="8"/>
  <c r="B40" i="8"/>
  <c r="C40" i="8" s="1"/>
  <c r="A40" i="8"/>
  <c r="G39" i="8"/>
  <c r="F39" i="8"/>
  <c r="E39" i="8"/>
  <c r="B39" i="8"/>
  <c r="C39" i="8" s="1"/>
  <c r="D39" i="8" s="1"/>
  <c r="A39" i="8"/>
  <c r="G38" i="8"/>
  <c r="F38" i="8"/>
  <c r="P38" i="8" s="1"/>
  <c r="E38" i="8"/>
  <c r="B38" i="8"/>
  <c r="C38" i="8" s="1"/>
  <c r="A38" i="8"/>
  <c r="G37" i="8"/>
  <c r="F37" i="8"/>
  <c r="E37" i="8"/>
  <c r="B37" i="8"/>
  <c r="C37" i="8" s="1"/>
  <c r="A37" i="8"/>
  <c r="G36" i="8"/>
  <c r="F36" i="8"/>
  <c r="E36" i="8"/>
  <c r="B36" i="8"/>
  <c r="C36" i="8" s="1"/>
  <c r="D36" i="8" s="1"/>
  <c r="A36" i="8"/>
  <c r="G35" i="8"/>
  <c r="F35" i="8"/>
  <c r="E35" i="8"/>
  <c r="B35" i="8"/>
  <c r="C35" i="8" s="1"/>
  <c r="D35" i="8" s="1"/>
  <c r="A35" i="8"/>
  <c r="G34" i="8"/>
  <c r="F34" i="8"/>
  <c r="E34" i="8"/>
  <c r="B34" i="8"/>
  <c r="C34" i="8" s="1"/>
  <c r="D34" i="8" s="1"/>
  <c r="A34" i="8"/>
  <c r="G33" i="8"/>
  <c r="F33" i="8"/>
  <c r="E33" i="8"/>
  <c r="B33" i="8"/>
  <c r="C33" i="8" s="1"/>
  <c r="A33" i="8"/>
  <c r="G32" i="8"/>
  <c r="F32" i="8"/>
  <c r="E32" i="8"/>
  <c r="B32" i="8"/>
  <c r="C32" i="8" s="1"/>
  <c r="A32" i="8"/>
  <c r="G31" i="8"/>
  <c r="F31" i="8"/>
  <c r="E31" i="8"/>
  <c r="B31" i="8"/>
  <c r="C31" i="8" s="1"/>
  <c r="N31" i="8" s="1"/>
  <c r="A31" i="8"/>
  <c r="G30" i="8"/>
  <c r="F30" i="8"/>
  <c r="E30" i="8"/>
  <c r="B30" i="8"/>
  <c r="C30" i="8" s="1"/>
  <c r="J30" i="8" s="1"/>
  <c r="A30" i="8"/>
  <c r="G29" i="8"/>
  <c r="F29" i="8"/>
  <c r="E29" i="8"/>
  <c r="B29" i="8"/>
  <c r="C29" i="8" s="1"/>
  <c r="A29" i="8"/>
  <c r="G28" i="8"/>
  <c r="F28" i="8"/>
  <c r="E28" i="8"/>
  <c r="B28" i="8"/>
  <c r="C28" i="8" s="1"/>
  <c r="A28" i="8"/>
  <c r="G27" i="8"/>
  <c r="F27" i="8"/>
  <c r="E27" i="8"/>
  <c r="B27" i="8"/>
  <c r="C27" i="8" s="1"/>
  <c r="A27" i="8"/>
  <c r="G26" i="8"/>
  <c r="F26" i="8"/>
  <c r="E26" i="8"/>
  <c r="B26" i="8"/>
  <c r="C26" i="8" s="1"/>
  <c r="A26" i="8"/>
  <c r="G25" i="8"/>
  <c r="F25" i="8"/>
  <c r="E25" i="8"/>
  <c r="B25" i="8"/>
  <c r="C25" i="8" s="1"/>
  <c r="A25" i="8"/>
  <c r="G24" i="8"/>
  <c r="F24" i="8"/>
  <c r="E24" i="8"/>
  <c r="B24" i="8"/>
  <c r="C24" i="8" s="1"/>
  <c r="A24" i="8"/>
  <c r="G23" i="8"/>
  <c r="F23" i="8"/>
  <c r="E23" i="8"/>
  <c r="B23" i="8"/>
  <c r="C23" i="8" s="1"/>
  <c r="A23" i="8"/>
  <c r="G22" i="8"/>
  <c r="F22" i="8"/>
  <c r="E22" i="8"/>
  <c r="P22" i="8" s="1"/>
  <c r="B22" i="8"/>
  <c r="C22" i="8" s="1"/>
  <c r="A22" i="8"/>
  <c r="G21" i="8"/>
  <c r="F21" i="8"/>
  <c r="E21" i="8"/>
  <c r="B21" i="8"/>
  <c r="C21" i="8" s="1"/>
  <c r="A21" i="8"/>
  <c r="G20" i="8"/>
  <c r="F20" i="8"/>
  <c r="E20" i="8"/>
  <c r="B20" i="8"/>
  <c r="C20" i="8" s="1"/>
  <c r="A20" i="8"/>
  <c r="G19" i="8"/>
  <c r="F19" i="8"/>
  <c r="E19" i="8"/>
  <c r="P19" i="8" s="1"/>
  <c r="B19" i="8"/>
  <c r="C19" i="8" s="1"/>
  <c r="A19" i="8"/>
  <c r="G18" i="8"/>
  <c r="F18" i="8"/>
  <c r="E18" i="8"/>
  <c r="B18" i="8"/>
  <c r="C18" i="8" s="1"/>
  <c r="A18" i="8"/>
  <c r="G17" i="8"/>
  <c r="F17" i="8"/>
  <c r="E17" i="8"/>
  <c r="B17" i="8"/>
  <c r="C17" i="8" s="1"/>
  <c r="A17" i="8"/>
  <c r="G16" i="8"/>
  <c r="F16" i="8"/>
  <c r="E16" i="8"/>
  <c r="P16" i="8" s="1"/>
  <c r="B16" i="8"/>
  <c r="C16" i="8" s="1"/>
  <c r="L16" i="8" s="1"/>
  <c r="A16" i="8"/>
  <c r="G15" i="8"/>
  <c r="F15" i="8"/>
  <c r="E15" i="8"/>
  <c r="B15" i="8"/>
  <c r="C15" i="8" s="1"/>
  <c r="N15" i="8" s="1"/>
  <c r="A15" i="8"/>
  <c r="G14" i="8"/>
  <c r="F14" i="8"/>
  <c r="E14" i="8"/>
  <c r="B14" i="8"/>
  <c r="C14" i="8" s="1"/>
  <c r="N14" i="8" s="1"/>
  <c r="A14" i="8"/>
  <c r="G13" i="8"/>
  <c r="F13" i="8"/>
  <c r="E13" i="8"/>
  <c r="AA13" i="8" s="1"/>
  <c r="B13" i="8"/>
  <c r="C13" i="8" s="1"/>
  <c r="L13" i="8" s="1"/>
  <c r="A13" i="8"/>
  <c r="G12" i="8"/>
  <c r="F12" i="8"/>
  <c r="E12" i="8"/>
  <c r="B12" i="8"/>
  <c r="C12" i="8" s="1"/>
  <c r="A12" i="8"/>
  <c r="G11" i="8"/>
  <c r="F11" i="8"/>
  <c r="E11" i="8"/>
  <c r="B11" i="8"/>
  <c r="C11" i="8" s="1"/>
  <c r="I11" i="8" s="1"/>
  <c r="A11" i="8"/>
  <c r="G10" i="8"/>
  <c r="F10" i="8"/>
  <c r="E10" i="8"/>
  <c r="AA10" i="8" s="1"/>
  <c r="B10" i="8"/>
  <c r="C10" i="8" s="1"/>
  <c r="J10" i="8" s="1"/>
  <c r="A10" i="8"/>
  <c r="G9" i="8"/>
  <c r="F9" i="8"/>
  <c r="E9" i="8"/>
  <c r="B9" i="8"/>
  <c r="C9" i="8" s="1"/>
  <c r="N9" i="8" s="1"/>
  <c r="A9" i="8"/>
  <c r="G8" i="8"/>
  <c r="F8" i="8"/>
  <c r="E8" i="8"/>
  <c r="B8" i="8"/>
  <c r="C8" i="8" s="1"/>
  <c r="A8" i="8"/>
  <c r="G7" i="8"/>
  <c r="F7" i="8"/>
  <c r="E7" i="8"/>
  <c r="P7" i="8" s="1"/>
  <c r="B7" i="8"/>
  <c r="C7" i="8" s="1"/>
  <c r="D7" i="8" s="1"/>
  <c r="A7" i="8"/>
  <c r="G6" i="8"/>
  <c r="F6" i="8"/>
  <c r="E6" i="8"/>
  <c r="B6" i="8"/>
  <c r="C6" i="8" s="1"/>
  <c r="A6" i="8"/>
  <c r="G5" i="8"/>
  <c r="F5" i="8"/>
  <c r="E5" i="8"/>
  <c r="B5" i="8"/>
  <c r="C5" i="8" s="1"/>
  <c r="L5" i="8" s="1"/>
  <c r="A5" i="8"/>
  <c r="G4" i="8"/>
  <c r="F4" i="8"/>
  <c r="E4" i="8"/>
  <c r="B4" i="8"/>
  <c r="C4" i="8" s="1"/>
  <c r="I4" i="8" s="1"/>
  <c r="A4" i="8"/>
  <c r="G3" i="8"/>
  <c r="F3" i="8"/>
  <c r="E3" i="8"/>
  <c r="P3" i="8" s="1"/>
  <c r="B3" i="8"/>
  <c r="C3" i="8" s="1"/>
  <c r="A3" i="8"/>
  <c r="G2" i="8"/>
  <c r="F2" i="8"/>
  <c r="E2" i="8"/>
  <c r="P2" i="8" s="1"/>
  <c r="B2" i="8"/>
  <c r="C2" i="8" s="1"/>
  <c r="A2" i="8"/>
  <c r="O8" i="5"/>
  <c r="N8" i="5"/>
  <c r="L8" i="5"/>
  <c r="L10" i="20" s="1"/>
  <c r="K8" i="5"/>
  <c r="L9" i="20" s="1"/>
  <c r="J8" i="5"/>
  <c r="L8" i="20" s="1"/>
  <c r="I8" i="5"/>
  <c r="L7" i="20" s="1"/>
  <c r="H8" i="5"/>
  <c r="L6" i="20" s="1"/>
  <c r="G8" i="5"/>
  <c r="L5" i="20" s="1"/>
  <c r="F8" i="5"/>
  <c r="E8" i="5"/>
  <c r="D8" i="5"/>
  <c r="O7" i="5"/>
  <c r="N7" i="5"/>
  <c r="L7" i="5"/>
  <c r="K7" i="5"/>
  <c r="J7" i="5"/>
  <c r="I7" i="5"/>
  <c r="H7" i="5"/>
  <c r="G7" i="5"/>
  <c r="F7" i="5"/>
  <c r="E7" i="5"/>
  <c r="D7" i="5"/>
  <c r="O6" i="5"/>
  <c r="N6" i="5"/>
  <c r="L6" i="5"/>
  <c r="K6" i="5"/>
  <c r="J6" i="5"/>
  <c r="I6" i="5"/>
  <c r="H6" i="5"/>
  <c r="G6" i="5"/>
  <c r="F6" i="5"/>
  <c r="E6" i="5"/>
  <c r="D6" i="5"/>
  <c r="O5" i="5"/>
  <c r="N5" i="5"/>
  <c r="L5" i="5"/>
  <c r="K5" i="5"/>
  <c r="J5" i="5"/>
  <c r="I5" i="5"/>
  <c r="H5" i="5"/>
  <c r="G5" i="5"/>
  <c r="F5" i="5"/>
  <c r="E5" i="5"/>
  <c r="D5" i="5"/>
  <c r="O4" i="5"/>
  <c r="N4" i="5"/>
  <c r="L4" i="5"/>
  <c r="K4" i="5"/>
  <c r="J4" i="5"/>
  <c r="I4" i="5"/>
  <c r="H4" i="5"/>
  <c r="G4" i="5"/>
  <c r="F4" i="5"/>
  <c r="E4" i="5"/>
  <c r="D4" i="5"/>
  <c r="O3" i="5"/>
  <c r="N3" i="5"/>
  <c r="L3" i="5"/>
  <c r="K3" i="5"/>
  <c r="J3" i="5"/>
  <c r="I3" i="5"/>
  <c r="H3" i="5"/>
  <c r="G3" i="5"/>
  <c r="F3" i="5"/>
  <c r="E3" i="5"/>
  <c r="D3" i="5"/>
  <c r="O2" i="5"/>
  <c r="N2" i="5"/>
  <c r="L2" i="5"/>
  <c r="K2" i="5"/>
  <c r="J2" i="5"/>
  <c r="I2" i="5"/>
  <c r="H2" i="5"/>
  <c r="G2" i="5"/>
  <c r="F2" i="5"/>
  <c r="E2" i="5"/>
  <c r="D2" i="5"/>
  <c r="P60" i="8" l="1"/>
  <c r="P12" i="8"/>
  <c r="N36" i="8"/>
  <c r="H39" i="8"/>
  <c r="J63" i="8"/>
  <c r="P73" i="8"/>
  <c r="P77" i="8"/>
  <c r="H13" i="8"/>
  <c r="P53" i="8"/>
  <c r="P10" i="8"/>
  <c r="J13" i="8"/>
  <c r="J31" i="8"/>
  <c r="P13" i="8"/>
  <c r="Q13" i="8" s="1"/>
  <c r="I31" i="8"/>
  <c r="P8" i="8"/>
  <c r="J41" i="8"/>
  <c r="S41" i="8" s="1"/>
  <c r="P5" i="8"/>
  <c r="K41" i="8"/>
  <c r="N13" i="8"/>
  <c r="M63" i="8"/>
  <c r="P32" i="8"/>
  <c r="N63" i="8"/>
  <c r="P6" i="8"/>
  <c r="P41" i="8"/>
  <c r="P36" i="8"/>
  <c r="W36" i="8" s="1"/>
  <c r="P44" i="8"/>
  <c r="Q44" i="8" s="1"/>
  <c r="P15" i="8"/>
  <c r="W15" i="8" s="1"/>
  <c r="J39" i="8"/>
  <c r="P63" i="8"/>
  <c r="S63" i="8" s="1"/>
  <c r="P71" i="8"/>
  <c r="L10" i="8"/>
  <c r="N39" i="8"/>
  <c r="N10" i="8"/>
  <c r="P25" i="8"/>
  <c r="P37" i="8"/>
  <c r="N54" i="8"/>
  <c r="H63" i="8"/>
  <c r="K13" i="8"/>
  <c r="K63" i="8"/>
  <c r="P46" i="8"/>
  <c r="P49" i="8"/>
  <c r="P52" i="8"/>
  <c r="L63" i="8"/>
  <c r="O63" i="8" s="1"/>
  <c r="P66" i="8"/>
  <c r="Q5" i="5"/>
  <c r="Q6" i="5"/>
  <c r="Q7" i="5"/>
  <c r="L76" i="8"/>
  <c r="U76" i="8" s="1"/>
  <c r="M76" i="8"/>
  <c r="V76" i="8" s="1"/>
  <c r="D62" i="8"/>
  <c r="M62" i="8"/>
  <c r="H62" i="8"/>
  <c r="K62" i="8"/>
  <c r="J62" i="8"/>
  <c r="I62" i="8"/>
  <c r="I12" i="8"/>
  <c r="R12" i="8" s="1"/>
  <c r="D12" i="8"/>
  <c r="M12" i="8"/>
  <c r="V12" i="8" s="1"/>
  <c r="K12" i="8"/>
  <c r="T12" i="8" s="1"/>
  <c r="L12" i="8"/>
  <c r="U12" i="8" s="1"/>
  <c r="N12" i="8"/>
  <c r="W12" i="8" s="1"/>
  <c r="J12" i="8"/>
  <c r="S12" i="8" s="1"/>
  <c r="H12" i="8"/>
  <c r="Q12" i="8" s="1"/>
  <c r="D56" i="8"/>
  <c r="K56" i="8"/>
  <c r="J56" i="8"/>
  <c r="L56" i="8"/>
  <c r="D64" i="8"/>
  <c r="K64" i="8"/>
  <c r="T64" i="8" s="1"/>
  <c r="N67" i="8"/>
  <c r="W67" i="8" s="1"/>
  <c r="L67" i="8"/>
  <c r="U67" i="8" s="1"/>
  <c r="J67" i="8"/>
  <c r="S67" i="8" s="1"/>
  <c r="N70" i="8"/>
  <c r="W70" i="8" s="1"/>
  <c r="M70" i="8"/>
  <c r="V70" i="8" s="1"/>
  <c r="M27" i="8"/>
  <c r="D27" i="8"/>
  <c r="N27" i="8"/>
  <c r="K27" i="8"/>
  <c r="L27" i="8"/>
  <c r="H27" i="8"/>
  <c r="J27" i="8"/>
  <c r="D44" i="8"/>
  <c r="N44" i="8"/>
  <c r="H44" i="8"/>
  <c r="M44" i="8"/>
  <c r="I44" i="8"/>
  <c r="L44" i="8"/>
  <c r="K44" i="8"/>
  <c r="J44" i="8"/>
  <c r="I21" i="8"/>
  <c r="N21" i="8"/>
  <c r="K21" i="8"/>
  <c r="M21" i="8"/>
  <c r="L21" i="8"/>
  <c r="J21" i="8"/>
  <c r="H21" i="8"/>
  <c r="D21" i="8"/>
  <c r="M37" i="8"/>
  <c r="J37" i="8"/>
  <c r="S37" i="8" s="1"/>
  <c r="K37" i="8"/>
  <c r="H37" i="8"/>
  <c r="D19" i="8"/>
  <c r="H19" i="8"/>
  <c r="Q19" i="8" s="1"/>
  <c r="M19" i="8"/>
  <c r="V19" i="8" s="1"/>
  <c r="L19" i="8"/>
  <c r="U19" i="8" s="1"/>
  <c r="J19" i="8"/>
  <c r="S19" i="8" s="1"/>
  <c r="I19" i="8"/>
  <c r="R19" i="8" s="1"/>
  <c r="D52" i="8"/>
  <c r="H52" i="8"/>
  <c r="Q52" i="8" s="1"/>
  <c r="D66" i="8"/>
  <c r="J66" i="8"/>
  <c r="I66" i="8"/>
  <c r="H66" i="8"/>
  <c r="K66" i="8"/>
  <c r="N66" i="8"/>
  <c r="M66" i="8"/>
  <c r="L66" i="8"/>
  <c r="N71" i="8"/>
  <c r="W71" i="8" s="1"/>
  <c r="J71" i="8"/>
  <c r="S71" i="8" s="1"/>
  <c r="H71" i="8"/>
  <c r="Q71" i="8" s="1"/>
  <c r="I40" i="8"/>
  <c r="J40" i="8"/>
  <c r="H40" i="8"/>
  <c r="U5" i="8"/>
  <c r="L72" i="8"/>
  <c r="H72" i="8"/>
  <c r="I72" i="8"/>
  <c r="K72" i="8"/>
  <c r="M72" i="8"/>
  <c r="N38" i="8"/>
  <c r="W38" i="8" s="1"/>
  <c r="M38" i="8"/>
  <c r="V38" i="8" s="1"/>
  <c r="L38" i="8"/>
  <c r="U38" i="8" s="1"/>
  <c r="H38" i="8"/>
  <c r="Q38" i="8" s="1"/>
  <c r="N6" i="8"/>
  <c r="W6" i="8" s="1"/>
  <c r="J6" i="8"/>
  <c r="S6" i="8" s="1"/>
  <c r="M6" i="8"/>
  <c r="V6" i="8" s="1"/>
  <c r="K6" i="8"/>
  <c r="T6" i="8" s="1"/>
  <c r="H6" i="8"/>
  <c r="Q6" i="8" s="1"/>
  <c r="L60" i="8"/>
  <c r="U60" i="8" s="1"/>
  <c r="J60" i="8"/>
  <c r="S60" i="8" s="1"/>
  <c r="K60" i="8"/>
  <c r="T60" i="8" s="1"/>
  <c r="H60" i="8"/>
  <c r="Q60" i="8" s="1"/>
  <c r="N75" i="8"/>
  <c r="W75" i="8" s="1"/>
  <c r="J75" i="8"/>
  <c r="S75" i="8" s="1"/>
  <c r="H75" i="8"/>
  <c r="Q75" i="8" s="1"/>
  <c r="K75" i="8"/>
  <c r="T75" i="8" s="1"/>
  <c r="U16" i="8"/>
  <c r="L69" i="8"/>
  <c r="U69" i="8" s="1"/>
  <c r="K69" i="8"/>
  <c r="T69" i="8" s="1"/>
  <c r="J69" i="8"/>
  <c r="S69" i="8" s="1"/>
  <c r="I69" i="8"/>
  <c r="R69" i="8" s="1"/>
  <c r="N69" i="8"/>
  <c r="W69" i="8" s="1"/>
  <c r="H69" i="8"/>
  <c r="Q69" i="8" s="1"/>
  <c r="M69" i="8"/>
  <c r="V69" i="8" s="1"/>
  <c r="D69" i="8"/>
  <c r="M23" i="8"/>
  <c r="N23" i="8"/>
  <c r="J23" i="8"/>
  <c r="H23" i="8"/>
  <c r="L23" i="8"/>
  <c r="N20" i="8"/>
  <c r="H20" i="8"/>
  <c r="P27" i="8"/>
  <c r="P9" i="8"/>
  <c r="W9" i="8" s="1"/>
  <c r="P17" i="8"/>
  <c r="M39" i="8"/>
  <c r="K53" i="8"/>
  <c r="P51" i="8"/>
  <c r="L53" i="8"/>
  <c r="U53" i="8" s="1"/>
  <c r="L9" i="8"/>
  <c r="M53" i="8"/>
  <c r="V53" i="8" s="1"/>
  <c r="P5" i="5"/>
  <c r="R5" i="5" s="1"/>
  <c r="K11" i="8"/>
  <c r="Q4" i="5"/>
  <c r="L11" i="8"/>
  <c r="H14" i="8"/>
  <c r="P20" i="8"/>
  <c r="H30" i="8"/>
  <c r="P35" i="8"/>
  <c r="P42" i="8"/>
  <c r="J57" i="8"/>
  <c r="S57" i="8" s="1"/>
  <c r="P78" i="8"/>
  <c r="P65" i="8"/>
  <c r="M7" i="8"/>
  <c r="V7" i="8" s="1"/>
  <c r="P4" i="5"/>
  <c r="D30" i="8"/>
  <c r="D59" i="8"/>
  <c r="H57" i="8"/>
  <c r="Q57" i="8" s="1"/>
  <c r="Q3" i="5"/>
  <c r="I54" i="8"/>
  <c r="R54" i="8" s="1"/>
  <c r="K57" i="8"/>
  <c r="I59" i="8"/>
  <c r="M2" i="5"/>
  <c r="P6" i="5"/>
  <c r="R6" i="5" s="1"/>
  <c r="J14" i="8"/>
  <c r="J16" i="8"/>
  <c r="S16" i="8" s="1"/>
  <c r="M30" i="8"/>
  <c r="P47" i="8"/>
  <c r="J54" i="8"/>
  <c r="S54" i="8" s="1"/>
  <c r="L57" i="8"/>
  <c r="U57" i="8" s="1"/>
  <c r="J59" i="8"/>
  <c r="P14" i="8"/>
  <c r="W14" i="8" s="1"/>
  <c r="I57" i="8"/>
  <c r="R57" i="8" s="1"/>
  <c r="I14" i="8"/>
  <c r="R14" i="8" s="1"/>
  <c r="I16" i="8"/>
  <c r="R16" i="8" s="1"/>
  <c r="M5" i="5"/>
  <c r="I10" i="8"/>
  <c r="R10" i="8" s="1"/>
  <c r="K14" i="8"/>
  <c r="K54" i="8"/>
  <c r="T54" i="8" s="1"/>
  <c r="M57" i="8"/>
  <c r="V57" i="8" s="1"/>
  <c r="L59" i="8"/>
  <c r="D57" i="8"/>
  <c r="L7" i="8"/>
  <c r="U7" i="8" s="1"/>
  <c r="P8" i="5"/>
  <c r="Q8" i="5"/>
  <c r="D10" i="8"/>
  <c r="L54" i="8"/>
  <c r="U54" i="8" s="1"/>
  <c r="M49" i="8"/>
  <c r="V49" i="8" s="1"/>
  <c r="K49" i="8"/>
  <c r="T49" i="8" s="1"/>
  <c r="D49" i="8"/>
  <c r="N49" i="8"/>
  <c r="W49" i="8" s="1"/>
  <c r="L49" i="8"/>
  <c r="H49" i="8"/>
  <c r="Q49" i="8" s="1"/>
  <c r="J49" i="8"/>
  <c r="S49" i="8" s="1"/>
  <c r="I49" i="8"/>
  <c r="K35" i="8"/>
  <c r="H35" i="8"/>
  <c r="L35" i="8"/>
  <c r="J35" i="8"/>
  <c r="I35" i="8"/>
  <c r="M35" i="8"/>
  <c r="N35" i="8"/>
  <c r="W44" i="8"/>
  <c r="N18" i="8"/>
  <c r="L18" i="8"/>
  <c r="H18" i="8"/>
  <c r="M18" i="8"/>
  <c r="J18" i="8"/>
  <c r="K18" i="8"/>
  <c r="I18" i="8"/>
  <c r="I29" i="8"/>
  <c r="K29" i="8"/>
  <c r="J29" i="8"/>
  <c r="H29" i="8"/>
  <c r="D29" i="8"/>
  <c r="N29" i="8"/>
  <c r="M29" i="8"/>
  <c r="L29" i="8"/>
  <c r="V63" i="8"/>
  <c r="W63" i="8"/>
  <c r="P29" i="8"/>
  <c r="D74" i="8"/>
  <c r="L74" i="8"/>
  <c r="U74" i="8" s="1"/>
  <c r="K74" i="8"/>
  <c r="T74" i="8" s="1"/>
  <c r="J74" i="8"/>
  <c r="S74" i="8" s="1"/>
  <c r="H74" i="8"/>
  <c r="Q74" i="8" s="1"/>
  <c r="M74" i="8"/>
  <c r="V74" i="8" s="1"/>
  <c r="N74" i="8"/>
  <c r="W74" i="8" s="1"/>
  <c r="I74" i="8"/>
  <c r="R74" i="8" s="1"/>
  <c r="E6" i="19"/>
  <c r="F6" i="19" s="1"/>
  <c r="M33" i="8"/>
  <c r="K33" i="8"/>
  <c r="I33" i="8"/>
  <c r="N33" i="8"/>
  <c r="J33" i="8"/>
  <c r="H33" i="8"/>
  <c r="L33" i="8"/>
  <c r="D33" i="8"/>
  <c r="N25" i="8"/>
  <c r="I25" i="8"/>
  <c r="H25" i="8"/>
  <c r="L25" i="8"/>
  <c r="K25" i="8"/>
  <c r="J25" i="8"/>
  <c r="M25" i="8"/>
  <c r="P39" i="8"/>
  <c r="M55" i="8"/>
  <c r="L55" i="8"/>
  <c r="K55" i="8"/>
  <c r="I55" i="8"/>
  <c r="H55" i="8"/>
  <c r="J55" i="8"/>
  <c r="N55" i="8"/>
  <c r="D55" i="8"/>
  <c r="K17" i="8"/>
  <c r="J17" i="8"/>
  <c r="H17" i="8"/>
  <c r="L17" i="8"/>
  <c r="M17" i="8"/>
  <c r="N17" i="8"/>
  <c r="I17" i="8"/>
  <c r="D17" i="8"/>
  <c r="D28" i="8"/>
  <c r="J28" i="8"/>
  <c r="M28" i="8"/>
  <c r="I28" i="8"/>
  <c r="K28" i="8"/>
  <c r="H28" i="8"/>
  <c r="L28" i="8"/>
  <c r="N28" i="8"/>
  <c r="N24" i="8"/>
  <c r="J24" i="8"/>
  <c r="M24" i="8"/>
  <c r="H24" i="8"/>
  <c r="L24" i="8"/>
  <c r="K24" i="8"/>
  <c r="I24" i="8"/>
  <c r="D24" i="8"/>
  <c r="J42" i="8"/>
  <c r="H42" i="8"/>
  <c r="N42" i="8"/>
  <c r="I42" i="8"/>
  <c r="R42" i="8" s="1"/>
  <c r="L42" i="8"/>
  <c r="K42" i="8"/>
  <c r="D42" i="8"/>
  <c r="M42" i="8"/>
  <c r="D25" i="8"/>
  <c r="H78" i="8"/>
  <c r="N78" i="8"/>
  <c r="W78" i="8" s="1"/>
  <c r="L78" i="8"/>
  <c r="I78" i="8"/>
  <c r="R78" i="8" s="1"/>
  <c r="D78" i="8"/>
  <c r="K78" i="8"/>
  <c r="T78" i="8" s="1"/>
  <c r="M78" i="8"/>
  <c r="V78" i="8" s="1"/>
  <c r="J78" i="8"/>
  <c r="S78" i="8" s="1"/>
  <c r="S10" i="8"/>
  <c r="U10" i="8"/>
  <c r="M3" i="8"/>
  <c r="V3" i="8" s="1"/>
  <c r="I3" i="8"/>
  <c r="R3" i="8" s="1"/>
  <c r="J3" i="8"/>
  <c r="S3" i="8" s="1"/>
  <c r="N3" i="8"/>
  <c r="W3" i="8" s="1"/>
  <c r="K3" i="8"/>
  <c r="T3" i="8" s="1"/>
  <c r="L3" i="8"/>
  <c r="U3" i="8" s="1"/>
  <c r="H3" i="8"/>
  <c r="D3" i="8"/>
  <c r="I45" i="8"/>
  <c r="N45" i="8"/>
  <c r="L45" i="8"/>
  <c r="K45" i="8"/>
  <c r="J45" i="8"/>
  <c r="H45" i="8"/>
  <c r="D45" i="8"/>
  <c r="M45" i="8"/>
  <c r="D18" i="8"/>
  <c r="J2" i="8"/>
  <c r="S2" i="8" s="1"/>
  <c r="H2" i="8"/>
  <c r="D2" i="8"/>
  <c r="L2" i="8"/>
  <c r="U2" i="8" s="1"/>
  <c r="M2" i="8"/>
  <c r="V2" i="8" s="1"/>
  <c r="N2" i="8"/>
  <c r="W2" i="8" s="1"/>
  <c r="I2" i="8"/>
  <c r="R2" i="8" s="1"/>
  <c r="K2" i="8"/>
  <c r="T2" i="8" s="1"/>
  <c r="H34" i="8"/>
  <c r="I34" i="8"/>
  <c r="N34" i="8"/>
  <c r="M34" i="8"/>
  <c r="L34" i="8"/>
  <c r="K34" i="8"/>
  <c r="J34" i="8"/>
  <c r="N8" i="8"/>
  <c r="W8" i="8" s="1"/>
  <c r="M8" i="8"/>
  <c r="V8" i="8" s="1"/>
  <c r="I8" i="8"/>
  <c r="L8" i="8"/>
  <c r="U8" i="8" s="1"/>
  <c r="K8" i="8"/>
  <c r="T8" i="8" s="1"/>
  <c r="H8" i="8"/>
  <c r="J8" i="8"/>
  <c r="D8" i="8"/>
  <c r="J26" i="8"/>
  <c r="H26" i="8"/>
  <c r="K26" i="8"/>
  <c r="L26" i="8"/>
  <c r="D26" i="8"/>
  <c r="N26" i="8"/>
  <c r="M26" i="8"/>
  <c r="I26" i="8"/>
  <c r="P59" i="8"/>
  <c r="K15" i="8"/>
  <c r="I15" i="8"/>
  <c r="M15" i="8"/>
  <c r="L15" i="8"/>
  <c r="J15" i="8"/>
  <c r="H15" i="8"/>
  <c r="K16" i="8"/>
  <c r="T16" i="8" s="1"/>
  <c r="H16" i="8"/>
  <c r="D16" i="8"/>
  <c r="P30" i="8"/>
  <c r="P40" i="8"/>
  <c r="N46" i="8"/>
  <c r="W46" i="8" s="1"/>
  <c r="L46" i="8"/>
  <c r="U46" i="8" s="1"/>
  <c r="D46" i="8"/>
  <c r="M46" i="8"/>
  <c r="V46" i="8" s="1"/>
  <c r="K46" i="8"/>
  <c r="T46" i="8" s="1"/>
  <c r="J46" i="8"/>
  <c r="H46" i="8"/>
  <c r="I46" i="8"/>
  <c r="R46" i="8" s="1"/>
  <c r="L73" i="8"/>
  <c r="U73" i="8" s="1"/>
  <c r="J73" i="8"/>
  <c r="S73" i="8" s="1"/>
  <c r="N73" i="8"/>
  <c r="W73" i="8" s="1"/>
  <c r="I73" i="8"/>
  <c r="R73" i="8" s="1"/>
  <c r="M73" i="8"/>
  <c r="V73" i="8" s="1"/>
  <c r="K73" i="8"/>
  <c r="T73" i="8" s="1"/>
  <c r="H73" i="8"/>
  <c r="D15" i="8"/>
  <c r="N52" i="8"/>
  <c r="M52" i="8"/>
  <c r="V52" i="8" s="1"/>
  <c r="L52" i="8"/>
  <c r="U52" i="8" s="1"/>
  <c r="J52" i="8"/>
  <c r="K52" i="8"/>
  <c r="I52" i="8"/>
  <c r="M59" i="8"/>
  <c r="H59" i="8"/>
  <c r="K59" i="8"/>
  <c r="D73" i="8"/>
  <c r="N76" i="8"/>
  <c r="W76" i="8" s="1"/>
  <c r="D76" i="8"/>
  <c r="K76" i="8"/>
  <c r="T76" i="8" s="1"/>
  <c r="J76" i="8"/>
  <c r="I76" i="8"/>
  <c r="R76" i="8" s="1"/>
  <c r="H76" i="8"/>
  <c r="T41" i="8"/>
  <c r="N68" i="8"/>
  <c r="M68" i="8"/>
  <c r="L68" i="8"/>
  <c r="J68" i="8"/>
  <c r="D68" i="8"/>
  <c r="I68" i="8"/>
  <c r="P23" i="8"/>
  <c r="P4" i="8"/>
  <c r="D5" i="8"/>
  <c r="M16" i="8"/>
  <c r="V16" i="8" s="1"/>
  <c r="P21" i="8"/>
  <c r="D22" i="8"/>
  <c r="J22" i="8"/>
  <c r="S22" i="8" s="1"/>
  <c r="M22" i="8"/>
  <c r="V22" i="8" s="1"/>
  <c r="L22" i="8"/>
  <c r="U22" i="8" s="1"/>
  <c r="K22" i="8"/>
  <c r="T22" i="8" s="1"/>
  <c r="N22" i="8"/>
  <c r="W22" i="8" s="1"/>
  <c r="P33" i="8"/>
  <c r="P43" i="8"/>
  <c r="P55" i="8"/>
  <c r="I51" i="8"/>
  <c r="H51" i="8"/>
  <c r="Q51" i="8" s="1"/>
  <c r="D51" i="8"/>
  <c r="N51" i="8"/>
  <c r="J51" i="8"/>
  <c r="L51" i="8"/>
  <c r="U51" i="8" s="1"/>
  <c r="M51" i="8"/>
  <c r="J48" i="8"/>
  <c r="S48" i="8" s="1"/>
  <c r="H48" i="8"/>
  <c r="M48" i="8"/>
  <c r="V48" i="8" s="1"/>
  <c r="L48" i="8"/>
  <c r="U48" i="8" s="1"/>
  <c r="K48" i="8"/>
  <c r="T48" i="8" s="1"/>
  <c r="N48" i="8"/>
  <c r="W48" i="8" s="1"/>
  <c r="I48" i="8"/>
  <c r="R48" i="8" s="1"/>
  <c r="L58" i="8"/>
  <c r="K58" i="8"/>
  <c r="J58" i="8"/>
  <c r="H58" i="8"/>
  <c r="N58" i="8"/>
  <c r="D58" i="8"/>
  <c r="D9" i="8"/>
  <c r="M9" i="8"/>
  <c r="V9" i="8" s="1"/>
  <c r="H9" i="8"/>
  <c r="H68" i="8"/>
  <c r="P34" i="8"/>
  <c r="M43" i="8"/>
  <c r="H43" i="8"/>
  <c r="K43" i="8"/>
  <c r="N43" i="8"/>
  <c r="L43" i="8"/>
  <c r="P3" i="5"/>
  <c r="W13" i="8"/>
  <c r="N16" i="8"/>
  <c r="W16" i="8" s="1"/>
  <c r="H32" i="8"/>
  <c r="Q32" i="8" s="1"/>
  <c r="I32" i="8"/>
  <c r="R32" i="8" s="1"/>
  <c r="D32" i="8"/>
  <c r="N32" i="8"/>
  <c r="W32" i="8" s="1"/>
  <c r="K77" i="8"/>
  <c r="T77" i="8" s="1"/>
  <c r="J77" i="8"/>
  <c r="S77" i="8" s="1"/>
  <c r="I77" i="8"/>
  <c r="R77" i="8" s="1"/>
  <c r="N77" i="8"/>
  <c r="W77" i="8" s="1"/>
  <c r="L77" i="8"/>
  <c r="U77" i="8" s="1"/>
  <c r="H77" i="8"/>
  <c r="Q77" i="8" s="1"/>
  <c r="H4" i="8"/>
  <c r="M4" i="5"/>
  <c r="S13" i="8"/>
  <c r="H22" i="8"/>
  <c r="Q2" i="8"/>
  <c r="P11" i="8"/>
  <c r="T13" i="8"/>
  <c r="I22" i="8"/>
  <c r="R22" i="8" s="1"/>
  <c r="P31" i="8"/>
  <c r="J32" i="8"/>
  <c r="S32" i="8" s="1"/>
  <c r="K51" i="8"/>
  <c r="I58" i="8"/>
  <c r="Q65" i="8"/>
  <c r="K5" i="8"/>
  <c r="T5" i="8" s="1"/>
  <c r="I5" i="8"/>
  <c r="R5" i="8" s="1"/>
  <c r="H5" i="8"/>
  <c r="D43" i="8"/>
  <c r="P45" i="8"/>
  <c r="M11" i="8"/>
  <c r="N11" i="8"/>
  <c r="J11" i="8"/>
  <c r="I43" i="8"/>
  <c r="J5" i="8"/>
  <c r="S5" i="8" s="1"/>
  <c r="D11" i="8"/>
  <c r="J53" i="8"/>
  <c r="H53" i="8"/>
  <c r="Q53" i="8" s="1"/>
  <c r="I53" i="8"/>
  <c r="N53" i="8"/>
  <c r="M5" i="8"/>
  <c r="V5" i="8" s="1"/>
  <c r="I9" i="8"/>
  <c r="R9" i="8" s="1"/>
  <c r="P28" i="8"/>
  <c r="K32" i="8"/>
  <c r="T32" i="8" s="1"/>
  <c r="M58" i="8"/>
  <c r="D60" i="8"/>
  <c r="N60" i="8"/>
  <c r="W60" i="8" s="1"/>
  <c r="M60" i="8"/>
  <c r="V60" i="8" s="1"/>
  <c r="I60" i="8"/>
  <c r="R60" i="8" s="1"/>
  <c r="J4" i="8"/>
  <c r="D4" i="8"/>
  <c r="L4" i="8"/>
  <c r="N4" i="8"/>
  <c r="K4" i="8"/>
  <c r="M4" i="8"/>
  <c r="I7" i="8"/>
  <c r="R7" i="8" s="1"/>
  <c r="H7" i="8"/>
  <c r="Q7" i="8" s="1"/>
  <c r="N7" i="8"/>
  <c r="W7" i="8" s="1"/>
  <c r="M31" i="8"/>
  <c r="L31" i="8"/>
  <c r="K31" i="8"/>
  <c r="D31" i="8"/>
  <c r="J43" i="8"/>
  <c r="P7" i="5"/>
  <c r="R7" i="5" s="1"/>
  <c r="N5" i="8"/>
  <c r="W5" i="8" s="1"/>
  <c r="J7" i="8"/>
  <c r="S7" i="8" s="1"/>
  <c r="J9" i="8"/>
  <c r="S9" i="8" s="1"/>
  <c r="L14" i="8"/>
  <c r="M14" i="8"/>
  <c r="N30" i="8"/>
  <c r="L30" i="8"/>
  <c r="I30" i="8"/>
  <c r="K30" i="8"/>
  <c r="L32" i="8"/>
  <c r="U32" i="8" s="1"/>
  <c r="D50" i="8"/>
  <c r="K50" i="8"/>
  <c r="I50" i="8"/>
  <c r="N50" i="8"/>
  <c r="J50" i="8"/>
  <c r="M50" i="8"/>
  <c r="H50" i="8"/>
  <c r="L50" i="8"/>
  <c r="N56" i="8"/>
  <c r="I56" i="8"/>
  <c r="M56" i="8"/>
  <c r="H56" i="8"/>
  <c r="M77" i="8"/>
  <c r="V77" i="8" s="1"/>
  <c r="Q2" i="5"/>
  <c r="P2" i="5"/>
  <c r="K61" i="8"/>
  <c r="T61" i="8" s="1"/>
  <c r="J61" i="8"/>
  <c r="S61" i="8" s="1"/>
  <c r="I61" i="8"/>
  <c r="R61" i="8" s="1"/>
  <c r="N61" i="8"/>
  <c r="W61" i="8" s="1"/>
  <c r="L61" i="8"/>
  <c r="U61" i="8" s="1"/>
  <c r="M61" i="8"/>
  <c r="V61" i="8" s="1"/>
  <c r="H61" i="8"/>
  <c r="M47" i="8"/>
  <c r="V47" i="8" s="1"/>
  <c r="K47" i="8"/>
  <c r="T47" i="8" s="1"/>
  <c r="H47" i="8"/>
  <c r="Q47" i="8" s="1"/>
  <c r="N47" i="8"/>
  <c r="W47" i="8" s="1"/>
  <c r="L47" i="8"/>
  <c r="U47" i="8" s="1"/>
  <c r="I47" i="8"/>
  <c r="R47" i="8" s="1"/>
  <c r="J47" i="8"/>
  <c r="S47" i="8" s="1"/>
  <c r="N65" i="8"/>
  <c r="W65" i="8" s="1"/>
  <c r="M65" i="8"/>
  <c r="V65" i="8" s="1"/>
  <c r="K65" i="8"/>
  <c r="T65" i="8" s="1"/>
  <c r="L65" i="8"/>
  <c r="U65" i="8" s="1"/>
  <c r="J65" i="8"/>
  <c r="S65" i="8" s="1"/>
  <c r="D65" i="8"/>
  <c r="K68" i="8"/>
  <c r="N41" i="8"/>
  <c r="W41" i="8" s="1"/>
  <c r="D41" i="8"/>
  <c r="M41" i="8"/>
  <c r="M3" i="5"/>
  <c r="K7" i="8"/>
  <c r="T7" i="8" s="1"/>
  <c r="K9" i="8"/>
  <c r="T9" i="8" s="1"/>
  <c r="H11" i="8"/>
  <c r="M13" i="8"/>
  <c r="I13" i="8"/>
  <c r="D13" i="8"/>
  <c r="D14" i="8"/>
  <c r="H31" i="8"/>
  <c r="M32" i="8"/>
  <c r="V32" i="8" s="1"/>
  <c r="L36" i="8"/>
  <c r="U36" i="8" s="1"/>
  <c r="J36" i="8"/>
  <c r="S36" i="8" s="1"/>
  <c r="I36" i="8"/>
  <c r="H36" i="8"/>
  <c r="M36" i="8"/>
  <c r="V36" i="8" s="1"/>
  <c r="K36" i="8"/>
  <c r="N37" i="8"/>
  <c r="L37" i="8"/>
  <c r="U37" i="8" s="1"/>
  <c r="I37" i="8"/>
  <c r="D37" i="8"/>
  <c r="N40" i="8"/>
  <c r="M40" i="8"/>
  <c r="L40" i="8"/>
  <c r="K40" i="8"/>
  <c r="D40" i="8"/>
  <c r="H41" i="8"/>
  <c r="Q41" i="8" s="1"/>
  <c r="P50" i="8"/>
  <c r="J64" i="8"/>
  <c r="S64" i="8" s="1"/>
  <c r="I64" i="8"/>
  <c r="R64" i="8" s="1"/>
  <c r="H64" i="8"/>
  <c r="Q64" i="8" s="1"/>
  <c r="N64" i="8"/>
  <c r="W64" i="8" s="1"/>
  <c r="L64" i="8"/>
  <c r="U64" i="8" s="1"/>
  <c r="M64" i="8"/>
  <c r="V64" i="8" s="1"/>
  <c r="I65" i="8"/>
  <c r="R65" i="8" s="1"/>
  <c r="S76" i="8"/>
  <c r="R41" i="8"/>
  <c r="L4" i="20"/>
  <c r="L11" i="20" s="1"/>
  <c r="M8" i="5"/>
  <c r="P68" i="8"/>
  <c r="P72" i="8"/>
  <c r="U41" i="8"/>
  <c r="M7" i="5"/>
  <c r="J20" i="8"/>
  <c r="L20" i="8"/>
  <c r="M20" i="8"/>
  <c r="K20" i="8"/>
  <c r="I20" i="8"/>
  <c r="P26" i="8"/>
  <c r="D38" i="8"/>
  <c r="K38" i="8"/>
  <c r="T38" i="8" s="1"/>
  <c r="J38" i="8"/>
  <c r="S38" i="8" s="1"/>
  <c r="I38" i="8"/>
  <c r="R38" i="8" s="1"/>
  <c r="W57" i="8"/>
  <c r="H70" i="8"/>
  <c r="Q70" i="8" s="1"/>
  <c r="D70" i="8"/>
  <c r="K70" i="8"/>
  <c r="T70" i="8" s="1"/>
  <c r="I70" i="8"/>
  <c r="R70" i="8" s="1"/>
  <c r="L70" i="8"/>
  <c r="U70" i="8" s="1"/>
  <c r="J70" i="8"/>
  <c r="S70" i="8" s="1"/>
  <c r="M6" i="5"/>
  <c r="D6" i="8"/>
  <c r="L6" i="8"/>
  <c r="U6" i="8" s="1"/>
  <c r="I6" i="8"/>
  <c r="R6" i="8" s="1"/>
  <c r="H10" i="8"/>
  <c r="M10" i="8"/>
  <c r="K10" i="8"/>
  <c r="D20" i="8"/>
  <c r="K39" i="8"/>
  <c r="I39" i="8"/>
  <c r="L39" i="8"/>
  <c r="N62" i="8"/>
  <c r="L62" i="8"/>
  <c r="P18" i="8"/>
  <c r="K19" i="8"/>
  <c r="T19" i="8" s="1"/>
  <c r="P24" i="8"/>
  <c r="P56" i="8"/>
  <c r="I75" i="8"/>
  <c r="R75" i="8" s="1"/>
  <c r="M75" i="8"/>
  <c r="V75" i="8" s="1"/>
  <c r="D75" i="8"/>
  <c r="N19" i="8"/>
  <c r="W19" i="8" s="1"/>
  <c r="W54" i="8"/>
  <c r="V54" i="8"/>
  <c r="M71" i="8"/>
  <c r="V71" i="8" s="1"/>
  <c r="L71" i="8"/>
  <c r="U71" i="8" s="1"/>
  <c r="K71" i="8"/>
  <c r="T71" i="8" s="1"/>
  <c r="I71" i="8"/>
  <c r="R71" i="8" s="1"/>
  <c r="D71" i="8"/>
  <c r="L75" i="8"/>
  <c r="U75" i="8" s="1"/>
  <c r="K23" i="8"/>
  <c r="I23" i="8"/>
  <c r="H54" i="8"/>
  <c r="D54" i="8"/>
  <c r="I67" i="8"/>
  <c r="R67" i="8" s="1"/>
  <c r="H67" i="8"/>
  <c r="M67" i="8"/>
  <c r="V67" i="8" s="1"/>
  <c r="K67" i="8"/>
  <c r="T67" i="8" s="1"/>
  <c r="J72" i="8"/>
  <c r="N72" i="8"/>
  <c r="D23" i="8"/>
  <c r="I27" i="8"/>
  <c r="P58" i="8"/>
  <c r="D67" i="8"/>
  <c r="D72" i="8"/>
  <c r="P62" i="8"/>
  <c r="R36" i="8" l="1"/>
  <c r="U13" i="8"/>
  <c r="R51" i="8"/>
  <c r="S46" i="8"/>
  <c r="R8" i="8"/>
  <c r="R63" i="8"/>
  <c r="U49" i="8"/>
  <c r="R13" i="8"/>
  <c r="T53" i="8"/>
  <c r="U63" i="8"/>
  <c r="V13" i="8"/>
  <c r="X13" i="8" s="1"/>
  <c r="W52" i="8"/>
  <c r="V14" i="8"/>
  <c r="W53" i="8"/>
  <c r="Q37" i="8"/>
  <c r="X37" i="8" s="1"/>
  <c r="R66" i="8"/>
  <c r="S66" i="8"/>
  <c r="T10" i="8"/>
  <c r="V10" i="8"/>
  <c r="R37" i="8"/>
  <c r="R53" i="8"/>
  <c r="T51" i="8"/>
  <c r="V51" i="8"/>
  <c r="T37" i="8"/>
  <c r="T63" i="8"/>
  <c r="W37" i="8"/>
  <c r="S53" i="8"/>
  <c r="X53" i="8" s="1"/>
  <c r="S51" i="8"/>
  <c r="S8" i="8"/>
  <c r="X8" i="8" s="1"/>
  <c r="T35" i="8"/>
  <c r="T66" i="8"/>
  <c r="V37" i="8"/>
  <c r="T36" i="8"/>
  <c r="V41" i="8"/>
  <c r="W51" i="8"/>
  <c r="Q8" i="8"/>
  <c r="R49" i="8"/>
  <c r="W10" i="8"/>
  <c r="Q63" i="8"/>
  <c r="S25" i="8"/>
  <c r="S15" i="8"/>
  <c r="T25" i="8"/>
  <c r="S44" i="8"/>
  <c r="U15" i="8"/>
  <c r="U78" i="8"/>
  <c r="U25" i="8"/>
  <c r="T44" i="8"/>
  <c r="Q25" i="8"/>
  <c r="X25" i="8" s="1"/>
  <c r="U44" i="8"/>
  <c r="V15" i="8"/>
  <c r="R15" i="8"/>
  <c r="R25" i="8"/>
  <c r="U35" i="8"/>
  <c r="R44" i="8"/>
  <c r="V25" i="8"/>
  <c r="T15" i="8"/>
  <c r="W25" i="8"/>
  <c r="U66" i="8"/>
  <c r="V44" i="8"/>
  <c r="V66" i="8"/>
  <c r="Q66" i="8"/>
  <c r="T52" i="8"/>
  <c r="S52" i="8"/>
  <c r="W66" i="8"/>
  <c r="T14" i="8"/>
  <c r="S6" i="5"/>
  <c r="O3" i="8"/>
  <c r="R2" i="5"/>
  <c r="S2" i="5" s="1"/>
  <c r="S27" i="8"/>
  <c r="O20" i="8"/>
  <c r="O11" i="8"/>
  <c r="O66" i="8"/>
  <c r="X6" i="8"/>
  <c r="Y6" i="8" s="1"/>
  <c r="O12" i="8"/>
  <c r="O71" i="8"/>
  <c r="U42" i="8"/>
  <c r="S17" i="8"/>
  <c r="R20" i="8"/>
  <c r="O27" i="8"/>
  <c r="Q3" i="8"/>
  <c r="X3" i="8" s="1"/>
  <c r="O76" i="8"/>
  <c r="O14" i="8"/>
  <c r="O60" i="8"/>
  <c r="O39" i="8"/>
  <c r="O52" i="8"/>
  <c r="X12" i="8"/>
  <c r="Z12" i="8" s="1"/>
  <c r="S5" i="5"/>
  <c r="O56" i="8"/>
  <c r="O29" i="8"/>
  <c r="O69" i="8"/>
  <c r="O22" i="8"/>
  <c r="U27" i="8"/>
  <c r="O44" i="8"/>
  <c r="W17" i="8"/>
  <c r="O6" i="8"/>
  <c r="W42" i="8"/>
  <c r="O62" i="8"/>
  <c r="X2" i="8"/>
  <c r="Z2" i="8" s="1"/>
  <c r="W27" i="8"/>
  <c r="S42" i="8"/>
  <c r="V20" i="8"/>
  <c r="Q76" i="8"/>
  <c r="X76" i="8" s="1"/>
  <c r="T27" i="8"/>
  <c r="O15" i="8"/>
  <c r="W35" i="8"/>
  <c r="R4" i="5"/>
  <c r="S4" i="5" s="1"/>
  <c r="O21" i="8"/>
  <c r="O72" i="8"/>
  <c r="Q27" i="8"/>
  <c r="U20" i="8"/>
  <c r="V27" i="8"/>
  <c r="V17" i="8"/>
  <c r="T20" i="8"/>
  <c r="U17" i="8"/>
  <c r="W20" i="8"/>
  <c r="O40" i="8"/>
  <c r="V35" i="8"/>
  <c r="O30" i="8"/>
  <c r="Q42" i="8"/>
  <c r="X60" i="8"/>
  <c r="Z60" i="8" s="1"/>
  <c r="R27" i="8"/>
  <c r="O23" i="8"/>
  <c r="O31" i="8"/>
  <c r="S20" i="8"/>
  <c r="Q14" i="8"/>
  <c r="S14" i="8"/>
  <c r="U9" i="8"/>
  <c r="O43" i="8"/>
  <c r="U14" i="8"/>
  <c r="T17" i="8"/>
  <c r="R35" i="8"/>
  <c r="O57" i="8"/>
  <c r="R17" i="8"/>
  <c r="Q20" i="8"/>
  <c r="T42" i="8"/>
  <c r="R3" i="5"/>
  <c r="S3" i="5" s="1"/>
  <c r="O75" i="8"/>
  <c r="T57" i="8"/>
  <c r="X57" i="8" s="1"/>
  <c r="O61" i="8"/>
  <c r="Q15" i="8"/>
  <c r="O13" i="8"/>
  <c r="V42" i="8"/>
  <c r="S35" i="8"/>
  <c r="R8" i="5"/>
  <c r="S8" i="5" s="1"/>
  <c r="X70" i="8"/>
  <c r="X64" i="8"/>
  <c r="X32" i="8"/>
  <c r="O24" i="8"/>
  <c r="O33" i="8"/>
  <c r="R52" i="8"/>
  <c r="O17" i="8"/>
  <c r="X41" i="8"/>
  <c r="O36" i="8"/>
  <c r="O68" i="8"/>
  <c r="O48" i="8"/>
  <c r="Q48" i="8"/>
  <c r="X48" i="8" s="1"/>
  <c r="O8" i="8"/>
  <c r="X49" i="8"/>
  <c r="W29" i="8"/>
  <c r="R29" i="8"/>
  <c r="V29" i="8"/>
  <c r="S29" i="8"/>
  <c r="U29" i="8"/>
  <c r="T29" i="8"/>
  <c r="Q29" i="8"/>
  <c r="O35" i="8"/>
  <c r="V39" i="8"/>
  <c r="U39" i="8"/>
  <c r="T39" i="8"/>
  <c r="Q39" i="8"/>
  <c r="S39" i="8"/>
  <c r="R39" i="8"/>
  <c r="W39" i="8"/>
  <c r="X63" i="8"/>
  <c r="O49" i="8"/>
  <c r="O55" i="8"/>
  <c r="X65" i="8"/>
  <c r="Q21" i="8"/>
  <c r="T21" i="8"/>
  <c r="V21" i="8"/>
  <c r="U21" i="8"/>
  <c r="S21" i="8"/>
  <c r="W21" i="8"/>
  <c r="R21" i="8"/>
  <c r="O59" i="8"/>
  <c r="R34" i="8"/>
  <c r="U34" i="8"/>
  <c r="Q34" i="8"/>
  <c r="T34" i="8"/>
  <c r="W34" i="8"/>
  <c r="S34" i="8"/>
  <c r="V34" i="8"/>
  <c r="X47" i="8"/>
  <c r="Q17" i="8"/>
  <c r="V68" i="8"/>
  <c r="U68" i="8"/>
  <c r="T68" i="8"/>
  <c r="S68" i="8"/>
  <c r="W68" i="8"/>
  <c r="R68" i="8"/>
  <c r="Q68" i="8"/>
  <c r="U62" i="8"/>
  <c r="R62" i="8"/>
  <c r="T62" i="8"/>
  <c r="W62" i="8"/>
  <c r="V62" i="8"/>
  <c r="Q62" i="8"/>
  <c r="S62" i="8"/>
  <c r="W45" i="8"/>
  <c r="T45" i="8"/>
  <c r="S45" i="8"/>
  <c r="Q45" i="8"/>
  <c r="V45" i="8"/>
  <c r="R45" i="8"/>
  <c r="U45" i="8"/>
  <c r="T28" i="8"/>
  <c r="R28" i="8"/>
  <c r="U28" i="8"/>
  <c r="S28" i="8"/>
  <c r="Q28" i="8"/>
  <c r="W28" i="8"/>
  <c r="V28" i="8"/>
  <c r="O18" i="8"/>
  <c r="O53" i="8"/>
  <c r="O5" i="8"/>
  <c r="Q5" i="8"/>
  <c r="X5" i="8" s="1"/>
  <c r="O77" i="8"/>
  <c r="O58" i="8"/>
  <c r="O51" i="8"/>
  <c r="O78" i="8"/>
  <c r="Q78" i="8"/>
  <c r="O42" i="8"/>
  <c r="O25" i="8"/>
  <c r="O26" i="8"/>
  <c r="O70" i="8"/>
  <c r="X77" i="8"/>
  <c r="X74" i="8"/>
  <c r="R72" i="8"/>
  <c r="Q72" i="8"/>
  <c r="U72" i="8"/>
  <c r="S72" i="8"/>
  <c r="T72" i="8"/>
  <c r="W72" i="8"/>
  <c r="V72" i="8"/>
  <c r="R33" i="8"/>
  <c r="Q33" i="8"/>
  <c r="U33" i="8"/>
  <c r="T33" i="8"/>
  <c r="S33" i="8"/>
  <c r="W33" i="8"/>
  <c r="V33" i="8"/>
  <c r="E11" i="19"/>
  <c r="F11" i="19" s="1"/>
  <c r="O10" i="8"/>
  <c r="S31" i="8"/>
  <c r="Q31" i="8"/>
  <c r="R31" i="8"/>
  <c r="W31" i="8"/>
  <c r="V31" i="8"/>
  <c r="U31" i="8"/>
  <c r="T31" i="8"/>
  <c r="O73" i="8"/>
  <c r="R56" i="8"/>
  <c r="Q56" i="8"/>
  <c r="S56" i="8"/>
  <c r="W56" i="8"/>
  <c r="V56" i="8"/>
  <c r="U56" i="8"/>
  <c r="T56" i="8"/>
  <c r="O38" i="8"/>
  <c r="O67" i="8"/>
  <c r="S23" i="8"/>
  <c r="W23" i="8"/>
  <c r="V23" i="8"/>
  <c r="U23" i="8"/>
  <c r="R23" i="8"/>
  <c r="Q23" i="8"/>
  <c r="T23" i="8"/>
  <c r="X7" i="8"/>
  <c r="O64" i="8"/>
  <c r="X51" i="8"/>
  <c r="O16" i="8"/>
  <c r="O19" i="8"/>
  <c r="O65" i="8"/>
  <c r="T50" i="8"/>
  <c r="S50" i="8"/>
  <c r="R50" i="8"/>
  <c r="W50" i="8"/>
  <c r="V50" i="8"/>
  <c r="Q50" i="8"/>
  <c r="U50" i="8"/>
  <c r="O32" i="8"/>
  <c r="X69" i="8"/>
  <c r="X38" i="8"/>
  <c r="O41" i="8"/>
  <c r="Q9" i="8"/>
  <c r="O9" i="8"/>
  <c r="Q36" i="8"/>
  <c r="X36" i="8" s="1"/>
  <c r="X75" i="8"/>
  <c r="O45" i="8"/>
  <c r="O2" i="8"/>
  <c r="O4" i="8"/>
  <c r="V18" i="8"/>
  <c r="R18" i="8"/>
  <c r="W18" i="8"/>
  <c r="S18" i="8"/>
  <c r="U18" i="8"/>
  <c r="T18" i="8"/>
  <c r="Q18" i="8"/>
  <c r="S7" i="5"/>
  <c r="O50" i="8"/>
  <c r="Q16" i="8"/>
  <c r="X16" i="8" s="1"/>
  <c r="T11" i="8"/>
  <c r="R11" i="8"/>
  <c r="S11" i="8"/>
  <c r="Q11" i="8"/>
  <c r="W11" i="8"/>
  <c r="U11" i="8"/>
  <c r="V11" i="8"/>
  <c r="Q67" i="8"/>
  <c r="X67" i="8" s="1"/>
  <c r="V40" i="8"/>
  <c r="T40" i="8"/>
  <c r="W40" i="8"/>
  <c r="U40" i="8"/>
  <c r="S40" i="8"/>
  <c r="R40" i="8"/>
  <c r="Q40" i="8"/>
  <c r="Q35" i="8"/>
  <c r="Q54" i="8"/>
  <c r="X54" i="8" s="1"/>
  <c r="O54" i="8"/>
  <c r="U58" i="8"/>
  <c r="R58" i="8"/>
  <c r="W58" i="8"/>
  <c r="V58" i="8"/>
  <c r="S58" i="8"/>
  <c r="T58" i="8"/>
  <c r="Q58" i="8"/>
  <c r="U43" i="8"/>
  <c r="R43" i="8"/>
  <c r="S43" i="8"/>
  <c r="Q43" i="8"/>
  <c r="W43" i="8"/>
  <c r="V43" i="8"/>
  <c r="T43" i="8"/>
  <c r="O34" i="8"/>
  <c r="Q61" i="8"/>
  <c r="X61" i="8" s="1"/>
  <c r="O7" i="8"/>
  <c r="U4" i="8"/>
  <c r="S4" i="8"/>
  <c r="V4" i="8"/>
  <c r="T4" i="8"/>
  <c r="R4" i="8"/>
  <c r="Q4" i="8"/>
  <c r="W4" i="8"/>
  <c r="Q22" i="8"/>
  <c r="X22" i="8" s="1"/>
  <c r="O46" i="8"/>
  <c r="Q46" i="8"/>
  <c r="X46" i="8" s="1"/>
  <c r="R26" i="8"/>
  <c r="Q26" i="8"/>
  <c r="W26" i="8"/>
  <c r="V26" i="8"/>
  <c r="U26" i="8"/>
  <c r="T26" i="8"/>
  <c r="S26" i="8"/>
  <c r="O28" i="8"/>
  <c r="Q59" i="8"/>
  <c r="W59" i="8"/>
  <c r="V59" i="8"/>
  <c r="R59" i="8"/>
  <c r="T59" i="8"/>
  <c r="U59" i="8"/>
  <c r="S59" i="8"/>
  <c r="Q24" i="8"/>
  <c r="W24" i="8"/>
  <c r="V24" i="8"/>
  <c r="U24" i="8"/>
  <c r="T24" i="8"/>
  <c r="S24" i="8"/>
  <c r="R24" i="8"/>
  <c r="O47" i="8"/>
  <c r="X19" i="8"/>
  <c r="X71" i="8"/>
  <c r="R55" i="8"/>
  <c r="W55" i="8"/>
  <c r="V55" i="8"/>
  <c r="U55" i="8"/>
  <c r="Q55" i="8"/>
  <c r="T55" i="8"/>
  <c r="S55" i="8"/>
  <c r="V30" i="8"/>
  <c r="U30" i="8"/>
  <c r="T30" i="8"/>
  <c r="W30" i="8"/>
  <c r="S30" i="8"/>
  <c r="R30" i="8"/>
  <c r="Q30" i="8"/>
  <c r="Q10" i="8"/>
  <c r="X10" i="8" s="1"/>
  <c r="O37" i="8"/>
  <c r="Q73" i="8"/>
  <c r="X73" i="8" s="1"/>
  <c r="O74" i="8"/>
  <c r="X66" i="8" l="1"/>
  <c r="X52" i="8"/>
  <c r="X44" i="8"/>
  <c r="Z44" i="8" s="1"/>
  <c r="X15" i="8"/>
  <c r="X78" i="8"/>
  <c r="X9" i="8"/>
  <c r="Z6" i="8"/>
  <c r="AA6" i="8" s="1"/>
  <c r="X35" i="8"/>
  <c r="X20" i="8"/>
  <c r="Z20" i="8" s="1"/>
  <c r="X14" i="8"/>
  <c r="X42" i="8"/>
  <c r="Z42" i="8" s="1"/>
  <c r="X17" i="8"/>
  <c r="Z17" i="8" s="1"/>
  <c r="Y12" i="8"/>
  <c r="AA12" i="8" s="1"/>
  <c r="X27" i="8"/>
  <c r="Y27" i="8" s="1"/>
  <c r="X62" i="8"/>
  <c r="Y62" i="8" s="1"/>
  <c r="E7" i="19"/>
  <c r="F7" i="19" s="1"/>
  <c r="X29" i="8"/>
  <c r="Y29" i="8" s="1"/>
  <c r="X18" i="8"/>
  <c r="Y18" i="8" s="1"/>
  <c r="X34" i="8"/>
  <c r="Y34" i="8" s="1"/>
  <c r="X23" i="8"/>
  <c r="Y23" i="8" s="1"/>
  <c r="X68" i="8"/>
  <c r="Z68" i="8" s="1"/>
  <c r="Y2" i="8"/>
  <c r="AA2" i="8" s="1"/>
  <c r="Y60" i="8"/>
  <c r="AA60" i="8" s="1"/>
  <c r="Z15" i="8"/>
  <c r="Y15" i="8"/>
  <c r="AA15" i="8" s="1"/>
  <c r="Y22" i="8"/>
  <c r="Z22" i="8"/>
  <c r="Y10" i="8"/>
  <c r="Z10" i="8"/>
  <c r="Y71" i="8"/>
  <c r="Z71" i="8"/>
  <c r="Z69" i="8"/>
  <c r="Y69" i="8"/>
  <c r="Y7" i="8"/>
  <c r="Z7" i="8"/>
  <c r="X21" i="8"/>
  <c r="X30" i="8"/>
  <c r="Y19" i="8"/>
  <c r="Z19" i="8"/>
  <c r="X59" i="8"/>
  <c r="X4" i="8"/>
  <c r="X58" i="8"/>
  <c r="Z53" i="8"/>
  <c r="Y53" i="8"/>
  <c r="X56" i="8"/>
  <c r="X28" i="8"/>
  <c r="Y65" i="8"/>
  <c r="Z65" i="8"/>
  <c r="X33" i="8"/>
  <c r="Y44" i="8"/>
  <c r="Y41" i="8"/>
  <c r="Z41" i="8"/>
  <c r="Z64" i="8"/>
  <c r="Y64" i="8"/>
  <c r="Z57" i="8"/>
  <c r="Y57" i="8"/>
  <c r="X50" i="8"/>
  <c r="Z70" i="8"/>
  <c r="Y70" i="8"/>
  <c r="Z14" i="8"/>
  <c r="Y14" i="8"/>
  <c r="AA14" i="8" s="1"/>
  <c r="Y3" i="8"/>
  <c r="Z3" i="8"/>
  <c r="Y32" i="8"/>
  <c r="Z32" i="8"/>
  <c r="Y73" i="8"/>
  <c r="Z73" i="8"/>
  <c r="Y67" i="8"/>
  <c r="Z67" i="8"/>
  <c r="Y76" i="8"/>
  <c r="Z76" i="8"/>
  <c r="Z52" i="8"/>
  <c r="Y52" i="8"/>
  <c r="AA52" i="8" s="1"/>
  <c r="Z78" i="8"/>
  <c r="Y78" i="8"/>
  <c r="AA78" i="8" s="1"/>
  <c r="X26" i="8"/>
  <c r="X55" i="8"/>
  <c r="Z35" i="8"/>
  <c r="Y35" i="8"/>
  <c r="AA35" i="8" s="1"/>
  <c r="Z36" i="8"/>
  <c r="Y36" i="8"/>
  <c r="Z8" i="8"/>
  <c r="Y8" i="8"/>
  <c r="Z48" i="8"/>
  <c r="Y48" i="8"/>
  <c r="Z38" i="8"/>
  <c r="Y38" i="8"/>
  <c r="AA38" i="8" s="1"/>
  <c r="Z63" i="8"/>
  <c r="Y63" i="8"/>
  <c r="X11" i="8"/>
  <c r="Z74" i="8"/>
  <c r="Y74" i="8"/>
  <c r="Z49" i="8"/>
  <c r="Y49" i="8"/>
  <c r="Z37" i="8"/>
  <c r="Y37" i="8"/>
  <c r="Y66" i="8"/>
  <c r="Z66" i="8"/>
  <c r="Z61" i="8"/>
  <c r="Y61" i="8"/>
  <c r="AA61" i="8" s="1"/>
  <c r="Z13" i="8"/>
  <c r="Y13" i="8"/>
  <c r="Y75" i="8"/>
  <c r="Z75" i="8"/>
  <c r="X31" i="8"/>
  <c r="X45" i="8"/>
  <c r="X24" i="8"/>
  <c r="Y54" i="8"/>
  <c r="Z54" i="8"/>
  <c r="X72" i="8"/>
  <c r="Z5" i="8"/>
  <c r="Y5" i="8"/>
  <c r="Y46" i="8"/>
  <c r="Z46" i="8"/>
  <c r="Y16" i="8"/>
  <c r="Z16" i="8"/>
  <c r="AA16" i="8" s="1"/>
  <c r="X43" i="8"/>
  <c r="X40" i="8"/>
  <c r="Z9" i="8"/>
  <c r="Y9" i="8"/>
  <c r="Y51" i="8"/>
  <c r="Z51" i="8"/>
  <c r="Z77" i="8"/>
  <c r="Y77" i="8"/>
  <c r="Z25" i="8"/>
  <c r="Y25" i="8"/>
  <c r="Y47" i="8"/>
  <c r="Z47" i="8"/>
  <c r="X39" i="8"/>
  <c r="Y42" i="8" l="1"/>
  <c r="AA5" i="8"/>
  <c r="AA37" i="8"/>
  <c r="AA69" i="8"/>
  <c r="Y17" i="8"/>
  <c r="AA9" i="8"/>
  <c r="AA44" i="8"/>
  <c r="AA8" i="8"/>
  <c r="Y20" i="8"/>
  <c r="AA20" i="8" s="1"/>
  <c r="Z18" i="8"/>
  <c r="AA64" i="8"/>
  <c r="AA49" i="8"/>
  <c r="AA36" i="8"/>
  <c r="AA7" i="8"/>
  <c r="AA48" i="8"/>
  <c r="Z27" i="8"/>
  <c r="AA27" i="8" s="1"/>
  <c r="AA70" i="8"/>
  <c r="AA53" i="8"/>
  <c r="AA19" i="8"/>
  <c r="AA25" i="8"/>
  <c r="AA46" i="8"/>
  <c r="AA41" i="8"/>
  <c r="Z29" i="8"/>
  <c r="AA29" i="8" s="1"/>
  <c r="AA77" i="8"/>
  <c r="AA73" i="8"/>
  <c r="AA51" i="8"/>
  <c r="Z34" i="8"/>
  <c r="AA34" i="8" s="1"/>
  <c r="Z62" i="8"/>
  <c r="AA62" i="8" s="1"/>
  <c r="AA18" i="8"/>
  <c r="AA42" i="8"/>
  <c r="AA17" i="8"/>
  <c r="AA74" i="8"/>
  <c r="Y68" i="8"/>
  <c r="AA68" i="8" s="1"/>
  <c r="AA54" i="8"/>
  <c r="AA65" i="8"/>
  <c r="Z23" i="8"/>
  <c r="AA23" i="8" s="1"/>
  <c r="AA32" i="8"/>
  <c r="AA47" i="8"/>
  <c r="AA71" i="8"/>
  <c r="AA67" i="8"/>
  <c r="Z11" i="8"/>
  <c r="Y11" i="8"/>
  <c r="AA63" i="8"/>
  <c r="AA57" i="8"/>
  <c r="Z56" i="8"/>
  <c r="Y56" i="8"/>
  <c r="Z21" i="8"/>
  <c r="Y21" i="8"/>
  <c r="Y50" i="8"/>
  <c r="Z50" i="8"/>
  <c r="Y39" i="8"/>
  <c r="Z39" i="8"/>
  <c r="AA22" i="8"/>
  <c r="Z26" i="8"/>
  <c r="Y26" i="8"/>
  <c r="Z40" i="8"/>
  <c r="Y40" i="8"/>
  <c r="Z24" i="8"/>
  <c r="Y24" i="8"/>
  <c r="Y45" i="8"/>
  <c r="Z45" i="8"/>
  <c r="Z58" i="8"/>
  <c r="Y58" i="8"/>
  <c r="Z4" i="8"/>
  <c r="Y4" i="8"/>
  <c r="Y33" i="8"/>
  <c r="Z33" i="8"/>
  <c r="Z30" i="8"/>
  <c r="Y30" i="8"/>
  <c r="Z43" i="8"/>
  <c r="Y43" i="8"/>
  <c r="AA66" i="8"/>
  <c r="Z28" i="8"/>
  <c r="Y28" i="8"/>
  <c r="Z31" i="8"/>
  <c r="Y31" i="8"/>
  <c r="AA3" i="8"/>
  <c r="AA75" i="8"/>
  <c r="AA76" i="8"/>
  <c r="Z59" i="8"/>
  <c r="Y59" i="8"/>
  <c r="Y55" i="8"/>
  <c r="Z55" i="8"/>
  <c r="Z72" i="8"/>
  <c r="Y72" i="8"/>
  <c r="AA28" i="8" l="1"/>
  <c r="AA72" i="8"/>
  <c r="AA30" i="8"/>
  <c r="AA4" i="8"/>
  <c r="AA24" i="8"/>
  <c r="AA31" i="8"/>
  <c r="AA56" i="8"/>
  <c r="AA40" i="8"/>
  <c r="AA11" i="8"/>
  <c r="AA50" i="8"/>
  <c r="AA58" i="8"/>
  <c r="AA21" i="8"/>
  <c r="AA55" i="8"/>
  <c r="AA39" i="8"/>
  <c r="E12" i="19" s="1"/>
  <c r="F12" i="19" s="1"/>
  <c r="AA59" i="8"/>
  <c r="AA33" i="8"/>
  <c r="E14" i="19"/>
  <c r="F14" i="19" s="1"/>
  <c r="AA45" i="8"/>
  <c r="AA43" i="8"/>
  <c r="AA26" i="8"/>
  <c r="E13" i="19"/>
  <c r="F13" i="19" s="1"/>
</calcChain>
</file>

<file path=xl/sharedStrings.xml><?xml version="1.0" encoding="utf-8"?>
<sst xmlns="http://schemas.openxmlformats.org/spreadsheetml/2006/main" count="4436" uniqueCount="622">
  <si>
    <t>Example profiles</t>
  </si>
  <si>
    <t>CHN, DEU, JPN, KOR, MEX, USA and mandatory OTHERS. All seven initially copy the same supplied figure.</t>
  </si>
  <si>
    <t>Matching rule</t>
  </si>
  <si>
    <t>For EV producer c, use the exact uppercase country_code profile when present; otherwise use OTHERS.</t>
  </si>
  <si>
    <t>Per-profile validity</t>
  </si>
  <si>
    <t>Each profile must contain exactly 15 unique item_id values, the required seven groups, non-negative shares, and bom_share summing to 1.</t>
  </si>
  <si>
    <t>beta rule</t>
  </si>
  <si>
    <t>For economy c and group g: beta_g,c = u_C29,c * b_g,c, where b_g,c is summed from the matched BOM_raw profile.</t>
  </si>
  <si>
    <t>E-sector split</t>
  </si>
  <si>
    <t>Within E, C26 uses item_id BMS + VCU; C27 uses MCU + OBC + DCDC + PDU. Weights are recalculated from the matched profile.</t>
  </si>
  <si>
    <t>Sheet</t>
  </si>
  <si>
    <t>Purpose</t>
  </si>
  <si>
    <t>Status</t>
  </si>
  <si>
    <t>Primary source</t>
  </si>
  <si>
    <t>Year</t>
  </si>
  <si>
    <t>Unit</t>
  </si>
  <si>
    <t>Key caution</t>
  </si>
  <si>
    <t>BOM_raw</t>
  </si>
  <si>
    <t>Country x 15-item long-format BOM inputs</t>
  </si>
  <si>
    <t>Rebuilt</t>
  </si>
  <si>
    <t>User-supplied BOM figure (15 labelled items; bibliographic metadata pending)</t>
  </si>
  <si>
    <t>n/a</t>
  </si>
  <si>
    <t>share</t>
  </si>
  <si>
    <t>Yes; sole BOM input</t>
  </si>
  <si>
    <t>Edit bom_share only; OTHERS is mandatory.</t>
  </si>
  <si>
    <t>BOM_scenarios</t>
  </si>
  <si>
    <t>Seven-profile formula audit and group totals</t>
  </si>
  <si>
    <t>No; audit only</t>
  </si>
  <si>
    <t>Values update from BOM_raw formulas.</t>
  </si>
  <si>
    <t>Sector_mapping</t>
  </si>
  <si>
    <t>Country-specific E split plus other allocation rules</t>
  </si>
  <si>
    <t>BOM_raw + modelling rules</t>
  </si>
  <si>
    <t>weight/rule</t>
  </si>
  <si>
    <t>E weights are item-derived, never hardcoded.</t>
  </si>
  <si>
    <t>Beta_derived</t>
  </si>
  <si>
    <t>Country match/fallback and beta audit</t>
  </si>
  <si>
    <t>coefficient</t>
  </si>
  <si>
    <t>Shows exact versus OTHERS fallback.</t>
  </si>
  <si>
    <t>BOM_figure</t>
  </si>
  <si>
    <t>Source figure and OTHERS/default summary</t>
  </si>
  <si>
    <t>Updated</t>
  </si>
  <si>
    <t>BOM share</t>
  </si>
  <si>
    <t>Documentation</t>
  </si>
  <si>
    <t>Full bibliographic metadata remain to be supplied.</t>
  </si>
  <si>
    <t>ICIO_intensity</t>
  </si>
  <si>
    <t>C29 intermediate and value-added/TLS shares</t>
  </si>
  <si>
    <t>IMshareM/IMshareC</t>
  </si>
  <si>
    <t>Legacy imported-origin matrices</t>
  </si>
  <si>
    <t>Alpha_2020</t>
  </si>
  <si>
    <t>Country/system domestic sourcing parameters</t>
  </si>
  <si>
    <t>Countries/Sectors</t>
  </si>
  <si>
    <t>ICIO labels and producer flags</t>
  </si>
  <si>
    <t>QA</t>
  </si>
  <si>
    <t>Formula-driven workbook integrity checks</t>
  </si>
  <si>
    <t>All v4 parameter sheets</t>
  </si>
  <si>
    <t>PASS/FAIL</t>
  </si>
  <si>
    <t>Audit</t>
  </si>
  <si>
    <t>Any FAIL must be resolved before modelling.</t>
  </si>
  <si>
    <t>BOM_raw is deliberately a flat, machine-readable table. Formula caches elsewhere in this workbook are never required by the R programs.</t>
  </si>
  <si>
    <t>To add a later country profile, copy one complete 15-item block in BOM_raw, replace country_code/country_name, and edit bom_share. The R code discovers profiles dynamically.</t>
  </si>
  <si>
    <t>Yellow cells are user inputs; green cells are formulas/derived audit values.</t>
  </si>
  <si>
    <t>Index</t>
  </si>
  <si>
    <t>ISO3</t>
  </si>
  <si>
    <t>Economy</t>
  </si>
  <si>
    <t>Include_base</t>
  </si>
  <si>
    <t>EV production 2023 (thousand vehicles)</t>
  </si>
  <si>
    <t>Criterion</t>
  </si>
  <si>
    <t>Source</t>
  </si>
  <si>
    <t>ARG</t>
  </si>
  <si>
    <t>Argentina</t>
  </si>
  <si>
    <t>not positive/not reported</t>
  </si>
  <si>
    <t>20250205_car production data.xlsx, Passenger car production</t>
  </si>
  <si>
    <t>AUS</t>
  </si>
  <si>
    <t>Australia</t>
  </si>
  <si>
    <t>AUT</t>
  </si>
  <si>
    <t>Austria</t>
  </si>
  <si>
    <t>positive 2023 EV passenger-car production</t>
  </si>
  <si>
    <t>BEL</t>
  </si>
  <si>
    <t>Belgium</t>
  </si>
  <si>
    <t>BGD</t>
  </si>
  <si>
    <t>Bangladesh</t>
  </si>
  <si>
    <t>BGR</t>
  </si>
  <si>
    <t>Bulgaria</t>
  </si>
  <si>
    <t>BLR</t>
  </si>
  <si>
    <t>Belarus</t>
  </si>
  <si>
    <t>BRA</t>
  </si>
  <si>
    <t>Brazil</t>
  </si>
  <si>
    <t>BRN</t>
  </si>
  <si>
    <t>Brunei Darussalam</t>
  </si>
  <si>
    <t>CAN</t>
  </si>
  <si>
    <t>Canada</t>
  </si>
  <si>
    <t>CHE</t>
  </si>
  <si>
    <t>Switzerland</t>
  </si>
  <si>
    <t>CHL</t>
  </si>
  <si>
    <t>Chile</t>
  </si>
  <si>
    <t>CHN</t>
  </si>
  <si>
    <t>China (People's Republic of)</t>
  </si>
  <si>
    <t>CIV</t>
  </si>
  <si>
    <t>Côte d'Ivoire</t>
  </si>
  <si>
    <t>CMR</t>
  </si>
  <si>
    <t>Cameroon</t>
  </si>
  <si>
    <t>COL</t>
  </si>
  <si>
    <t>Colombia</t>
  </si>
  <si>
    <t>CRI</t>
  </si>
  <si>
    <t>Costa Rica</t>
  </si>
  <si>
    <t>CYP</t>
  </si>
  <si>
    <t>Cyprus (1)</t>
  </si>
  <si>
    <t>CZE</t>
  </si>
  <si>
    <t>Czechia</t>
  </si>
  <si>
    <t>DEU</t>
  </si>
  <si>
    <t>Germany</t>
  </si>
  <si>
    <t>DNK</t>
  </si>
  <si>
    <t>Denmark</t>
  </si>
  <si>
    <t>EGY</t>
  </si>
  <si>
    <t>Egypt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</si>
  <si>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</si>
  <si>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</si>
  <si>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</si>
  <si>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</si>
  <si>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</si>
  <si>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</si>
  <si>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</si>
  <si>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</si>
  <si>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</si>
  <si>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</si>
  <si>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</si>
  <si>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</si>
  <si>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HKG</t>
  </si>
  <si>
    <t>Hong Kong, China</t>
  </si>
  <si>
    <t>HRV</t>
  </si>
  <si>
    <t>Croatia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</si>
  <si>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</si>
  <si>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</si>
  <si>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</si>
  <si>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</si>
  <si>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</si>
  <si>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</si>
  <si>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</si>
  <si>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</si>
  <si>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ISL</t>
  </si>
  <si>
    <t>Iceland</t>
  </si>
  <si>
    <t>ISR</t>
  </si>
  <si>
    <t>Israel (2)</t>
  </si>
  <si>
    <t>ITA</t>
  </si>
  <si>
    <t>Italy</t>
  </si>
  <si>
    <t>JOR</t>
  </si>
  <si>
    <t>Jordan</t>
  </si>
  <si>
    <t>JPN</t>
  </si>
  <si>
    <t>Japan</t>
  </si>
  <si>
    <t>KAZ</t>
  </si>
  <si>
    <t>Kazakhstan</t>
  </si>
  <si>
    <t>KHM</t>
  </si>
  <si>
    <t>Cambodia</t>
  </si>
  <si>
    <t>KOR</t>
  </si>
  <si>
    <t>Korea</t>
  </si>
  <si>
    <t>LAO</t>
  </si>
  <si>
    <t>Lao (People's Democratic Republic)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</si>
  <si>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</si>
  <si>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</si>
  <si>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</si>
  <si>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</si>
  <si>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</si>
  <si>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</si>
  <si>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</si>
  <si>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</si>
  <si>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MEX</t>
  </si>
  <si>
    <t>Mexico</t>
  </si>
  <si>
    <t>MLT</t>
  </si>
  <si>
    <t>Malta</t>
  </si>
  <si>
    <t>MMR</t>
  </si>
  <si>
    <t>Myanmar</t>
  </si>
  <si>
    <t>MYS</t>
  </si>
  <si>
    <t>Malaysia</t>
  </si>
  <si>
    <t>NGA</t>
  </si>
  <si>
    <t>Nigeria</t>
  </si>
  <si>
    <t>NLD</t>
  </si>
  <si>
    <t>Netherlands</t>
  </si>
  <si>
    <t>NOR</t>
  </si>
  <si>
    <t>Norway</t>
  </si>
  <si>
    <t>NZL</t>
  </si>
  <si>
    <t>New Zealand</t>
  </si>
  <si>
    <t>PAK</t>
  </si>
  <si>
    <t>Pakistan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</si>
  <si>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</si>
  <si>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</si>
  <si>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</si>
  <si>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</si>
  <si>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</si>
  <si>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</si>
  <si>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</si>
  <si>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</si>
  <si>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</si>
  <si>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</si>
  <si>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</si>
  <si>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</si>
  <si>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SAU</t>
  </si>
  <si>
    <t>Saudi Arabia</t>
  </si>
  <si>
    <t>SEN</t>
  </si>
  <si>
    <t>Senegal</t>
  </si>
  <si>
    <t>SGP</t>
  </si>
  <si>
    <t>Singapore</t>
  </si>
  <si>
    <t>SVK</t>
  </si>
  <si>
    <t>Slovakia</t>
  </si>
  <si>
    <t>SVN</t>
  </si>
  <si>
    <t>Slovenia</t>
  </si>
  <si>
    <t>SWE</t>
  </si>
  <si>
    <t>Sweden</t>
  </si>
  <si>
    <t>THA</t>
  </si>
  <si>
    <t>Thailand</t>
  </si>
  <si>
    <t>TUN</t>
  </si>
  <si>
    <t>Tunisia</t>
  </si>
  <si>
    <t>TUR</t>
  </si>
  <si>
    <t>Türkiye</t>
  </si>
  <si>
    <t>TWN</t>
  </si>
  <si>
    <t>Chinese Taipei</t>
  </si>
  <si>
    <t>UKR</t>
  </si>
  <si>
    <t>Ukraine</t>
  </si>
  <si>
    <t>USA</t>
  </si>
  <si>
    <t>United States</t>
  </si>
  <si>
    <t>VNM</t>
  </si>
  <si>
    <t>Viet Nam</t>
  </si>
  <si>
    <t>ZAF</t>
  </si>
  <si>
    <t>South Africa</t>
  </si>
  <si>
    <t>ROW</t>
  </si>
  <si>
    <t>Rest of the World</t>
  </si>
  <si>
    <t>country_code</t>
  </si>
  <si>
    <t>country_name</t>
  </si>
  <si>
    <t>item_id</t>
  </si>
  <si>
    <t>figure_label</t>
  </si>
  <si>
    <t>bom_share</t>
  </si>
  <si>
    <t>group</t>
  </si>
  <si>
    <t>icio_treatment</t>
  </si>
  <si>
    <t>origin_rule</t>
  </si>
  <si>
    <t>source</t>
  </si>
  <si>
    <t>notes</t>
  </si>
  <si>
    <t>396</t>
  </si>
  <si>
    <t>China</t>
  </si>
  <si>
    <t>BATTERY_PACK</t>
  </si>
  <si>
    <t>Battery pack</t>
  </si>
  <si>
    <t>T</t>
  </si>
  <si>
    <t>C27 explicit input</t>
  </si>
  <si>
    <t>LEGACY_T</t>
  </si>
  <si>
    <t>Traction battery pack</t>
  </si>
  <si>
    <t>HIGH_VOLTAGE_HARNESS</t>
  </si>
  <si>
    <t>High-voltage harness</t>
  </si>
  <si>
    <t>HV</t>
  </si>
  <si>
    <t>C29 original-A allocation</t>
  </si>
  <si>
    <t>ORIGINAL_A</t>
  </si>
  <si>
    <t>Kept separate from electronic control</t>
  </si>
  <si>
    <t>DRIVE_MOTOR</t>
  </si>
  <si>
    <t>Drive motor (rear single)</t>
  </si>
  <si>
    <t>M</t>
  </si>
  <si>
    <t>LEGACY_M</t>
  </si>
  <si>
    <t>Drive motor</t>
  </si>
  <si>
    <t>MCU</t>
  </si>
  <si>
    <t>MCU (motor controller)</t>
  </si>
  <si>
    <t>E</t>
  </si>
  <si>
    <t>C26/C27 item split</t>
  </si>
  <si>
    <t>LEGACY_C</t>
  </si>
  <si>
    <t>E/C27 item</t>
  </si>
  <si>
    <t>REDUCER</t>
  </si>
  <si>
    <t>Reducer</t>
  </si>
  <si>
    <t>Included with the drive system</t>
  </si>
  <si>
    <t>OBC</t>
  </si>
  <si>
    <t>OBC (on-board charger)</t>
  </si>
  <si>
    <t>DCDC</t>
  </si>
  <si>
    <t>DCDC (direct current-direct current converter)</t>
  </si>
  <si>
    <t>PDU</t>
  </si>
  <si>
    <t>PDU (high-voltage distribution box)</t>
  </si>
  <si>
    <t>BMS</t>
  </si>
  <si>
    <t>E/C26 item</t>
  </si>
  <si>
    <t>VCU</t>
  </si>
  <si>
    <t>VCU (vehicle controller)</t>
  </si>
  <si>
    <t>BODY</t>
  </si>
  <si>
    <t>Body</t>
  </si>
  <si>
    <t>SHARED</t>
  </si>
  <si>
    <t>Original C29 input structure</t>
  </si>
  <si>
    <t>Shared/non-powertrain component</t>
  </si>
  <si>
    <t>INTERIOR_EXTERIOR</t>
  </si>
  <si>
    <t>Interior and exterior decoration</t>
  </si>
  <si>
    <t>CHASSIS</t>
  </si>
  <si>
    <t>Chassis</t>
  </si>
  <si>
    <t>ELECTRONIC_ELECTRICAL</t>
  </si>
  <si>
    <t>Electronic and electrical</t>
  </si>
  <si>
    <t>EE</t>
  </si>
  <si>
    <t>C26|C27|C29 original-A allocation</t>
  </si>
  <si>
    <t>Not included in the narrow three-electric-system total</t>
  </si>
  <si>
    <t>INTELLIGENT_DRIVING</t>
  </si>
  <si>
    <t>Intelligent driving</t>
  </si>
  <si>
    <t>I</t>
  </si>
  <si>
    <t>C26 original-A allocation</t>
  </si>
  <si>
    <t>South Korea</t>
  </si>
  <si>
    <t>OTHERS</t>
  </si>
  <si>
    <t>All other economies (fallback profile)</t>
  </si>
  <si>
    <t>scenario</t>
  </si>
  <si>
    <t>item_count</t>
  </si>
  <si>
    <t>invalid_share_count</t>
  </si>
  <si>
    <t>b_T</t>
  </si>
  <si>
    <t>b_M</t>
  </si>
  <si>
    <t>b_E</t>
  </si>
  <si>
    <t>b_I</t>
  </si>
  <si>
    <t>b_EE</t>
  </si>
  <si>
    <t>b_HV</t>
  </si>
  <si>
    <t>b_shared</t>
  </si>
  <si>
    <t>composition_sum</t>
  </si>
  <si>
    <t>e_c26_bom_share</t>
  </si>
  <si>
    <t>e_c27_bom_share</t>
  </si>
  <si>
    <t>e_c26_weight</t>
  </si>
  <si>
    <t>e_c27_weight</t>
  </si>
  <si>
    <t>e_weight_sum</t>
  </si>
  <si>
    <t>qa_status</t>
  </si>
  <si>
    <t>description</t>
  </si>
  <si>
    <t>BASE_FIGURE_ICIO</t>
  </si>
  <si>
    <t>CHN profile; formula-derived from BOM_raw. Exact ISO3 match takes priority; otherwise the R model uses OTHERS.</t>
  </si>
  <si>
    <t>DEU profile; formula-derived from BOM_raw. Exact ISO3 match takes priority; otherwise the R model uses OTHERS.</t>
  </si>
  <si>
    <t>JPN profile; formula-derived from BOM_raw. Exact ISO3 match takes priority; otherwise the R model uses OTHERS.</t>
  </si>
  <si>
    <t>KOR profile; formula-derived from BOM_raw. Exact ISO3 match takes priority; otherwise the R model uses OTHERS.</t>
  </si>
  <si>
    <t>MEX profile; formula-derived from BOM_raw. Exact ISO3 match takes priority; otherwise the R model uses OTHERS.</t>
  </si>
  <si>
    <t>USA profile; formula-derived from BOM_raw. Exact ISO3 match takes priority; otherwise the R model uses OTHERS.</t>
  </si>
  <si>
    <t>OTHERS profile; formula-derived from BOM_raw. Exact ISO3 match takes priority; otherwise the R model uses OTHERS.</t>
  </si>
  <si>
    <t>Mapping ID</t>
  </si>
  <si>
    <t>System</t>
  </si>
  <si>
    <t>ICIO45 sector(s)</t>
  </si>
  <si>
    <t>Allocation weight</t>
  </si>
  <si>
    <t>Allocation mode</t>
  </si>
  <si>
    <t>Origin rule</t>
  </si>
  <si>
    <t>Basis</t>
  </si>
  <si>
    <t>C27</t>
  </si>
  <si>
    <t>STATIC</t>
  </si>
  <si>
    <t>Battery pack; foreign origins use the retained battery proxy.</t>
  </si>
  <si>
    <t>Drive motor and reducer; foreign origins use the retained motor proxy.</t>
  </si>
  <si>
    <t>C26</t>
  </si>
  <si>
    <t>BOM_raw-derived</t>
  </si>
  <si>
    <t>COUNTRY_BOM</t>
  </si>
  <si>
    <t>Country-specific BMS + VCU share within E.</t>
  </si>
  <si>
    <t>Country-specific MCU + OBC + DCDC + PDU share within E.</t>
  </si>
  <si>
    <t>C26 slice of the original destination-country C29 input column.</t>
  </si>
  <si>
    <t>C26|C27|C29</t>
  </si>
  <si>
    <t>C26/C27/C29 slices of the original C29 input column.</t>
  </si>
  <si>
    <t>C29</t>
  </si>
  <si>
    <t>C29 slice of the original destination-country C29 input column.</t>
  </si>
  <si>
    <t>ALL</t>
  </si>
  <si>
    <t>Full original destination-country C29 input column.</t>
  </si>
  <si>
    <t>Active C29</t>
  </si>
  <si>
    <t>C29 output</t>
  </si>
  <si>
    <t>Intermediate inputs</t>
  </si>
  <si>
    <t>u_intermediate</t>
  </si>
  <si>
    <t>TLS share</t>
  </si>
  <si>
    <t>VA share</t>
  </si>
  <si>
    <t>Primary input share (1-u)</t>
  </si>
  <si>
    <t>ICIO balance</t>
  </si>
  <si>
    <t>Source/formula</t>
  </si>
  <si>
    <t>bom_profile_used</t>
  </si>
  <si>
    <t>profile_match_status</t>
  </si>
  <si>
    <t>intermediate_input_share</t>
  </si>
  <si>
    <t>Value-added and TLS share (1-u)</t>
  </si>
  <si>
    <t>BOM budget rho</t>
  </si>
  <si>
    <t>beta_T</t>
  </si>
  <si>
    <t>beta_M</t>
  </si>
  <si>
    <t>beta_E</t>
  </si>
  <si>
    <t>beta_I</t>
  </si>
  <si>
    <t>beta_EE</t>
  </si>
  <si>
    <t>beta_HV</t>
  </si>
  <si>
    <t>beta_shared</t>
  </si>
  <si>
    <t>beta_sum</t>
  </si>
  <si>
    <t>intermediate_balance</t>
  </si>
  <si>
    <t>full_column_balance</t>
  </si>
  <si>
    <t>QA status</t>
  </si>
  <si>
    <t>BOM_raw + ICIO_intensity; exact ISO3 or OTHERS fallback</t>
  </si>
  <si>
    <t>alpha_T</t>
  </si>
  <si>
    <t>alpha_M</t>
  </si>
  <si>
    <t>alpha_E</t>
  </si>
  <si>
    <t>C27 inputs to C29</t>
  </si>
  <si>
    <t>C26 inputs to C29</t>
  </si>
  <si>
    <t>T/M status</t>
  </si>
  <si>
    <t>E status</t>
  </si>
  <si>
    <t>Formula</t>
  </si>
  <si>
    <t>Sector</t>
  </si>
  <si>
    <t>alpha_2017</t>
  </si>
  <si>
    <t>alpha_2018</t>
  </si>
  <si>
    <t>alpha_2019</t>
  </si>
  <si>
    <t>alpha_2020</t>
  </si>
  <si>
    <t>Mean</t>
  </si>
  <si>
    <t>Min</t>
  </si>
  <si>
    <t>Max</t>
  </si>
  <si>
    <t>Years</t>
  </si>
  <si>
    <t>OK</t>
  </si>
  <si>
    <t>2017-2020 SML</t>
  </si>
  <si>
    <t>NO_C29_INPUT</t>
  </si>
  <si>
    <t>Origin / destination</t>
  </si>
  <si>
    <t>Exporter / destination</t>
  </si>
  <si>
    <t>C20</t>
  </si>
  <si>
    <t>check_id</t>
  </si>
  <si>
    <t>required</t>
  </si>
  <si>
    <t>check</t>
  </si>
  <si>
    <t>expected</t>
  </si>
  <si>
    <t>result</t>
  </si>
  <si>
    <t>status</t>
  </si>
  <si>
    <t>interpretation</t>
  </si>
  <si>
    <t>Q01</t>
  </si>
  <si>
    <t>Economy count</t>
  </si>
  <si>
    <t>Must match the preserved ICIO_intensity country count</t>
  </si>
  <si>
    <t>Q02</t>
  </si>
  <si>
    <t>BOM raw row count</t>
  </si>
  <si>
    <t>Seven profiles x fifteen items</t>
  </si>
  <si>
    <t>Q03</t>
  </si>
  <si>
    <t>Required profile coverage</t>
  </si>
  <si>
    <t>CHN, DEU, JPN, KOR, MEX, USA and OTHERS</t>
  </si>
  <si>
    <t>Q04</t>
  </si>
  <si>
    <t>OTHERS item count</t>
  </si>
  <si>
    <t>Mandatory fallback profile</t>
  </si>
  <si>
    <t>Q05</t>
  </si>
  <si>
    <t>Invalid BOM shares</t>
  </si>
  <si>
    <t>Every bom_share must be in [0,1]</t>
  </si>
  <si>
    <t>Q06</t>
  </si>
  <si>
    <t>Failed profile audits</t>
  </si>
  <si>
    <t>Each profile has 15 items, totals one, and has a complete E split</t>
  </si>
  <si>
    <t>Q07</t>
  </si>
  <si>
    <t>Scenario profile count</t>
  </si>
  <si>
    <t>One audit row per current BOM profile</t>
  </si>
  <si>
    <t>Q08</t>
  </si>
  <si>
    <t>Sector-mapping row count</t>
  </si>
  <si>
    <t>Eight structural mapping rows</t>
  </si>
  <si>
    <t>Q09</t>
  </si>
  <si>
    <t>E structural mapping rows</t>
  </si>
  <si>
    <t>C26 and C27 are declared; their weights come from BOM_raw</t>
  </si>
  <si>
    <t>Q10</t>
  </si>
  <si>
    <t>Exact-profile ICIO matches</t>
  </si>
  <si>
    <t>The six paper economies use their own BOM profile</t>
  </si>
  <si>
    <t>Q11</t>
  </si>
  <si>
    <t>Failed active beta rows</t>
  </si>
  <si>
    <t>Seven beta coefficients exhaust intermediate_input_share</t>
  </si>
  <si>
    <t>Q12</t>
  </si>
  <si>
    <t>Active intermediate-balance exceptions</t>
  </si>
  <si>
    <t>beta_sum minus intermediate_input_share is zero</t>
  </si>
  <si>
    <t>Q13</t>
  </si>
  <si>
    <t>Active full-column-balance exceptions</t>
  </si>
  <si>
    <t>beta_sum plus the VA/TLS share equals one</t>
  </si>
  <si>
    <t>Source BOM figure and v4 country-profile grouping</t>
  </si>
  <si>
    <t>Group</t>
  </si>
  <si>
    <t>OTHERS share</t>
  </si>
  <si>
    <t>Content</t>
  </si>
  <si>
    <t>Drive motor + reducer</t>
  </si>
  <si>
    <t>MCU + OBC + DCDC + PDU + BMS + VCU</t>
  </si>
  <si>
    <t>Body + interior/exterior + chassis</t>
  </si>
  <si>
    <t>TOTAL</t>
  </si>
  <si>
    <t>All 15 labelled items</t>
  </si>
  <si>
    <t>All seven profiles initially reproduce this figure. Country differences are introduced only by editing BOM_raw.bom_share.</t>
  </si>
  <si>
    <t>EV-ICIO parameter workbook | Adata_v6</t>
  </si>
  <si>
    <t>Release</t>
  </si>
  <si>
    <t>v6.0 | 2022 ICIO 50-sector baseline and country-specific 15-item BOM profiles</t>
  </si>
  <si>
    <t>Only editable BOM input</t>
  </si>
  <si>
    <t>BOM_raw.bom_share. EVmodel_v5 and MC_v3 read BOM_raw directly; they do not depend on cached Excel formula results.</t>
  </si>
  <si>
    <t>Audit sheets</t>
  </si>
  <si>
    <t>BOM_scenarios, Sector_mapping and Beta_derived are formula-driven displays/QA. They are not R model inputs in v5/MC_v3.</t>
  </si>
  <si>
    <t>Editing procedure</t>
  </si>
  <si>
    <t>Change only bom_share in BOM_raw, keep identifiers/groups unchanged, ensure each profile total is 100%, save, then run EVmodel_v5 or MC_v3.</t>
  </si>
  <si>
    <t>Used by R v5/MC_v3</t>
  </si>
  <si>
    <t>Formula-driven</t>
  </si>
  <si>
    <t>BOM_raw + ICIO_intensity</t>
  </si>
  <si>
    <t>2022</t>
  </si>
  <si>
    <t>2022_SML.csv</t>
  </si>
  <si>
    <t>Yes</t>
  </si>
  <si>
    <t>u is the 2022 country-specific intermediate-input budget; VA applies the 1.17 calibration factor.</t>
  </si>
  <si>
    <t>Pending user update</t>
  </si>
  <si>
    <t>Legacy Adata source</t>
  </si>
  <si>
    <t>2020 pending replacement</t>
  </si>
  <si>
    <t>Replace IMshareM/IMshareC with 2022 matrices before the final model run.</t>
  </si>
  <si>
    <t>Legacy sheet name retained for compatibility; values are calculated from 2022 ICIO.</t>
  </si>
  <si>
    <t>Countries preserved; Sectors updated</t>
  </si>
  <si>
    <t>OECD ICIO 2025 edition metadata</t>
  </si>
  <si>
    <t>2022/2025</t>
  </si>
  <si>
    <t>code</t>
  </si>
  <si>
    <t>Country order is unchanged; the sector list contains 50 activities.</t>
  </si>
  <si>
    <t>ICIO50 code</t>
  </si>
  <si>
    <t>Industry</t>
  </si>
  <si>
    <t>ISIC Rev.4</t>
  </si>
  <si>
    <t>A01</t>
  </si>
  <si>
    <t>Agriculture and hunting</t>
  </si>
  <si>
    <t>01</t>
  </si>
  <si>
    <t>A02</t>
  </si>
  <si>
    <t>Forestry and logging</t>
  </si>
  <si>
    <t>02</t>
  </si>
  <si>
    <t>A03</t>
  </si>
  <si>
    <t>Fishing and aquaculture</t>
  </si>
  <si>
    <t>03</t>
  </si>
  <si>
    <t>B05</t>
  </si>
  <si>
    <t>Mining of coal and lignite</t>
  </si>
  <si>
    <t>05</t>
  </si>
  <si>
    <t>B06</t>
  </si>
  <si>
    <t>Extraction of crude petroleum and natural gas</t>
  </si>
  <si>
    <t>06</t>
  </si>
  <si>
    <t>B07</t>
  </si>
  <si>
    <t>Mining of metal ores</t>
  </si>
  <si>
    <t>07</t>
  </si>
  <si>
    <t>B08</t>
  </si>
  <si>
    <t>Other mining and quarrying</t>
  </si>
  <si>
    <t>08</t>
  </si>
  <si>
    <t>B09</t>
  </si>
  <si>
    <t>Mining support service activities</t>
  </si>
  <si>
    <t>09</t>
  </si>
  <si>
    <t>C10T12</t>
  </si>
  <si>
    <t>Manufacture of food products; beverages and tobacco products</t>
  </si>
  <si>
    <t>10, 11, 12</t>
  </si>
  <si>
    <t>C13T15</t>
  </si>
  <si>
    <t>Manufacture of textiles, wearing apparel, leather and related products</t>
  </si>
  <si>
    <t>13, 14, 15</t>
  </si>
  <si>
    <t>C16</t>
  </si>
  <si>
    <t>Manufacture of wood and of products of wood and cork</t>
  </si>
  <si>
    <t>16</t>
  </si>
  <si>
    <t>C17_18</t>
  </si>
  <si>
    <t>Manufacture of paper and paper products; Printing and reproduction of recorded media</t>
  </si>
  <si>
    <t>17, 18</t>
  </si>
  <si>
    <t>C19</t>
  </si>
  <si>
    <t>Manufacture of coke and refined petroleum products</t>
  </si>
  <si>
    <t>19</t>
  </si>
  <si>
    <t>Manufacture of chemicals and chemical products</t>
  </si>
  <si>
    <t>20</t>
  </si>
  <si>
    <t>C21</t>
  </si>
  <si>
    <t>Manufacture of basic pharmaceutical products and pharmaceutical preparations</t>
  </si>
  <si>
    <t>21</t>
  </si>
  <si>
    <t>C22</t>
  </si>
  <si>
    <t>Manufacture of rubber and plastic products</t>
  </si>
  <si>
    <t>22</t>
  </si>
  <si>
    <t>C23</t>
  </si>
  <si>
    <t>Manufacture of other non-metallic mineral products</t>
  </si>
  <si>
    <t>23</t>
  </si>
  <si>
    <t>C24A</t>
  </si>
  <si>
    <t>Manufacture of basic iron and steel</t>
  </si>
  <si>
    <t>241, 2431</t>
  </si>
  <si>
    <t>C24B</t>
  </si>
  <si>
    <t>Manufacture of basic precious and other non-ferrous metals</t>
  </si>
  <si>
    <t>242, 2432</t>
  </si>
  <si>
    <t>C25</t>
  </si>
  <si>
    <t>Manufacture of fabricated metal products</t>
  </si>
  <si>
    <t>25</t>
  </si>
  <si>
    <t>Manufacture of computer, electronic and optical products</t>
  </si>
  <si>
    <t>26</t>
  </si>
  <si>
    <t>Manufacture of electrical equipment</t>
  </si>
  <si>
    <t>27</t>
  </si>
  <si>
    <t>C28</t>
  </si>
  <si>
    <t>Manufacture of machinery and equipment n.e.c.</t>
  </si>
  <si>
    <t>28</t>
  </si>
  <si>
    <t>Manufacture of motor vehicles, trailers and semi-trailers</t>
  </si>
  <si>
    <t>29</t>
  </si>
  <si>
    <t>C301</t>
  </si>
  <si>
    <t>Building of ships and boats</t>
  </si>
  <si>
    <t>301</t>
  </si>
  <si>
    <t>C302T309</t>
  </si>
  <si>
    <t>Manufacture of other transport equipment</t>
  </si>
  <si>
    <t>302 to 309</t>
  </si>
  <si>
    <t>C31T33</t>
  </si>
  <si>
    <t>Manufacture of furniture and other manufacturing</t>
  </si>
  <si>
    <t>31, 32, 33</t>
  </si>
  <si>
    <t>D</t>
  </si>
  <si>
    <t>Electricity, gas, steam and air conditioning supply</t>
  </si>
  <si>
    <t>35</t>
  </si>
  <si>
    <t>Water supply; sewerage, waste management and remediation activities</t>
  </si>
  <si>
    <t>36, 37, 38, 39</t>
  </si>
  <si>
    <t>F</t>
  </si>
  <si>
    <t>Construction</t>
  </si>
  <si>
    <t>41, 42, 43</t>
  </si>
  <si>
    <t>G</t>
  </si>
  <si>
    <t>Wholesale and retail trade; repair of motor vehicles and motorcycles</t>
  </si>
  <si>
    <t>45, 46, 47</t>
  </si>
  <si>
    <t>H49</t>
  </si>
  <si>
    <t>Land transport and transport via pipelines</t>
  </si>
  <si>
    <t>49</t>
  </si>
  <si>
    <t>H50</t>
  </si>
  <si>
    <t>Water transport</t>
  </si>
  <si>
    <t>50</t>
  </si>
  <si>
    <t>H51</t>
  </si>
  <si>
    <t>Air transport</t>
  </si>
  <si>
    <t>51</t>
  </si>
  <si>
    <t>H52</t>
  </si>
  <si>
    <t>Warehousing and support activities for transportation</t>
  </si>
  <si>
    <t>52</t>
  </si>
  <si>
    <t>H53</t>
  </si>
  <si>
    <t>Postal and courier activities</t>
  </si>
  <si>
    <t>53</t>
  </si>
  <si>
    <t>Accommodation and food service activities</t>
  </si>
  <si>
    <t>55, 56</t>
  </si>
  <si>
    <t>J58T60</t>
  </si>
  <si>
    <t>Publishing, motion picture, video, television programme production and broadcasting activities</t>
  </si>
  <si>
    <t>58, 59, 60</t>
  </si>
  <si>
    <t>J61</t>
  </si>
  <si>
    <t>Telecommunications</t>
  </si>
  <si>
    <t>61</t>
  </si>
  <si>
    <t>J62_63</t>
  </si>
  <si>
    <t>Computer programming and information service activities</t>
  </si>
  <si>
    <t>62, 63</t>
  </si>
  <si>
    <t>K</t>
  </si>
  <si>
    <t>Financial and insurance activities</t>
  </si>
  <si>
    <t>64, 65, 66</t>
  </si>
  <si>
    <t>L</t>
  </si>
  <si>
    <t>Real estate activities</t>
  </si>
  <si>
    <t>68</t>
  </si>
  <si>
    <t>Professional, scientific and technical activities</t>
  </si>
  <si>
    <t>69 to 75</t>
  </si>
  <si>
    <t>N</t>
  </si>
  <si>
    <t>Administrative and support service activities</t>
  </si>
  <si>
    <t>77 to 82</t>
  </si>
  <si>
    <t>O</t>
  </si>
  <si>
    <t>Public administration and defence; compulsory social security</t>
  </si>
  <si>
    <t>84</t>
  </si>
  <si>
    <t>P</t>
  </si>
  <si>
    <t>Education</t>
  </si>
  <si>
    <t>85</t>
  </si>
  <si>
    <t>Q</t>
  </si>
  <si>
    <t>Human health and social work activities</t>
  </si>
  <si>
    <t>86, 87, 88</t>
  </si>
  <si>
    <t>R</t>
  </si>
  <si>
    <t>Arts, entertainment and recreation activities</t>
  </si>
  <si>
    <t>90, 91, 92, 93</t>
  </si>
  <si>
    <t>S</t>
  </si>
  <si>
    <t>Other service activities</t>
  </si>
  <si>
    <t>94, 95, 96</t>
  </si>
  <si>
    <t>Activities of households as employers; undifferentiated goods- and services-producing activities of households for own use</t>
  </si>
  <si>
    <t>97, 98</t>
  </si>
  <si>
    <t>2022_SML.csv; u=inputs/OUT; TLS=raw TLS/OUT; VA=1.17*(raw VA/OUT); balance uses raw ICIO shares</t>
  </si>
  <si>
    <t>alpha(c,d)=Z[(c,d),(c,C29)] / sum_r Z[(r,d),(c,C29)]</t>
  </si>
  <si>
    <t xml:space="preserve">FV VA share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</si>
</sst>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E+00"/>
    <numFmt numFmtId="178" formatCode="0.0%"/>
  </numFmts>
  <fonts count="8">
    <font>
      <sz val="11"/>
      <name val="Carlito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7365D"/>
      <name val="Arial"/>
      <family val="2"/>
    </font>
    <font>
      <i/>
      <sz val="9"/>
      <color rgb="FF1F2937"/>
      <name val="Arial"/>
      <family val="2"/>
    </font>
    <font>
      <b/>
      <sz val="9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1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17365D"/>
      </left>
      <right style="thin">
        <color rgb="FFCBD5E1"/>
      </right>
      <top style="thin">
        <color rgb="FF17365D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7365D"/>
      </top>
      <bottom style="thin">
        <color rgb="FFCBD5E1"/>
      </bottom>
      <diagonal/>
    </border>
    <border>
      <left style="thin">
        <color rgb="FFCBD5E1"/>
      </left>
      <right style="thin">
        <color rgb="FF17365D"/>
      </right>
      <top style="thin">
        <color rgb="FF17365D"/>
      </top>
      <bottom style="thin">
        <color rgb="FFCBD5E1"/>
      </bottom>
      <diagonal/>
    </border>
    <border>
      <left style="thin">
        <color rgb="FF17365D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7365D"/>
      </left>
      <right style="thin">
        <color rgb="FFCBD5E1"/>
      </right>
      <top style="thin">
        <color rgb="FFCBD5E1"/>
      </top>
      <bottom style="thin">
        <color rgb="FF17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17365D"/>
      </bottom>
      <diagonal/>
    </border>
    <border>
      <left style="thin">
        <color rgb="FFCBD5E1"/>
      </left>
      <right/>
      <top style="thin">
        <color rgb="FFCBD5E1"/>
      </top>
      <bottom style="thin">
        <color rgb="FF17365D"/>
      </bottom>
      <diagonal/>
    </border>
  </borders>
  <cellStyleXfs count="2">
    <xf numFmtId="0" fontId="0" fillId="0" borderId="0"/>
    <xf numFmtId="0" fontId="6" fillId="0" borderId="0"/>
  </cellStyleXfs>
  <cellXfs count="59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2" fillId="0" borderId="0" xfId="1" applyFont="1"/>
    <xf numFmtId="0" fontId="2" fillId="0" borderId="0" xfId="1" applyFont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3" borderId="0" xfId="1" applyFont="1" applyFill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2" fillId="0" borderId="0" xfId="1" applyNumberFormat="1" applyFont="1"/>
    <xf numFmtId="176" fontId="2" fillId="4" borderId="0" xfId="1" applyNumberFormat="1" applyFont="1" applyFill="1"/>
    <xf numFmtId="177" fontId="2" fillId="0" borderId="0" xfId="1" applyNumberFormat="1" applyFont="1"/>
    <xf numFmtId="0" fontId="2" fillId="0" borderId="0" xfId="1" applyFont="1" applyAlignment="1">
      <alignment wrapText="1"/>
    </xf>
    <xf numFmtId="0" fontId="2" fillId="0" borderId="0" xfId="1" applyFont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4" xfId="1" applyFont="1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2" fillId="0" borderId="7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0" fontId="2" fillId="0" borderId="11" xfId="1" applyFont="1" applyBorder="1" applyAlignment="1">
      <alignment vertical="top" wrapText="1"/>
    </xf>
    <xf numFmtId="0" fontId="2" fillId="0" borderId="12" xfId="1" applyFont="1" applyBorder="1" applyAlignment="1">
      <alignment vertical="top" wrapText="1"/>
    </xf>
    <xf numFmtId="0" fontId="5" fillId="0" borderId="0" xfId="1" applyFont="1" applyAlignment="1">
      <alignment wrapText="1"/>
    </xf>
    <xf numFmtId="176" fontId="2" fillId="0" borderId="0" xfId="1" applyNumberFormat="1" applyFont="1" applyAlignment="1">
      <alignment wrapText="1"/>
    </xf>
    <xf numFmtId="0" fontId="3" fillId="6" borderId="0" xfId="1" applyFont="1" applyFill="1"/>
    <xf numFmtId="0" fontId="1" fillId="5" borderId="1" xfId="1" applyFont="1" applyFill="1" applyBorder="1" applyAlignment="1">
      <alignment vertical="center" wrapText="1"/>
    </xf>
    <xf numFmtId="0" fontId="1" fillId="5" borderId="2" xfId="1" applyFont="1" applyFill="1" applyBorder="1" applyAlignment="1">
      <alignment vertical="center" wrapText="1"/>
    </xf>
    <xf numFmtId="0" fontId="1" fillId="5" borderId="3" xfId="1" applyFont="1" applyFill="1" applyBorder="1" applyAlignment="1">
      <alignment vertical="center" wrapText="1"/>
    </xf>
    <xf numFmtId="0" fontId="1" fillId="5" borderId="14" xfId="1" applyFont="1" applyFill="1" applyBorder="1" applyAlignment="1">
      <alignment vertical="center" wrapText="1"/>
    </xf>
    <xf numFmtId="0" fontId="1" fillId="5" borderId="15" xfId="1" applyFont="1" applyFill="1" applyBorder="1" applyAlignment="1">
      <alignment vertical="center" wrapText="1"/>
    </xf>
    <xf numFmtId="0" fontId="1" fillId="5" borderId="16" xfId="1" applyFont="1" applyFill="1" applyBorder="1" applyAlignment="1">
      <alignment vertical="center" wrapText="1"/>
    </xf>
    <xf numFmtId="0" fontId="2" fillId="7" borderId="17" xfId="1" applyFont="1" applyFill="1" applyBorder="1" applyAlignment="1">
      <alignment vertical="top" wrapText="1"/>
    </xf>
    <xf numFmtId="0" fontId="2" fillId="7" borderId="8" xfId="1" applyFont="1" applyFill="1" applyBorder="1" applyAlignment="1">
      <alignment vertical="top" wrapText="1"/>
    </xf>
    <xf numFmtId="178" fontId="2" fillId="9" borderId="8" xfId="1" applyNumberFormat="1" applyFont="1" applyFill="1" applyBorder="1" applyAlignment="1">
      <alignment vertical="top" wrapText="1"/>
    </xf>
    <xf numFmtId="0" fontId="2" fillId="7" borderId="9" xfId="1" applyFont="1" applyFill="1" applyBorder="1" applyAlignment="1">
      <alignment vertical="top" wrapText="1"/>
    </xf>
    <xf numFmtId="0" fontId="2" fillId="7" borderId="18" xfId="1" applyFont="1" applyFill="1" applyBorder="1" applyAlignment="1">
      <alignment vertical="top" wrapText="1"/>
    </xf>
    <xf numFmtId="0" fontId="2" fillId="7" borderId="19" xfId="1" applyFont="1" applyFill="1" applyBorder="1" applyAlignment="1">
      <alignment vertical="top" wrapText="1"/>
    </xf>
    <xf numFmtId="178" fontId="2" fillId="9" borderId="19" xfId="1" applyNumberFormat="1" applyFont="1" applyFill="1" applyBorder="1" applyAlignment="1">
      <alignment vertical="top" wrapText="1"/>
    </xf>
    <xf numFmtId="0" fontId="2" fillId="7" borderId="20" xfId="1" applyFont="1" applyFill="1" applyBorder="1" applyAlignment="1">
      <alignment vertical="top" wrapText="1"/>
    </xf>
    <xf numFmtId="0" fontId="2" fillId="7" borderId="0" xfId="1" applyFont="1" applyFill="1"/>
    <xf numFmtId="0" fontId="2" fillId="8" borderId="0" xfId="1" applyFont="1" applyFill="1"/>
    <xf numFmtId="176" fontId="2" fillId="8" borderId="0" xfId="1" applyNumberFormat="1" applyFont="1" applyFill="1"/>
    <xf numFmtId="0" fontId="2" fillId="7" borderId="0" xfId="1" applyFont="1" applyFill="1" applyAlignment="1">
      <alignment wrapText="1"/>
    </xf>
    <xf numFmtId="0" fontId="2" fillId="8" borderId="0" xfId="1" applyFont="1" applyFill="1" applyAlignment="1">
      <alignment wrapText="1"/>
    </xf>
    <xf numFmtId="176" fontId="2" fillId="8" borderId="0" xfId="1" applyNumberFormat="1" applyFont="1" applyFill="1" applyAlignment="1">
      <alignment wrapText="1"/>
    </xf>
    <xf numFmtId="176" fontId="2" fillId="7" borderId="0" xfId="1" applyNumberFormat="1" applyFont="1" applyFill="1"/>
    <xf numFmtId="0" fontId="3" fillId="6" borderId="0" xfId="1" applyFont="1" applyFill="1" applyAlignment="1">
      <alignment wrapText="1"/>
    </xf>
    <xf numFmtId="178" fontId="2" fillId="8" borderId="0" xfId="1" applyNumberFormat="1" applyFont="1" applyFill="1" applyAlignment="1">
      <alignment wrapText="1"/>
    </xf>
    <xf numFmtId="178" fontId="5" fillId="8" borderId="0" xfId="1" applyNumberFormat="1" applyFont="1" applyFill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/>
    <xf numFmtId="0" fontId="1" fillId="5" borderId="0" xfId="1" applyFont="1" applyFill="1"/>
    <xf numFmtId="0" fontId="0" fillId="0" borderId="0" xfId="0"/>
    <xf numFmtId="0" fontId="4" fillId="7" borderId="9" xfId="1" applyFont="1" applyFill="1" applyBorder="1" applyAlignment="1">
      <alignment vertical="center" wrapText="1"/>
    </xf>
    <xf numFmtId="0" fontId="4" fillId="7" borderId="13" xfId="1" applyFont="1" applyFill="1" applyBorder="1" applyAlignment="1">
      <alignment vertical="center" wrapText="1"/>
    </xf>
    <xf numFmtId="0" fontId="4" fillId="7" borderId="7" xfId="1" applyFont="1" applyFill="1" applyBorder="1" applyAlignment="1">
      <alignment vertical="center" wrapText="1"/>
    </xf>
    <xf numFmtId="0" fontId="4" fillId="8" borderId="9" xfId="1" applyFont="1" applyFill="1" applyBorder="1" applyAlignment="1">
      <alignment vertical="center" wrapText="1"/>
    </xf>
    <xf numFmtId="0" fontId="4" fillId="8" borderId="13" xfId="1" applyFont="1" applyFill="1" applyBorder="1" applyAlignment="1">
      <alignment vertical="center" wrapText="1"/>
    </xf>
    <xf numFmtId="0" fontId="4" fillId="8" borderId="7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877a7972915c42da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620000" cy="59055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activeCell="A21" sqref="A21"/>
    </sheetView>
  </sheetViews>
  <sheetFormatPr defaultRowHeight="13.8"/>
  <cols>
    <col min="1" max="1" width="24" customWidth="1"/>
    <col min="2" max="2" width="39" customWidth="1"/>
    <col min="3" max="3" width="18" customWidth="1"/>
    <col min="4" max="4" width="36" customWidth="1"/>
    <col min="5" max="5" width="14" customWidth="1"/>
    <col min="6" max="6" width="17" customWidth="1"/>
    <col min="7" max="7" width="19" customWidth="1"/>
    <col min="8" max="8" width="51" customWidth="1"/>
  </cols>
  <sheetData>
    <row r="1" spans="1:8" ht="30" customHeight="1">
      <c r="A1" s="51" t="s">
        <v>448</v>
      </c>
      <c r="B1" s="51"/>
      <c r="C1" s="51"/>
      <c r="D1" s="51"/>
      <c r="E1" s="51"/>
      <c r="F1" s="51"/>
      <c r="G1" s="51"/>
      <c r="H1" s="51"/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23" t="s">
        <v>449</v>
      </c>
      <c r="B3" s="4" t="s">
        <v>450</v>
      </c>
      <c r="C3" s="4"/>
      <c r="D3" s="4"/>
      <c r="E3" s="4"/>
      <c r="F3" s="4"/>
      <c r="G3" s="4"/>
      <c r="H3" s="4"/>
    </row>
    <row r="4" spans="1:8">
      <c r="A4" s="23" t="s">
        <v>451</v>
      </c>
      <c r="B4" s="4" t="s">
        <v>452</v>
      </c>
      <c r="C4" s="4"/>
      <c r="D4" s="4"/>
      <c r="E4" s="4"/>
      <c r="F4" s="4"/>
      <c r="G4" s="4"/>
      <c r="H4" s="4"/>
    </row>
    <row r="5" spans="1:8">
      <c r="A5" s="23" t="s">
        <v>0</v>
      </c>
      <c r="B5" s="4" t="s">
        <v>1</v>
      </c>
      <c r="C5" s="4"/>
      <c r="D5" s="4"/>
      <c r="E5" s="4"/>
      <c r="F5" s="4"/>
      <c r="G5" s="4"/>
      <c r="H5" s="4"/>
    </row>
    <row r="6" spans="1:8">
      <c r="A6" s="23" t="s">
        <v>2</v>
      </c>
      <c r="B6" s="4" t="s">
        <v>3</v>
      </c>
      <c r="C6" s="4"/>
      <c r="D6" s="4"/>
      <c r="E6" s="4"/>
      <c r="F6" s="4"/>
      <c r="G6" s="4"/>
      <c r="H6" s="4"/>
    </row>
    <row r="7" spans="1:8">
      <c r="A7" s="23" t="s">
        <v>4</v>
      </c>
      <c r="B7" s="4" t="s">
        <v>5</v>
      </c>
      <c r="C7" s="4"/>
      <c r="D7" s="4"/>
      <c r="E7" s="4"/>
      <c r="F7" s="4"/>
      <c r="G7" s="4"/>
      <c r="H7" s="4"/>
    </row>
    <row r="8" spans="1:8">
      <c r="A8" s="23" t="s">
        <v>6</v>
      </c>
      <c r="B8" s="4" t="s">
        <v>7</v>
      </c>
      <c r="C8" s="4"/>
      <c r="D8" s="4"/>
      <c r="E8" s="4"/>
      <c r="F8" s="4"/>
      <c r="G8" s="4"/>
      <c r="H8" s="4"/>
    </row>
    <row r="9" spans="1:8">
      <c r="A9" s="23" t="s">
        <v>8</v>
      </c>
      <c r="B9" s="4" t="s">
        <v>9</v>
      </c>
      <c r="C9" s="4"/>
      <c r="D9" s="4"/>
      <c r="E9" s="4"/>
      <c r="F9" s="4"/>
      <c r="G9" s="4"/>
      <c r="H9" s="4"/>
    </row>
    <row r="10" spans="1:8">
      <c r="A10" s="23" t="s">
        <v>453</v>
      </c>
      <c r="B10" s="4" t="s">
        <v>454</v>
      </c>
      <c r="C10" s="4"/>
      <c r="D10" s="4"/>
      <c r="E10" s="4"/>
      <c r="F10" s="4"/>
      <c r="G10" s="4"/>
      <c r="H10" s="4"/>
    </row>
    <row r="11" spans="1:8">
      <c r="A11" s="23" t="s">
        <v>455</v>
      </c>
      <c r="B11" s="4" t="s">
        <v>456</v>
      </c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24" t="s">
        <v>10</v>
      </c>
      <c r="B13" s="25" t="s">
        <v>11</v>
      </c>
      <c r="C13" s="25" t="s">
        <v>12</v>
      </c>
      <c r="D13" s="25" t="s">
        <v>13</v>
      </c>
      <c r="E13" s="25" t="s">
        <v>14</v>
      </c>
      <c r="F13" s="25" t="s">
        <v>15</v>
      </c>
      <c r="G13" s="25" t="s">
        <v>457</v>
      </c>
      <c r="H13" s="26" t="s">
        <v>16</v>
      </c>
    </row>
    <row r="14" spans="1:8" ht="22.8">
      <c r="A14" s="12" t="s">
        <v>17</v>
      </c>
      <c r="B14" s="13" t="s">
        <v>18</v>
      </c>
      <c r="C14" s="13" t="s">
        <v>19</v>
      </c>
      <c r="D14" s="13" t="s">
        <v>20</v>
      </c>
      <c r="E14" s="13" t="s">
        <v>21</v>
      </c>
      <c r="F14" s="13" t="s">
        <v>22</v>
      </c>
      <c r="G14" s="13" t="s">
        <v>23</v>
      </c>
      <c r="H14" s="14" t="s">
        <v>24</v>
      </c>
    </row>
    <row r="15" spans="1:8">
      <c r="A15" s="15" t="s">
        <v>25</v>
      </c>
      <c r="B15" s="16" t="s">
        <v>26</v>
      </c>
      <c r="C15" s="16" t="s">
        <v>19</v>
      </c>
      <c r="D15" s="16" t="s">
        <v>17</v>
      </c>
      <c r="E15" s="16" t="s">
        <v>21</v>
      </c>
      <c r="F15" s="16" t="s">
        <v>22</v>
      </c>
      <c r="G15" s="16" t="s">
        <v>27</v>
      </c>
      <c r="H15" s="17" t="s">
        <v>28</v>
      </c>
    </row>
    <row r="16" spans="1:8">
      <c r="A16" s="15" t="s">
        <v>29</v>
      </c>
      <c r="B16" s="16" t="s">
        <v>30</v>
      </c>
      <c r="C16" s="16" t="s">
        <v>19</v>
      </c>
      <c r="D16" s="16" t="s">
        <v>31</v>
      </c>
      <c r="E16" s="16" t="s">
        <v>21</v>
      </c>
      <c r="F16" s="16" t="s">
        <v>32</v>
      </c>
      <c r="G16" s="16" t="s">
        <v>27</v>
      </c>
      <c r="H16" s="17" t="s">
        <v>33</v>
      </c>
    </row>
    <row r="17" spans="1:8">
      <c r="A17" s="15" t="s">
        <v>34</v>
      </c>
      <c r="B17" s="16" t="s">
        <v>35</v>
      </c>
      <c r="C17" s="16" t="s">
        <v>458</v>
      </c>
      <c r="D17" s="16" t="s">
        <v>459</v>
      </c>
      <c r="E17" s="16" t="s">
        <v>460</v>
      </c>
      <c r="F17" s="16" t="s">
        <v>36</v>
      </c>
      <c r="G17" s="16" t="s">
        <v>27</v>
      </c>
      <c r="H17" s="17" t="s">
        <v>37</v>
      </c>
    </row>
    <row r="18" spans="1:8" ht="22.8">
      <c r="A18" s="15" t="s">
        <v>38</v>
      </c>
      <c r="B18" s="16" t="s">
        <v>39</v>
      </c>
      <c r="C18" s="16" t="s">
        <v>40</v>
      </c>
      <c r="D18" s="16" t="s">
        <v>20</v>
      </c>
      <c r="E18" s="16" t="s">
        <v>21</v>
      </c>
      <c r="F18" s="16" t="s">
        <v>41</v>
      </c>
      <c r="G18" s="16" t="s">
        <v>42</v>
      </c>
      <c r="H18" s="17" t="s">
        <v>43</v>
      </c>
    </row>
    <row r="19" spans="1:8" ht="22.8">
      <c r="A19" s="15" t="s">
        <v>44</v>
      </c>
      <c r="B19" s="16" t="s">
        <v>45</v>
      </c>
      <c r="C19" s="16" t="s">
        <v>40</v>
      </c>
      <c r="D19" s="16" t="s">
        <v>461</v>
      </c>
      <c r="E19" s="16" t="s">
        <v>460</v>
      </c>
      <c r="F19" s="16" t="s">
        <v>22</v>
      </c>
      <c r="G19" s="16" t="s">
        <v>462</v>
      </c>
      <c r="H19" s="17" t="s">
        <v>463</v>
      </c>
    </row>
    <row r="20" spans="1:8" ht="22.8">
      <c r="A20" s="15" t="s">
        <v>46</v>
      </c>
      <c r="B20" s="16" t="s">
        <v>47</v>
      </c>
      <c r="C20" s="16" t="s">
        <v>464</v>
      </c>
      <c r="D20" s="16" t="s">
        <v>465</v>
      </c>
      <c r="E20" s="16" t="s">
        <v>466</v>
      </c>
      <c r="F20" s="16" t="s">
        <v>22</v>
      </c>
      <c r="G20" s="16" t="s">
        <v>462</v>
      </c>
      <c r="H20" s="17" t="s">
        <v>467</v>
      </c>
    </row>
    <row r="21" spans="1:8" ht="22.8">
      <c r="A21" s="15" t="s">
        <v>48</v>
      </c>
      <c r="B21" s="16" t="s">
        <v>49</v>
      </c>
      <c r="C21" s="16" t="s">
        <v>40</v>
      </c>
      <c r="D21" s="16" t="s">
        <v>461</v>
      </c>
      <c r="E21" s="16" t="s">
        <v>460</v>
      </c>
      <c r="F21" s="16" t="s">
        <v>22</v>
      </c>
      <c r="G21" s="16" t="s">
        <v>462</v>
      </c>
      <c r="H21" s="17" t="s">
        <v>468</v>
      </c>
    </row>
    <row r="22" spans="1:8" ht="22.8">
      <c r="A22" s="15" t="s">
        <v>50</v>
      </c>
      <c r="B22" s="16" t="s">
        <v>51</v>
      </c>
      <c r="C22" s="16" t="s">
        <v>469</v>
      </c>
      <c r="D22" s="16" t="s">
        <v>470</v>
      </c>
      <c r="E22" s="16" t="s">
        <v>471</v>
      </c>
      <c r="F22" s="16" t="s">
        <v>472</v>
      </c>
      <c r="G22" s="16" t="s">
        <v>462</v>
      </c>
      <c r="H22" s="17" t="s">
        <v>473</v>
      </c>
    </row>
    <row r="23" spans="1:8">
      <c r="A23" s="18" t="s">
        <v>52</v>
      </c>
      <c r="B23" s="19" t="s">
        <v>53</v>
      </c>
      <c r="C23" s="19" t="s">
        <v>19</v>
      </c>
      <c r="D23" s="19" t="s">
        <v>54</v>
      </c>
      <c r="E23" s="19" t="s">
        <v>21</v>
      </c>
      <c r="F23" s="19" t="s">
        <v>55</v>
      </c>
      <c r="G23" s="19" t="s">
        <v>56</v>
      </c>
      <c r="H23" s="20" t="s">
        <v>57</v>
      </c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 ht="37.950000000000003" customHeight="1">
      <c r="A25" s="53" t="s">
        <v>58</v>
      </c>
      <c r="B25" s="54" t="s">
        <v>58</v>
      </c>
      <c r="C25" s="54" t="s">
        <v>58</v>
      </c>
      <c r="D25" s="54" t="s">
        <v>58</v>
      </c>
      <c r="E25" s="54" t="s">
        <v>58</v>
      </c>
      <c r="F25" s="54" t="s">
        <v>58</v>
      </c>
      <c r="G25" s="54" t="s">
        <v>58</v>
      </c>
      <c r="H25" s="55" t="s">
        <v>58</v>
      </c>
    </row>
    <row r="26" spans="1:8" ht="37.950000000000003" customHeight="1">
      <c r="A26" s="53" t="s">
        <v>59</v>
      </c>
      <c r="B26" s="54" t="s">
        <v>59</v>
      </c>
      <c r="C26" s="54" t="s">
        <v>59</v>
      </c>
      <c r="D26" s="54" t="s">
        <v>59</v>
      </c>
      <c r="E26" s="54" t="s">
        <v>59</v>
      </c>
      <c r="F26" s="54" t="s">
        <v>59</v>
      </c>
      <c r="G26" s="54" t="s">
        <v>59</v>
      </c>
      <c r="H26" s="55" t="s">
        <v>59</v>
      </c>
    </row>
    <row r="27" spans="1:8" ht="37.950000000000003" customHeight="1">
      <c r="A27" s="56" t="s">
        <v>60</v>
      </c>
      <c r="B27" s="57" t="s">
        <v>60</v>
      </c>
      <c r="C27" s="57" t="s">
        <v>60</v>
      </c>
      <c r="D27" s="57" t="s">
        <v>60</v>
      </c>
      <c r="E27" s="57" t="s">
        <v>60</v>
      </c>
      <c r="F27" s="57" t="s">
        <v>60</v>
      </c>
      <c r="G27" s="57" t="s">
        <v>60</v>
      </c>
      <c r="H27" s="58" t="s">
        <v>60</v>
      </c>
    </row>
    <row r="28" spans="1:8" ht="43.95" customHeight="1">
      <c r="A28" s="52"/>
      <c r="B28" s="52"/>
      <c r="C28" s="52"/>
      <c r="D28" s="52"/>
      <c r="E28" s="52"/>
      <c r="F28" s="52"/>
      <c r="G28" s="52"/>
      <c r="H28" s="52"/>
    </row>
    <row r="29" spans="1:8" ht="43.95" customHeight="1">
      <c r="A29" s="52"/>
      <c r="B29" s="52"/>
      <c r="C29" s="52"/>
      <c r="D29" s="52"/>
      <c r="E29" s="52"/>
      <c r="F29" s="52"/>
      <c r="G29" s="52"/>
      <c r="H29" s="52"/>
    </row>
    <row r="30" spans="1:8" ht="43.95" customHeight="1">
      <c r="A30" s="52"/>
      <c r="B30" s="52"/>
      <c r="C30" s="52"/>
      <c r="D30" s="52"/>
      <c r="E30" s="52"/>
      <c r="F30" s="52"/>
      <c r="G30" s="52"/>
      <c r="H30" s="52"/>
    </row>
  </sheetData>
  <mergeCells count="7">
    <mergeCell ref="A1:H1"/>
    <mergeCell ref="A28:H28"/>
    <mergeCell ref="A29:H29"/>
    <mergeCell ref="A30:H30"/>
    <mergeCell ref="A25:H25"/>
    <mergeCell ref="A26:H26"/>
    <mergeCell ref="A27:H2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showGridLines="0" workbookViewId="0"/>
  </sheetViews>
  <sheetFormatPr defaultRowHeight="13.8"/>
  <cols>
    <col min="1" max="1" width="8" customWidth="1"/>
    <col min="2" max="2" width="10" customWidth="1"/>
    <col min="3" max="3" width="24" customWidth="1"/>
    <col min="4" max="4" width="14" customWidth="1"/>
    <col min="5" max="5" width="22" customWidth="1"/>
    <col min="6" max="6" width="33" customWidth="1"/>
    <col min="7" max="7" width="42" customWidth="1"/>
  </cols>
  <sheetData>
    <row r="1" spans="1:7" ht="24">
      <c r="A1" s="1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3" t="s">
        <v>67</v>
      </c>
    </row>
    <row r="2" spans="1:7">
      <c r="A2" s="4">
        <v>1</v>
      </c>
      <c r="B2" s="4" t="s">
        <v>68</v>
      </c>
      <c r="C2" s="4" t="s">
        <v>69</v>
      </c>
      <c r="D2" s="6" t="b">
        <v>0</v>
      </c>
      <c r="E2" s="4">
        <v>0</v>
      </c>
      <c r="F2" s="4" t="s">
        <v>70</v>
      </c>
      <c r="G2" s="4" t="s">
        <v>71</v>
      </c>
    </row>
    <row r="3" spans="1:7">
      <c r="A3" s="4">
        <v>2</v>
      </c>
      <c r="B3" s="4" t="s">
        <v>72</v>
      </c>
      <c r="C3" s="4" t="s">
        <v>73</v>
      </c>
      <c r="D3" s="6" t="b">
        <v>0</v>
      </c>
      <c r="E3" s="4"/>
      <c r="F3" s="4" t="s">
        <v>70</v>
      </c>
      <c r="G3" s="4" t="s">
        <v>71</v>
      </c>
    </row>
    <row r="4" spans="1:7">
      <c r="A4" s="4">
        <v>3</v>
      </c>
      <c r="B4" s="4" t="s">
        <v>74</v>
      </c>
      <c r="C4" s="4" t="s">
        <v>75</v>
      </c>
      <c r="D4" s="6" t="b">
        <v>1</v>
      </c>
      <c r="E4" s="4">
        <v>5.6749999999999998</v>
      </c>
      <c r="F4" s="4" t="s">
        <v>76</v>
      </c>
      <c r="G4" s="4" t="s">
        <v>71</v>
      </c>
    </row>
    <row r="5" spans="1:7">
      <c r="A5" s="4">
        <v>4</v>
      </c>
      <c r="B5" s="4" t="s">
        <v>77</v>
      </c>
      <c r="C5" s="4" t="s">
        <v>78</v>
      </c>
      <c r="D5" s="6" t="b">
        <v>1</v>
      </c>
      <c r="E5" s="4">
        <v>66.781000000000006</v>
      </c>
      <c r="F5" s="4" t="s">
        <v>76</v>
      </c>
      <c r="G5" s="4" t="s">
        <v>71</v>
      </c>
    </row>
    <row r="6" spans="1:7">
      <c r="A6" s="4">
        <v>5</v>
      </c>
      <c r="B6" s="4" t="s">
        <v>79</v>
      </c>
      <c r="C6" s="4" t="s">
        <v>80</v>
      </c>
      <c r="D6" s="6" t="b">
        <v>0</v>
      </c>
      <c r="E6" s="4"/>
      <c r="F6" s="4" t="s">
        <v>70</v>
      </c>
      <c r="G6" s="4" t="s">
        <v>71</v>
      </c>
    </row>
    <row r="7" spans="1:7">
      <c r="A7" s="4">
        <v>6</v>
      </c>
      <c r="B7" s="4" t="s">
        <v>81</v>
      </c>
      <c r="C7" s="4" t="s">
        <v>82</v>
      </c>
      <c r="D7" s="6" t="b">
        <v>0</v>
      </c>
      <c r="E7" s="4"/>
      <c r="F7" s="4" t="s">
        <v>70</v>
      </c>
      <c r="G7" s="4" t="s">
        <v>71</v>
      </c>
    </row>
    <row r="8" spans="1:7">
      <c r="A8" s="4">
        <v>7</v>
      </c>
      <c r="B8" s="4" t="s">
        <v>83</v>
      </c>
      <c r="C8" s="4" t="s">
        <v>84</v>
      </c>
      <c r="D8" s="6" t="b">
        <v>0</v>
      </c>
      <c r="E8" s="4"/>
      <c r="F8" s="4" t="s">
        <v>70</v>
      </c>
      <c r="G8" s="4" t="s">
        <v>71</v>
      </c>
    </row>
    <row r="9" spans="1:7">
      <c r="A9" s="4">
        <v>8</v>
      </c>
      <c r="B9" s="4" t="s">
        <v>85</v>
      </c>
      <c r="C9" s="4" t="s">
        <v>86</v>
      </c>
      <c r="D9" s="6" t="b">
        <v>0</v>
      </c>
      <c r="E9" s="4">
        <v>0</v>
      </c>
      <c r="F9" s="4" t="s">
        <v>70</v>
      </c>
      <c r="G9" s="4" t="s">
        <v>71</v>
      </c>
    </row>
    <row r="10" spans="1:7">
      <c r="A10" s="4">
        <v>9</v>
      </c>
      <c r="B10" s="4" t="s">
        <v>87</v>
      </c>
      <c r="C10" s="4" t="s">
        <v>88</v>
      </c>
      <c r="D10" s="6" t="b">
        <v>0</v>
      </c>
      <c r="E10" s="4"/>
      <c r="F10" s="4" t="s">
        <v>70</v>
      </c>
      <c r="G10" s="4" t="s">
        <v>71</v>
      </c>
    </row>
    <row r="11" spans="1:7">
      <c r="A11" s="4">
        <v>10</v>
      </c>
      <c r="B11" s="4" t="s">
        <v>89</v>
      </c>
      <c r="C11" s="4" t="s">
        <v>90</v>
      </c>
      <c r="D11" s="6" t="b">
        <v>0</v>
      </c>
      <c r="E11" s="4">
        <v>0</v>
      </c>
      <c r="F11" s="4" t="s">
        <v>70</v>
      </c>
      <c r="G11" s="4" t="s">
        <v>71</v>
      </c>
    </row>
    <row r="12" spans="1:7">
      <c r="A12" s="4">
        <v>11</v>
      </c>
      <c r="B12" s="4" t="s">
        <v>91</v>
      </c>
      <c r="C12" s="4" t="s">
        <v>92</v>
      </c>
      <c r="D12" s="6" t="b">
        <v>0</v>
      </c>
      <c r="E12" s="4"/>
      <c r="F12" s="4" t="s">
        <v>70</v>
      </c>
      <c r="G12" s="4" t="s">
        <v>71</v>
      </c>
    </row>
    <row r="13" spans="1:7">
      <c r="A13" s="4">
        <v>12</v>
      </c>
      <c r="B13" s="4" t="s">
        <v>93</v>
      </c>
      <c r="C13" s="4" t="s">
        <v>94</v>
      </c>
      <c r="D13" s="6" t="b">
        <v>0</v>
      </c>
      <c r="E13" s="4"/>
      <c r="F13" s="4" t="s">
        <v>70</v>
      </c>
      <c r="G13" s="4" t="s">
        <v>71</v>
      </c>
    </row>
    <row r="14" spans="1:7">
      <c r="A14" s="4">
        <v>13</v>
      </c>
      <c r="B14" s="4" t="s">
        <v>95</v>
      </c>
      <c r="C14" s="4" t="s">
        <v>96</v>
      </c>
      <c r="D14" s="6" t="b">
        <v>1</v>
      </c>
      <c r="E14" s="4">
        <v>8963.1710000000003</v>
      </c>
      <c r="F14" s="4" t="s">
        <v>76</v>
      </c>
      <c r="G14" s="4" t="s">
        <v>71</v>
      </c>
    </row>
    <row r="15" spans="1:7">
      <c r="A15" s="4">
        <v>14</v>
      </c>
      <c r="B15" s="4" t="s">
        <v>97</v>
      </c>
      <c r="C15" s="4" t="s">
        <v>98</v>
      </c>
      <c r="D15" s="6" t="b">
        <v>0</v>
      </c>
      <c r="E15" s="4"/>
      <c r="F15" s="4" t="s">
        <v>70</v>
      </c>
      <c r="G15" s="4" t="s">
        <v>71</v>
      </c>
    </row>
    <row r="16" spans="1:7">
      <c r="A16" s="4">
        <v>15</v>
      </c>
      <c r="B16" s="4" t="s">
        <v>99</v>
      </c>
      <c r="C16" s="4" t="s">
        <v>100</v>
      </c>
      <c r="D16" s="6" t="b">
        <v>0</v>
      </c>
      <c r="E16" s="4"/>
      <c r="F16" s="4" t="s">
        <v>70</v>
      </c>
      <c r="G16" s="4" t="s">
        <v>71</v>
      </c>
    </row>
    <row r="17" spans="1:7">
      <c r="A17" s="4">
        <v>16</v>
      </c>
      <c r="B17" s="4" t="s">
        <v>101</v>
      </c>
      <c r="C17" s="4" t="s">
        <v>102</v>
      </c>
      <c r="D17" s="6" t="b">
        <v>0</v>
      </c>
      <c r="E17" s="4"/>
      <c r="F17" s="4" t="s">
        <v>70</v>
      </c>
      <c r="G17" s="4" t="s">
        <v>71</v>
      </c>
    </row>
    <row r="18" spans="1:7">
      <c r="A18" s="4">
        <v>17</v>
      </c>
      <c r="B18" s="4" t="s">
        <v>103</v>
      </c>
      <c r="C18" s="4" t="s">
        <v>104</v>
      </c>
      <c r="D18" s="6" t="b">
        <v>0</v>
      </c>
      <c r="E18" s="4"/>
      <c r="F18" s="4" t="s">
        <v>70</v>
      </c>
      <c r="G18" s="4" t="s">
        <v>71</v>
      </c>
    </row>
    <row r="19" spans="1:7">
      <c r="A19" s="4">
        <v>18</v>
      </c>
      <c r="B19" s="4" t="s">
        <v>105</v>
      </c>
      <c r="C19" s="4" t="s">
        <v>106</v>
      </c>
      <c r="D19" s="6" t="b">
        <v>0</v>
      </c>
      <c r="E19" s="4"/>
      <c r="F19" s="4" t="s">
        <v>70</v>
      </c>
      <c r="G19" s="4" t="s">
        <v>71</v>
      </c>
    </row>
    <row r="20" spans="1:7">
      <c r="A20" s="4">
        <v>19</v>
      </c>
      <c r="B20" s="4" t="s">
        <v>107</v>
      </c>
      <c r="C20" s="4" t="s">
        <v>108</v>
      </c>
      <c r="D20" s="6" t="b">
        <v>1</v>
      </c>
      <c r="E20" s="4">
        <v>81.78</v>
      </c>
      <c r="F20" s="4" t="s">
        <v>76</v>
      </c>
      <c r="G20" s="4" t="s">
        <v>71</v>
      </c>
    </row>
    <row r="21" spans="1:7">
      <c r="A21" s="4">
        <v>20</v>
      </c>
      <c r="B21" s="4" t="s">
        <v>109</v>
      </c>
      <c r="C21" s="4" t="s">
        <v>110</v>
      </c>
      <c r="D21" s="6" t="b">
        <v>1</v>
      </c>
      <c r="E21" s="4">
        <v>862.43600000000004</v>
      </c>
      <c r="F21" s="4" t="s">
        <v>76</v>
      </c>
      <c r="G21" s="4" t="s">
        <v>71</v>
      </c>
    </row>
    <row r="22" spans="1:7">
      <c r="A22" s="4">
        <v>21</v>
      </c>
      <c r="B22" s="4" t="s">
        <v>111</v>
      </c>
      <c r="C22" s="4" t="s">
        <v>112</v>
      </c>
      <c r="D22" s="6" t="b">
        <v>0</v>
      </c>
      <c r="E22" s="4"/>
      <c r="F22" s="4" t="s">
        <v>70</v>
      </c>
      <c r="G22" s="4" t="s">
        <v>71</v>
      </c>
    </row>
    <row r="23" spans="1:7">
      <c r="A23" s="4">
        <v>22</v>
      </c>
      <c r="B23" s="4" t="s">
        <v>113</v>
      </c>
      <c r="C23" s="4" t="s">
        <v>114</v>
      </c>
      <c r="D23" s="6" t="b">
        <v>0</v>
      </c>
      <c r="E23" s="4"/>
      <c r="F23" s="4" t="s">
        <v>70</v>
      </c>
      <c r="G23" s="4" t="s">
        <v>71</v>
      </c>
    </row>
    <row r="24" spans="1:7">
      <c r="A24" s="4">
        <v>23</v>
      </c>
      <c r="B24" s="4" t="s">
        <v>115</v>
      </c>
      <c r="C24" s="4" t="s">
        <v>116</v>
      </c>
      <c r="D24" s="6" t="b">
        <v>1</v>
      </c>
      <c r="E24" s="4">
        <v>2.9849999999999999</v>
      </c>
      <c r="F24" s="4" t="s">
        <v>76</v>
      </c>
      <c r="G24" s="4" t="s">
        <v>71</v>
      </c>
    </row>
    <row r="25" spans="1:7">
      <c r="A25" s="4">
        <v>24</v>
      </c>
      <c r="B25" s="4" t="s">
        <v>117</v>
      </c>
      <c r="C25" s="4" t="s">
        <v>118</v>
      </c>
      <c r="D25" s="6" t="b">
        <v>0</v>
      </c>
      <c r="E25" s="4"/>
      <c r="F25" s="4" t="s">
        <v>70</v>
      </c>
      <c r="G25" s="4" t="s">
        <v>71</v>
      </c>
    </row>
    <row r="26" spans="1:7">
      <c r="A26" s="4">
        <v>25</v>
      </c>
      <c r="B26" s="4" t="s">
        <v>119</v>
      </c>
      <c r="C26" s="4" t="s">
        <v>120</v>
      </c>
      <c r="D26" s="6" t="b">
        <v>0</v>
      </c>
      <c r="E26" s="4">
        <v>0</v>
      </c>
      <c r="F26" s="4" t="s">
        <v>70</v>
      </c>
      <c r="G26" s="4" t="s">
        <v>71</v>
      </c>
    </row>
    <row r="27" spans="1:7">
      <c r="A27" s="4">
        <v>26</v>
      </c>
      <c r="B27" s="4" t="s">
        <v>121</v>
      </c>
      <c r="C27" s="4" t="s">
        <v>122</v>
      </c>
      <c r="D27" s="6" t="b">
        <v>1</v>
      </c>
      <c r="E27" s="4">
        <v>15.736000000000001</v>
      </c>
      <c r="F27" s="4" t="s">
        <v>76</v>
      </c>
      <c r="G27" s="4" t="s">
        <v>71</v>
      </c>
    </row>
    <row r="28" spans="1:7">
      <c r="A28" s="4">
        <v>27</v>
      </c>
      <c r="B28" s="4" t="s">
        <v>123</v>
      </c>
      <c r="C28" s="4" t="s">
        <v>124</v>
      </c>
      <c r="D28" s="6" t="b">
        <v>1</v>
      </c>
      <c r="E28" s="4">
        <v>24.632999999999999</v>
      </c>
      <c r="F28" s="4" t="s">
        <v>76</v>
      </c>
      <c r="G28" s="4" t="s">
        <v>71</v>
      </c>
    </row>
    <row r="29" spans="1:7">
      <c r="A29" s="4">
        <v>28</v>
      </c>
      <c r="B29" s="4" t="s">
        <v>125</v>
      </c>
      <c r="C29" s="4" t="s">
        <v>126</v>
      </c>
      <c r="D29" s="6" t="b">
        <v>0</v>
      </c>
      <c r="E29" s="4"/>
      <c r="F29" s="4" t="s">
        <v>70</v>
      </c>
      <c r="G29" s="4" t="s">
        <v>71</v>
      </c>
    </row>
    <row r="30" spans="1:7">
      <c r="A30" s="4">
        <v>29</v>
      </c>
      <c r="B30" s="4" t="s">
        <v>127</v>
      </c>
      <c r="C30" s="4" t="s">
        <v>128</v>
      </c>
      <c r="D30" s="6" t="b">
        <v>0</v>
      </c>
      <c r="E30" s="4"/>
      <c r="F30" s="4" t="s">
        <v>70</v>
      </c>
      <c r="G30" s="4" t="s">
        <v>71</v>
      </c>
    </row>
    <row r="31" spans="1:7">
      <c r="A31" s="4">
        <v>30</v>
      </c>
      <c r="B31" s="4" t="s">
        <v>129</v>
      </c>
      <c r="C31" s="4" t="s">
        <v>130</v>
      </c>
      <c r="D31" s="6" t="b">
        <v>0</v>
      </c>
      <c r="E31" s="4"/>
      <c r="F31" s="4" t="s">
        <v>70</v>
      </c>
      <c r="G31" s="4" t="s">
        <v>71</v>
      </c>
    </row>
    <row r="32" spans="1:7">
      <c r="A32" s="4">
        <v>31</v>
      </c>
      <c r="B32" s="4" t="s">
        <v>131</v>
      </c>
      <c r="C32" s="4" t="s">
        <v>132</v>
      </c>
      <c r="D32" s="6" t="b">
        <v>0</v>
      </c>
      <c r="E32" s="4"/>
      <c r="F32" s="4" t="s">
        <v>70</v>
      </c>
      <c r="G32" s="4" t="s">
        <v>71</v>
      </c>
    </row>
    <row r="33" spans="1:7">
      <c r="A33" s="4">
        <v>32</v>
      </c>
      <c r="B33" s="4" t="s">
        <v>133</v>
      </c>
      <c r="C33" s="4" t="s">
        <v>134</v>
      </c>
      <c r="D33" s="6" t="b">
        <v>0</v>
      </c>
      <c r="E33" s="4"/>
      <c r="F33" s="4" t="s">
        <v>70</v>
      </c>
      <c r="G33" s="4" t="s">
        <v>71</v>
      </c>
    </row>
    <row r="34" spans="1:7">
      <c r="A34" s="4">
        <v>33</v>
      </c>
      <c r="B34" s="4" t="s">
        <v>135</v>
      </c>
      <c r="C34" s="4" t="s">
        <v>136</v>
      </c>
      <c r="D34" s="6" t="b">
        <v>0</v>
      </c>
      <c r="E34" s="4"/>
      <c r="F34" s="4" t="s">
        <v>70</v>
      </c>
      <c r="G34" s="4" t="s">
        <v>71</v>
      </c>
    </row>
    <row r="35" spans="1:7">
      <c r="A35" s="4">
        <v>34</v>
      </c>
      <c r="B35" s="4" t="s">
        <v>137</v>
      </c>
      <c r="C35" s="4" t="s">
        <v>138</v>
      </c>
      <c r="D35" s="6" t="b">
        <v>0</v>
      </c>
      <c r="E35" s="4"/>
      <c r="F35" s="4" t="s">
        <v>70</v>
      </c>
      <c r="G35" s="4" t="s">
        <v>71</v>
      </c>
    </row>
    <row r="36" spans="1:7">
      <c r="A36" s="4">
        <v>35</v>
      </c>
      <c r="B36" s="4" t="s">
        <v>139</v>
      </c>
      <c r="C36" s="4" t="s">
        <v>140</v>
      </c>
      <c r="D36" s="6" t="b">
        <v>0</v>
      </c>
      <c r="E36" s="4"/>
      <c r="F36" s="4" t="s">
        <v>70</v>
      </c>
      <c r="G36" s="4" t="s">
        <v>71</v>
      </c>
    </row>
    <row r="37" spans="1:7">
      <c r="A37" s="4">
        <v>36</v>
      </c>
      <c r="B37" s="4" t="s">
        <v>141</v>
      </c>
      <c r="C37" s="4" t="s">
        <v>142</v>
      </c>
      <c r="D37" s="6" t="b">
        <v>0</v>
      </c>
      <c r="E37" s="4"/>
      <c r="F37" s="4" t="s">
        <v>70</v>
      </c>
      <c r="G37" s="4" t="s">
        <v>71</v>
      </c>
    </row>
    <row r="38" spans="1:7">
      <c r="A38" s="4">
        <v>37</v>
      </c>
      <c r="B38" s="4" t="s">
        <v>143</v>
      </c>
      <c r="C38" s="4" t="s">
        <v>144</v>
      </c>
      <c r="D38" s="6" t="b">
        <v>0</v>
      </c>
      <c r="E38" s="4">
        <v>0</v>
      </c>
      <c r="F38" s="4" t="s">
        <v>70</v>
      </c>
      <c r="G38" s="4" t="s">
        <v>71</v>
      </c>
    </row>
    <row r="39" spans="1:7">
      <c r="A39" s="4">
        <v>38</v>
      </c>
      <c r="B39" s="4" t="s">
        <v>145</v>
      </c>
      <c r="C39" s="4" t="s">
        <v>146</v>
      </c>
      <c r="D39" s="6" t="b">
        <v>0</v>
      </c>
      <c r="E39" s="4"/>
      <c r="F39" s="4" t="s">
        <v>70</v>
      </c>
      <c r="G39" s="4" t="s">
        <v>71</v>
      </c>
    </row>
    <row r="40" spans="1:7">
      <c r="A40" s="4">
        <v>39</v>
      </c>
      <c r="B40" s="4" t="s">
        <v>147</v>
      </c>
      <c r="C40" s="4" t="s">
        <v>148</v>
      </c>
      <c r="D40" s="6" t="b">
        <v>1</v>
      </c>
      <c r="E40" s="4">
        <v>190.10000000000002</v>
      </c>
      <c r="F40" s="4" t="s">
        <v>76</v>
      </c>
      <c r="G40" s="4" t="s">
        <v>71</v>
      </c>
    </row>
    <row r="41" spans="1:7">
      <c r="A41" s="4">
        <v>40</v>
      </c>
      <c r="B41" s="4" t="s">
        <v>149</v>
      </c>
      <c r="C41" s="4" t="s">
        <v>150</v>
      </c>
      <c r="D41" s="6" t="b">
        <v>0</v>
      </c>
      <c r="E41" s="4"/>
      <c r="F41" s="4" t="s">
        <v>70</v>
      </c>
      <c r="G41" s="4" t="s">
        <v>71</v>
      </c>
    </row>
    <row r="42" spans="1:7">
      <c r="A42" s="4">
        <v>41</v>
      </c>
      <c r="B42" s="4" t="s">
        <v>151</v>
      </c>
      <c r="C42" s="4" t="s">
        <v>152</v>
      </c>
      <c r="D42" s="6" t="b">
        <v>0</v>
      </c>
      <c r="E42" s="4"/>
      <c r="F42" s="4" t="s">
        <v>70</v>
      </c>
      <c r="G42" s="4" t="s">
        <v>71</v>
      </c>
    </row>
    <row r="43" spans="1:7">
      <c r="A43" s="4">
        <v>42</v>
      </c>
      <c r="B43" s="4" t="s">
        <v>153</v>
      </c>
      <c r="C43" s="4" t="s">
        <v>154</v>
      </c>
      <c r="D43" s="6" t="b">
        <v>1</v>
      </c>
      <c r="E43" s="4">
        <v>313.46600000000001</v>
      </c>
      <c r="F43" s="4" t="s">
        <v>76</v>
      </c>
      <c r="G43" s="4" t="s">
        <v>71</v>
      </c>
    </row>
    <row r="44" spans="1:7">
      <c r="A44" s="4">
        <v>43</v>
      </c>
      <c r="B44" s="4" t="s">
        <v>155</v>
      </c>
      <c r="C44" s="4" t="s">
        <v>156</v>
      </c>
      <c r="D44" s="6" t="b">
        <v>0</v>
      </c>
      <c r="E44" s="4"/>
      <c r="F44" s="4" t="s">
        <v>70</v>
      </c>
      <c r="G44" s="4" t="s">
        <v>71</v>
      </c>
    </row>
    <row r="45" spans="1:7">
      <c r="A45" s="4">
        <v>44</v>
      </c>
      <c r="B45" s="4" t="s">
        <v>157</v>
      </c>
      <c r="C45" s="4" t="s">
        <v>158</v>
      </c>
      <c r="D45" s="6" t="b">
        <v>0</v>
      </c>
      <c r="E45" s="4"/>
      <c r="F45" s="4" t="s">
        <v>70</v>
      </c>
      <c r="G45" s="4" t="s">
        <v>71</v>
      </c>
    </row>
    <row r="46" spans="1:7">
      <c r="A46" s="4">
        <v>45</v>
      </c>
      <c r="B46" s="4" t="s">
        <v>159</v>
      </c>
      <c r="C46" s="4" t="s">
        <v>160</v>
      </c>
      <c r="D46" s="6" t="b">
        <v>0</v>
      </c>
      <c r="E46" s="4"/>
      <c r="F46" s="4" t="s">
        <v>70</v>
      </c>
      <c r="G46" s="4" t="s">
        <v>71</v>
      </c>
    </row>
    <row r="47" spans="1:7">
      <c r="A47" s="4">
        <v>46</v>
      </c>
      <c r="B47" s="4" t="s">
        <v>161</v>
      </c>
      <c r="C47" s="4" t="s">
        <v>162</v>
      </c>
      <c r="D47" s="6" t="b">
        <v>0</v>
      </c>
      <c r="E47" s="4"/>
      <c r="F47" s="4" t="s">
        <v>70</v>
      </c>
      <c r="G47" s="4" t="s">
        <v>71</v>
      </c>
    </row>
    <row r="48" spans="1:7">
      <c r="A48" s="4">
        <v>47</v>
      </c>
      <c r="B48" s="4" t="s">
        <v>163</v>
      </c>
      <c r="C48" s="4" t="s">
        <v>164</v>
      </c>
      <c r="D48" s="6" t="b">
        <v>0</v>
      </c>
      <c r="E48" s="4"/>
      <c r="F48" s="4" t="s">
        <v>70</v>
      </c>
      <c r="G48" s="4" t="s">
        <v>71</v>
      </c>
    </row>
    <row r="49" spans="1:7">
      <c r="A49" s="4">
        <v>48</v>
      </c>
      <c r="B49" s="4" t="s">
        <v>165</v>
      </c>
      <c r="C49" s="4" t="s">
        <v>166</v>
      </c>
      <c r="D49" s="6" t="b">
        <v>1</v>
      </c>
      <c r="E49" s="4">
        <v>96.713999999999999</v>
      </c>
      <c r="F49" s="4" t="s">
        <v>76</v>
      </c>
      <c r="G49" s="4" t="s">
        <v>71</v>
      </c>
    </row>
    <row r="50" spans="1:7">
      <c r="A50" s="4">
        <v>49</v>
      </c>
      <c r="B50" s="4" t="s">
        <v>167</v>
      </c>
      <c r="C50" s="4" t="s">
        <v>168</v>
      </c>
      <c r="D50" s="6" t="b">
        <v>0</v>
      </c>
      <c r="E50" s="4"/>
      <c r="F50" s="4" t="s">
        <v>70</v>
      </c>
      <c r="G50" s="4" t="s">
        <v>71</v>
      </c>
    </row>
    <row r="51" spans="1:7">
      <c r="A51" s="4">
        <v>50</v>
      </c>
      <c r="B51" s="4" t="s">
        <v>169</v>
      </c>
      <c r="C51" s="4" t="s">
        <v>170</v>
      </c>
      <c r="D51" s="6" t="b">
        <v>0</v>
      </c>
      <c r="E51" s="4"/>
      <c r="F51" s="4" t="s">
        <v>70</v>
      </c>
      <c r="G51" s="4" t="s">
        <v>71</v>
      </c>
    </row>
    <row r="52" spans="1:7">
      <c r="A52" s="4">
        <v>51</v>
      </c>
      <c r="B52" s="4" t="s">
        <v>171</v>
      </c>
      <c r="C52" s="4" t="s">
        <v>172</v>
      </c>
      <c r="D52" s="6" t="b">
        <v>0</v>
      </c>
      <c r="E52" s="4"/>
      <c r="F52" s="4" t="s">
        <v>70</v>
      </c>
      <c r="G52" s="4" t="s">
        <v>71</v>
      </c>
    </row>
    <row r="53" spans="1:7">
      <c r="A53" s="4">
        <v>52</v>
      </c>
      <c r="B53" s="4" t="s">
        <v>173</v>
      </c>
      <c r="C53" s="4" t="s">
        <v>174</v>
      </c>
      <c r="D53" s="6" t="b">
        <v>0</v>
      </c>
      <c r="E53" s="4"/>
      <c r="F53" s="4" t="s">
        <v>70</v>
      </c>
      <c r="G53" s="4" t="s">
        <v>71</v>
      </c>
    </row>
    <row r="54" spans="1:7">
      <c r="A54" s="4">
        <v>53</v>
      </c>
      <c r="B54" s="4" t="s">
        <v>175</v>
      </c>
      <c r="C54" s="4" t="s">
        <v>176</v>
      </c>
      <c r="D54" s="6" t="b">
        <v>0</v>
      </c>
      <c r="E54" s="4">
        <v>0</v>
      </c>
      <c r="F54" s="4" t="s">
        <v>70</v>
      </c>
      <c r="G54" s="4" t="s">
        <v>71</v>
      </c>
    </row>
    <row r="55" spans="1:7">
      <c r="A55" s="4">
        <v>54</v>
      </c>
      <c r="B55" s="4" t="s">
        <v>177</v>
      </c>
      <c r="C55" s="4" t="s">
        <v>178</v>
      </c>
      <c r="D55" s="6" t="b">
        <v>0</v>
      </c>
      <c r="E55" s="4"/>
      <c r="F55" s="4" t="s">
        <v>70</v>
      </c>
      <c r="G55" s="4" t="s">
        <v>71</v>
      </c>
    </row>
    <row r="56" spans="1:7">
      <c r="A56" s="4">
        <v>55</v>
      </c>
      <c r="B56" s="4" t="s">
        <v>179</v>
      </c>
      <c r="C56" s="4" t="s">
        <v>180</v>
      </c>
      <c r="D56" s="6" t="b">
        <v>0</v>
      </c>
      <c r="E56" s="4"/>
      <c r="F56" s="4" t="s">
        <v>70</v>
      </c>
      <c r="G56" s="4" t="s">
        <v>71</v>
      </c>
    </row>
    <row r="57" spans="1:7">
      <c r="A57" s="4">
        <v>56</v>
      </c>
      <c r="B57" s="4" t="s">
        <v>181</v>
      </c>
      <c r="C57" s="4" t="s">
        <v>182</v>
      </c>
      <c r="D57" s="6" t="b">
        <v>0</v>
      </c>
      <c r="E57" s="4"/>
      <c r="F57" s="4" t="s">
        <v>70</v>
      </c>
      <c r="G57" s="4" t="s">
        <v>71</v>
      </c>
    </row>
    <row r="58" spans="1:7">
      <c r="A58" s="4">
        <v>57</v>
      </c>
      <c r="B58" s="4" t="s">
        <v>183</v>
      </c>
      <c r="C58" s="4" t="s">
        <v>184</v>
      </c>
      <c r="D58" s="6" t="b">
        <v>0</v>
      </c>
      <c r="E58" s="4"/>
      <c r="F58" s="4" t="s">
        <v>70</v>
      </c>
      <c r="G58" s="4" t="s">
        <v>71</v>
      </c>
    </row>
    <row r="59" spans="1:7">
      <c r="A59" s="4">
        <v>58</v>
      </c>
      <c r="B59" s="4" t="s">
        <v>185</v>
      </c>
      <c r="C59" s="4" t="s">
        <v>186</v>
      </c>
      <c r="D59" s="6" t="b">
        <v>0</v>
      </c>
      <c r="E59" s="4"/>
      <c r="F59" s="4" t="s">
        <v>70</v>
      </c>
      <c r="G59" s="4" t="s">
        <v>71</v>
      </c>
    </row>
    <row r="60" spans="1:7">
      <c r="A60" s="4">
        <v>59</v>
      </c>
      <c r="B60" s="4" t="s">
        <v>187</v>
      </c>
      <c r="C60" s="4" t="s">
        <v>188</v>
      </c>
      <c r="D60" s="6" t="b">
        <v>1</v>
      </c>
      <c r="E60" s="4">
        <v>1.7709999999999999</v>
      </c>
      <c r="F60" s="4" t="s">
        <v>76</v>
      </c>
      <c r="G60" s="4" t="s">
        <v>71</v>
      </c>
    </row>
    <row r="61" spans="1:7">
      <c r="A61" s="4">
        <v>60</v>
      </c>
      <c r="B61" s="4" t="s">
        <v>189</v>
      </c>
      <c r="C61" s="4" t="s">
        <v>190</v>
      </c>
      <c r="D61" s="6" t="b">
        <v>0</v>
      </c>
      <c r="E61" s="4">
        <v>0</v>
      </c>
      <c r="F61" s="4" t="s">
        <v>70</v>
      </c>
      <c r="G61" s="4" t="s">
        <v>71</v>
      </c>
    </row>
    <row r="62" spans="1:7">
      <c r="A62" s="4">
        <v>61</v>
      </c>
      <c r="B62" s="4" t="s">
        <v>191</v>
      </c>
      <c r="C62" s="4" t="s">
        <v>192</v>
      </c>
      <c r="D62" s="6" t="b">
        <v>0</v>
      </c>
      <c r="E62" s="4"/>
      <c r="F62" s="4" t="s">
        <v>70</v>
      </c>
      <c r="G62" s="4" t="s">
        <v>71</v>
      </c>
    </row>
    <row r="63" spans="1:7">
      <c r="A63" s="4">
        <v>62</v>
      </c>
      <c r="B63" s="4" t="s">
        <v>193</v>
      </c>
      <c r="C63" s="4" t="s">
        <v>194</v>
      </c>
      <c r="D63" s="6" t="b">
        <v>0</v>
      </c>
      <c r="E63" s="4">
        <v>0</v>
      </c>
      <c r="F63" s="4" t="s">
        <v>70</v>
      </c>
      <c r="G63" s="4" t="s">
        <v>71</v>
      </c>
    </row>
    <row r="64" spans="1:7">
      <c r="A64" s="4">
        <v>63</v>
      </c>
      <c r="B64" s="4" t="s">
        <v>195</v>
      </c>
      <c r="C64" s="4" t="s">
        <v>196</v>
      </c>
      <c r="D64" s="6" t="b">
        <v>0</v>
      </c>
      <c r="E64" s="4"/>
      <c r="F64" s="4" t="s">
        <v>70</v>
      </c>
      <c r="G64" s="4" t="s">
        <v>71</v>
      </c>
    </row>
    <row r="65" spans="1:7">
      <c r="A65" s="4">
        <v>64</v>
      </c>
      <c r="B65" s="4" t="s">
        <v>197</v>
      </c>
      <c r="C65" s="4" t="s">
        <v>198</v>
      </c>
      <c r="D65" s="6" t="b">
        <v>0</v>
      </c>
      <c r="E65" s="4"/>
      <c r="F65" s="4" t="s">
        <v>70</v>
      </c>
      <c r="G65" s="4" t="s">
        <v>71</v>
      </c>
    </row>
    <row r="66" spans="1:7">
      <c r="A66" s="4">
        <v>65</v>
      </c>
      <c r="B66" s="4" t="s">
        <v>199</v>
      </c>
      <c r="C66" s="4" t="s">
        <v>200</v>
      </c>
      <c r="D66" s="6" t="b">
        <v>0</v>
      </c>
      <c r="E66" s="4"/>
      <c r="F66" s="4" t="s">
        <v>70</v>
      </c>
      <c r="G66" s="4" t="s">
        <v>71</v>
      </c>
    </row>
    <row r="67" spans="1:7">
      <c r="A67" s="4">
        <v>66</v>
      </c>
      <c r="B67" s="4" t="s">
        <v>201</v>
      </c>
      <c r="C67" s="4" t="s">
        <v>202</v>
      </c>
      <c r="D67" s="6" t="b">
        <v>0</v>
      </c>
      <c r="E67" s="4">
        <v>0</v>
      </c>
      <c r="F67" s="4" t="s">
        <v>70</v>
      </c>
      <c r="G67" s="4" t="s">
        <v>71</v>
      </c>
    </row>
    <row r="68" spans="1:7">
      <c r="A68" s="4">
        <v>67</v>
      </c>
      <c r="B68" s="4" t="s">
        <v>203</v>
      </c>
      <c r="C68" s="4" t="s">
        <v>204</v>
      </c>
      <c r="D68" s="6" t="b">
        <v>0</v>
      </c>
      <c r="E68" s="4"/>
      <c r="F68" s="4" t="s">
        <v>70</v>
      </c>
      <c r="G68" s="4" t="s">
        <v>71</v>
      </c>
    </row>
    <row r="69" spans="1:7">
      <c r="A69" s="4">
        <v>68</v>
      </c>
      <c r="B69" s="4" t="s">
        <v>205</v>
      </c>
      <c r="C69" s="4" t="s">
        <v>206</v>
      </c>
      <c r="D69" s="6" t="b">
        <v>0</v>
      </c>
      <c r="E69" s="4">
        <v>0</v>
      </c>
      <c r="F69" s="4" t="s">
        <v>70</v>
      </c>
      <c r="G69" s="4" t="s">
        <v>71</v>
      </c>
    </row>
    <row r="70" spans="1:7">
      <c r="A70" s="4">
        <v>69</v>
      </c>
      <c r="B70" s="4" t="s">
        <v>207</v>
      </c>
      <c r="C70" s="4" t="s">
        <v>208</v>
      </c>
      <c r="D70" s="6" t="b">
        <v>0</v>
      </c>
      <c r="E70" s="4"/>
      <c r="F70" s="4" t="s">
        <v>70</v>
      </c>
      <c r="G70" s="4" t="s">
        <v>71</v>
      </c>
    </row>
    <row r="71" spans="1:7">
      <c r="A71" s="4">
        <v>70</v>
      </c>
      <c r="B71" s="4" t="s">
        <v>209</v>
      </c>
      <c r="C71" s="4" t="s">
        <v>210</v>
      </c>
      <c r="D71" s="6" t="b">
        <v>0</v>
      </c>
      <c r="E71" s="4"/>
      <c r="F71" s="4" t="s">
        <v>70</v>
      </c>
      <c r="G71" s="4" t="s">
        <v>71</v>
      </c>
    </row>
    <row r="72" spans="1:7">
      <c r="A72" s="4">
        <v>71</v>
      </c>
      <c r="B72" s="4" t="s">
        <v>211</v>
      </c>
      <c r="C72" s="4" t="s">
        <v>212</v>
      </c>
      <c r="D72" s="6" t="b">
        <v>0</v>
      </c>
      <c r="E72" s="4">
        <v>0</v>
      </c>
      <c r="F72" s="4" t="s">
        <v>70</v>
      </c>
      <c r="G72" s="4" t="s">
        <v>71</v>
      </c>
    </row>
    <row r="73" spans="1:7">
      <c r="A73" s="4">
        <v>72</v>
      </c>
      <c r="B73" s="4" t="s">
        <v>213</v>
      </c>
      <c r="C73" s="4" t="s">
        <v>214</v>
      </c>
      <c r="D73" s="6" t="b">
        <v>0</v>
      </c>
      <c r="E73" s="4"/>
      <c r="F73" s="4" t="s">
        <v>70</v>
      </c>
      <c r="G73" s="4" t="s">
        <v>71</v>
      </c>
    </row>
    <row r="74" spans="1:7">
      <c r="A74" s="4">
        <v>73</v>
      </c>
      <c r="B74" s="4" t="s">
        <v>215</v>
      </c>
      <c r="C74" s="4" t="s">
        <v>216</v>
      </c>
      <c r="D74" s="6" t="b">
        <v>0</v>
      </c>
      <c r="E74" s="4"/>
      <c r="F74" s="4" t="s">
        <v>70</v>
      </c>
      <c r="G74" s="4" t="s">
        <v>71</v>
      </c>
    </row>
    <row r="75" spans="1:7">
      <c r="A75" s="4">
        <v>74</v>
      </c>
      <c r="B75" s="4" t="s">
        <v>217</v>
      </c>
      <c r="C75" s="4" t="s">
        <v>218</v>
      </c>
      <c r="D75" s="6" t="b">
        <v>1</v>
      </c>
      <c r="E75" s="4">
        <v>977.87299999999993</v>
      </c>
      <c r="F75" s="4" t="s">
        <v>76</v>
      </c>
      <c r="G75" s="4" t="s">
        <v>71</v>
      </c>
    </row>
    <row r="76" spans="1:7">
      <c r="A76" s="4">
        <v>75</v>
      </c>
      <c r="B76" s="4" t="s">
        <v>219</v>
      </c>
      <c r="C76" s="4" t="s">
        <v>220</v>
      </c>
      <c r="D76" s="6" t="b">
        <v>0</v>
      </c>
      <c r="E76" s="4"/>
      <c r="F76" s="4" t="s">
        <v>70</v>
      </c>
      <c r="G76" s="4" t="s">
        <v>71</v>
      </c>
    </row>
    <row r="77" spans="1:7">
      <c r="A77" s="4">
        <v>76</v>
      </c>
      <c r="B77" s="4" t="s">
        <v>221</v>
      </c>
      <c r="C77" s="4" t="s">
        <v>222</v>
      </c>
      <c r="D77" s="6" t="b">
        <v>0</v>
      </c>
      <c r="E77" s="4">
        <v>0</v>
      </c>
      <c r="F77" s="4" t="s">
        <v>70</v>
      </c>
      <c r="G77" s="4" t="s">
        <v>71</v>
      </c>
    </row>
    <row r="78" spans="1:7">
      <c r="A78" s="4">
        <v>77</v>
      </c>
      <c r="B78" s="4" t="s">
        <v>223</v>
      </c>
      <c r="C78" s="4" t="s">
        <v>224</v>
      </c>
      <c r="D78" s="6" t="b">
        <v>0</v>
      </c>
      <c r="E78" s="4"/>
      <c r="F78" s="4" t="s">
        <v>70</v>
      </c>
      <c r="G78" s="4" t="s">
        <v>71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showGridLines="0" topLeftCell="A7" workbookViewId="0"/>
  </sheetViews>
  <sheetFormatPr defaultRowHeight="13.8"/>
  <cols>
    <col min="1" max="1" width="8" customWidth="1"/>
    <col min="2" max="2" width="16" customWidth="1"/>
    <col min="3" max="3" width="75" customWidth="1"/>
    <col min="4" max="4" width="18" customWidth="1"/>
  </cols>
  <sheetData>
    <row r="1" spans="1:4" ht="13.5" customHeight="1">
      <c r="A1" s="1" t="s">
        <v>61</v>
      </c>
      <c r="B1" s="2" t="s">
        <v>474</v>
      </c>
      <c r="C1" s="2" t="s">
        <v>475</v>
      </c>
      <c r="D1" s="3" t="s">
        <v>476</v>
      </c>
    </row>
    <row r="2" spans="1:4" ht="13.5" customHeight="1">
      <c r="A2" s="4">
        <v>1</v>
      </c>
      <c r="B2" s="4" t="s">
        <v>477</v>
      </c>
      <c r="C2" s="48" t="s">
        <v>478</v>
      </c>
      <c r="D2" s="48" t="s">
        <v>479</v>
      </c>
    </row>
    <row r="3" spans="1:4" ht="13.5" customHeight="1">
      <c r="A3" s="4">
        <v>2</v>
      </c>
      <c r="B3" s="4" t="s">
        <v>480</v>
      </c>
      <c r="C3" s="48" t="s">
        <v>481</v>
      </c>
      <c r="D3" s="48" t="s">
        <v>482</v>
      </c>
    </row>
    <row r="4" spans="1:4" ht="13.5" customHeight="1">
      <c r="A4" s="4">
        <v>3</v>
      </c>
      <c r="B4" s="4" t="s">
        <v>483</v>
      </c>
      <c r="C4" s="48" t="s">
        <v>484</v>
      </c>
      <c r="D4" s="48" t="s">
        <v>485</v>
      </c>
    </row>
    <row r="5" spans="1:4" ht="13.5" customHeight="1">
      <c r="A5" s="4">
        <v>4</v>
      </c>
      <c r="B5" s="4" t="s">
        <v>486</v>
      </c>
      <c r="C5" s="48" t="s">
        <v>487</v>
      </c>
      <c r="D5" s="48" t="s">
        <v>488</v>
      </c>
    </row>
    <row r="6" spans="1:4" ht="13.5" customHeight="1">
      <c r="A6" s="4">
        <v>5</v>
      </c>
      <c r="B6" s="4" t="s">
        <v>489</v>
      </c>
      <c r="C6" s="48" t="s">
        <v>490</v>
      </c>
      <c r="D6" s="48" t="s">
        <v>491</v>
      </c>
    </row>
    <row r="7" spans="1:4" ht="13.5" customHeight="1">
      <c r="A7" s="4">
        <v>6</v>
      </c>
      <c r="B7" s="4" t="s">
        <v>492</v>
      </c>
      <c r="C7" s="48" t="s">
        <v>493</v>
      </c>
      <c r="D7" s="48" t="s">
        <v>494</v>
      </c>
    </row>
    <row r="8" spans="1:4" ht="13.5" customHeight="1">
      <c r="A8" s="4">
        <v>7</v>
      </c>
      <c r="B8" s="4" t="s">
        <v>495</v>
      </c>
      <c r="C8" s="48" t="s">
        <v>496</v>
      </c>
      <c r="D8" s="48" t="s">
        <v>497</v>
      </c>
    </row>
    <row r="9" spans="1:4" ht="13.5" customHeight="1">
      <c r="A9" s="4">
        <v>8</v>
      </c>
      <c r="B9" s="4" t="s">
        <v>498</v>
      </c>
      <c r="C9" s="48" t="s">
        <v>499</v>
      </c>
      <c r="D9" s="48" t="s">
        <v>500</v>
      </c>
    </row>
    <row r="10" spans="1:4" ht="13.5" customHeight="1">
      <c r="A10" s="4">
        <v>9</v>
      </c>
      <c r="B10" s="4" t="s">
        <v>501</v>
      </c>
      <c r="C10" s="48" t="s">
        <v>502</v>
      </c>
      <c r="D10" s="48" t="s">
        <v>503</v>
      </c>
    </row>
    <row r="11" spans="1:4" ht="13.5" customHeight="1">
      <c r="A11" s="4">
        <v>10</v>
      </c>
      <c r="B11" s="4" t="s">
        <v>504</v>
      </c>
      <c r="C11" s="48" t="s">
        <v>505</v>
      </c>
      <c r="D11" s="48" t="s">
        <v>506</v>
      </c>
    </row>
    <row r="12" spans="1:4" ht="13.5" customHeight="1">
      <c r="A12" s="4">
        <v>11</v>
      </c>
      <c r="B12" s="4" t="s">
        <v>507</v>
      </c>
      <c r="C12" s="48" t="s">
        <v>508</v>
      </c>
      <c r="D12" s="48" t="s">
        <v>509</v>
      </c>
    </row>
    <row r="13" spans="1:4" ht="13.5" customHeight="1">
      <c r="A13" s="4">
        <v>12</v>
      </c>
      <c r="B13" s="4" t="s">
        <v>510</v>
      </c>
      <c r="C13" s="48" t="s">
        <v>511</v>
      </c>
      <c r="D13" s="48" t="s">
        <v>512</v>
      </c>
    </row>
    <row r="14" spans="1:4" ht="13.5" customHeight="1">
      <c r="A14" s="4">
        <v>13</v>
      </c>
      <c r="B14" s="4" t="s">
        <v>513</v>
      </c>
      <c r="C14" s="48" t="s">
        <v>514</v>
      </c>
      <c r="D14" s="48" t="s">
        <v>515</v>
      </c>
    </row>
    <row r="15" spans="1:4" ht="13.5" customHeight="1">
      <c r="A15" s="4">
        <v>14</v>
      </c>
      <c r="B15" s="4" t="s">
        <v>391</v>
      </c>
      <c r="C15" s="48" t="s">
        <v>516</v>
      </c>
      <c r="D15" s="48" t="s">
        <v>517</v>
      </c>
    </row>
    <row r="16" spans="1:4" ht="13.5" customHeight="1">
      <c r="A16" s="4">
        <v>15</v>
      </c>
      <c r="B16" s="4" t="s">
        <v>518</v>
      </c>
      <c r="C16" s="48" t="s">
        <v>519</v>
      </c>
      <c r="D16" s="48" t="s">
        <v>520</v>
      </c>
    </row>
    <row r="17" spans="1:4" ht="13.5" customHeight="1">
      <c r="A17" s="4">
        <v>16</v>
      </c>
      <c r="B17" s="4" t="s">
        <v>521</v>
      </c>
      <c r="C17" s="48" t="s">
        <v>522</v>
      </c>
      <c r="D17" s="48" t="s">
        <v>523</v>
      </c>
    </row>
    <row r="18" spans="1:4" ht="13.5" customHeight="1">
      <c r="A18" s="4">
        <v>17</v>
      </c>
      <c r="B18" s="4" t="s">
        <v>524</v>
      </c>
      <c r="C18" s="48" t="s">
        <v>525</v>
      </c>
      <c r="D18" s="48" t="s">
        <v>526</v>
      </c>
    </row>
    <row r="19" spans="1:4" ht="13.5" customHeight="1">
      <c r="A19" s="4">
        <v>18</v>
      </c>
      <c r="B19" s="4" t="s">
        <v>527</v>
      </c>
      <c r="C19" s="48" t="s">
        <v>528</v>
      </c>
      <c r="D19" s="48" t="s">
        <v>529</v>
      </c>
    </row>
    <row r="20" spans="1:4" ht="13.5" customHeight="1">
      <c r="A20" s="4">
        <v>19</v>
      </c>
      <c r="B20" s="4" t="s">
        <v>530</v>
      </c>
      <c r="C20" s="48" t="s">
        <v>531</v>
      </c>
      <c r="D20" s="48" t="s">
        <v>532</v>
      </c>
    </row>
    <row r="21" spans="1:4" ht="13.5" customHeight="1">
      <c r="A21" s="4">
        <v>20</v>
      </c>
      <c r="B21" s="4" t="s">
        <v>533</v>
      </c>
      <c r="C21" s="48" t="s">
        <v>534</v>
      </c>
      <c r="D21" s="48" t="s">
        <v>535</v>
      </c>
    </row>
    <row r="22" spans="1:4" ht="13.5" customHeight="1">
      <c r="A22" s="4">
        <v>21</v>
      </c>
      <c r="B22" s="4" t="s">
        <v>331</v>
      </c>
      <c r="C22" s="48" t="s">
        <v>536</v>
      </c>
      <c r="D22" s="48" t="s">
        <v>537</v>
      </c>
    </row>
    <row r="23" spans="1:4" ht="13.5" customHeight="1">
      <c r="A23" s="4">
        <v>22</v>
      </c>
      <c r="B23" s="4" t="s">
        <v>327</v>
      </c>
      <c r="C23" s="48" t="s">
        <v>538</v>
      </c>
      <c r="D23" s="48" t="s">
        <v>539</v>
      </c>
    </row>
    <row r="24" spans="1:4" ht="13.5" customHeight="1">
      <c r="A24" s="4">
        <v>23</v>
      </c>
      <c r="B24" s="4" t="s">
        <v>540</v>
      </c>
      <c r="C24" s="48" t="s">
        <v>541</v>
      </c>
      <c r="D24" s="48" t="s">
        <v>542</v>
      </c>
    </row>
    <row r="25" spans="1:4" ht="13.5" customHeight="1">
      <c r="A25" s="4">
        <v>24</v>
      </c>
      <c r="B25" s="4" t="s">
        <v>339</v>
      </c>
      <c r="C25" s="48" t="s">
        <v>543</v>
      </c>
      <c r="D25" s="48" t="s">
        <v>544</v>
      </c>
    </row>
    <row r="26" spans="1:4" ht="13.5" customHeight="1">
      <c r="A26" s="4">
        <v>25</v>
      </c>
      <c r="B26" s="4" t="s">
        <v>545</v>
      </c>
      <c r="C26" s="48" t="s">
        <v>546</v>
      </c>
      <c r="D26" s="48" t="s">
        <v>547</v>
      </c>
    </row>
    <row r="27" spans="1:4" ht="13.5" customHeight="1">
      <c r="A27" s="4">
        <v>26</v>
      </c>
      <c r="B27" s="4" t="s">
        <v>548</v>
      </c>
      <c r="C27" s="48" t="s">
        <v>549</v>
      </c>
      <c r="D27" s="48" t="s">
        <v>550</v>
      </c>
    </row>
    <row r="28" spans="1:4" ht="13.5" customHeight="1">
      <c r="A28" s="4">
        <v>27</v>
      </c>
      <c r="B28" s="4" t="s">
        <v>551</v>
      </c>
      <c r="C28" s="48" t="s">
        <v>552</v>
      </c>
      <c r="D28" s="48" t="s">
        <v>553</v>
      </c>
    </row>
    <row r="29" spans="1:4" ht="13.5" customHeight="1">
      <c r="A29" s="4">
        <v>28</v>
      </c>
      <c r="B29" s="4" t="s">
        <v>554</v>
      </c>
      <c r="C29" s="48" t="s">
        <v>555</v>
      </c>
      <c r="D29" s="48" t="s">
        <v>556</v>
      </c>
    </row>
    <row r="30" spans="1:4" ht="13.5" customHeight="1">
      <c r="A30" s="4">
        <v>29</v>
      </c>
      <c r="B30" s="4" t="s">
        <v>256</v>
      </c>
      <c r="C30" s="48" t="s">
        <v>557</v>
      </c>
      <c r="D30" s="48" t="s">
        <v>558</v>
      </c>
    </row>
    <row r="31" spans="1:4" ht="13.5" customHeight="1">
      <c r="A31" s="4">
        <v>30</v>
      </c>
      <c r="B31" s="4" t="s">
        <v>559</v>
      </c>
      <c r="C31" s="48" t="s">
        <v>560</v>
      </c>
      <c r="D31" s="48" t="s">
        <v>561</v>
      </c>
    </row>
    <row r="32" spans="1:4" ht="13.5" customHeight="1">
      <c r="A32" s="4">
        <v>31</v>
      </c>
      <c r="B32" s="4" t="s">
        <v>562</v>
      </c>
      <c r="C32" s="48" t="s">
        <v>563</v>
      </c>
      <c r="D32" s="48" t="s">
        <v>564</v>
      </c>
    </row>
    <row r="33" spans="1:4" ht="13.5" customHeight="1">
      <c r="A33" s="4">
        <v>32</v>
      </c>
      <c r="B33" s="4" t="s">
        <v>565</v>
      </c>
      <c r="C33" s="48" t="s">
        <v>566</v>
      </c>
      <c r="D33" s="48" t="s">
        <v>567</v>
      </c>
    </row>
    <row r="34" spans="1:4" ht="13.5" customHeight="1">
      <c r="A34" s="4">
        <v>33</v>
      </c>
      <c r="B34" s="4" t="s">
        <v>568</v>
      </c>
      <c r="C34" s="48" t="s">
        <v>569</v>
      </c>
      <c r="D34" s="48" t="s">
        <v>570</v>
      </c>
    </row>
    <row r="35" spans="1:4" ht="13.5" customHeight="1">
      <c r="A35" s="4">
        <v>34</v>
      </c>
      <c r="B35" s="4" t="s">
        <v>571</v>
      </c>
      <c r="C35" s="48" t="s">
        <v>572</v>
      </c>
      <c r="D35" s="48" t="s">
        <v>573</v>
      </c>
    </row>
    <row r="36" spans="1:4" ht="13.5" customHeight="1">
      <c r="A36" s="4">
        <v>35</v>
      </c>
      <c r="B36" s="4" t="s">
        <v>574</v>
      </c>
      <c r="C36" s="48" t="s">
        <v>575</v>
      </c>
      <c r="D36" s="48" t="s">
        <v>576</v>
      </c>
    </row>
    <row r="37" spans="1:4" ht="13.5" customHeight="1">
      <c r="A37" s="4">
        <v>36</v>
      </c>
      <c r="B37" s="4" t="s">
        <v>577</v>
      </c>
      <c r="C37" s="48" t="s">
        <v>578</v>
      </c>
      <c r="D37" s="48" t="s">
        <v>579</v>
      </c>
    </row>
    <row r="38" spans="1:4" ht="13.5" customHeight="1">
      <c r="A38" s="4">
        <v>37</v>
      </c>
      <c r="B38" s="4" t="s">
        <v>289</v>
      </c>
      <c r="C38" s="48" t="s">
        <v>580</v>
      </c>
      <c r="D38" s="48" t="s">
        <v>581</v>
      </c>
    </row>
    <row r="39" spans="1:4" ht="13.5" customHeight="1">
      <c r="A39" s="4">
        <v>38</v>
      </c>
      <c r="B39" s="4" t="s">
        <v>582</v>
      </c>
      <c r="C39" s="48" t="s">
        <v>583</v>
      </c>
      <c r="D39" s="48" t="s">
        <v>584</v>
      </c>
    </row>
    <row r="40" spans="1:4" ht="13.5" customHeight="1">
      <c r="A40" s="4">
        <v>39</v>
      </c>
      <c r="B40" s="4" t="s">
        <v>585</v>
      </c>
      <c r="C40" s="48" t="s">
        <v>586</v>
      </c>
      <c r="D40" s="48" t="s">
        <v>587</v>
      </c>
    </row>
    <row r="41" spans="1:4" ht="13.5" customHeight="1">
      <c r="A41" s="4">
        <v>40</v>
      </c>
      <c r="B41" s="4" t="s">
        <v>588</v>
      </c>
      <c r="C41" s="48" t="s">
        <v>589</v>
      </c>
      <c r="D41" s="48" t="s">
        <v>590</v>
      </c>
    </row>
    <row r="42" spans="1:4" ht="13.5" customHeight="1">
      <c r="A42" s="4">
        <v>41</v>
      </c>
      <c r="B42" s="4" t="s">
        <v>591</v>
      </c>
      <c r="C42" s="48" t="s">
        <v>592</v>
      </c>
      <c r="D42" s="48" t="s">
        <v>593</v>
      </c>
    </row>
    <row r="43" spans="1:4" ht="13.5" customHeight="1">
      <c r="A43" s="4">
        <v>42</v>
      </c>
      <c r="B43" s="4" t="s">
        <v>594</v>
      </c>
      <c r="C43" s="48" t="s">
        <v>595</v>
      </c>
      <c r="D43" s="48" t="s">
        <v>596</v>
      </c>
    </row>
    <row r="44" spans="1:4" ht="13.5" customHeight="1">
      <c r="A44" s="4">
        <v>43</v>
      </c>
      <c r="B44" s="4" t="s">
        <v>251</v>
      </c>
      <c r="C44" s="48" t="s">
        <v>597</v>
      </c>
      <c r="D44" s="48" t="s">
        <v>598</v>
      </c>
    </row>
    <row r="45" spans="1:4" ht="13.5" customHeight="1">
      <c r="A45" s="4">
        <v>44</v>
      </c>
      <c r="B45" s="4" t="s">
        <v>599</v>
      </c>
      <c r="C45" s="48" t="s">
        <v>600</v>
      </c>
      <c r="D45" s="48" t="s">
        <v>601</v>
      </c>
    </row>
    <row r="46" spans="1:4" ht="13.5" customHeight="1">
      <c r="A46" s="4">
        <v>45</v>
      </c>
      <c r="B46" s="4" t="s">
        <v>602</v>
      </c>
      <c r="C46" s="48" t="s">
        <v>603</v>
      </c>
      <c r="D46" s="48" t="s">
        <v>604</v>
      </c>
    </row>
    <row r="47" spans="1:4" ht="13.5" customHeight="1">
      <c r="A47">
        <v>46</v>
      </c>
      <c r="B47" t="s">
        <v>605</v>
      </c>
      <c r="C47" s="49" t="s">
        <v>606</v>
      </c>
      <c r="D47" s="49" t="s">
        <v>607</v>
      </c>
    </row>
    <row r="48" spans="1:4" ht="13.5" customHeight="1">
      <c r="A48">
        <v>47</v>
      </c>
      <c r="B48" t="s">
        <v>608</v>
      </c>
      <c r="C48" s="49" t="s">
        <v>609</v>
      </c>
      <c r="D48" s="49" t="s">
        <v>610</v>
      </c>
    </row>
    <row r="49" spans="1:4" ht="13.5" customHeight="1">
      <c r="A49">
        <v>48</v>
      </c>
      <c r="B49" t="s">
        <v>611</v>
      </c>
      <c r="C49" s="49" t="s">
        <v>612</v>
      </c>
      <c r="D49" s="49" t="s">
        <v>613</v>
      </c>
    </row>
    <row r="50" spans="1:4" ht="13.5" customHeight="1">
      <c r="A50">
        <v>49</v>
      </c>
      <c r="B50" t="s">
        <v>614</v>
      </c>
      <c r="C50" s="49" t="s">
        <v>615</v>
      </c>
      <c r="D50" s="49" t="s">
        <v>616</v>
      </c>
    </row>
    <row r="51" spans="1:4" ht="26.4" customHeight="1">
      <c r="A51">
        <v>50</v>
      </c>
      <c r="B51" t="s">
        <v>239</v>
      </c>
      <c r="C51" s="49" t="s">
        <v>617</v>
      </c>
      <c r="D51" s="49" t="s">
        <v>618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6"/>
  <sheetViews>
    <sheetView showGridLines="0"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E110" sqref="E110"/>
    </sheetView>
  </sheetViews>
  <sheetFormatPr defaultRowHeight="13.8"/>
  <cols>
    <col min="1" max="1" width="14" customWidth="1"/>
    <col min="2" max="2" width="31" customWidth="1"/>
    <col min="3" max="3" width="27" customWidth="1"/>
    <col min="4" max="4" width="43" customWidth="1"/>
    <col min="5" max="5" width="15" customWidth="1"/>
    <col min="6" max="6" width="12" customWidth="1"/>
    <col min="7" max="7" width="34" customWidth="1"/>
    <col min="8" max="8" width="17" customWidth="1"/>
    <col min="9" max="9" width="50" customWidth="1"/>
    <col min="10" max="10" width="42" customWidth="1"/>
    <col min="11" max="13" width="2" customWidth="1"/>
  </cols>
  <sheetData>
    <row r="1" spans="1:13">
      <c r="A1" s="27" t="s">
        <v>225</v>
      </c>
      <c r="B1" s="28" t="s">
        <v>226</v>
      </c>
      <c r="C1" s="28" t="s">
        <v>227</v>
      </c>
      <c r="D1" s="28" t="s">
        <v>228</v>
      </c>
      <c r="E1" s="28" t="s">
        <v>229</v>
      </c>
      <c r="F1" s="28" t="s">
        <v>230</v>
      </c>
      <c r="G1" s="28" t="s">
        <v>231</v>
      </c>
      <c r="H1" s="28" t="s">
        <v>232</v>
      </c>
      <c r="I1" s="28" t="s">
        <v>233</v>
      </c>
      <c r="J1" s="29" t="s">
        <v>234</v>
      </c>
      <c r="K1" t="s">
        <v>235</v>
      </c>
      <c r="L1" t="s">
        <v>235</v>
      </c>
      <c r="M1" t="s">
        <v>235</v>
      </c>
    </row>
    <row r="2" spans="1:13" ht="22.8">
      <c r="A2" s="30" t="s">
        <v>95</v>
      </c>
      <c r="B2" s="31" t="s">
        <v>236</v>
      </c>
      <c r="C2" s="31" t="s">
        <v>237</v>
      </c>
      <c r="D2" s="31" t="s">
        <v>238</v>
      </c>
      <c r="E2" s="32">
        <f>35.2%-0.0915</f>
        <v>0.26050000000000006</v>
      </c>
      <c r="F2" s="31" t="s">
        <v>239</v>
      </c>
      <c r="G2" s="31" t="s">
        <v>240</v>
      </c>
      <c r="H2" s="31" t="s">
        <v>241</v>
      </c>
      <c r="I2" s="31" t="s">
        <v>20</v>
      </c>
      <c r="J2" s="33" t="s">
        <v>242</v>
      </c>
      <c r="K2" t="s">
        <v>235</v>
      </c>
      <c r="L2" t="s">
        <v>235</v>
      </c>
      <c r="M2" t="s">
        <v>235</v>
      </c>
    </row>
    <row r="3" spans="1:13" ht="22.8">
      <c r="A3" s="30" t="s">
        <v>95</v>
      </c>
      <c r="B3" s="31" t="s">
        <v>236</v>
      </c>
      <c r="C3" s="31" t="s">
        <v>243</v>
      </c>
      <c r="D3" s="31" t="s">
        <v>244</v>
      </c>
      <c r="E3" s="32">
        <v>0.01</v>
      </c>
      <c r="F3" s="31" t="s">
        <v>245</v>
      </c>
      <c r="G3" s="31" t="s">
        <v>246</v>
      </c>
      <c r="H3" s="31" t="s">
        <v>247</v>
      </c>
      <c r="I3" s="31" t="s">
        <v>20</v>
      </c>
      <c r="J3" s="33" t="s">
        <v>248</v>
      </c>
      <c r="K3" t="s">
        <v>235</v>
      </c>
      <c r="L3" t="s">
        <v>235</v>
      </c>
      <c r="M3" t="s">
        <v>235</v>
      </c>
    </row>
    <row r="4" spans="1:13" ht="22.8">
      <c r="A4" s="30" t="s">
        <v>95</v>
      </c>
      <c r="B4" s="31" t="s">
        <v>236</v>
      </c>
      <c r="C4" s="31" t="s">
        <v>249</v>
      </c>
      <c r="D4" s="31" t="s">
        <v>250</v>
      </c>
      <c r="E4" s="32">
        <v>2.7E-2</v>
      </c>
      <c r="F4" s="31" t="s">
        <v>251</v>
      </c>
      <c r="G4" s="31" t="s">
        <v>240</v>
      </c>
      <c r="H4" s="31" t="s">
        <v>252</v>
      </c>
      <c r="I4" s="31" t="s">
        <v>20</v>
      </c>
      <c r="J4" s="33" t="s">
        <v>253</v>
      </c>
      <c r="K4" t="s">
        <v>235</v>
      </c>
      <c r="L4" t="s">
        <v>235</v>
      </c>
      <c r="M4" t="s">
        <v>235</v>
      </c>
    </row>
    <row r="5" spans="1:13" ht="22.8">
      <c r="A5" s="30" t="s">
        <v>95</v>
      </c>
      <c r="B5" s="31" t="s">
        <v>236</v>
      </c>
      <c r="C5" s="31" t="s">
        <v>254</v>
      </c>
      <c r="D5" s="31" t="s">
        <v>255</v>
      </c>
      <c r="E5" s="32">
        <v>2.3E-2</v>
      </c>
      <c r="F5" s="31" t="s">
        <v>256</v>
      </c>
      <c r="G5" s="31" t="s">
        <v>257</v>
      </c>
      <c r="H5" s="31" t="s">
        <v>258</v>
      </c>
      <c r="I5" s="31" t="s">
        <v>20</v>
      </c>
      <c r="J5" s="33" t="s">
        <v>259</v>
      </c>
      <c r="K5" t="s">
        <v>235</v>
      </c>
      <c r="L5" t="s">
        <v>235</v>
      </c>
      <c r="M5" t="s">
        <v>235</v>
      </c>
    </row>
    <row r="6" spans="1:13" ht="22.8">
      <c r="A6" s="30" t="s">
        <v>95</v>
      </c>
      <c r="B6" s="31" t="s">
        <v>236</v>
      </c>
      <c r="C6" s="31" t="s">
        <v>260</v>
      </c>
      <c r="D6" s="31" t="s">
        <v>261</v>
      </c>
      <c r="E6" s="32">
        <v>8.9999999999999993E-3</v>
      </c>
      <c r="F6" s="31" t="s">
        <v>251</v>
      </c>
      <c r="G6" s="31" t="s">
        <v>240</v>
      </c>
      <c r="H6" s="31" t="s">
        <v>252</v>
      </c>
      <c r="I6" s="31" t="s">
        <v>20</v>
      </c>
      <c r="J6" s="33" t="s">
        <v>262</v>
      </c>
      <c r="K6" t="s">
        <v>235</v>
      </c>
      <c r="L6" t="s">
        <v>235</v>
      </c>
      <c r="M6" t="s">
        <v>235</v>
      </c>
    </row>
    <row r="7" spans="1:13" ht="22.8">
      <c r="A7" s="30" t="s">
        <v>95</v>
      </c>
      <c r="B7" s="31" t="s">
        <v>236</v>
      </c>
      <c r="C7" s="31" t="s">
        <v>263</v>
      </c>
      <c r="D7" s="31" t="s">
        <v>264</v>
      </c>
      <c r="E7" s="32">
        <v>6.0000000000000001E-3</v>
      </c>
      <c r="F7" s="31" t="s">
        <v>256</v>
      </c>
      <c r="G7" s="31" t="s">
        <v>257</v>
      </c>
      <c r="H7" s="31" t="s">
        <v>258</v>
      </c>
      <c r="I7" s="31" t="s">
        <v>20</v>
      </c>
      <c r="J7" s="33" t="s">
        <v>259</v>
      </c>
      <c r="K7" t="s">
        <v>235</v>
      </c>
      <c r="L7" t="s">
        <v>235</v>
      </c>
      <c r="M7" t="s">
        <v>235</v>
      </c>
    </row>
    <row r="8" spans="1:13" ht="22.8">
      <c r="A8" s="30" t="s">
        <v>95</v>
      </c>
      <c r="B8" s="31" t="s">
        <v>236</v>
      </c>
      <c r="C8" s="31" t="s">
        <v>265</v>
      </c>
      <c r="D8" s="31" t="s">
        <v>266</v>
      </c>
      <c r="E8" s="32">
        <v>4.0000000000000001E-3</v>
      </c>
      <c r="F8" s="31" t="s">
        <v>256</v>
      </c>
      <c r="G8" s="31" t="s">
        <v>257</v>
      </c>
      <c r="H8" s="31" t="s">
        <v>258</v>
      </c>
      <c r="I8" s="31" t="s">
        <v>20</v>
      </c>
      <c r="J8" s="33" t="s">
        <v>259</v>
      </c>
      <c r="K8" t="s">
        <v>235</v>
      </c>
      <c r="L8" t="s">
        <v>235</v>
      </c>
      <c r="M8" t="s">
        <v>235</v>
      </c>
    </row>
    <row r="9" spans="1:13" ht="22.8">
      <c r="A9" s="30" t="s">
        <v>95</v>
      </c>
      <c r="B9" s="31" t="s">
        <v>236</v>
      </c>
      <c r="C9" s="31" t="s">
        <v>267</v>
      </c>
      <c r="D9" s="31" t="s">
        <v>268</v>
      </c>
      <c r="E9" s="32">
        <v>7.0000000000000001E-3</v>
      </c>
      <c r="F9" s="31" t="s">
        <v>256</v>
      </c>
      <c r="G9" s="31" t="s">
        <v>257</v>
      </c>
      <c r="H9" s="31" t="s">
        <v>258</v>
      </c>
      <c r="I9" s="31" t="s">
        <v>20</v>
      </c>
      <c r="J9" s="33" t="s">
        <v>259</v>
      </c>
      <c r="K9" t="s">
        <v>235</v>
      </c>
      <c r="L9" t="s">
        <v>235</v>
      </c>
      <c r="M9" t="s">
        <v>235</v>
      </c>
    </row>
    <row r="10" spans="1:13" ht="22.8">
      <c r="A10" s="30" t="s">
        <v>95</v>
      </c>
      <c r="B10" s="31" t="s">
        <v>236</v>
      </c>
      <c r="C10" s="31" t="s">
        <v>269</v>
      </c>
      <c r="D10" s="31" t="s">
        <v>269</v>
      </c>
      <c r="E10" s="32">
        <v>1.0999999999999999E-2</v>
      </c>
      <c r="F10" s="31" t="s">
        <v>256</v>
      </c>
      <c r="G10" s="31" t="s">
        <v>257</v>
      </c>
      <c r="H10" s="31" t="s">
        <v>258</v>
      </c>
      <c r="I10" s="31" t="s">
        <v>20</v>
      </c>
      <c r="J10" s="33" t="s">
        <v>270</v>
      </c>
      <c r="K10" t="s">
        <v>235</v>
      </c>
      <c r="L10" t="s">
        <v>235</v>
      </c>
      <c r="M10" t="s">
        <v>235</v>
      </c>
    </row>
    <row r="11" spans="1:13" ht="22.8">
      <c r="A11" s="30" t="s">
        <v>95</v>
      </c>
      <c r="B11" s="31" t="s">
        <v>236</v>
      </c>
      <c r="C11" s="31" t="s">
        <v>271</v>
      </c>
      <c r="D11" s="31" t="s">
        <v>272</v>
      </c>
      <c r="E11" s="32">
        <v>2E-3</v>
      </c>
      <c r="F11" s="31" t="s">
        <v>256</v>
      </c>
      <c r="G11" s="31" t="s">
        <v>257</v>
      </c>
      <c r="H11" s="31" t="s">
        <v>258</v>
      </c>
      <c r="I11" s="31" t="s">
        <v>20</v>
      </c>
      <c r="J11" s="33" t="s">
        <v>270</v>
      </c>
      <c r="K11" t="s">
        <v>235</v>
      </c>
      <c r="L11" t="s">
        <v>235</v>
      </c>
      <c r="M11" t="s">
        <v>235</v>
      </c>
    </row>
    <row r="12" spans="1:13" ht="22.8">
      <c r="A12" s="30" t="s">
        <v>95</v>
      </c>
      <c r="B12" s="31" t="s">
        <v>236</v>
      </c>
      <c r="C12" s="31" t="s">
        <v>273</v>
      </c>
      <c r="D12" s="31" t="s">
        <v>274</v>
      </c>
      <c r="E12" s="32">
        <v>0.152</v>
      </c>
      <c r="F12" s="31" t="s">
        <v>275</v>
      </c>
      <c r="G12" s="31" t="s">
        <v>276</v>
      </c>
      <c r="H12" s="31" t="s">
        <v>247</v>
      </c>
      <c r="I12" s="31" t="s">
        <v>20</v>
      </c>
      <c r="J12" s="33" t="s">
        <v>277</v>
      </c>
      <c r="K12" t="s">
        <v>235</v>
      </c>
      <c r="L12" t="s">
        <v>235</v>
      </c>
      <c r="M12" t="s">
        <v>235</v>
      </c>
    </row>
    <row r="13" spans="1:13" ht="22.8">
      <c r="A13" s="30" t="s">
        <v>95</v>
      </c>
      <c r="B13" s="31" t="s">
        <v>236</v>
      </c>
      <c r="C13" s="31" t="s">
        <v>278</v>
      </c>
      <c r="D13" s="31" t="s">
        <v>279</v>
      </c>
      <c r="E13" s="32">
        <f>9.8%+0.0915</f>
        <v>0.1895</v>
      </c>
      <c r="F13" s="31" t="s">
        <v>275</v>
      </c>
      <c r="G13" s="31" t="s">
        <v>276</v>
      </c>
      <c r="H13" s="31" t="s">
        <v>247</v>
      </c>
      <c r="I13" s="31" t="s">
        <v>20</v>
      </c>
      <c r="J13" s="33" t="s">
        <v>277</v>
      </c>
      <c r="K13" t="s">
        <v>235</v>
      </c>
      <c r="L13" t="s">
        <v>235</v>
      </c>
      <c r="M13" t="s">
        <v>235</v>
      </c>
    </row>
    <row r="14" spans="1:13" ht="22.8">
      <c r="A14" s="30" t="s">
        <v>95</v>
      </c>
      <c r="B14" s="31" t="s">
        <v>236</v>
      </c>
      <c r="C14" s="31" t="s">
        <v>280</v>
      </c>
      <c r="D14" s="31" t="s">
        <v>281</v>
      </c>
      <c r="E14" s="32">
        <v>0.13700000000000001</v>
      </c>
      <c r="F14" s="31" t="s">
        <v>275</v>
      </c>
      <c r="G14" s="31" t="s">
        <v>276</v>
      </c>
      <c r="H14" s="31" t="s">
        <v>247</v>
      </c>
      <c r="I14" s="31" t="s">
        <v>20</v>
      </c>
      <c r="J14" s="33" t="s">
        <v>277</v>
      </c>
      <c r="K14" t="s">
        <v>235</v>
      </c>
      <c r="L14" t="s">
        <v>235</v>
      </c>
      <c r="M14" t="s">
        <v>235</v>
      </c>
    </row>
    <row r="15" spans="1:13" ht="22.8">
      <c r="A15" s="30" t="s">
        <v>95</v>
      </c>
      <c r="B15" s="31" t="s">
        <v>236</v>
      </c>
      <c r="C15" s="31" t="s">
        <v>282</v>
      </c>
      <c r="D15" s="31" t="s">
        <v>283</v>
      </c>
      <c r="E15" s="32">
        <v>0.10299999999999999</v>
      </c>
      <c r="F15" s="31" t="s">
        <v>284</v>
      </c>
      <c r="G15" s="31" t="s">
        <v>285</v>
      </c>
      <c r="H15" s="31" t="s">
        <v>247</v>
      </c>
      <c r="I15" s="31" t="s">
        <v>20</v>
      </c>
      <c r="J15" s="33" t="s">
        <v>286</v>
      </c>
      <c r="K15" t="s">
        <v>235</v>
      </c>
      <c r="L15" t="s">
        <v>235</v>
      </c>
      <c r="M15" t="s">
        <v>235</v>
      </c>
    </row>
    <row r="16" spans="1:13" ht="22.8">
      <c r="A16" s="30" t="s">
        <v>95</v>
      </c>
      <c r="B16" s="31" t="s">
        <v>236</v>
      </c>
      <c r="C16" s="31" t="s">
        <v>287</v>
      </c>
      <c r="D16" s="31" t="s">
        <v>288</v>
      </c>
      <c r="E16" s="32">
        <v>5.8999999999999997E-2</v>
      </c>
      <c r="F16" s="31" t="s">
        <v>289</v>
      </c>
      <c r="G16" s="31" t="s">
        <v>290</v>
      </c>
      <c r="H16" s="31" t="s">
        <v>247</v>
      </c>
      <c r="I16" s="31" t="s">
        <v>20</v>
      </c>
      <c r="J16" s="33" t="s">
        <v>286</v>
      </c>
      <c r="K16" t="s">
        <v>235</v>
      </c>
      <c r="L16" t="s">
        <v>235</v>
      </c>
      <c r="M16" t="s">
        <v>235</v>
      </c>
    </row>
    <row r="17" spans="1:13" ht="22.8">
      <c r="A17" s="30" t="s">
        <v>109</v>
      </c>
      <c r="B17" s="31" t="s">
        <v>110</v>
      </c>
      <c r="C17" s="31" t="s">
        <v>237</v>
      </c>
      <c r="D17" s="31" t="s">
        <v>238</v>
      </c>
      <c r="E17" s="32">
        <f>35.2%-0.0544</f>
        <v>0.29760000000000003</v>
      </c>
      <c r="F17" s="31" t="s">
        <v>239</v>
      </c>
      <c r="G17" s="31" t="s">
        <v>240</v>
      </c>
      <c r="H17" s="31" t="s">
        <v>241</v>
      </c>
      <c r="I17" s="31" t="s">
        <v>20</v>
      </c>
      <c r="J17" s="33" t="s">
        <v>242</v>
      </c>
      <c r="K17" t="s">
        <v>235</v>
      </c>
      <c r="L17" t="s">
        <v>235</v>
      </c>
      <c r="M17" t="s">
        <v>235</v>
      </c>
    </row>
    <row r="18" spans="1:13" ht="22.8">
      <c r="A18" s="30" t="s">
        <v>109</v>
      </c>
      <c r="B18" s="31" t="s">
        <v>110</v>
      </c>
      <c r="C18" s="31" t="s">
        <v>243</v>
      </c>
      <c r="D18" s="31" t="s">
        <v>244</v>
      </c>
      <c r="E18" s="32">
        <v>0.01</v>
      </c>
      <c r="F18" s="31" t="s">
        <v>245</v>
      </c>
      <c r="G18" s="31" t="s">
        <v>246</v>
      </c>
      <c r="H18" s="31" t="s">
        <v>247</v>
      </c>
      <c r="I18" s="31" t="s">
        <v>20</v>
      </c>
      <c r="J18" s="33" t="s">
        <v>248</v>
      </c>
      <c r="K18" t="s">
        <v>235</v>
      </c>
      <c r="L18" t="s">
        <v>235</v>
      </c>
      <c r="M18" t="s">
        <v>235</v>
      </c>
    </row>
    <row r="19" spans="1:13" ht="22.8">
      <c r="A19" s="30" t="s">
        <v>109</v>
      </c>
      <c r="B19" s="31" t="s">
        <v>110</v>
      </c>
      <c r="C19" s="31" t="s">
        <v>249</v>
      </c>
      <c r="D19" s="31" t="s">
        <v>250</v>
      </c>
      <c r="E19" s="32">
        <v>2.7E-2</v>
      </c>
      <c r="F19" s="31" t="s">
        <v>251</v>
      </c>
      <c r="G19" s="31" t="s">
        <v>240</v>
      </c>
      <c r="H19" s="31" t="s">
        <v>252</v>
      </c>
      <c r="I19" s="31" t="s">
        <v>20</v>
      </c>
      <c r="J19" s="33" t="s">
        <v>253</v>
      </c>
      <c r="K19" t="s">
        <v>235</v>
      </c>
      <c r="L19" t="s">
        <v>235</v>
      </c>
      <c r="M19" t="s">
        <v>235</v>
      </c>
    </row>
    <row r="20" spans="1:13" ht="22.8">
      <c r="A20" s="30" t="s">
        <v>109</v>
      </c>
      <c r="B20" s="31" t="s">
        <v>110</v>
      </c>
      <c r="C20" s="31" t="s">
        <v>254</v>
      </c>
      <c r="D20" s="31" t="s">
        <v>255</v>
      </c>
      <c r="E20" s="32">
        <v>2.3E-2</v>
      </c>
      <c r="F20" s="31" t="s">
        <v>256</v>
      </c>
      <c r="G20" s="31" t="s">
        <v>257</v>
      </c>
      <c r="H20" s="31" t="s">
        <v>258</v>
      </c>
      <c r="I20" s="31" t="s">
        <v>20</v>
      </c>
      <c r="J20" s="33" t="s">
        <v>259</v>
      </c>
      <c r="K20" t="s">
        <v>235</v>
      </c>
      <c r="L20" t="s">
        <v>235</v>
      </c>
      <c r="M20" t="s">
        <v>235</v>
      </c>
    </row>
    <row r="21" spans="1:13" ht="22.8">
      <c r="A21" s="30" t="s">
        <v>109</v>
      </c>
      <c r="B21" s="31" t="s">
        <v>110</v>
      </c>
      <c r="C21" s="31" t="s">
        <v>260</v>
      </c>
      <c r="D21" s="31" t="s">
        <v>261</v>
      </c>
      <c r="E21" s="32">
        <v>8.9999999999999993E-3</v>
      </c>
      <c r="F21" s="31" t="s">
        <v>251</v>
      </c>
      <c r="G21" s="31" t="s">
        <v>240</v>
      </c>
      <c r="H21" s="31" t="s">
        <v>252</v>
      </c>
      <c r="I21" s="31" t="s">
        <v>20</v>
      </c>
      <c r="J21" s="33" t="s">
        <v>262</v>
      </c>
      <c r="K21" t="s">
        <v>235</v>
      </c>
      <c r="L21" t="s">
        <v>235</v>
      </c>
      <c r="M21" t="s">
        <v>235</v>
      </c>
    </row>
    <row r="22" spans="1:13" ht="22.8">
      <c r="A22" s="30" t="s">
        <v>109</v>
      </c>
      <c r="B22" s="31" t="s">
        <v>110</v>
      </c>
      <c r="C22" s="31" t="s">
        <v>263</v>
      </c>
      <c r="D22" s="31" t="s">
        <v>264</v>
      </c>
      <c r="E22" s="32">
        <v>6.0000000000000001E-3</v>
      </c>
      <c r="F22" s="31" t="s">
        <v>256</v>
      </c>
      <c r="G22" s="31" t="s">
        <v>257</v>
      </c>
      <c r="H22" s="31" t="s">
        <v>258</v>
      </c>
      <c r="I22" s="31" t="s">
        <v>20</v>
      </c>
      <c r="J22" s="33" t="s">
        <v>259</v>
      </c>
      <c r="K22" t="s">
        <v>235</v>
      </c>
      <c r="L22" t="s">
        <v>235</v>
      </c>
      <c r="M22" t="s">
        <v>235</v>
      </c>
    </row>
    <row r="23" spans="1:13" ht="22.8">
      <c r="A23" s="30" t="s">
        <v>109</v>
      </c>
      <c r="B23" s="31" t="s">
        <v>110</v>
      </c>
      <c r="C23" s="31" t="s">
        <v>265</v>
      </c>
      <c r="D23" s="31" t="s">
        <v>266</v>
      </c>
      <c r="E23" s="32">
        <v>4.0000000000000001E-3</v>
      </c>
      <c r="F23" s="31" t="s">
        <v>256</v>
      </c>
      <c r="G23" s="31" t="s">
        <v>257</v>
      </c>
      <c r="H23" s="31" t="s">
        <v>258</v>
      </c>
      <c r="I23" s="31" t="s">
        <v>20</v>
      </c>
      <c r="J23" s="33" t="s">
        <v>259</v>
      </c>
      <c r="K23" t="s">
        <v>235</v>
      </c>
      <c r="L23" t="s">
        <v>235</v>
      </c>
      <c r="M23" t="s">
        <v>235</v>
      </c>
    </row>
    <row r="24" spans="1:13" ht="22.8">
      <c r="A24" s="30" t="s">
        <v>109</v>
      </c>
      <c r="B24" s="31" t="s">
        <v>110</v>
      </c>
      <c r="C24" s="31" t="s">
        <v>267</v>
      </c>
      <c r="D24" s="31" t="s">
        <v>268</v>
      </c>
      <c r="E24" s="32">
        <v>7.0000000000000001E-3</v>
      </c>
      <c r="F24" s="31" t="s">
        <v>256</v>
      </c>
      <c r="G24" s="31" t="s">
        <v>257</v>
      </c>
      <c r="H24" s="31" t="s">
        <v>258</v>
      </c>
      <c r="I24" s="31" t="s">
        <v>20</v>
      </c>
      <c r="J24" s="33" t="s">
        <v>259</v>
      </c>
      <c r="K24" t="s">
        <v>235</v>
      </c>
      <c r="L24" t="s">
        <v>235</v>
      </c>
      <c r="M24" t="s">
        <v>235</v>
      </c>
    </row>
    <row r="25" spans="1:13" ht="22.8">
      <c r="A25" s="30" t="s">
        <v>109</v>
      </c>
      <c r="B25" s="31" t="s">
        <v>110</v>
      </c>
      <c r="C25" s="31" t="s">
        <v>269</v>
      </c>
      <c r="D25" s="31" t="s">
        <v>269</v>
      </c>
      <c r="E25" s="32">
        <v>1.0999999999999999E-2</v>
      </c>
      <c r="F25" s="31" t="s">
        <v>256</v>
      </c>
      <c r="G25" s="31" t="s">
        <v>257</v>
      </c>
      <c r="H25" s="31" t="s">
        <v>258</v>
      </c>
      <c r="I25" s="31" t="s">
        <v>20</v>
      </c>
      <c r="J25" s="33" t="s">
        <v>270</v>
      </c>
      <c r="K25" t="s">
        <v>235</v>
      </c>
      <c r="L25" t="s">
        <v>235</v>
      </c>
      <c r="M25" t="s">
        <v>235</v>
      </c>
    </row>
    <row r="26" spans="1:13" ht="22.8">
      <c r="A26" s="30" t="s">
        <v>109</v>
      </c>
      <c r="B26" s="31" t="s">
        <v>110</v>
      </c>
      <c r="C26" s="31" t="s">
        <v>271</v>
      </c>
      <c r="D26" s="31" t="s">
        <v>272</v>
      </c>
      <c r="E26" s="32">
        <v>2E-3</v>
      </c>
      <c r="F26" s="31" t="s">
        <v>256</v>
      </c>
      <c r="G26" s="31" t="s">
        <v>257</v>
      </c>
      <c r="H26" s="31" t="s">
        <v>258</v>
      </c>
      <c r="I26" s="31" t="s">
        <v>20</v>
      </c>
      <c r="J26" s="33" t="s">
        <v>270</v>
      </c>
      <c r="K26" t="s">
        <v>235</v>
      </c>
      <c r="L26" t="s">
        <v>235</v>
      </c>
      <c r="M26" t="s">
        <v>235</v>
      </c>
    </row>
    <row r="27" spans="1:13" ht="22.8">
      <c r="A27" s="30" t="s">
        <v>109</v>
      </c>
      <c r="B27" s="31" t="s">
        <v>110</v>
      </c>
      <c r="C27" s="31" t="s">
        <v>273</v>
      </c>
      <c r="D27" s="31" t="s">
        <v>274</v>
      </c>
      <c r="E27" s="32">
        <v>0.152</v>
      </c>
      <c r="F27" s="31" t="s">
        <v>275</v>
      </c>
      <c r="G27" s="31" t="s">
        <v>276</v>
      </c>
      <c r="H27" s="31" t="s">
        <v>247</v>
      </c>
      <c r="I27" s="31" t="s">
        <v>20</v>
      </c>
      <c r="J27" s="33" t="s">
        <v>277</v>
      </c>
      <c r="K27" t="s">
        <v>235</v>
      </c>
      <c r="L27" t="s">
        <v>235</v>
      </c>
      <c r="M27" t="s">
        <v>235</v>
      </c>
    </row>
    <row r="28" spans="1:13" ht="22.8">
      <c r="A28" s="30" t="s">
        <v>109</v>
      </c>
      <c r="B28" s="31" t="s">
        <v>110</v>
      </c>
      <c r="C28" s="31" t="s">
        <v>278</v>
      </c>
      <c r="D28" s="31" t="s">
        <v>279</v>
      </c>
      <c r="E28" s="32">
        <f>9.8%+0.0544</f>
        <v>0.15240000000000001</v>
      </c>
      <c r="F28" s="31" t="s">
        <v>275</v>
      </c>
      <c r="G28" s="31" t="s">
        <v>276</v>
      </c>
      <c r="H28" s="31" t="s">
        <v>247</v>
      </c>
      <c r="I28" s="31" t="s">
        <v>20</v>
      </c>
      <c r="J28" s="33" t="s">
        <v>277</v>
      </c>
      <c r="K28" t="s">
        <v>235</v>
      </c>
      <c r="L28" t="s">
        <v>235</v>
      </c>
      <c r="M28" t="s">
        <v>235</v>
      </c>
    </row>
    <row r="29" spans="1:13" ht="22.8">
      <c r="A29" s="30" t="s">
        <v>109</v>
      </c>
      <c r="B29" s="31" t="s">
        <v>110</v>
      </c>
      <c r="C29" s="31" t="s">
        <v>280</v>
      </c>
      <c r="D29" s="31" t="s">
        <v>281</v>
      </c>
      <c r="E29" s="32">
        <v>0.13700000000000001</v>
      </c>
      <c r="F29" s="31" t="s">
        <v>275</v>
      </c>
      <c r="G29" s="31" t="s">
        <v>276</v>
      </c>
      <c r="H29" s="31" t="s">
        <v>247</v>
      </c>
      <c r="I29" s="31" t="s">
        <v>20</v>
      </c>
      <c r="J29" s="33" t="s">
        <v>277</v>
      </c>
      <c r="K29" t="s">
        <v>235</v>
      </c>
      <c r="L29" t="s">
        <v>235</v>
      </c>
      <c r="M29" t="s">
        <v>235</v>
      </c>
    </row>
    <row r="30" spans="1:13" ht="22.8">
      <c r="A30" s="30" t="s">
        <v>109</v>
      </c>
      <c r="B30" s="31" t="s">
        <v>110</v>
      </c>
      <c r="C30" s="31" t="s">
        <v>282</v>
      </c>
      <c r="D30" s="31" t="s">
        <v>283</v>
      </c>
      <c r="E30" s="32">
        <v>0.10299999999999999</v>
      </c>
      <c r="F30" s="31" t="s">
        <v>284</v>
      </c>
      <c r="G30" s="31" t="s">
        <v>285</v>
      </c>
      <c r="H30" s="31" t="s">
        <v>247</v>
      </c>
      <c r="I30" s="31" t="s">
        <v>20</v>
      </c>
      <c r="J30" s="33" t="s">
        <v>286</v>
      </c>
      <c r="K30" t="s">
        <v>235</v>
      </c>
      <c r="L30" t="s">
        <v>235</v>
      </c>
      <c r="M30" t="s">
        <v>235</v>
      </c>
    </row>
    <row r="31" spans="1:13" ht="22.8">
      <c r="A31" s="30" t="s">
        <v>109</v>
      </c>
      <c r="B31" s="31" t="s">
        <v>110</v>
      </c>
      <c r="C31" s="31" t="s">
        <v>287</v>
      </c>
      <c r="D31" s="31" t="s">
        <v>288</v>
      </c>
      <c r="E31" s="32">
        <v>5.8999999999999997E-2</v>
      </c>
      <c r="F31" s="31" t="s">
        <v>289</v>
      </c>
      <c r="G31" s="31" t="s">
        <v>290</v>
      </c>
      <c r="H31" s="31" t="s">
        <v>247</v>
      </c>
      <c r="I31" s="31" t="s">
        <v>20</v>
      </c>
      <c r="J31" s="33" t="s">
        <v>286</v>
      </c>
      <c r="K31" t="s">
        <v>235</v>
      </c>
      <c r="L31" t="s">
        <v>235</v>
      </c>
      <c r="M31" t="s">
        <v>235</v>
      </c>
    </row>
    <row r="32" spans="1:13" ht="22.8">
      <c r="A32" s="30" t="s">
        <v>147</v>
      </c>
      <c r="B32" s="31" t="s">
        <v>148</v>
      </c>
      <c r="C32" s="31" t="s">
        <v>237</v>
      </c>
      <c r="D32" s="31" t="s">
        <v>238</v>
      </c>
      <c r="E32" s="32">
        <f>35.2%-0.11865</f>
        <v>0.23335000000000003</v>
      </c>
      <c r="F32" s="31" t="s">
        <v>239</v>
      </c>
      <c r="G32" s="31" t="s">
        <v>240</v>
      </c>
      <c r="H32" s="31" t="s">
        <v>241</v>
      </c>
      <c r="I32" s="31" t="s">
        <v>20</v>
      </c>
      <c r="J32" s="33" t="s">
        <v>242</v>
      </c>
      <c r="K32" t="s">
        <v>235</v>
      </c>
      <c r="L32" t="s">
        <v>235</v>
      </c>
      <c r="M32" t="s">
        <v>235</v>
      </c>
    </row>
    <row r="33" spans="1:13" ht="22.8">
      <c r="A33" s="30" t="s">
        <v>147</v>
      </c>
      <c r="B33" s="31" t="s">
        <v>148</v>
      </c>
      <c r="C33" s="31" t="s">
        <v>243</v>
      </c>
      <c r="D33" s="31" t="s">
        <v>244</v>
      </c>
      <c r="E33" s="32">
        <v>0.01</v>
      </c>
      <c r="F33" s="31" t="s">
        <v>245</v>
      </c>
      <c r="G33" s="31" t="s">
        <v>246</v>
      </c>
      <c r="H33" s="31" t="s">
        <v>247</v>
      </c>
      <c r="I33" s="31" t="s">
        <v>20</v>
      </c>
      <c r="J33" s="33" t="s">
        <v>248</v>
      </c>
      <c r="K33" t="s">
        <v>235</v>
      </c>
      <c r="L33" t="s">
        <v>235</v>
      </c>
      <c r="M33" t="s">
        <v>235</v>
      </c>
    </row>
    <row r="34" spans="1:13" ht="22.8">
      <c r="A34" s="30" t="s">
        <v>147</v>
      </c>
      <c r="B34" s="31" t="s">
        <v>148</v>
      </c>
      <c r="C34" s="31" t="s">
        <v>249</v>
      </c>
      <c r="D34" s="31" t="s">
        <v>250</v>
      </c>
      <c r="E34" s="32">
        <v>2.7E-2</v>
      </c>
      <c r="F34" s="31" t="s">
        <v>251</v>
      </c>
      <c r="G34" s="31" t="s">
        <v>240</v>
      </c>
      <c r="H34" s="31" t="s">
        <v>252</v>
      </c>
      <c r="I34" s="31" t="s">
        <v>20</v>
      </c>
      <c r="J34" s="33" t="s">
        <v>253</v>
      </c>
      <c r="K34" t="s">
        <v>235</v>
      </c>
      <c r="L34" t="s">
        <v>235</v>
      </c>
      <c r="M34" t="s">
        <v>235</v>
      </c>
    </row>
    <row r="35" spans="1:13" ht="22.8">
      <c r="A35" s="30" t="s">
        <v>147</v>
      </c>
      <c r="B35" s="31" t="s">
        <v>148</v>
      </c>
      <c r="C35" s="31" t="s">
        <v>254</v>
      </c>
      <c r="D35" s="31" t="s">
        <v>255</v>
      </c>
      <c r="E35" s="32">
        <v>2.3E-2</v>
      </c>
      <c r="F35" s="31" t="s">
        <v>256</v>
      </c>
      <c r="G35" s="31" t="s">
        <v>257</v>
      </c>
      <c r="H35" s="31" t="s">
        <v>258</v>
      </c>
      <c r="I35" s="31" t="s">
        <v>20</v>
      </c>
      <c r="J35" s="33" t="s">
        <v>259</v>
      </c>
      <c r="K35" t="s">
        <v>235</v>
      </c>
      <c r="L35" t="s">
        <v>235</v>
      </c>
      <c r="M35" t="s">
        <v>235</v>
      </c>
    </row>
    <row r="36" spans="1:13" ht="22.8">
      <c r="A36" s="30" t="s">
        <v>147</v>
      </c>
      <c r="B36" s="31" t="s">
        <v>148</v>
      </c>
      <c r="C36" s="31" t="s">
        <v>260</v>
      </c>
      <c r="D36" s="31" t="s">
        <v>261</v>
      </c>
      <c r="E36" s="32">
        <v>8.9999999999999993E-3</v>
      </c>
      <c r="F36" s="31" t="s">
        <v>251</v>
      </c>
      <c r="G36" s="31" t="s">
        <v>240</v>
      </c>
      <c r="H36" s="31" t="s">
        <v>252</v>
      </c>
      <c r="I36" s="31" t="s">
        <v>20</v>
      </c>
      <c r="J36" s="33" t="s">
        <v>262</v>
      </c>
      <c r="K36" t="s">
        <v>235</v>
      </c>
      <c r="L36" t="s">
        <v>235</v>
      </c>
      <c r="M36" t="s">
        <v>235</v>
      </c>
    </row>
    <row r="37" spans="1:13" ht="22.8">
      <c r="A37" s="30" t="s">
        <v>147</v>
      </c>
      <c r="B37" s="31" t="s">
        <v>148</v>
      </c>
      <c r="C37" s="31" t="s">
        <v>263</v>
      </c>
      <c r="D37" s="31" t="s">
        <v>264</v>
      </c>
      <c r="E37" s="32">
        <v>6.0000000000000001E-3</v>
      </c>
      <c r="F37" s="31" t="s">
        <v>256</v>
      </c>
      <c r="G37" s="31" t="s">
        <v>257</v>
      </c>
      <c r="H37" s="31" t="s">
        <v>258</v>
      </c>
      <c r="I37" s="31" t="s">
        <v>20</v>
      </c>
      <c r="J37" s="33" t="s">
        <v>259</v>
      </c>
      <c r="K37" t="s">
        <v>235</v>
      </c>
      <c r="L37" t="s">
        <v>235</v>
      </c>
      <c r="M37" t="s">
        <v>235</v>
      </c>
    </row>
    <row r="38" spans="1:13" ht="22.8">
      <c r="A38" s="30" t="s">
        <v>147</v>
      </c>
      <c r="B38" s="31" t="s">
        <v>148</v>
      </c>
      <c r="C38" s="31" t="s">
        <v>265</v>
      </c>
      <c r="D38" s="31" t="s">
        <v>266</v>
      </c>
      <c r="E38" s="32">
        <v>4.0000000000000001E-3</v>
      </c>
      <c r="F38" s="31" t="s">
        <v>256</v>
      </c>
      <c r="G38" s="31" t="s">
        <v>257</v>
      </c>
      <c r="H38" s="31" t="s">
        <v>258</v>
      </c>
      <c r="I38" s="31" t="s">
        <v>20</v>
      </c>
      <c r="J38" s="33" t="s">
        <v>259</v>
      </c>
      <c r="K38" t="s">
        <v>235</v>
      </c>
      <c r="L38" t="s">
        <v>235</v>
      </c>
      <c r="M38" t="s">
        <v>235</v>
      </c>
    </row>
    <row r="39" spans="1:13" ht="22.8">
      <c r="A39" s="30" t="s">
        <v>147</v>
      </c>
      <c r="B39" s="31" t="s">
        <v>148</v>
      </c>
      <c r="C39" s="31" t="s">
        <v>267</v>
      </c>
      <c r="D39" s="31" t="s">
        <v>268</v>
      </c>
      <c r="E39" s="32">
        <v>7.0000000000000001E-3</v>
      </c>
      <c r="F39" s="31" t="s">
        <v>256</v>
      </c>
      <c r="G39" s="31" t="s">
        <v>257</v>
      </c>
      <c r="H39" s="31" t="s">
        <v>258</v>
      </c>
      <c r="I39" s="31" t="s">
        <v>20</v>
      </c>
      <c r="J39" s="33" t="s">
        <v>259</v>
      </c>
      <c r="K39" t="s">
        <v>235</v>
      </c>
      <c r="L39" t="s">
        <v>235</v>
      </c>
      <c r="M39" t="s">
        <v>235</v>
      </c>
    </row>
    <row r="40" spans="1:13" ht="22.8">
      <c r="A40" s="30" t="s">
        <v>147</v>
      </c>
      <c r="B40" s="31" t="s">
        <v>148</v>
      </c>
      <c r="C40" s="31" t="s">
        <v>269</v>
      </c>
      <c r="D40" s="31" t="s">
        <v>269</v>
      </c>
      <c r="E40" s="32">
        <v>1.0999999999999999E-2</v>
      </c>
      <c r="F40" s="31" t="s">
        <v>256</v>
      </c>
      <c r="G40" s="31" t="s">
        <v>257</v>
      </c>
      <c r="H40" s="31" t="s">
        <v>258</v>
      </c>
      <c r="I40" s="31" t="s">
        <v>20</v>
      </c>
      <c r="J40" s="33" t="s">
        <v>270</v>
      </c>
      <c r="K40" t="s">
        <v>235</v>
      </c>
      <c r="L40" t="s">
        <v>235</v>
      </c>
      <c r="M40" t="s">
        <v>235</v>
      </c>
    </row>
    <row r="41" spans="1:13" ht="22.8">
      <c r="A41" s="30" t="s">
        <v>147</v>
      </c>
      <c r="B41" s="31" t="s">
        <v>148</v>
      </c>
      <c r="C41" s="31" t="s">
        <v>271</v>
      </c>
      <c r="D41" s="31" t="s">
        <v>272</v>
      </c>
      <c r="E41" s="32">
        <v>2E-3</v>
      </c>
      <c r="F41" s="31" t="s">
        <v>256</v>
      </c>
      <c r="G41" s="31" t="s">
        <v>257</v>
      </c>
      <c r="H41" s="31" t="s">
        <v>258</v>
      </c>
      <c r="I41" s="31" t="s">
        <v>20</v>
      </c>
      <c r="J41" s="33" t="s">
        <v>270</v>
      </c>
      <c r="K41" t="s">
        <v>235</v>
      </c>
      <c r="L41" t="s">
        <v>235</v>
      </c>
      <c r="M41" t="s">
        <v>235</v>
      </c>
    </row>
    <row r="42" spans="1:13" ht="22.8">
      <c r="A42" s="30" t="s">
        <v>147</v>
      </c>
      <c r="B42" s="31" t="s">
        <v>148</v>
      </c>
      <c r="C42" s="31" t="s">
        <v>273</v>
      </c>
      <c r="D42" s="31" t="s">
        <v>274</v>
      </c>
      <c r="E42" s="32">
        <v>0.152</v>
      </c>
      <c r="F42" s="31" t="s">
        <v>275</v>
      </c>
      <c r="G42" s="31" t="s">
        <v>276</v>
      </c>
      <c r="H42" s="31" t="s">
        <v>247</v>
      </c>
      <c r="I42" s="31" t="s">
        <v>20</v>
      </c>
      <c r="J42" s="33" t="s">
        <v>277</v>
      </c>
      <c r="K42" t="s">
        <v>235</v>
      </c>
      <c r="L42" t="s">
        <v>235</v>
      </c>
      <c r="M42" t="s">
        <v>235</v>
      </c>
    </row>
    <row r="43" spans="1:13" ht="22.8">
      <c r="A43" s="30" t="s">
        <v>147</v>
      </c>
      <c r="B43" s="31" t="s">
        <v>148</v>
      </c>
      <c r="C43" s="31" t="s">
        <v>278</v>
      </c>
      <c r="D43" s="31" t="s">
        <v>279</v>
      </c>
      <c r="E43" s="32">
        <f>9.8%+0.11865</f>
        <v>0.21665000000000001</v>
      </c>
      <c r="F43" s="31" t="s">
        <v>275</v>
      </c>
      <c r="G43" s="31" t="s">
        <v>276</v>
      </c>
      <c r="H43" s="31" t="s">
        <v>247</v>
      </c>
      <c r="I43" s="31" t="s">
        <v>20</v>
      </c>
      <c r="J43" s="33" t="s">
        <v>277</v>
      </c>
      <c r="K43" t="s">
        <v>235</v>
      </c>
      <c r="L43" t="s">
        <v>235</v>
      </c>
      <c r="M43" t="s">
        <v>235</v>
      </c>
    </row>
    <row r="44" spans="1:13" ht="22.8">
      <c r="A44" s="30" t="s">
        <v>147</v>
      </c>
      <c r="B44" s="31" t="s">
        <v>148</v>
      </c>
      <c r="C44" s="31" t="s">
        <v>280</v>
      </c>
      <c r="D44" s="31" t="s">
        <v>281</v>
      </c>
      <c r="E44" s="32">
        <v>0.13700000000000001</v>
      </c>
      <c r="F44" s="31" t="s">
        <v>275</v>
      </c>
      <c r="G44" s="31" t="s">
        <v>276</v>
      </c>
      <c r="H44" s="31" t="s">
        <v>247</v>
      </c>
      <c r="I44" s="31" t="s">
        <v>20</v>
      </c>
      <c r="J44" s="33" t="s">
        <v>277</v>
      </c>
      <c r="K44" t="s">
        <v>235</v>
      </c>
      <c r="L44" t="s">
        <v>235</v>
      </c>
      <c r="M44" t="s">
        <v>235</v>
      </c>
    </row>
    <row r="45" spans="1:13" ht="22.8">
      <c r="A45" s="30" t="s">
        <v>147</v>
      </c>
      <c r="B45" s="31" t="s">
        <v>148</v>
      </c>
      <c r="C45" s="31" t="s">
        <v>282</v>
      </c>
      <c r="D45" s="31" t="s">
        <v>283</v>
      </c>
      <c r="E45" s="32">
        <v>0.10299999999999999</v>
      </c>
      <c r="F45" s="31" t="s">
        <v>284</v>
      </c>
      <c r="G45" s="31" t="s">
        <v>285</v>
      </c>
      <c r="H45" s="31" t="s">
        <v>247</v>
      </c>
      <c r="I45" s="31" t="s">
        <v>20</v>
      </c>
      <c r="J45" s="33" t="s">
        <v>286</v>
      </c>
      <c r="K45" t="s">
        <v>235</v>
      </c>
      <c r="L45" t="s">
        <v>235</v>
      </c>
      <c r="M45" t="s">
        <v>235</v>
      </c>
    </row>
    <row r="46" spans="1:13" ht="22.8">
      <c r="A46" s="30" t="s">
        <v>147</v>
      </c>
      <c r="B46" s="31" t="s">
        <v>148</v>
      </c>
      <c r="C46" s="31" t="s">
        <v>287</v>
      </c>
      <c r="D46" s="31" t="s">
        <v>288</v>
      </c>
      <c r="E46" s="32">
        <v>5.8999999999999997E-2</v>
      </c>
      <c r="F46" s="31" t="s">
        <v>289</v>
      </c>
      <c r="G46" s="31" t="s">
        <v>290</v>
      </c>
      <c r="H46" s="31" t="s">
        <v>247</v>
      </c>
      <c r="I46" s="31" t="s">
        <v>20</v>
      </c>
      <c r="J46" s="33" t="s">
        <v>286</v>
      </c>
      <c r="K46" t="s">
        <v>235</v>
      </c>
      <c r="L46" t="s">
        <v>235</v>
      </c>
      <c r="M46" t="s">
        <v>235</v>
      </c>
    </row>
    <row r="47" spans="1:13" ht="22.8">
      <c r="A47" s="30" t="s">
        <v>153</v>
      </c>
      <c r="B47" s="31" t="s">
        <v>291</v>
      </c>
      <c r="C47" s="31" t="s">
        <v>237</v>
      </c>
      <c r="D47" s="31" t="s">
        <v>238</v>
      </c>
      <c r="E47" s="32">
        <f>35.2%-0.0204</f>
        <v>0.33160000000000001</v>
      </c>
      <c r="F47" s="31" t="s">
        <v>239</v>
      </c>
      <c r="G47" s="31" t="s">
        <v>240</v>
      </c>
      <c r="H47" s="31" t="s">
        <v>241</v>
      </c>
      <c r="I47" s="31" t="s">
        <v>20</v>
      </c>
      <c r="J47" s="33" t="s">
        <v>242</v>
      </c>
      <c r="K47" t="s">
        <v>235</v>
      </c>
      <c r="L47" t="s">
        <v>235</v>
      </c>
      <c r="M47" t="s">
        <v>235</v>
      </c>
    </row>
    <row r="48" spans="1:13" ht="22.8">
      <c r="A48" s="30" t="s">
        <v>153</v>
      </c>
      <c r="B48" s="31" t="s">
        <v>291</v>
      </c>
      <c r="C48" s="31" t="s">
        <v>243</v>
      </c>
      <c r="D48" s="31" t="s">
        <v>244</v>
      </c>
      <c r="E48" s="32">
        <v>0.01</v>
      </c>
      <c r="F48" s="31" t="s">
        <v>245</v>
      </c>
      <c r="G48" s="31" t="s">
        <v>246</v>
      </c>
      <c r="H48" s="31" t="s">
        <v>247</v>
      </c>
      <c r="I48" s="31" t="s">
        <v>20</v>
      </c>
      <c r="J48" s="33" t="s">
        <v>248</v>
      </c>
      <c r="K48" t="s">
        <v>235</v>
      </c>
      <c r="L48" t="s">
        <v>235</v>
      </c>
      <c r="M48" t="s">
        <v>235</v>
      </c>
    </row>
    <row r="49" spans="1:13" ht="22.8">
      <c r="A49" s="30" t="s">
        <v>153</v>
      </c>
      <c r="B49" s="31" t="s">
        <v>291</v>
      </c>
      <c r="C49" s="31" t="s">
        <v>249</v>
      </c>
      <c r="D49" s="31" t="s">
        <v>250</v>
      </c>
      <c r="E49" s="32">
        <v>2.7E-2</v>
      </c>
      <c r="F49" s="31" t="s">
        <v>251</v>
      </c>
      <c r="G49" s="31" t="s">
        <v>240</v>
      </c>
      <c r="H49" s="31" t="s">
        <v>252</v>
      </c>
      <c r="I49" s="31" t="s">
        <v>20</v>
      </c>
      <c r="J49" s="33" t="s">
        <v>253</v>
      </c>
      <c r="K49" t="s">
        <v>235</v>
      </c>
      <c r="L49" t="s">
        <v>235</v>
      </c>
      <c r="M49" t="s">
        <v>235</v>
      </c>
    </row>
    <row r="50" spans="1:13" ht="22.8">
      <c r="A50" s="30" t="s">
        <v>153</v>
      </c>
      <c r="B50" s="31" t="s">
        <v>291</v>
      </c>
      <c r="C50" s="31" t="s">
        <v>254</v>
      </c>
      <c r="D50" s="31" t="s">
        <v>255</v>
      </c>
      <c r="E50" s="32">
        <v>2.3E-2</v>
      </c>
      <c r="F50" s="31" t="s">
        <v>256</v>
      </c>
      <c r="G50" s="31" t="s">
        <v>257</v>
      </c>
      <c r="H50" s="31" t="s">
        <v>258</v>
      </c>
      <c r="I50" s="31" t="s">
        <v>20</v>
      </c>
      <c r="J50" s="33" t="s">
        <v>259</v>
      </c>
      <c r="K50" t="s">
        <v>235</v>
      </c>
      <c r="L50" t="s">
        <v>235</v>
      </c>
      <c r="M50" t="s">
        <v>235</v>
      </c>
    </row>
    <row r="51" spans="1:13" ht="22.8">
      <c r="A51" s="30" t="s">
        <v>153</v>
      </c>
      <c r="B51" s="31" t="s">
        <v>291</v>
      </c>
      <c r="C51" s="31" t="s">
        <v>260</v>
      </c>
      <c r="D51" s="31" t="s">
        <v>261</v>
      </c>
      <c r="E51" s="32">
        <v>8.9999999999999993E-3</v>
      </c>
      <c r="F51" s="31" t="s">
        <v>251</v>
      </c>
      <c r="G51" s="31" t="s">
        <v>240</v>
      </c>
      <c r="H51" s="31" t="s">
        <v>252</v>
      </c>
      <c r="I51" s="31" t="s">
        <v>20</v>
      </c>
      <c r="J51" s="33" t="s">
        <v>262</v>
      </c>
      <c r="K51" t="s">
        <v>235</v>
      </c>
      <c r="L51" t="s">
        <v>235</v>
      </c>
      <c r="M51" t="s">
        <v>235</v>
      </c>
    </row>
    <row r="52" spans="1:13" ht="22.8">
      <c r="A52" s="30" t="s">
        <v>153</v>
      </c>
      <c r="B52" s="31" t="s">
        <v>291</v>
      </c>
      <c r="C52" s="31" t="s">
        <v>263</v>
      </c>
      <c r="D52" s="31" t="s">
        <v>264</v>
      </c>
      <c r="E52" s="32">
        <v>6.0000000000000001E-3</v>
      </c>
      <c r="F52" s="31" t="s">
        <v>256</v>
      </c>
      <c r="G52" s="31" t="s">
        <v>257</v>
      </c>
      <c r="H52" s="31" t="s">
        <v>258</v>
      </c>
      <c r="I52" s="31" t="s">
        <v>20</v>
      </c>
      <c r="J52" s="33" t="s">
        <v>259</v>
      </c>
      <c r="K52" t="s">
        <v>235</v>
      </c>
      <c r="L52" t="s">
        <v>235</v>
      </c>
      <c r="M52" t="s">
        <v>235</v>
      </c>
    </row>
    <row r="53" spans="1:13" ht="22.8">
      <c r="A53" s="30" t="s">
        <v>153</v>
      </c>
      <c r="B53" s="31" t="s">
        <v>291</v>
      </c>
      <c r="C53" s="31" t="s">
        <v>265</v>
      </c>
      <c r="D53" s="31" t="s">
        <v>266</v>
      </c>
      <c r="E53" s="32">
        <v>4.0000000000000001E-3</v>
      </c>
      <c r="F53" s="31" t="s">
        <v>256</v>
      </c>
      <c r="G53" s="31" t="s">
        <v>257</v>
      </c>
      <c r="H53" s="31" t="s">
        <v>258</v>
      </c>
      <c r="I53" s="31" t="s">
        <v>20</v>
      </c>
      <c r="J53" s="33" t="s">
        <v>259</v>
      </c>
      <c r="K53" t="s">
        <v>235</v>
      </c>
      <c r="L53" t="s">
        <v>235</v>
      </c>
      <c r="M53" t="s">
        <v>235</v>
      </c>
    </row>
    <row r="54" spans="1:13" ht="22.8">
      <c r="A54" s="30" t="s">
        <v>153</v>
      </c>
      <c r="B54" s="31" t="s">
        <v>291</v>
      </c>
      <c r="C54" s="31" t="s">
        <v>267</v>
      </c>
      <c r="D54" s="31" t="s">
        <v>268</v>
      </c>
      <c r="E54" s="32">
        <v>7.0000000000000001E-3</v>
      </c>
      <c r="F54" s="31" t="s">
        <v>256</v>
      </c>
      <c r="G54" s="31" t="s">
        <v>257</v>
      </c>
      <c r="H54" s="31" t="s">
        <v>258</v>
      </c>
      <c r="I54" s="31" t="s">
        <v>20</v>
      </c>
      <c r="J54" s="33" t="s">
        <v>259</v>
      </c>
      <c r="K54" t="s">
        <v>235</v>
      </c>
      <c r="L54" t="s">
        <v>235</v>
      </c>
      <c r="M54" t="s">
        <v>235</v>
      </c>
    </row>
    <row r="55" spans="1:13" ht="22.8">
      <c r="A55" s="30" t="s">
        <v>153</v>
      </c>
      <c r="B55" s="31" t="s">
        <v>291</v>
      </c>
      <c r="C55" s="31" t="s">
        <v>269</v>
      </c>
      <c r="D55" s="31" t="s">
        <v>269</v>
      </c>
      <c r="E55" s="32">
        <v>1.0999999999999999E-2</v>
      </c>
      <c r="F55" s="31" t="s">
        <v>256</v>
      </c>
      <c r="G55" s="31" t="s">
        <v>257</v>
      </c>
      <c r="H55" s="31" t="s">
        <v>258</v>
      </c>
      <c r="I55" s="31" t="s">
        <v>20</v>
      </c>
      <c r="J55" s="33" t="s">
        <v>270</v>
      </c>
      <c r="K55" t="s">
        <v>235</v>
      </c>
      <c r="L55" t="s">
        <v>235</v>
      </c>
      <c r="M55" t="s">
        <v>235</v>
      </c>
    </row>
    <row r="56" spans="1:13" ht="22.8">
      <c r="A56" s="30" t="s">
        <v>153</v>
      </c>
      <c r="B56" s="31" t="s">
        <v>291</v>
      </c>
      <c r="C56" s="31" t="s">
        <v>271</v>
      </c>
      <c r="D56" s="31" t="s">
        <v>272</v>
      </c>
      <c r="E56" s="32">
        <v>2E-3</v>
      </c>
      <c r="F56" s="31" t="s">
        <v>256</v>
      </c>
      <c r="G56" s="31" t="s">
        <v>257</v>
      </c>
      <c r="H56" s="31" t="s">
        <v>258</v>
      </c>
      <c r="I56" s="31" t="s">
        <v>20</v>
      </c>
      <c r="J56" s="33" t="s">
        <v>270</v>
      </c>
      <c r="K56" t="s">
        <v>235</v>
      </c>
      <c r="L56" t="s">
        <v>235</v>
      </c>
      <c r="M56" t="s">
        <v>235</v>
      </c>
    </row>
    <row r="57" spans="1:13" ht="22.8">
      <c r="A57" s="30" t="s">
        <v>153</v>
      </c>
      <c r="B57" s="31" t="s">
        <v>291</v>
      </c>
      <c r="C57" s="31" t="s">
        <v>273</v>
      </c>
      <c r="D57" s="31" t="s">
        <v>274</v>
      </c>
      <c r="E57" s="32">
        <v>0.152</v>
      </c>
      <c r="F57" s="31" t="s">
        <v>275</v>
      </c>
      <c r="G57" s="31" t="s">
        <v>276</v>
      </c>
      <c r="H57" s="31" t="s">
        <v>247</v>
      </c>
      <c r="I57" s="31" t="s">
        <v>20</v>
      </c>
      <c r="J57" s="33" t="s">
        <v>277</v>
      </c>
      <c r="K57" t="s">
        <v>235</v>
      </c>
      <c r="L57" t="s">
        <v>235</v>
      </c>
      <c r="M57" t="s">
        <v>235</v>
      </c>
    </row>
    <row r="58" spans="1:13" ht="22.8">
      <c r="A58" s="30" t="s">
        <v>153</v>
      </c>
      <c r="B58" s="31" t="s">
        <v>291</v>
      </c>
      <c r="C58" s="31" t="s">
        <v>278</v>
      </c>
      <c r="D58" s="31" t="s">
        <v>279</v>
      </c>
      <c r="E58" s="32">
        <f>9.8%+0.0204</f>
        <v>0.11840000000000001</v>
      </c>
      <c r="F58" s="31" t="s">
        <v>275</v>
      </c>
      <c r="G58" s="31" t="s">
        <v>276</v>
      </c>
      <c r="H58" s="31" t="s">
        <v>247</v>
      </c>
      <c r="I58" s="31" t="s">
        <v>20</v>
      </c>
      <c r="J58" s="33" t="s">
        <v>277</v>
      </c>
      <c r="K58" t="s">
        <v>235</v>
      </c>
      <c r="L58" t="s">
        <v>235</v>
      </c>
      <c r="M58" t="s">
        <v>235</v>
      </c>
    </row>
    <row r="59" spans="1:13" ht="22.8">
      <c r="A59" s="30" t="s">
        <v>153</v>
      </c>
      <c r="B59" s="31" t="s">
        <v>291</v>
      </c>
      <c r="C59" s="31" t="s">
        <v>280</v>
      </c>
      <c r="D59" s="31" t="s">
        <v>281</v>
      </c>
      <c r="E59" s="32">
        <v>0.13700000000000001</v>
      </c>
      <c r="F59" s="31" t="s">
        <v>275</v>
      </c>
      <c r="G59" s="31" t="s">
        <v>276</v>
      </c>
      <c r="H59" s="31" t="s">
        <v>247</v>
      </c>
      <c r="I59" s="31" t="s">
        <v>20</v>
      </c>
      <c r="J59" s="33" t="s">
        <v>277</v>
      </c>
      <c r="K59" t="s">
        <v>235</v>
      </c>
      <c r="L59" t="s">
        <v>235</v>
      </c>
      <c r="M59" t="s">
        <v>235</v>
      </c>
    </row>
    <row r="60" spans="1:13" ht="22.8">
      <c r="A60" s="30" t="s">
        <v>153</v>
      </c>
      <c r="B60" s="31" t="s">
        <v>291</v>
      </c>
      <c r="C60" s="31" t="s">
        <v>282</v>
      </c>
      <c r="D60" s="31" t="s">
        <v>283</v>
      </c>
      <c r="E60" s="32">
        <v>0.10299999999999999</v>
      </c>
      <c r="F60" s="31" t="s">
        <v>284</v>
      </c>
      <c r="G60" s="31" t="s">
        <v>285</v>
      </c>
      <c r="H60" s="31" t="s">
        <v>247</v>
      </c>
      <c r="I60" s="31" t="s">
        <v>20</v>
      </c>
      <c r="J60" s="33" t="s">
        <v>286</v>
      </c>
      <c r="K60" t="s">
        <v>235</v>
      </c>
      <c r="L60" t="s">
        <v>235</v>
      </c>
      <c r="M60" t="s">
        <v>235</v>
      </c>
    </row>
    <row r="61" spans="1:13" ht="22.8">
      <c r="A61" s="30" t="s">
        <v>153</v>
      </c>
      <c r="B61" s="31" t="s">
        <v>291</v>
      </c>
      <c r="C61" s="31" t="s">
        <v>287</v>
      </c>
      <c r="D61" s="31" t="s">
        <v>288</v>
      </c>
      <c r="E61" s="32">
        <v>5.8999999999999997E-2</v>
      </c>
      <c r="F61" s="31" t="s">
        <v>289</v>
      </c>
      <c r="G61" s="31" t="s">
        <v>290</v>
      </c>
      <c r="H61" s="31" t="s">
        <v>247</v>
      </c>
      <c r="I61" s="31" t="s">
        <v>20</v>
      </c>
      <c r="J61" s="33" t="s">
        <v>286</v>
      </c>
      <c r="K61" t="s">
        <v>235</v>
      </c>
      <c r="L61" t="s">
        <v>235</v>
      </c>
      <c r="M61" t="s">
        <v>235</v>
      </c>
    </row>
    <row r="62" spans="1:13" ht="22.8">
      <c r="A62" s="30" t="s">
        <v>165</v>
      </c>
      <c r="B62" s="31" t="s">
        <v>166</v>
      </c>
      <c r="C62" s="31" t="s">
        <v>237</v>
      </c>
      <c r="D62" s="31" t="s">
        <v>238</v>
      </c>
      <c r="E62" s="32">
        <f>35.2%-0.0551</f>
        <v>0.29690000000000005</v>
      </c>
      <c r="F62" s="31" t="s">
        <v>239</v>
      </c>
      <c r="G62" s="31" t="s">
        <v>240</v>
      </c>
      <c r="H62" s="31" t="s">
        <v>241</v>
      </c>
      <c r="I62" s="31" t="s">
        <v>20</v>
      </c>
      <c r="J62" s="33" t="s">
        <v>242</v>
      </c>
      <c r="K62" t="s">
        <v>235</v>
      </c>
      <c r="L62" t="s">
        <v>235</v>
      </c>
      <c r="M62" t="s">
        <v>235</v>
      </c>
    </row>
    <row r="63" spans="1:13" ht="22.8">
      <c r="A63" s="30" t="s">
        <v>165</v>
      </c>
      <c r="B63" s="31" t="s">
        <v>166</v>
      </c>
      <c r="C63" s="31" t="s">
        <v>243</v>
      </c>
      <c r="D63" s="31" t="s">
        <v>244</v>
      </c>
      <c r="E63" s="32">
        <v>0.01</v>
      </c>
      <c r="F63" s="31" t="s">
        <v>245</v>
      </c>
      <c r="G63" s="31" t="s">
        <v>246</v>
      </c>
      <c r="H63" s="31" t="s">
        <v>247</v>
      </c>
      <c r="I63" s="31" t="s">
        <v>20</v>
      </c>
      <c r="J63" s="33" t="s">
        <v>248</v>
      </c>
      <c r="K63" t="s">
        <v>235</v>
      </c>
      <c r="L63" t="s">
        <v>235</v>
      </c>
      <c r="M63" t="s">
        <v>235</v>
      </c>
    </row>
    <row r="64" spans="1:13" ht="22.8">
      <c r="A64" s="30" t="s">
        <v>165</v>
      </c>
      <c r="B64" s="31" t="s">
        <v>166</v>
      </c>
      <c r="C64" s="31" t="s">
        <v>249</v>
      </c>
      <c r="D64" s="31" t="s">
        <v>250</v>
      </c>
      <c r="E64" s="32">
        <v>2.7E-2</v>
      </c>
      <c r="F64" s="31" t="s">
        <v>251</v>
      </c>
      <c r="G64" s="31" t="s">
        <v>240</v>
      </c>
      <c r="H64" s="31" t="s">
        <v>252</v>
      </c>
      <c r="I64" s="31" t="s">
        <v>20</v>
      </c>
      <c r="J64" s="33" t="s">
        <v>253</v>
      </c>
      <c r="K64" t="s">
        <v>235</v>
      </c>
      <c r="L64" t="s">
        <v>235</v>
      </c>
      <c r="M64" t="s">
        <v>235</v>
      </c>
    </row>
    <row r="65" spans="1:13" ht="22.8">
      <c r="A65" s="30" t="s">
        <v>165</v>
      </c>
      <c r="B65" s="31" t="s">
        <v>166</v>
      </c>
      <c r="C65" s="31" t="s">
        <v>254</v>
      </c>
      <c r="D65" s="31" t="s">
        <v>255</v>
      </c>
      <c r="E65" s="32">
        <v>2.3E-2</v>
      </c>
      <c r="F65" s="31" t="s">
        <v>256</v>
      </c>
      <c r="G65" s="31" t="s">
        <v>257</v>
      </c>
      <c r="H65" s="31" t="s">
        <v>258</v>
      </c>
      <c r="I65" s="31" t="s">
        <v>20</v>
      </c>
      <c r="J65" s="33" t="s">
        <v>259</v>
      </c>
      <c r="K65" t="s">
        <v>235</v>
      </c>
      <c r="L65" t="s">
        <v>235</v>
      </c>
      <c r="M65" t="s">
        <v>235</v>
      </c>
    </row>
    <row r="66" spans="1:13" ht="22.8">
      <c r="A66" s="30" t="s">
        <v>165</v>
      </c>
      <c r="B66" s="31" t="s">
        <v>166</v>
      </c>
      <c r="C66" s="31" t="s">
        <v>260</v>
      </c>
      <c r="D66" s="31" t="s">
        <v>261</v>
      </c>
      <c r="E66" s="32">
        <v>8.9999999999999993E-3</v>
      </c>
      <c r="F66" s="31" t="s">
        <v>251</v>
      </c>
      <c r="G66" s="31" t="s">
        <v>240</v>
      </c>
      <c r="H66" s="31" t="s">
        <v>252</v>
      </c>
      <c r="I66" s="31" t="s">
        <v>20</v>
      </c>
      <c r="J66" s="33" t="s">
        <v>262</v>
      </c>
      <c r="K66" t="s">
        <v>235</v>
      </c>
      <c r="L66" t="s">
        <v>235</v>
      </c>
      <c r="M66" t="s">
        <v>235</v>
      </c>
    </row>
    <row r="67" spans="1:13" ht="22.8">
      <c r="A67" s="30" t="s">
        <v>165</v>
      </c>
      <c r="B67" s="31" t="s">
        <v>166</v>
      </c>
      <c r="C67" s="31" t="s">
        <v>263</v>
      </c>
      <c r="D67" s="31" t="s">
        <v>264</v>
      </c>
      <c r="E67" s="32">
        <v>6.0000000000000001E-3</v>
      </c>
      <c r="F67" s="31" t="s">
        <v>256</v>
      </c>
      <c r="G67" s="31" t="s">
        <v>257</v>
      </c>
      <c r="H67" s="31" t="s">
        <v>258</v>
      </c>
      <c r="I67" s="31" t="s">
        <v>20</v>
      </c>
      <c r="J67" s="33" t="s">
        <v>259</v>
      </c>
      <c r="K67" t="s">
        <v>235</v>
      </c>
      <c r="L67" t="s">
        <v>235</v>
      </c>
      <c r="M67" t="s">
        <v>235</v>
      </c>
    </row>
    <row r="68" spans="1:13" ht="22.8">
      <c r="A68" s="30" t="s">
        <v>165</v>
      </c>
      <c r="B68" s="31" t="s">
        <v>166</v>
      </c>
      <c r="C68" s="31" t="s">
        <v>265</v>
      </c>
      <c r="D68" s="31" t="s">
        <v>266</v>
      </c>
      <c r="E68" s="32">
        <v>4.0000000000000001E-3</v>
      </c>
      <c r="F68" s="31" t="s">
        <v>256</v>
      </c>
      <c r="G68" s="31" t="s">
        <v>257</v>
      </c>
      <c r="H68" s="31" t="s">
        <v>258</v>
      </c>
      <c r="I68" s="31" t="s">
        <v>20</v>
      </c>
      <c r="J68" s="33" t="s">
        <v>259</v>
      </c>
      <c r="K68" t="s">
        <v>235</v>
      </c>
      <c r="L68" t="s">
        <v>235</v>
      </c>
      <c r="M68" t="s">
        <v>235</v>
      </c>
    </row>
    <row r="69" spans="1:13" ht="22.8">
      <c r="A69" s="30" t="s">
        <v>165</v>
      </c>
      <c r="B69" s="31" t="s">
        <v>166</v>
      </c>
      <c r="C69" s="31" t="s">
        <v>267</v>
      </c>
      <c r="D69" s="31" t="s">
        <v>268</v>
      </c>
      <c r="E69" s="32">
        <v>7.0000000000000001E-3</v>
      </c>
      <c r="F69" s="31" t="s">
        <v>256</v>
      </c>
      <c r="G69" s="31" t="s">
        <v>257</v>
      </c>
      <c r="H69" s="31" t="s">
        <v>258</v>
      </c>
      <c r="I69" s="31" t="s">
        <v>20</v>
      </c>
      <c r="J69" s="33" t="s">
        <v>259</v>
      </c>
      <c r="K69" t="s">
        <v>235</v>
      </c>
      <c r="L69" t="s">
        <v>235</v>
      </c>
      <c r="M69" t="s">
        <v>235</v>
      </c>
    </row>
    <row r="70" spans="1:13" ht="22.8">
      <c r="A70" s="30" t="s">
        <v>165</v>
      </c>
      <c r="B70" s="31" t="s">
        <v>166</v>
      </c>
      <c r="C70" s="31" t="s">
        <v>269</v>
      </c>
      <c r="D70" s="31" t="s">
        <v>269</v>
      </c>
      <c r="E70" s="32">
        <v>1.0999999999999999E-2</v>
      </c>
      <c r="F70" s="31" t="s">
        <v>256</v>
      </c>
      <c r="G70" s="31" t="s">
        <v>257</v>
      </c>
      <c r="H70" s="31" t="s">
        <v>258</v>
      </c>
      <c r="I70" s="31" t="s">
        <v>20</v>
      </c>
      <c r="J70" s="33" t="s">
        <v>270</v>
      </c>
      <c r="K70" t="s">
        <v>235</v>
      </c>
      <c r="L70" t="s">
        <v>235</v>
      </c>
      <c r="M70" t="s">
        <v>235</v>
      </c>
    </row>
    <row r="71" spans="1:13" ht="22.8">
      <c r="A71" s="30" t="s">
        <v>165</v>
      </c>
      <c r="B71" s="31" t="s">
        <v>166</v>
      </c>
      <c r="C71" s="31" t="s">
        <v>271</v>
      </c>
      <c r="D71" s="31" t="s">
        <v>272</v>
      </c>
      <c r="E71" s="32">
        <v>2E-3</v>
      </c>
      <c r="F71" s="31" t="s">
        <v>256</v>
      </c>
      <c r="G71" s="31" t="s">
        <v>257</v>
      </c>
      <c r="H71" s="31" t="s">
        <v>258</v>
      </c>
      <c r="I71" s="31" t="s">
        <v>20</v>
      </c>
      <c r="J71" s="33" t="s">
        <v>270</v>
      </c>
      <c r="K71" t="s">
        <v>235</v>
      </c>
      <c r="L71" t="s">
        <v>235</v>
      </c>
      <c r="M71" t="s">
        <v>235</v>
      </c>
    </row>
    <row r="72" spans="1:13" ht="22.8">
      <c r="A72" s="30" t="s">
        <v>165</v>
      </c>
      <c r="B72" s="31" t="s">
        <v>166</v>
      </c>
      <c r="C72" s="31" t="s">
        <v>273</v>
      </c>
      <c r="D72" s="31" t="s">
        <v>274</v>
      </c>
      <c r="E72" s="32">
        <v>0.152</v>
      </c>
      <c r="F72" s="31" t="s">
        <v>275</v>
      </c>
      <c r="G72" s="31" t="s">
        <v>276</v>
      </c>
      <c r="H72" s="31" t="s">
        <v>247</v>
      </c>
      <c r="I72" s="31" t="s">
        <v>20</v>
      </c>
      <c r="J72" s="33" t="s">
        <v>277</v>
      </c>
      <c r="K72" t="s">
        <v>235</v>
      </c>
      <c r="L72" t="s">
        <v>235</v>
      </c>
      <c r="M72" t="s">
        <v>235</v>
      </c>
    </row>
    <row r="73" spans="1:13" ht="22.8">
      <c r="A73" s="30" t="s">
        <v>165</v>
      </c>
      <c r="B73" s="31" t="s">
        <v>166</v>
      </c>
      <c r="C73" s="31" t="s">
        <v>278</v>
      </c>
      <c r="D73" s="31" t="s">
        <v>279</v>
      </c>
      <c r="E73" s="32">
        <f>9.8%+0.0551</f>
        <v>0.15310000000000001</v>
      </c>
      <c r="F73" s="31" t="s">
        <v>275</v>
      </c>
      <c r="G73" s="31" t="s">
        <v>276</v>
      </c>
      <c r="H73" s="31" t="s">
        <v>247</v>
      </c>
      <c r="I73" s="31" t="s">
        <v>20</v>
      </c>
      <c r="J73" s="33" t="s">
        <v>277</v>
      </c>
      <c r="K73" t="s">
        <v>235</v>
      </c>
      <c r="L73" t="s">
        <v>235</v>
      </c>
      <c r="M73" t="s">
        <v>235</v>
      </c>
    </row>
    <row r="74" spans="1:13" ht="22.8">
      <c r="A74" s="30" t="s">
        <v>165</v>
      </c>
      <c r="B74" s="31" t="s">
        <v>166</v>
      </c>
      <c r="C74" s="31" t="s">
        <v>280</v>
      </c>
      <c r="D74" s="31" t="s">
        <v>281</v>
      </c>
      <c r="E74" s="32">
        <v>0.13700000000000001</v>
      </c>
      <c r="F74" s="31" t="s">
        <v>275</v>
      </c>
      <c r="G74" s="31" t="s">
        <v>276</v>
      </c>
      <c r="H74" s="31" t="s">
        <v>247</v>
      </c>
      <c r="I74" s="31" t="s">
        <v>20</v>
      </c>
      <c r="J74" s="33" t="s">
        <v>277</v>
      </c>
      <c r="K74" t="s">
        <v>235</v>
      </c>
      <c r="L74" t="s">
        <v>235</v>
      </c>
      <c r="M74" t="s">
        <v>235</v>
      </c>
    </row>
    <row r="75" spans="1:13" ht="22.8">
      <c r="A75" s="30" t="s">
        <v>165</v>
      </c>
      <c r="B75" s="31" t="s">
        <v>166</v>
      </c>
      <c r="C75" s="31" t="s">
        <v>282</v>
      </c>
      <c r="D75" s="31" t="s">
        <v>283</v>
      </c>
      <c r="E75" s="32">
        <v>0.10299999999999999</v>
      </c>
      <c r="F75" s="31" t="s">
        <v>284</v>
      </c>
      <c r="G75" s="31" t="s">
        <v>285</v>
      </c>
      <c r="H75" s="31" t="s">
        <v>247</v>
      </c>
      <c r="I75" s="31" t="s">
        <v>20</v>
      </c>
      <c r="J75" s="33" t="s">
        <v>286</v>
      </c>
      <c r="K75" t="s">
        <v>235</v>
      </c>
      <c r="L75" t="s">
        <v>235</v>
      </c>
      <c r="M75" t="s">
        <v>235</v>
      </c>
    </row>
    <row r="76" spans="1:13" ht="22.8">
      <c r="A76" s="30" t="s">
        <v>165</v>
      </c>
      <c r="B76" s="31" t="s">
        <v>166</v>
      </c>
      <c r="C76" s="31" t="s">
        <v>287</v>
      </c>
      <c r="D76" s="31" t="s">
        <v>288</v>
      </c>
      <c r="E76" s="32">
        <v>5.8999999999999997E-2</v>
      </c>
      <c r="F76" s="31" t="s">
        <v>289</v>
      </c>
      <c r="G76" s="31" t="s">
        <v>290</v>
      </c>
      <c r="H76" s="31" t="s">
        <v>247</v>
      </c>
      <c r="I76" s="31" t="s">
        <v>20</v>
      </c>
      <c r="J76" s="33" t="s">
        <v>286</v>
      </c>
      <c r="K76" t="s">
        <v>235</v>
      </c>
      <c r="L76" t="s">
        <v>235</v>
      </c>
      <c r="M76" t="s">
        <v>235</v>
      </c>
    </row>
    <row r="77" spans="1:13" ht="22.8">
      <c r="A77" s="30" t="s">
        <v>217</v>
      </c>
      <c r="B77" s="31" t="s">
        <v>218</v>
      </c>
      <c r="C77" s="31" t="s">
        <v>237</v>
      </c>
      <c r="D77" s="31" t="s">
        <v>238</v>
      </c>
      <c r="E77" s="32">
        <f>35.2%-0.0445</f>
        <v>0.30750000000000005</v>
      </c>
      <c r="F77" s="31" t="s">
        <v>239</v>
      </c>
      <c r="G77" s="31" t="s">
        <v>240</v>
      </c>
      <c r="H77" s="31" t="s">
        <v>241</v>
      </c>
      <c r="I77" s="31" t="s">
        <v>20</v>
      </c>
      <c r="J77" s="33" t="s">
        <v>242</v>
      </c>
      <c r="K77" t="s">
        <v>235</v>
      </c>
      <c r="L77" t="s">
        <v>235</v>
      </c>
      <c r="M77" t="s">
        <v>235</v>
      </c>
    </row>
    <row r="78" spans="1:13" ht="22.8">
      <c r="A78" s="30" t="s">
        <v>217</v>
      </c>
      <c r="B78" s="31" t="s">
        <v>218</v>
      </c>
      <c r="C78" s="31" t="s">
        <v>243</v>
      </c>
      <c r="D78" s="31" t="s">
        <v>244</v>
      </c>
      <c r="E78" s="32">
        <v>0.01</v>
      </c>
      <c r="F78" s="31" t="s">
        <v>245</v>
      </c>
      <c r="G78" s="31" t="s">
        <v>246</v>
      </c>
      <c r="H78" s="31" t="s">
        <v>247</v>
      </c>
      <c r="I78" s="31" t="s">
        <v>20</v>
      </c>
      <c r="J78" s="33" t="s">
        <v>248</v>
      </c>
      <c r="K78" t="s">
        <v>235</v>
      </c>
      <c r="L78" t="s">
        <v>235</v>
      </c>
      <c r="M78" t="s">
        <v>235</v>
      </c>
    </row>
    <row r="79" spans="1:13" ht="22.8">
      <c r="A79" s="30" t="s">
        <v>217</v>
      </c>
      <c r="B79" s="31" t="s">
        <v>218</v>
      </c>
      <c r="C79" s="31" t="s">
        <v>249</v>
      </c>
      <c r="D79" s="31" t="s">
        <v>250</v>
      </c>
      <c r="E79" s="32">
        <v>2.7E-2</v>
      </c>
      <c r="F79" s="31" t="s">
        <v>251</v>
      </c>
      <c r="G79" s="31" t="s">
        <v>240</v>
      </c>
      <c r="H79" s="31" t="s">
        <v>252</v>
      </c>
      <c r="I79" s="31" t="s">
        <v>20</v>
      </c>
      <c r="J79" s="33" t="s">
        <v>253</v>
      </c>
      <c r="K79" t="s">
        <v>235</v>
      </c>
      <c r="L79" t="s">
        <v>235</v>
      </c>
      <c r="M79" t="s">
        <v>235</v>
      </c>
    </row>
    <row r="80" spans="1:13" ht="22.8">
      <c r="A80" s="30" t="s">
        <v>217</v>
      </c>
      <c r="B80" s="31" t="s">
        <v>218</v>
      </c>
      <c r="C80" s="31" t="s">
        <v>254</v>
      </c>
      <c r="D80" s="31" t="s">
        <v>255</v>
      </c>
      <c r="E80" s="32">
        <v>2.3E-2</v>
      </c>
      <c r="F80" s="31" t="s">
        <v>256</v>
      </c>
      <c r="G80" s="31" t="s">
        <v>257</v>
      </c>
      <c r="H80" s="31" t="s">
        <v>258</v>
      </c>
      <c r="I80" s="31" t="s">
        <v>20</v>
      </c>
      <c r="J80" s="33" t="s">
        <v>259</v>
      </c>
      <c r="K80" t="s">
        <v>235</v>
      </c>
      <c r="L80" t="s">
        <v>235</v>
      </c>
      <c r="M80" t="s">
        <v>235</v>
      </c>
    </row>
    <row r="81" spans="1:13" ht="22.8">
      <c r="A81" s="30" t="s">
        <v>217</v>
      </c>
      <c r="B81" s="31" t="s">
        <v>218</v>
      </c>
      <c r="C81" s="31" t="s">
        <v>260</v>
      </c>
      <c r="D81" s="31" t="s">
        <v>261</v>
      </c>
      <c r="E81" s="32">
        <v>8.9999999999999993E-3</v>
      </c>
      <c r="F81" s="31" t="s">
        <v>251</v>
      </c>
      <c r="G81" s="31" t="s">
        <v>240</v>
      </c>
      <c r="H81" s="31" t="s">
        <v>252</v>
      </c>
      <c r="I81" s="31" t="s">
        <v>20</v>
      </c>
      <c r="J81" s="33" t="s">
        <v>262</v>
      </c>
      <c r="K81" t="s">
        <v>235</v>
      </c>
      <c r="L81" t="s">
        <v>235</v>
      </c>
      <c r="M81" t="s">
        <v>235</v>
      </c>
    </row>
    <row r="82" spans="1:13" ht="22.8">
      <c r="A82" s="30" t="s">
        <v>217</v>
      </c>
      <c r="B82" s="31" t="s">
        <v>218</v>
      </c>
      <c r="C82" s="31" t="s">
        <v>263</v>
      </c>
      <c r="D82" s="31" t="s">
        <v>264</v>
      </c>
      <c r="E82" s="32">
        <v>6.0000000000000001E-3</v>
      </c>
      <c r="F82" s="31" t="s">
        <v>256</v>
      </c>
      <c r="G82" s="31" t="s">
        <v>257</v>
      </c>
      <c r="H82" s="31" t="s">
        <v>258</v>
      </c>
      <c r="I82" s="31" t="s">
        <v>20</v>
      </c>
      <c r="J82" s="33" t="s">
        <v>259</v>
      </c>
      <c r="K82" t="s">
        <v>235</v>
      </c>
      <c r="L82" t="s">
        <v>235</v>
      </c>
      <c r="M82" t="s">
        <v>235</v>
      </c>
    </row>
    <row r="83" spans="1:13" ht="22.8">
      <c r="A83" s="30" t="s">
        <v>217</v>
      </c>
      <c r="B83" s="31" t="s">
        <v>218</v>
      </c>
      <c r="C83" s="31" t="s">
        <v>265</v>
      </c>
      <c r="D83" s="31" t="s">
        <v>266</v>
      </c>
      <c r="E83" s="32">
        <v>4.0000000000000001E-3</v>
      </c>
      <c r="F83" s="31" t="s">
        <v>256</v>
      </c>
      <c r="G83" s="31" t="s">
        <v>257</v>
      </c>
      <c r="H83" s="31" t="s">
        <v>258</v>
      </c>
      <c r="I83" s="31" t="s">
        <v>20</v>
      </c>
      <c r="J83" s="33" t="s">
        <v>259</v>
      </c>
      <c r="K83" t="s">
        <v>235</v>
      </c>
      <c r="L83" t="s">
        <v>235</v>
      </c>
      <c r="M83" t="s">
        <v>235</v>
      </c>
    </row>
    <row r="84" spans="1:13" ht="22.8">
      <c r="A84" s="30" t="s">
        <v>217</v>
      </c>
      <c r="B84" s="31" t="s">
        <v>218</v>
      </c>
      <c r="C84" s="31" t="s">
        <v>267</v>
      </c>
      <c r="D84" s="31" t="s">
        <v>268</v>
      </c>
      <c r="E84" s="32">
        <v>7.0000000000000001E-3</v>
      </c>
      <c r="F84" s="31" t="s">
        <v>256</v>
      </c>
      <c r="G84" s="31" t="s">
        <v>257</v>
      </c>
      <c r="H84" s="31" t="s">
        <v>258</v>
      </c>
      <c r="I84" s="31" t="s">
        <v>20</v>
      </c>
      <c r="J84" s="33" t="s">
        <v>259</v>
      </c>
      <c r="K84" t="s">
        <v>235</v>
      </c>
      <c r="L84" t="s">
        <v>235</v>
      </c>
      <c r="M84" t="s">
        <v>235</v>
      </c>
    </row>
    <row r="85" spans="1:13" ht="22.8">
      <c r="A85" s="30" t="s">
        <v>217</v>
      </c>
      <c r="B85" s="31" t="s">
        <v>218</v>
      </c>
      <c r="C85" s="31" t="s">
        <v>269</v>
      </c>
      <c r="D85" s="31" t="s">
        <v>269</v>
      </c>
      <c r="E85" s="32">
        <v>1.0999999999999999E-2</v>
      </c>
      <c r="F85" s="31" t="s">
        <v>256</v>
      </c>
      <c r="G85" s="31" t="s">
        <v>257</v>
      </c>
      <c r="H85" s="31" t="s">
        <v>258</v>
      </c>
      <c r="I85" s="31" t="s">
        <v>20</v>
      </c>
      <c r="J85" s="33" t="s">
        <v>270</v>
      </c>
      <c r="K85" t="s">
        <v>235</v>
      </c>
      <c r="L85" t="s">
        <v>235</v>
      </c>
      <c r="M85" t="s">
        <v>235</v>
      </c>
    </row>
    <row r="86" spans="1:13" ht="22.8">
      <c r="A86" s="30" t="s">
        <v>217</v>
      </c>
      <c r="B86" s="31" t="s">
        <v>218</v>
      </c>
      <c r="C86" s="31" t="s">
        <v>271</v>
      </c>
      <c r="D86" s="31" t="s">
        <v>272</v>
      </c>
      <c r="E86" s="32">
        <v>2E-3</v>
      </c>
      <c r="F86" s="31" t="s">
        <v>256</v>
      </c>
      <c r="G86" s="31" t="s">
        <v>257</v>
      </c>
      <c r="H86" s="31" t="s">
        <v>258</v>
      </c>
      <c r="I86" s="31" t="s">
        <v>20</v>
      </c>
      <c r="J86" s="33" t="s">
        <v>270</v>
      </c>
      <c r="K86" t="s">
        <v>235</v>
      </c>
      <c r="L86" t="s">
        <v>235</v>
      </c>
      <c r="M86" t="s">
        <v>235</v>
      </c>
    </row>
    <row r="87" spans="1:13" ht="22.8">
      <c r="A87" s="30" t="s">
        <v>217</v>
      </c>
      <c r="B87" s="31" t="s">
        <v>218</v>
      </c>
      <c r="C87" s="31" t="s">
        <v>273</v>
      </c>
      <c r="D87" s="31" t="s">
        <v>274</v>
      </c>
      <c r="E87" s="32">
        <v>0.152</v>
      </c>
      <c r="F87" s="31" t="s">
        <v>275</v>
      </c>
      <c r="G87" s="31" t="s">
        <v>276</v>
      </c>
      <c r="H87" s="31" t="s">
        <v>247</v>
      </c>
      <c r="I87" s="31" t="s">
        <v>20</v>
      </c>
      <c r="J87" s="33" t="s">
        <v>277</v>
      </c>
      <c r="K87" t="s">
        <v>235</v>
      </c>
      <c r="L87" t="s">
        <v>235</v>
      </c>
      <c r="M87" t="s">
        <v>235</v>
      </c>
    </row>
    <row r="88" spans="1:13" ht="22.8">
      <c r="A88" s="30" t="s">
        <v>217</v>
      </c>
      <c r="B88" s="31" t="s">
        <v>218</v>
      </c>
      <c r="C88" s="31" t="s">
        <v>278</v>
      </c>
      <c r="D88" s="31" t="s">
        <v>279</v>
      </c>
      <c r="E88" s="32">
        <f>9.8%+0.0445</f>
        <v>0.14250000000000002</v>
      </c>
      <c r="F88" s="31" t="s">
        <v>275</v>
      </c>
      <c r="G88" s="31" t="s">
        <v>276</v>
      </c>
      <c r="H88" s="31" t="s">
        <v>247</v>
      </c>
      <c r="I88" s="31" t="s">
        <v>20</v>
      </c>
      <c r="J88" s="33" t="s">
        <v>277</v>
      </c>
      <c r="K88" t="s">
        <v>235</v>
      </c>
      <c r="L88" t="s">
        <v>235</v>
      </c>
      <c r="M88" t="s">
        <v>235</v>
      </c>
    </row>
    <row r="89" spans="1:13" ht="22.8">
      <c r="A89" s="30" t="s">
        <v>217</v>
      </c>
      <c r="B89" s="31" t="s">
        <v>218</v>
      </c>
      <c r="C89" s="31" t="s">
        <v>280</v>
      </c>
      <c r="D89" s="31" t="s">
        <v>281</v>
      </c>
      <c r="E89" s="32">
        <v>0.13700000000000001</v>
      </c>
      <c r="F89" s="31" t="s">
        <v>275</v>
      </c>
      <c r="G89" s="31" t="s">
        <v>276</v>
      </c>
      <c r="H89" s="31" t="s">
        <v>247</v>
      </c>
      <c r="I89" s="31" t="s">
        <v>20</v>
      </c>
      <c r="J89" s="33" t="s">
        <v>277</v>
      </c>
      <c r="K89" t="s">
        <v>235</v>
      </c>
      <c r="L89" t="s">
        <v>235</v>
      </c>
      <c r="M89" t="s">
        <v>235</v>
      </c>
    </row>
    <row r="90" spans="1:13" ht="22.8">
      <c r="A90" s="30" t="s">
        <v>217</v>
      </c>
      <c r="B90" s="31" t="s">
        <v>218</v>
      </c>
      <c r="C90" s="31" t="s">
        <v>282</v>
      </c>
      <c r="D90" s="31" t="s">
        <v>283</v>
      </c>
      <c r="E90" s="32">
        <v>0.10299999999999999</v>
      </c>
      <c r="F90" s="31" t="s">
        <v>284</v>
      </c>
      <c r="G90" s="31" t="s">
        <v>285</v>
      </c>
      <c r="H90" s="31" t="s">
        <v>247</v>
      </c>
      <c r="I90" s="31" t="s">
        <v>20</v>
      </c>
      <c r="J90" s="33" t="s">
        <v>286</v>
      </c>
      <c r="K90" t="s">
        <v>235</v>
      </c>
      <c r="L90" t="s">
        <v>235</v>
      </c>
      <c r="M90" t="s">
        <v>235</v>
      </c>
    </row>
    <row r="91" spans="1:13" ht="22.8">
      <c r="A91" s="30" t="s">
        <v>217</v>
      </c>
      <c r="B91" s="31" t="s">
        <v>218</v>
      </c>
      <c r="C91" s="31" t="s">
        <v>287</v>
      </c>
      <c r="D91" s="31" t="s">
        <v>288</v>
      </c>
      <c r="E91" s="32">
        <v>5.8999999999999997E-2</v>
      </c>
      <c r="F91" s="31" t="s">
        <v>289</v>
      </c>
      <c r="G91" s="31" t="s">
        <v>290</v>
      </c>
      <c r="H91" s="31" t="s">
        <v>247</v>
      </c>
      <c r="I91" s="31" t="s">
        <v>20</v>
      </c>
      <c r="J91" s="33" t="s">
        <v>286</v>
      </c>
      <c r="K91" t="s">
        <v>235</v>
      </c>
      <c r="L91" t="s">
        <v>235</v>
      </c>
      <c r="M91" t="s">
        <v>235</v>
      </c>
    </row>
    <row r="92" spans="1:13" ht="22.8">
      <c r="A92" s="30" t="s">
        <v>292</v>
      </c>
      <c r="B92" s="31" t="s">
        <v>293</v>
      </c>
      <c r="C92" s="31" t="s">
        <v>237</v>
      </c>
      <c r="D92" s="31" t="s">
        <v>238</v>
      </c>
      <c r="E92" s="32">
        <f>35.2%-0.062</f>
        <v>0.29000000000000004</v>
      </c>
      <c r="F92" s="31" t="s">
        <v>239</v>
      </c>
      <c r="G92" s="31" t="s">
        <v>240</v>
      </c>
      <c r="H92" s="31" t="s">
        <v>241</v>
      </c>
      <c r="I92" s="31" t="s">
        <v>20</v>
      </c>
      <c r="J92" s="33" t="s">
        <v>242</v>
      </c>
      <c r="K92" t="s">
        <v>235</v>
      </c>
      <c r="L92" t="s">
        <v>235</v>
      </c>
      <c r="M92" t="s">
        <v>235</v>
      </c>
    </row>
    <row r="93" spans="1:13" ht="22.8">
      <c r="A93" s="30" t="s">
        <v>292</v>
      </c>
      <c r="B93" s="31" t="s">
        <v>293</v>
      </c>
      <c r="C93" s="31" t="s">
        <v>243</v>
      </c>
      <c r="D93" s="31" t="s">
        <v>244</v>
      </c>
      <c r="E93" s="32">
        <v>0.01</v>
      </c>
      <c r="F93" s="31" t="s">
        <v>245</v>
      </c>
      <c r="G93" s="31" t="s">
        <v>246</v>
      </c>
      <c r="H93" s="31" t="s">
        <v>247</v>
      </c>
      <c r="I93" s="31" t="s">
        <v>20</v>
      </c>
      <c r="J93" s="33" t="s">
        <v>248</v>
      </c>
      <c r="K93" t="s">
        <v>235</v>
      </c>
      <c r="L93" t="s">
        <v>235</v>
      </c>
      <c r="M93" t="s">
        <v>235</v>
      </c>
    </row>
    <row r="94" spans="1:13" ht="22.8">
      <c r="A94" s="30" t="s">
        <v>292</v>
      </c>
      <c r="B94" s="31" t="s">
        <v>293</v>
      </c>
      <c r="C94" s="31" t="s">
        <v>249</v>
      </c>
      <c r="D94" s="31" t="s">
        <v>250</v>
      </c>
      <c r="E94" s="32">
        <v>2.7E-2</v>
      </c>
      <c r="F94" s="31" t="s">
        <v>251</v>
      </c>
      <c r="G94" s="31" t="s">
        <v>240</v>
      </c>
      <c r="H94" s="31" t="s">
        <v>252</v>
      </c>
      <c r="I94" s="31" t="s">
        <v>20</v>
      </c>
      <c r="J94" s="33" t="s">
        <v>253</v>
      </c>
      <c r="K94" t="s">
        <v>235</v>
      </c>
      <c r="L94" t="s">
        <v>235</v>
      </c>
      <c r="M94" t="s">
        <v>235</v>
      </c>
    </row>
    <row r="95" spans="1:13" ht="22.8">
      <c r="A95" s="30" t="s">
        <v>292</v>
      </c>
      <c r="B95" s="31" t="s">
        <v>293</v>
      </c>
      <c r="C95" s="31" t="s">
        <v>254</v>
      </c>
      <c r="D95" s="31" t="s">
        <v>255</v>
      </c>
      <c r="E95" s="32">
        <v>2.3E-2</v>
      </c>
      <c r="F95" s="31" t="s">
        <v>256</v>
      </c>
      <c r="G95" s="31" t="s">
        <v>257</v>
      </c>
      <c r="H95" s="31" t="s">
        <v>258</v>
      </c>
      <c r="I95" s="31" t="s">
        <v>20</v>
      </c>
      <c r="J95" s="33" t="s">
        <v>259</v>
      </c>
      <c r="K95" t="s">
        <v>235</v>
      </c>
      <c r="L95" t="s">
        <v>235</v>
      </c>
      <c r="M95" t="s">
        <v>235</v>
      </c>
    </row>
    <row r="96" spans="1:13" ht="22.8">
      <c r="A96" s="30" t="s">
        <v>292</v>
      </c>
      <c r="B96" s="31" t="s">
        <v>293</v>
      </c>
      <c r="C96" s="31" t="s">
        <v>260</v>
      </c>
      <c r="D96" s="31" t="s">
        <v>261</v>
      </c>
      <c r="E96" s="32">
        <v>8.9999999999999993E-3</v>
      </c>
      <c r="F96" s="31" t="s">
        <v>251</v>
      </c>
      <c r="G96" s="31" t="s">
        <v>240</v>
      </c>
      <c r="H96" s="31" t="s">
        <v>252</v>
      </c>
      <c r="I96" s="31" t="s">
        <v>20</v>
      </c>
      <c r="J96" s="33" t="s">
        <v>262</v>
      </c>
      <c r="K96" t="s">
        <v>235</v>
      </c>
      <c r="L96" t="s">
        <v>235</v>
      </c>
      <c r="M96" t="s">
        <v>235</v>
      </c>
    </row>
    <row r="97" spans="1:13" ht="22.8">
      <c r="A97" s="30" t="s">
        <v>292</v>
      </c>
      <c r="B97" s="31" t="s">
        <v>293</v>
      </c>
      <c r="C97" s="31" t="s">
        <v>263</v>
      </c>
      <c r="D97" s="31" t="s">
        <v>264</v>
      </c>
      <c r="E97" s="32">
        <v>6.0000000000000001E-3</v>
      </c>
      <c r="F97" s="31" t="s">
        <v>256</v>
      </c>
      <c r="G97" s="31" t="s">
        <v>257</v>
      </c>
      <c r="H97" s="31" t="s">
        <v>258</v>
      </c>
      <c r="I97" s="31" t="s">
        <v>20</v>
      </c>
      <c r="J97" s="33" t="s">
        <v>259</v>
      </c>
      <c r="K97" t="s">
        <v>235</v>
      </c>
      <c r="L97" t="s">
        <v>235</v>
      </c>
      <c r="M97" t="s">
        <v>235</v>
      </c>
    </row>
    <row r="98" spans="1:13" ht="22.8">
      <c r="A98" s="30" t="s">
        <v>292</v>
      </c>
      <c r="B98" s="31" t="s">
        <v>293</v>
      </c>
      <c r="C98" s="31" t="s">
        <v>265</v>
      </c>
      <c r="D98" s="31" t="s">
        <v>266</v>
      </c>
      <c r="E98" s="32">
        <v>4.0000000000000001E-3</v>
      </c>
      <c r="F98" s="31" t="s">
        <v>256</v>
      </c>
      <c r="G98" s="31" t="s">
        <v>257</v>
      </c>
      <c r="H98" s="31" t="s">
        <v>258</v>
      </c>
      <c r="I98" s="31" t="s">
        <v>20</v>
      </c>
      <c r="J98" s="33" t="s">
        <v>259</v>
      </c>
      <c r="K98" t="s">
        <v>235</v>
      </c>
      <c r="L98" t="s">
        <v>235</v>
      </c>
      <c r="M98" t="s">
        <v>235</v>
      </c>
    </row>
    <row r="99" spans="1:13" ht="22.8">
      <c r="A99" s="30" t="s">
        <v>292</v>
      </c>
      <c r="B99" s="31" t="s">
        <v>293</v>
      </c>
      <c r="C99" s="31" t="s">
        <v>267</v>
      </c>
      <c r="D99" s="31" t="s">
        <v>268</v>
      </c>
      <c r="E99" s="32">
        <v>7.0000000000000001E-3</v>
      </c>
      <c r="F99" s="31" t="s">
        <v>256</v>
      </c>
      <c r="G99" s="31" t="s">
        <v>257</v>
      </c>
      <c r="H99" s="31" t="s">
        <v>258</v>
      </c>
      <c r="I99" s="31" t="s">
        <v>20</v>
      </c>
      <c r="J99" s="33" t="s">
        <v>259</v>
      </c>
      <c r="K99" t="s">
        <v>235</v>
      </c>
      <c r="L99" t="s">
        <v>235</v>
      </c>
      <c r="M99" t="s">
        <v>235</v>
      </c>
    </row>
    <row r="100" spans="1:13" ht="22.8">
      <c r="A100" s="30" t="s">
        <v>292</v>
      </c>
      <c r="B100" s="31" t="s">
        <v>293</v>
      </c>
      <c r="C100" s="31" t="s">
        <v>269</v>
      </c>
      <c r="D100" s="31" t="s">
        <v>269</v>
      </c>
      <c r="E100" s="32">
        <v>1.0999999999999999E-2</v>
      </c>
      <c r="F100" s="31" t="s">
        <v>256</v>
      </c>
      <c r="G100" s="31" t="s">
        <v>257</v>
      </c>
      <c r="H100" s="31" t="s">
        <v>258</v>
      </c>
      <c r="I100" s="31" t="s">
        <v>20</v>
      </c>
      <c r="J100" s="33" t="s">
        <v>270</v>
      </c>
      <c r="K100" t="s">
        <v>235</v>
      </c>
      <c r="L100" t="s">
        <v>235</v>
      </c>
      <c r="M100" t="s">
        <v>235</v>
      </c>
    </row>
    <row r="101" spans="1:13" ht="22.8">
      <c r="A101" s="30" t="s">
        <v>292</v>
      </c>
      <c r="B101" s="31" t="s">
        <v>293</v>
      </c>
      <c r="C101" s="31" t="s">
        <v>271</v>
      </c>
      <c r="D101" s="31" t="s">
        <v>272</v>
      </c>
      <c r="E101" s="32">
        <v>2E-3</v>
      </c>
      <c r="F101" s="31" t="s">
        <v>256</v>
      </c>
      <c r="G101" s="31" t="s">
        <v>257</v>
      </c>
      <c r="H101" s="31" t="s">
        <v>258</v>
      </c>
      <c r="I101" s="31" t="s">
        <v>20</v>
      </c>
      <c r="J101" s="33" t="s">
        <v>270</v>
      </c>
      <c r="K101" t="s">
        <v>235</v>
      </c>
      <c r="L101" t="s">
        <v>235</v>
      </c>
      <c r="M101" t="s">
        <v>235</v>
      </c>
    </row>
    <row r="102" spans="1:13" ht="22.8">
      <c r="A102" s="30" t="s">
        <v>292</v>
      </c>
      <c r="B102" s="31" t="s">
        <v>293</v>
      </c>
      <c r="C102" s="31" t="s">
        <v>273</v>
      </c>
      <c r="D102" s="31" t="s">
        <v>274</v>
      </c>
      <c r="E102" s="32">
        <v>0.152</v>
      </c>
      <c r="F102" s="31" t="s">
        <v>275</v>
      </c>
      <c r="G102" s="31" t="s">
        <v>276</v>
      </c>
      <c r="H102" s="31" t="s">
        <v>247</v>
      </c>
      <c r="I102" s="31" t="s">
        <v>20</v>
      </c>
      <c r="J102" s="33" t="s">
        <v>277</v>
      </c>
      <c r="K102" t="s">
        <v>235</v>
      </c>
      <c r="L102" t="s">
        <v>235</v>
      </c>
      <c r="M102" t="s">
        <v>235</v>
      </c>
    </row>
    <row r="103" spans="1:13" ht="22.8">
      <c r="A103" s="30" t="s">
        <v>292</v>
      </c>
      <c r="B103" s="31" t="s">
        <v>293</v>
      </c>
      <c r="C103" s="31" t="s">
        <v>278</v>
      </c>
      <c r="D103" s="31" t="s">
        <v>279</v>
      </c>
      <c r="E103" s="32">
        <f>9.8%+0.062</f>
        <v>0.16</v>
      </c>
      <c r="F103" s="31" t="s">
        <v>275</v>
      </c>
      <c r="G103" s="31" t="s">
        <v>276</v>
      </c>
      <c r="H103" s="31" t="s">
        <v>247</v>
      </c>
      <c r="I103" s="31" t="s">
        <v>20</v>
      </c>
      <c r="J103" s="33" t="s">
        <v>277</v>
      </c>
      <c r="K103" t="s">
        <v>235</v>
      </c>
      <c r="L103" t="s">
        <v>235</v>
      </c>
      <c r="M103" t="s">
        <v>235</v>
      </c>
    </row>
    <row r="104" spans="1:13" ht="22.8">
      <c r="A104" s="30" t="s">
        <v>292</v>
      </c>
      <c r="B104" s="31" t="s">
        <v>293</v>
      </c>
      <c r="C104" s="31" t="s">
        <v>280</v>
      </c>
      <c r="D104" s="31" t="s">
        <v>281</v>
      </c>
      <c r="E104" s="32">
        <v>0.13700000000000001</v>
      </c>
      <c r="F104" s="31" t="s">
        <v>275</v>
      </c>
      <c r="G104" s="31" t="s">
        <v>276</v>
      </c>
      <c r="H104" s="31" t="s">
        <v>247</v>
      </c>
      <c r="I104" s="31" t="s">
        <v>20</v>
      </c>
      <c r="J104" s="33" t="s">
        <v>277</v>
      </c>
      <c r="K104" t="s">
        <v>235</v>
      </c>
      <c r="L104" t="s">
        <v>235</v>
      </c>
      <c r="M104" t="s">
        <v>235</v>
      </c>
    </row>
    <row r="105" spans="1:13" ht="22.8">
      <c r="A105" s="30" t="s">
        <v>292</v>
      </c>
      <c r="B105" s="31" t="s">
        <v>293</v>
      </c>
      <c r="C105" s="31" t="s">
        <v>282</v>
      </c>
      <c r="D105" s="31" t="s">
        <v>283</v>
      </c>
      <c r="E105" s="32">
        <v>0.10299999999999999</v>
      </c>
      <c r="F105" s="31" t="s">
        <v>284</v>
      </c>
      <c r="G105" s="31" t="s">
        <v>285</v>
      </c>
      <c r="H105" s="31" t="s">
        <v>247</v>
      </c>
      <c r="I105" s="31" t="s">
        <v>20</v>
      </c>
      <c r="J105" s="33" t="s">
        <v>286</v>
      </c>
      <c r="K105" t="s">
        <v>235</v>
      </c>
      <c r="L105" t="s">
        <v>235</v>
      </c>
      <c r="M105" t="s">
        <v>235</v>
      </c>
    </row>
    <row r="106" spans="1:13" ht="22.8">
      <c r="A106" s="34" t="s">
        <v>292</v>
      </c>
      <c r="B106" s="35" t="s">
        <v>293</v>
      </c>
      <c r="C106" s="35" t="s">
        <v>287</v>
      </c>
      <c r="D106" s="35" t="s">
        <v>288</v>
      </c>
      <c r="E106" s="36">
        <v>5.8999999999999997E-2</v>
      </c>
      <c r="F106" s="35" t="s">
        <v>289</v>
      </c>
      <c r="G106" s="35" t="s">
        <v>290</v>
      </c>
      <c r="H106" s="35" t="s">
        <v>247</v>
      </c>
      <c r="I106" s="35" t="s">
        <v>20</v>
      </c>
      <c r="J106" s="37" t="s">
        <v>286</v>
      </c>
      <c r="K106" t="s">
        <v>235</v>
      </c>
      <c r="L106" t="s">
        <v>235</v>
      </c>
      <c r="M106" t="s">
        <v>235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"/>
  <sheetViews>
    <sheetView showGridLines="0" workbookViewId="0"/>
  </sheetViews>
  <sheetFormatPr defaultRowHeight="13.8"/>
  <cols>
    <col min="1" max="1" width="20" customWidth="1"/>
    <col min="2" max="2" width="14" customWidth="1"/>
    <col min="3" max="3" width="32" customWidth="1"/>
    <col min="4" max="4" width="13" customWidth="1"/>
    <col min="5" max="5" width="20" customWidth="1"/>
    <col min="6" max="11" width="11" customWidth="1"/>
    <col min="12" max="12" width="13" customWidth="1"/>
    <col min="13" max="15" width="18" customWidth="1"/>
    <col min="16" max="17" width="16" customWidth="1"/>
    <col min="18" max="18" width="15" customWidth="1"/>
    <col min="19" max="19" width="13" customWidth="1"/>
    <col min="20" max="20" width="68" customWidth="1"/>
  </cols>
  <sheetData>
    <row r="1" spans="1:20">
      <c r="A1" s="24" t="s">
        <v>294</v>
      </c>
      <c r="B1" s="25" t="s">
        <v>225</v>
      </c>
      <c r="C1" s="25" t="s">
        <v>226</v>
      </c>
      <c r="D1" s="25" t="s">
        <v>295</v>
      </c>
      <c r="E1" s="25" t="s">
        <v>296</v>
      </c>
      <c r="F1" s="25" t="s">
        <v>297</v>
      </c>
      <c r="G1" s="25" t="s">
        <v>298</v>
      </c>
      <c r="H1" s="25" t="s">
        <v>299</v>
      </c>
      <c r="I1" s="25" t="s">
        <v>300</v>
      </c>
      <c r="J1" s="25" t="s">
        <v>301</v>
      </c>
      <c r="K1" s="25" t="s">
        <v>302</v>
      </c>
      <c r="L1" s="25" t="s">
        <v>303</v>
      </c>
      <c r="M1" s="25" t="s">
        <v>304</v>
      </c>
      <c r="N1" s="25" t="s">
        <v>305</v>
      </c>
      <c r="O1" s="25" t="s">
        <v>306</v>
      </c>
      <c r="P1" s="25" t="s">
        <v>307</v>
      </c>
      <c r="Q1" s="25" t="s">
        <v>308</v>
      </c>
      <c r="R1" s="25" t="s">
        <v>309</v>
      </c>
      <c r="S1" s="25" t="s">
        <v>310</v>
      </c>
      <c r="T1" s="26" t="s">
        <v>311</v>
      </c>
    </row>
    <row r="2" spans="1:20" ht="23.4">
      <c r="A2" s="41" t="s">
        <v>312</v>
      </c>
      <c r="B2" s="41" t="s">
        <v>95</v>
      </c>
      <c r="C2" s="41" t="s">
        <v>236</v>
      </c>
      <c r="D2" s="42">
        <f>COUNTIF(BOM_raw!$A$2:$A$1001,B2)</f>
        <v>15</v>
      </c>
      <c r="E2" s="42">
        <f>COUNTIFS(BOM_raw!$A$2:$A$1001,B2,BOM_raw!$E$2:$E$1001,"&lt;0")+COUNTIFS(BOM_raw!$A$2:$A$1001,B2,BOM_raw!$E$2:$E$1001,"&gt;1")</f>
        <v>0</v>
      </c>
      <c r="F2" s="43">
        <f>SUMIFS(BOM_raw!$E$2:$E$1001,BOM_raw!$A$2:$A$1001,$B2,BOM_raw!$F$2:$F$1001,"T")</f>
        <v>0.26050000000000006</v>
      </c>
      <c r="G2" s="43">
        <f>SUMIFS(BOM_raw!$E$2:$E$1001,BOM_raw!$A$2:$A$1001,$B2,BOM_raw!$F$2:$F$1001,"M")</f>
        <v>3.5999999999999997E-2</v>
      </c>
      <c r="H2" s="43">
        <f>SUMIFS(BOM_raw!$E$2:$E$1001,BOM_raw!$A$2:$A$1001,$B2,BOM_raw!$F$2:$F$1001,"E")</f>
        <v>5.3000000000000005E-2</v>
      </c>
      <c r="I2" s="43">
        <f>SUMIFS(BOM_raw!$E$2:$E$1001,BOM_raw!$A$2:$A$1001,$B2,BOM_raw!$F$2:$F$1001,"I")</f>
        <v>5.8999999999999997E-2</v>
      </c>
      <c r="J2" s="43">
        <f>SUMIFS(BOM_raw!$E$2:$E$1001,BOM_raw!$A$2:$A$1001,$B2,BOM_raw!$F$2:$F$1001,"EE")</f>
        <v>0.10299999999999999</v>
      </c>
      <c r="K2" s="43">
        <f>SUMIFS(BOM_raw!$E$2:$E$1001,BOM_raw!$A$2:$A$1001,$B2,BOM_raw!$F$2:$F$1001,"HV")</f>
        <v>0.01</v>
      </c>
      <c r="L2" s="43">
        <f>SUMIFS(BOM_raw!$E$2:$E$1001,BOM_raw!$A$2:$A$1001,$B2,BOM_raw!$F$2:$F$1001,"SHARED")</f>
        <v>0.47850000000000004</v>
      </c>
      <c r="M2" s="43">
        <f t="shared" ref="M2:M8" si="0">SUM(F2:L2)</f>
        <v>1</v>
      </c>
      <c r="N2" s="43">
        <f>SUMIFS(BOM_raw!$E$2:$E$1001,BOM_raw!$A$2:$A$1001,$B2,BOM_raw!$C$2:$C$1001,"BMS")+SUMIFS(BOM_raw!$E$2:$E$1001,BOM_raw!$A$2:$A$1001,$B2,BOM_raw!$C$2:$C$1001,"VCU")</f>
        <v>1.2999999999999999E-2</v>
      </c>
      <c r="O2" s="43">
        <f>SUMIFS(BOM_raw!$E$2:$E$1001,BOM_raw!$A$2:$A$1001,$B2,BOM_raw!$C$2:$C$1001,"MCU")+SUMIFS(BOM_raw!$E$2:$E$1001,BOM_raw!$A$2:$A$1001,$B2,BOM_raw!$C$2:$C$1001,"OBC")+SUMIFS(BOM_raw!$E$2:$E$1001,BOM_raw!$A$2:$A$1001,$B2,BOM_raw!$C$2:$C$1001,"DCDC")+SUMIFS(BOM_raw!$E$2:$E$1001,BOM_raw!$A$2:$A$1001,$B2,BOM_raw!$C$2:$C$1001,"PDU")</f>
        <v>0.04</v>
      </c>
      <c r="P2" s="43">
        <f t="shared" ref="P2:P8" si="1">IF(H2=0,0,N2/H2)</f>
        <v>0.2452830188679245</v>
      </c>
      <c r="Q2" s="43">
        <f t="shared" ref="Q2:Q8" si="2">IF(H2=0,0,O2/H2)</f>
        <v>0.75471698113207542</v>
      </c>
      <c r="R2" s="43">
        <f t="shared" ref="R2:R8" si="3">P2+Q2</f>
        <v>0.99999999999999989</v>
      </c>
      <c r="S2" s="42" t="str">
        <f t="shared" ref="S2:S8" si="4">IF(AND(D2=15,E2=0,ABS(M2-1)&lt;0.0000001,ABS(N2+O2-H2)&lt;0.0000001,ABS(R2-1)&lt;0.0000001),"PASS","FAIL")</f>
        <v>PASS</v>
      </c>
      <c r="T2" s="41" t="s">
        <v>313</v>
      </c>
    </row>
    <row r="3" spans="1:20" ht="23.4">
      <c r="A3" s="41" t="s">
        <v>312</v>
      </c>
      <c r="B3" s="41" t="s">
        <v>109</v>
      </c>
      <c r="C3" s="41" t="s">
        <v>110</v>
      </c>
      <c r="D3" s="42">
        <f>COUNTIF(BOM_raw!$A$2:$A$1001,B3)</f>
        <v>15</v>
      </c>
      <c r="E3" s="42">
        <f>COUNTIFS(BOM_raw!$A$2:$A$1001,B3,BOM_raw!$E$2:$E$1001,"&lt;0")+COUNTIFS(BOM_raw!$A$2:$A$1001,B3,BOM_raw!$E$2:$E$1001,"&gt;1")</f>
        <v>0</v>
      </c>
      <c r="F3" s="43">
        <f>SUMIFS(BOM_raw!$E$2:$E$1001,BOM_raw!$A$2:$A$1001,$B3,BOM_raw!$F$2:$F$1001,"T")</f>
        <v>0.29760000000000003</v>
      </c>
      <c r="G3" s="43">
        <f>SUMIFS(BOM_raw!$E$2:$E$1001,BOM_raw!$A$2:$A$1001,$B3,BOM_raw!$F$2:$F$1001,"M")</f>
        <v>3.5999999999999997E-2</v>
      </c>
      <c r="H3" s="43">
        <f>SUMIFS(BOM_raw!$E$2:$E$1001,BOM_raw!$A$2:$A$1001,$B3,BOM_raw!$F$2:$F$1001,"E")</f>
        <v>5.3000000000000005E-2</v>
      </c>
      <c r="I3" s="43">
        <f>SUMIFS(BOM_raw!$E$2:$E$1001,BOM_raw!$A$2:$A$1001,$B3,BOM_raw!$F$2:$F$1001,"I")</f>
        <v>5.8999999999999997E-2</v>
      </c>
      <c r="J3" s="43">
        <f>SUMIFS(BOM_raw!$E$2:$E$1001,BOM_raw!$A$2:$A$1001,$B3,BOM_raw!$F$2:$F$1001,"EE")</f>
        <v>0.10299999999999999</v>
      </c>
      <c r="K3" s="43">
        <f>SUMIFS(BOM_raw!$E$2:$E$1001,BOM_raw!$A$2:$A$1001,$B3,BOM_raw!$F$2:$F$1001,"HV")</f>
        <v>0.01</v>
      </c>
      <c r="L3" s="43">
        <f>SUMIFS(BOM_raw!$E$2:$E$1001,BOM_raw!$A$2:$A$1001,$B3,BOM_raw!$F$2:$F$1001,"SHARED")</f>
        <v>0.44140000000000001</v>
      </c>
      <c r="M3" s="43">
        <f t="shared" si="0"/>
        <v>1</v>
      </c>
      <c r="N3" s="43">
        <f>SUMIFS(BOM_raw!$E$2:$E$1001,BOM_raw!$A$2:$A$1001,$B3,BOM_raw!$C$2:$C$1001,"BMS")+SUMIFS(BOM_raw!$E$2:$E$1001,BOM_raw!$A$2:$A$1001,$B3,BOM_raw!$C$2:$C$1001,"VCU")</f>
        <v>1.2999999999999999E-2</v>
      </c>
      <c r="O3" s="43">
        <f>SUMIFS(BOM_raw!$E$2:$E$1001,BOM_raw!$A$2:$A$1001,$B3,BOM_raw!$C$2:$C$1001,"MCU")+SUMIFS(BOM_raw!$E$2:$E$1001,BOM_raw!$A$2:$A$1001,$B3,BOM_raw!$C$2:$C$1001,"OBC")+SUMIFS(BOM_raw!$E$2:$E$1001,BOM_raw!$A$2:$A$1001,$B3,BOM_raw!$C$2:$C$1001,"DCDC")+SUMIFS(BOM_raw!$E$2:$E$1001,BOM_raw!$A$2:$A$1001,$B3,BOM_raw!$C$2:$C$1001,"PDU")</f>
        <v>0.04</v>
      </c>
      <c r="P3" s="43">
        <f t="shared" si="1"/>
        <v>0.2452830188679245</v>
      </c>
      <c r="Q3" s="43">
        <f t="shared" si="2"/>
        <v>0.75471698113207542</v>
      </c>
      <c r="R3" s="43">
        <f t="shared" si="3"/>
        <v>0.99999999999999989</v>
      </c>
      <c r="S3" s="42" t="str">
        <f t="shared" si="4"/>
        <v>PASS</v>
      </c>
      <c r="T3" s="41" t="s">
        <v>314</v>
      </c>
    </row>
    <row r="4" spans="1:20" ht="23.4">
      <c r="A4" s="41" t="s">
        <v>312</v>
      </c>
      <c r="B4" s="41" t="s">
        <v>147</v>
      </c>
      <c r="C4" s="41" t="s">
        <v>148</v>
      </c>
      <c r="D4" s="42">
        <f>COUNTIF(BOM_raw!$A$2:$A$1001,B4)</f>
        <v>15</v>
      </c>
      <c r="E4" s="42">
        <f>COUNTIFS(BOM_raw!$A$2:$A$1001,B4,BOM_raw!$E$2:$E$1001,"&lt;0")+COUNTIFS(BOM_raw!$A$2:$A$1001,B4,BOM_raw!$E$2:$E$1001,"&gt;1")</f>
        <v>0</v>
      </c>
      <c r="F4" s="43">
        <f>SUMIFS(BOM_raw!$E$2:$E$1001,BOM_raw!$A$2:$A$1001,$B4,BOM_raw!$F$2:$F$1001,"T")</f>
        <v>0.23335000000000003</v>
      </c>
      <c r="G4" s="43">
        <f>SUMIFS(BOM_raw!$E$2:$E$1001,BOM_raw!$A$2:$A$1001,$B4,BOM_raw!$F$2:$F$1001,"M")</f>
        <v>3.5999999999999997E-2</v>
      </c>
      <c r="H4" s="43">
        <f>SUMIFS(BOM_raw!$E$2:$E$1001,BOM_raw!$A$2:$A$1001,$B4,BOM_raw!$F$2:$F$1001,"E")</f>
        <v>5.3000000000000005E-2</v>
      </c>
      <c r="I4" s="43">
        <f>SUMIFS(BOM_raw!$E$2:$E$1001,BOM_raw!$A$2:$A$1001,$B4,BOM_raw!$F$2:$F$1001,"I")</f>
        <v>5.8999999999999997E-2</v>
      </c>
      <c r="J4" s="43">
        <f>SUMIFS(BOM_raw!$E$2:$E$1001,BOM_raw!$A$2:$A$1001,$B4,BOM_raw!$F$2:$F$1001,"EE")</f>
        <v>0.10299999999999999</v>
      </c>
      <c r="K4" s="43">
        <f>SUMIFS(BOM_raw!$E$2:$E$1001,BOM_raw!$A$2:$A$1001,$B4,BOM_raw!$F$2:$F$1001,"HV")</f>
        <v>0.01</v>
      </c>
      <c r="L4" s="43">
        <f>SUMIFS(BOM_raw!$E$2:$E$1001,BOM_raw!$A$2:$A$1001,$B4,BOM_raw!$F$2:$F$1001,"SHARED")</f>
        <v>0.50565000000000004</v>
      </c>
      <c r="M4" s="43">
        <f t="shared" si="0"/>
        <v>1</v>
      </c>
      <c r="N4" s="43">
        <f>SUMIFS(BOM_raw!$E$2:$E$1001,BOM_raw!$A$2:$A$1001,$B4,BOM_raw!$C$2:$C$1001,"BMS")+SUMIFS(BOM_raw!$E$2:$E$1001,BOM_raw!$A$2:$A$1001,$B4,BOM_raw!$C$2:$C$1001,"VCU")</f>
        <v>1.2999999999999999E-2</v>
      </c>
      <c r="O4" s="43">
        <f>SUMIFS(BOM_raw!$E$2:$E$1001,BOM_raw!$A$2:$A$1001,$B4,BOM_raw!$C$2:$C$1001,"MCU")+SUMIFS(BOM_raw!$E$2:$E$1001,BOM_raw!$A$2:$A$1001,$B4,BOM_raw!$C$2:$C$1001,"OBC")+SUMIFS(BOM_raw!$E$2:$E$1001,BOM_raw!$A$2:$A$1001,$B4,BOM_raw!$C$2:$C$1001,"DCDC")+SUMIFS(BOM_raw!$E$2:$E$1001,BOM_raw!$A$2:$A$1001,$B4,BOM_raw!$C$2:$C$1001,"PDU")</f>
        <v>0.04</v>
      </c>
      <c r="P4" s="43">
        <f t="shared" si="1"/>
        <v>0.2452830188679245</v>
      </c>
      <c r="Q4" s="43">
        <f t="shared" si="2"/>
        <v>0.75471698113207542</v>
      </c>
      <c r="R4" s="43">
        <f t="shared" si="3"/>
        <v>0.99999999999999989</v>
      </c>
      <c r="S4" s="42" t="str">
        <f t="shared" si="4"/>
        <v>PASS</v>
      </c>
      <c r="T4" s="41" t="s">
        <v>315</v>
      </c>
    </row>
    <row r="5" spans="1:20" ht="23.4">
      <c r="A5" s="41" t="s">
        <v>312</v>
      </c>
      <c r="B5" s="41" t="s">
        <v>153</v>
      </c>
      <c r="C5" s="41" t="s">
        <v>291</v>
      </c>
      <c r="D5" s="42">
        <f>COUNTIF(BOM_raw!$A$2:$A$1001,B5)</f>
        <v>15</v>
      </c>
      <c r="E5" s="42">
        <f>COUNTIFS(BOM_raw!$A$2:$A$1001,B5,BOM_raw!$E$2:$E$1001,"&lt;0")+COUNTIFS(BOM_raw!$A$2:$A$1001,B5,BOM_raw!$E$2:$E$1001,"&gt;1")</f>
        <v>0</v>
      </c>
      <c r="F5" s="43">
        <f>SUMIFS(BOM_raw!$E$2:$E$1001,BOM_raw!$A$2:$A$1001,$B5,BOM_raw!$F$2:$F$1001,"T")</f>
        <v>0.33160000000000001</v>
      </c>
      <c r="G5" s="43">
        <f>SUMIFS(BOM_raw!$E$2:$E$1001,BOM_raw!$A$2:$A$1001,$B5,BOM_raw!$F$2:$F$1001,"M")</f>
        <v>3.5999999999999997E-2</v>
      </c>
      <c r="H5" s="43">
        <f>SUMIFS(BOM_raw!$E$2:$E$1001,BOM_raw!$A$2:$A$1001,$B5,BOM_raw!$F$2:$F$1001,"E")</f>
        <v>5.3000000000000005E-2</v>
      </c>
      <c r="I5" s="43">
        <f>SUMIFS(BOM_raw!$E$2:$E$1001,BOM_raw!$A$2:$A$1001,$B5,BOM_raw!$F$2:$F$1001,"I")</f>
        <v>5.8999999999999997E-2</v>
      </c>
      <c r="J5" s="43">
        <f>SUMIFS(BOM_raw!$E$2:$E$1001,BOM_raw!$A$2:$A$1001,$B5,BOM_raw!$F$2:$F$1001,"EE")</f>
        <v>0.10299999999999999</v>
      </c>
      <c r="K5" s="43">
        <f>SUMIFS(BOM_raw!$E$2:$E$1001,BOM_raw!$A$2:$A$1001,$B5,BOM_raw!$F$2:$F$1001,"HV")</f>
        <v>0.01</v>
      </c>
      <c r="L5" s="43">
        <f>SUMIFS(BOM_raw!$E$2:$E$1001,BOM_raw!$A$2:$A$1001,$B5,BOM_raw!$F$2:$F$1001,"SHARED")</f>
        <v>0.40739999999999998</v>
      </c>
      <c r="M5" s="43">
        <f t="shared" si="0"/>
        <v>1</v>
      </c>
      <c r="N5" s="43">
        <f>SUMIFS(BOM_raw!$E$2:$E$1001,BOM_raw!$A$2:$A$1001,$B5,BOM_raw!$C$2:$C$1001,"BMS")+SUMIFS(BOM_raw!$E$2:$E$1001,BOM_raw!$A$2:$A$1001,$B5,BOM_raw!$C$2:$C$1001,"VCU")</f>
        <v>1.2999999999999999E-2</v>
      </c>
      <c r="O5" s="43">
        <f>SUMIFS(BOM_raw!$E$2:$E$1001,BOM_raw!$A$2:$A$1001,$B5,BOM_raw!$C$2:$C$1001,"MCU")+SUMIFS(BOM_raw!$E$2:$E$1001,BOM_raw!$A$2:$A$1001,$B5,BOM_raw!$C$2:$C$1001,"OBC")+SUMIFS(BOM_raw!$E$2:$E$1001,BOM_raw!$A$2:$A$1001,$B5,BOM_raw!$C$2:$C$1001,"DCDC")+SUMIFS(BOM_raw!$E$2:$E$1001,BOM_raw!$A$2:$A$1001,$B5,BOM_raw!$C$2:$C$1001,"PDU")</f>
        <v>0.04</v>
      </c>
      <c r="P5" s="43">
        <f t="shared" si="1"/>
        <v>0.2452830188679245</v>
      </c>
      <c r="Q5" s="43">
        <f t="shared" si="2"/>
        <v>0.75471698113207542</v>
      </c>
      <c r="R5" s="43">
        <f t="shared" si="3"/>
        <v>0.99999999999999989</v>
      </c>
      <c r="S5" s="42" t="str">
        <f t="shared" si="4"/>
        <v>PASS</v>
      </c>
      <c r="T5" s="41" t="s">
        <v>316</v>
      </c>
    </row>
    <row r="6" spans="1:20" ht="23.4">
      <c r="A6" s="41" t="s">
        <v>312</v>
      </c>
      <c r="B6" s="41" t="s">
        <v>165</v>
      </c>
      <c r="C6" s="41" t="s">
        <v>166</v>
      </c>
      <c r="D6" s="42">
        <f>COUNTIF(BOM_raw!$A$2:$A$1001,B6)</f>
        <v>15</v>
      </c>
      <c r="E6" s="42">
        <f>COUNTIFS(BOM_raw!$A$2:$A$1001,B6,BOM_raw!$E$2:$E$1001,"&lt;0")+COUNTIFS(BOM_raw!$A$2:$A$1001,B6,BOM_raw!$E$2:$E$1001,"&gt;1")</f>
        <v>0</v>
      </c>
      <c r="F6" s="43">
        <f>SUMIFS(BOM_raw!$E$2:$E$1001,BOM_raw!$A$2:$A$1001,$B6,BOM_raw!$F$2:$F$1001,"T")</f>
        <v>0.29690000000000005</v>
      </c>
      <c r="G6" s="43">
        <f>SUMIFS(BOM_raw!$E$2:$E$1001,BOM_raw!$A$2:$A$1001,$B6,BOM_raw!$F$2:$F$1001,"M")</f>
        <v>3.5999999999999997E-2</v>
      </c>
      <c r="H6" s="43">
        <f>SUMIFS(BOM_raw!$E$2:$E$1001,BOM_raw!$A$2:$A$1001,$B6,BOM_raw!$F$2:$F$1001,"E")</f>
        <v>5.3000000000000005E-2</v>
      </c>
      <c r="I6" s="43">
        <f>SUMIFS(BOM_raw!$E$2:$E$1001,BOM_raw!$A$2:$A$1001,$B6,BOM_raw!$F$2:$F$1001,"I")</f>
        <v>5.8999999999999997E-2</v>
      </c>
      <c r="J6" s="43">
        <f>SUMIFS(BOM_raw!$E$2:$E$1001,BOM_raw!$A$2:$A$1001,$B6,BOM_raw!$F$2:$F$1001,"EE")</f>
        <v>0.10299999999999999</v>
      </c>
      <c r="K6" s="43">
        <f>SUMIFS(BOM_raw!$E$2:$E$1001,BOM_raw!$A$2:$A$1001,$B6,BOM_raw!$F$2:$F$1001,"HV")</f>
        <v>0.01</v>
      </c>
      <c r="L6" s="43">
        <f>SUMIFS(BOM_raw!$E$2:$E$1001,BOM_raw!$A$2:$A$1001,$B6,BOM_raw!$F$2:$F$1001,"SHARED")</f>
        <v>0.44210000000000005</v>
      </c>
      <c r="M6" s="43">
        <f t="shared" si="0"/>
        <v>1</v>
      </c>
      <c r="N6" s="43">
        <f>SUMIFS(BOM_raw!$E$2:$E$1001,BOM_raw!$A$2:$A$1001,$B6,BOM_raw!$C$2:$C$1001,"BMS")+SUMIFS(BOM_raw!$E$2:$E$1001,BOM_raw!$A$2:$A$1001,$B6,BOM_raw!$C$2:$C$1001,"VCU")</f>
        <v>1.2999999999999999E-2</v>
      </c>
      <c r="O6" s="43">
        <f>SUMIFS(BOM_raw!$E$2:$E$1001,BOM_raw!$A$2:$A$1001,$B6,BOM_raw!$C$2:$C$1001,"MCU")+SUMIFS(BOM_raw!$E$2:$E$1001,BOM_raw!$A$2:$A$1001,$B6,BOM_raw!$C$2:$C$1001,"OBC")+SUMIFS(BOM_raw!$E$2:$E$1001,BOM_raw!$A$2:$A$1001,$B6,BOM_raw!$C$2:$C$1001,"DCDC")+SUMIFS(BOM_raw!$E$2:$E$1001,BOM_raw!$A$2:$A$1001,$B6,BOM_raw!$C$2:$C$1001,"PDU")</f>
        <v>0.04</v>
      </c>
      <c r="P6" s="43">
        <f t="shared" si="1"/>
        <v>0.2452830188679245</v>
      </c>
      <c r="Q6" s="43">
        <f t="shared" si="2"/>
        <v>0.75471698113207542</v>
      </c>
      <c r="R6" s="43">
        <f t="shared" si="3"/>
        <v>0.99999999999999989</v>
      </c>
      <c r="S6" s="42" t="str">
        <f t="shared" si="4"/>
        <v>PASS</v>
      </c>
      <c r="T6" s="41" t="s">
        <v>317</v>
      </c>
    </row>
    <row r="7" spans="1:20" ht="23.4">
      <c r="A7" s="41" t="s">
        <v>312</v>
      </c>
      <c r="B7" s="41" t="s">
        <v>217</v>
      </c>
      <c r="C7" s="41" t="s">
        <v>218</v>
      </c>
      <c r="D7" s="42">
        <f>COUNTIF(BOM_raw!$A$2:$A$1001,B7)</f>
        <v>15</v>
      </c>
      <c r="E7" s="42">
        <f>COUNTIFS(BOM_raw!$A$2:$A$1001,B7,BOM_raw!$E$2:$E$1001,"&lt;0")+COUNTIFS(BOM_raw!$A$2:$A$1001,B7,BOM_raw!$E$2:$E$1001,"&gt;1")</f>
        <v>0</v>
      </c>
      <c r="F7" s="43">
        <f>SUMIFS(BOM_raw!$E$2:$E$1001,BOM_raw!$A$2:$A$1001,$B7,BOM_raw!$F$2:$F$1001,"T")</f>
        <v>0.30750000000000005</v>
      </c>
      <c r="G7" s="43">
        <f>SUMIFS(BOM_raw!$E$2:$E$1001,BOM_raw!$A$2:$A$1001,$B7,BOM_raw!$F$2:$F$1001,"M")</f>
        <v>3.5999999999999997E-2</v>
      </c>
      <c r="H7" s="43">
        <f>SUMIFS(BOM_raw!$E$2:$E$1001,BOM_raw!$A$2:$A$1001,$B7,BOM_raw!$F$2:$F$1001,"E")</f>
        <v>5.3000000000000005E-2</v>
      </c>
      <c r="I7" s="43">
        <f>SUMIFS(BOM_raw!$E$2:$E$1001,BOM_raw!$A$2:$A$1001,$B7,BOM_raw!$F$2:$F$1001,"I")</f>
        <v>5.8999999999999997E-2</v>
      </c>
      <c r="J7" s="43">
        <f>SUMIFS(BOM_raw!$E$2:$E$1001,BOM_raw!$A$2:$A$1001,$B7,BOM_raw!$F$2:$F$1001,"EE")</f>
        <v>0.10299999999999999</v>
      </c>
      <c r="K7" s="43">
        <f>SUMIFS(BOM_raw!$E$2:$E$1001,BOM_raw!$A$2:$A$1001,$B7,BOM_raw!$F$2:$F$1001,"HV")</f>
        <v>0.01</v>
      </c>
      <c r="L7" s="43">
        <f>SUMIFS(BOM_raw!$E$2:$E$1001,BOM_raw!$A$2:$A$1001,$B7,BOM_raw!$F$2:$F$1001,"SHARED")</f>
        <v>0.43149999999999999</v>
      </c>
      <c r="M7" s="43">
        <f t="shared" si="0"/>
        <v>1</v>
      </c>
      <c r="N7" s="43">
        <f>SUMIFS(BOM_raw!$E$2:$E$1001,BOM_raw!$A$2:$A$1001,$B7,BOM_raw!$C$2:$C$1001,"BMS")+SUMIFS(BOM_raw!$E$2:$E$1001,BOM_raw!$A$2:$A$1001,$B7,BOM_raw!$C$2:$C$1001,"VCU")</f>
        <v>1.2999999999999999E-2</v>
      </c>
      <c r="O7" s="43">
        <f>SUMIFS(BOM_raw!$E$2:$E$1001,BOM_raw!$A$2:$A$1001,$B7,BOM_raw!$C$2:$C$1001,"MCU")+SUMIFS(BOM_raw!$E$2:$E$1001,BOM_raw!$A$2:$A$1001,$B7,BOM_raw!$C$2:$C$1001,"OBC")+SUMIFS(BOM_raw!$E$2:$E$1001,BOM_raw!$A$2:$A$1001,$B7,BOM_raw!$C$2:$C$1001,"DCDC")+SUMIFS(BOM_raw!$E$2:$E$1001,BOM_raw!$A$2:$A$1001,$B7,BOM_raw!$C$2:$C$1001,"PDU")</f>
        <v>0.04</v>
      </c>
      <c r="P7" s="43">
        <f t="shared" si="1"/>
        <v>0.2452830188679245</v>
      </c>
      <c r="Q7" s="43">
        <f t="shared" si="2"/>
        <v>0.75471698113207542</v>
      </c>
      <c r="R7" s="43">
        <f t="shared" si="3"/>
        <v>0.99999999999999989</v>
      </c>
      <c r="S7" s="42" t="str">
        <f t="shared" si="4"/>
        <v>PASS</v>
      </c>
      <c r="T7" s="41" t="s">
        <v>318</v>
      </c>
    </row>
    <row r="8" spans="1:20" ht="23.4">
      <c r="A8" s="41" t="s">
        <v>312</v>
      </c>
      <c r="B8" s="41" t="s">
        <v>292</v>
      </c>
      <c r="C8" s="41" t="s">
        <v>293</v>
      </c>
      <c r="D8" s="42">
        <f>COUNTIF(BOM_raw!$A$2:$A$1001,B8)</f>
        <v>15</v>
      </c>
      <c r="E8" s="42">
        <f>COUNTIFS(BOM_raw!$A$2:$A$1001,B8,BOM_raw!$E$2:$E$1001,"&lt;0")+COUNTIFS(BOM_raw!$A$2:$A$1001,B8,BOM_raw!$E$2:$E$1001,"&gt;1")</f>
        <v>0</v>
      </c>
      <c r="F8" s="43">
        <f>SUMIFS(BOM_raw!$E$2:$E$1001,BOM_raw!$A$2:$A$1001,$B8,BOM_raw!$F$2:$F$1001,"T")</f>
        <v>0.29000000000000004</v>
      </c>
      <c r="G8" s="43">
        <f>SUMIFS(BOM_raw!$E$2:$E$1001,BOM_raw!$A$2:$A$1001,$B8,BOM_raw!$F$2:$F$1001,"M")</f>
        <v>3.5999999999999997E-2</v>
      </c>
      <c r="H8" s="43">
        <f>SUMIFS(BOM_raw!$E$2:$E$1001,BOM_raw!$A$2:$A$1001,$B8,BOM_raw!$F$2:$F$1001,"E")</f>
        <v>5.3000000000000005E-2</v>
      </c>
      <c r="I8" s="43">
        <f>SUMIFS(BOM_raw!$E$2:$E$1001,BOM_raw!$A$2:$A$1001,$B8,BOM_raw!$F$2:$F$1001,"I")</f>
        <v>5.8999999999999997E-2</v>
      </c>
      <c r="J8" s="43">
        <f>SUMIFS(BOM_raw!$E$2:$E$1001,BOM_raw!$A$2:$A$1001,$B8,BOM_raw!$F$2:$F$1001,"EE")</f>
        <v>0.10299999999999999</v>
      </c>
      <c r="K8" s="43">
        <f>SUMIFS(BOM_raw!$E$2:$E$1001,BOM_raw!$A$2:$A$1001,$B8,BOM_raw!$F$2:$F$1001,"HV")</f>
        <v>0.01</v>
      </c>
      <c r="L8" s="43">
        <f>SUMIFS(BOM_raw!$E$2:$E$1001,BOM_raw!$A$2:$A$1001,$B8,BOM_raw!$F$2:$F$1001,"SHARED")</f>
        <v>0.44900000000000001</v>
      </c>
      <c r="M8" s="43">
        <f t="shared" si="0"/>
        <v>1</v>
      </c>
      <c r="N8" s="43">
        <f>SUMIFS(BOM_raw!$E$2:$E$1001,BOM_raw!$A$2:$A$1001,$B8,BOM_raw!$C$2:$C$1001,"BMS")+SUMIFS(BOM_raw!$E$2:$E$1001,BOM_raw!$A$2:$A$1001,$B8,BOM_raw!$C$2:$C$1001,"VCU")</f>
        <v>1.2999999999999999E-2</v>
      </c>
      <c r="O8" s="43">
        <f>SUMIFS(BOM_raw!$E$2:$E$1001,BOM_raw!$A$2:$A$1001,$B8,BOM_raw!$C$2:$C$1001,"MCU")+SUMIFS(BOM_raw!$E$2:$E$1001,BOM_raw!$A$2:$A$1001,$B8,BOM_raw!$C$2:$C$1001,"OBC")+SUMIFS(BOM_raw!$E$2:$E$1001,BOM_raw!$A$2:$A$1001,$B8,BOM_raw!$C$2:$C$1001,"DCDC")+SUMIFS(BOM_raw!$E$2:$E$1001,BOM_raw!$A$2:$A$1001,$B8,BOM_raw!$C$2:$C$1001,"PDU")</f>
        <v>0.04</v>
      </c>
      <c r="P8" s="43">
        <f t="shared" si="1"/>
        <v>0.2452830188679245</v>
      </c>
      <c r="Q8" s="43">
        <f t="shared" si="2"/>
        <v>0.75471698113207542</v>
      </c>
      <c r="R8" s="43">
        <f t="shared" si="3"/>
        <v>0.99999999999999989</v>
      </c>
      <c r="S8" s="42" t="str">
        <f t="shared" si="4"/>
        <v>PASS</v>
      </c>
      <c r="T8" s="41" t="s">
        <v>319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/>
  </sheetViews>
  <sheetFormatPr defaultRowHeight="13.8"/>
  <cols>
    <col min="1" max="1" width="24" customWidth="1"/>
    <col min="2" max="2" width="12" customWidth="1"/>
    <col min="3" max="3" width="25" customWidth="1"/>
    <col min="4" max="4" width="20" customWidth="1"/>
    <col min="5" max="5" width="19" customWidth="1"/>
    <col min="6" max="6" width="17" customWidth="1"/>
    <col min="7" max="7" width="82" customWidth="1"/>
  </cols>
  <sheetData>
    <row r="1" spans="1:7">
      <c r="A1" s="24" t="s">
        <v>320</v>
      </c>
      <c r="B1" s="25" t="s">
        <v>321</v>
      </c>
      <c r="C1" s="25" t="s">
        <v>322</v>
      </c>
      <c r="D1" s="25" t="s">
        <v>323</v>
      </c>
      <c r="E1" s="25" t="s">
        <v>324</v>
      </c>
      <c r="F1" s="25" t="s">
        <v>325</v>
      </c>
      <c r="G1" s="26" t="s">
        <v>326</v>
      </c>
    </row>
    <row r="2" spans="1:7">
      <c r="A2" s="41" t="s">
        <v>312</v>
      </c>
      <c r="B2" s="41" t="s">
        <v>239</v>
      </c>
      <c r="C2" s="41" t="s">
        <v>327</v>
      </c>
      <c r="D2" s="43">
        <v>1</v>
      </c>
      <c r="E2" s="41" t="s">
        <v>328</v>
      </c>
      <c r="F2" s="41" t="s">
        <v>241</v>
      </c>
      <c r="G2" s="41" t="s">
        <v>329</v>
      </c>
    </row>
    <row r="3" spans="1:7">
      <c r="A3" s="41" t="s">
        <v>312</v>
      </c>
      <c r="B3" s="41" t="s">
        <v>251</v>
      </c>
      <c r="C3" s="41" t="s">
        <v>327</v>
      </c>
      <c r="D3" s="43">
        <v>1</v>
      </c>
      <c r="E3" s="41" t="s">
        <v>328</v>
      </c>
      <c r="F3" s="41" t="s">
        <v>252</v>
      </c>
      <c r="G3" s="41" t="s">
        <v>330</v>
      </c>
    </row>
    <row r="4" spans="1:7">
      <c r="A4" s="41" t="s">
        <v>312</v>
      </c>
      <c r="B4" s="41" t="s">
        <v>256</v>
      </c>
      <c r="C4" s="41" t="s">
        <v>331</v>
      </c>
      <c r="D4" s="43" t="s">
        <v>332</v>
      </c>
      <c r="E4" s="41" t="s">
        <v>333</v>
      </c>
      <c r="F4" s="41" t="s">
        <v>258</v>
      </c>
      <c r="G4" s="41" t="s">
        <v>334</v>
      </c>
    </row>
    <row r="5" spans="1:7">
      <c r="A5" s="41" t="s">
        <v>312</v>
      </c>
      <c r="B5" s="41" t="s">
        <v>256</v>
      </c>
      <c r="C5" s="41" t="s">
        <v>327</v>
      </c>
      <c r="D5" s="43" t="s">
        <v>332</v>
      </c>
      <c r="E5" s="41" t="s">
        <v>333</v>
      </c>
      <c r="F5" s="41" t="s">
        <v>258</v>
      </c>
      <c r="G5" s="41" t="s">
        <v>335</v>
      </c>
    </row>
    <row r="6" spans="1:7">
      <c r="A6" s="41" t="s">
        <v>312</v>
      </c>
      <c r="B6" s="41" t="s">
        <v>289</v>
      </c>
      <c r="C6" s="41" t="s">
        <v>331</v>
      </c>
      <c r="D6" s="43">
        <v>1</v>
      </c>
      <c r="E6" s="41" t="s">
        <v>247</v>
      </c>
      <c r="F6" s="41" t="s">
        <v>247</v>
      </c>
      <c r="G6" s="41" t="s">
        <v>336</v>
      </c>
    </row>
    <row r="7" spans="1:7">
      <c r="A7" s="41" t="s">
        <v>312</v>
      </c>
      <c r="B7" s="41" t="s">
        <v>284</v>
      </c>
      <c r="C7" s="41" t="s">
        <v>337</v>
      </c>
      <c r="D7" s="43">
        <v>1</v>
      </c>
      <c r="E7" s="41" t="s">
        <v>247</v>
      </c>
      <c r="F7" s="41" t="s">
        <v>247</v>
      </c>
      <c r="G7" s="41" t="s">
        <v>338</v>
      </c>
    </row>
    <row r="8" spans="1:7">
      <c r="A8" s="41" t="s">
        <v>312</v>
      </c>
      <c r="B8" s="41" t="s">
        <v>245</v>
      </c>
      <c r="C8" s="41" t="s">
        <v>339</v>
      </c>
      <c r="D8" s="43">
        <v>1</v>
      </c>
      <c r="E8" s="41" t="s">
        <v>247</v>
      </c>
      <c r="F8" s="41" t="s">
        <v>247</v>
      </c>
      <c r="G8" s="41" t="s">
        <v>340</v>
      </c>
    </row>
    <row r="9" spans="1:7">
      <c r="A9" s="41" t="s">
        <v>312</v>
      </c>
      <c r="B9" s="41" t="s">
        <v>275</v>
      </c>
      <c r="C9" s="41" t="s">
        <v>341</v>
      </c>
      <c r="D9" s="43">
        <v>1</v>
      </c>
      <c r="E9" s="41" t="s">
        <v>247</v>
      </c>
      <c r="F9" s="41" t="s">
        <v>247</v>
      </c>
      <c r="G9" s="41" t="s">
        <v>342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8"/>
  <sheetViews>
    <sheetView showGridLines="0" workbookViewId="0">
      <selection activeCell="E14" sqref="E14:G14"/>
    </sheetView>
  </sheetViews>
  <sheetFormatPr defaultRowHeight="13.8"/>
  <cols>
    <col min="1" max="1" width="10" customWidth="1"/>
    <col min="2" max="2" width="13" customWidth="1"/>
    <col min="3" max="3" width="18" customWidth="1"/>
    <col min="4" max="4" width="20" customWidth="1"/>
    <col min="5" max="5" width="18" customWidth="1"/>
    <col min="6" max="6" width="14" customWidth="1"/>
    <col min="7" max="7" width="14" style="50" customWidth="1"/>
    <col min="8" max="8" width="22" customWidth="1"/>
    <col min="9" max="9" width="16" customWidth="1"/>
    <col min="10" max="10" width="72" customWidth="1"/>
  </cols>
  <sheetData>
    <row r="1" spans="1:11" ht="24">
      <c r="A1" s="1" t="s">
        <v>62</v>
      </c>
      <c r="B1" s="2" t="s">
        <v>343</v>
      </c>
      <c r="C1" s="2" t="s">
        <v>344</v>
      </c>
      <c r="D1" s="2" t="s">
        <v>345</v>
      </c>
      <c r="E1" s="2" t="s">
        <v>346</v>
      </c>
      <c r="F1" s="2" t="s">
        <v>347</v>
      </c>
      <c r="G1" s="2" t="s">
        <v>348</v>
      </c>
      <c r="H1" s="2" t="s">
        <v>349</v>
      </c>
      <c r="I1" s="2" t="s">
        <v>350</v>
      </c>
      <c r="J1" s="3" t="s">
        <v>351</v>
      </c>
      <c r="K1" s="2" t="s">
        <v>621</v>
      </c>
    </row>
    <row r="2" spans="1:11">
      <c r="A2" s="4" t="s">
        <v>68</v>
      </c>
      <c r="B2" s="5" t="b">
        <v>1</v>
      </c>
      <c r="C2" s="7">
        <v>26022.442800000001</v>
      </c>
      <c r="D2" s="7">
        <v>18523.659599999908</v>
      </c>
      <c r="E2" s="7">
        <v>0.71183400199461322</v>
      </c>
      <c r="F2" s="7">
        <v>4.0430305028857624E-2</v>
      </c>
      <c r="G2" s="7">
        <v>0.28489572873612001</v>
      </c>
      <c r="H2" s="7">
        <v>0.28816599800538678</v>
      </c>
      <c r="I2" s="7">
        <v>0.99999972331574905</v>
      </c>
      <c r="J2" s="4" t="s">
        <v>619</v>
      </c>
      <c r="K2" s="7">
        <v>0.24773541629227827</v>
      </c>
    </row>
    <row r="3" spans="1:11">
      <c r="A3" s="4" t="s">
        <v>72</v>
      </c>
      <c r="B3" s="5" t="b">
        <v>1</v>
      </c>
      <c r="C3" s="7">
        <v>10356.148999999999</v>
      </c>
      <c r="D3" s="7">
        <v>6711.6235000000697</v>
      </c>
      <c r="E3" s="7">
        <v>0.64808100964944304</v>
      </c>
      <c r="F3" s="7">
        <v>9.8373343218603766E-3</v>
      </c>
      <c r="G3" s="7">
        <v>0.39339298275835932</v>
      </c>
      <c r="H3" s="7">
        <v>0.35191899035055696</v>
      </c>
      <c r="I3" s="7">
        <v>0.99999919854378982</v>
      </c>
      <c r="J3" s="4" t="s">
        <v>619</v>
      </c>
      <c r="K3" s="7">
        <v>0.34208085457248638</v>
      </c>
    </row>
    <row r="4" spans="1:11">
      <c r="A4" s="4" t="s">
        <v>74</v>
      </c>
      <c r="B4" s="5" t="b">
        <v>1</v>
      </c>
      <c r="C4" s="7">
        <v>18867.447899999999</v>
      </c>
      <c r="D4" s="7">
        <v>13726.462999999898</v>
      </c>
      <c r="E4" s="7">
        <v>0.72752091712413836</v>
      </c>
      <c r="F4" s="7">
        <v>3.2032016370375137E-2</v>
      </c>
      <c r="G4" s="7">
        <v>0.27651396191214606</v>
      </c>
      <c r="H4" s="7">
        <v>0.27247908287586164</v>
      </c>
      <c r="I4" s="7">
        <v>0.9999998568963796</v>
      </c>
      <c r="J4" s="4" t="s">
        <v>619</v>
      </c>
      <c r="K4" s="7">
        <v>0.24044692340186616</v>
      </c>
    </row>
    <row r="5" spans="1:11">
      <c r="A5" s="4" t="s">
        <v>77</v>
      </c>
      <c r="B5" s="5" t="b">
        <v>1</v>
      </c>
      <c r="C5" s="7">
        <v>17076.613499999999</v>
      </c>
      <c r="D5" s="7">
        <v>13850.97159999989</v>
      </c>
      <c r="E5" s="7">
        <v>0.81110763559764876</v>
      </c>
      <c r="F5" s="7">
        <v>4.8382168982157969E-2</v>
      </c>
      <c r="G5" s="7">
        <v>0.16158644862460583</v>
      </c>
      <c r="H5" s="7">
        <v>0.18889236440235124</v>
      </c>
      <c r="I5" s="7">
        <v>0.9999997599055509</v>
      </c>
      <c r="J5" s="4" t="s">
        <v>619</v>
      </c>
      <c r="K5" s="7">
        <v>0.1405099553257442</v>
      </c>
    </row>
    <row r="6" spans="1:11">
      <c r="A6" s="4" t="s">
        <v>79</v>
      </c>
      <c r="B6" s="5" t="b">
        <v>1</v>
      </c>
      <c r="C6" s="7">
        <v>237.12020000000001</v>
      </c>
      <c r="D6" s="7">
        <v>154.36470000000244</v>
      </c>
      <c r="E6" s="7">
        <v>0.65099767965783784</v>
      </c>
      <c r="F6" s="7">
        <v>1.7601199729082549E-2</v>
      </c>
      <c r="G6" s="7">
        <v>0.38107345978959195</v>
      </c>
      <c r="H6" s="7">
        <v>0.34900232034216216</v>
      </c>
      <c r="I6" s="7">
        <v>0.99996710529091337</v>
      </c>
      <c r="J6" s="4" t="s">
        <v>619</v>
      </c>
      <c r="K6" s="7">
        <v>0.33136822590399301</v>
      </c>
    </row>
    <row r="7" spans="1:11">
      <c r="A7" s="4" t="s">
        <v>81</v>
      </c>
      <c r="B7" s="5" t="b">
        <v>1</v>
      </c>
      <c r="C7" s="7">
        <v>2326.7253000000001</v>
      </c>
      <c r="D7" s="7">
        <v>1808.9521999999902</v>
      </c>
      <c r="E7" s="7">
        <v>0.77746702629656805</v>
      </c>
      <c r="F7" s="7">
        <v>3.1275286343428681E-2</v>
      </c>
      <c r="G7" s="7">
        <v>0.21994268296304678</v>
      </c>
      <c r="H7" s="7">
        <v>0.22253297370343195</v>
      </c>
      <c r="I7" s="7">
        <v>0.99999681956438524</v>
      </c>
      <c r="J7" s="4" t="s">
        <v>619</v>
      </c>
      <c r="K7" s="7">
        <v>0.19125450692438853</v>
      </c>
    </row>
    <row r="8" spans="1:11">
      <c r="A8" s="4" t="s">
        <v>83</v>
      </c>
      <c r="B8" s="5" t="b">
        <v>1</v>
      </c>
      <c r="C8" s="7">
        <v>3008.9881</v>
      </c>
      <c r="D8" s="7">
        <v>1734.262399999988</v>
      </c>
      <c r="E8" s="7">
        <v>0.5763606708846698</v>
      </c>
      <c r="F8" s="7">
        <v>3.0855622194052544E-2</v>
      </c>
      <c r="G8" s="7">
        <v>0.45169858764147314</v>
      </c>
      <c r="H8" s="7">
        <v>0.4236393291153302</v>
      </c>
      <c r="I8" s="7">
        <v>0.99999767363652514</v>
      </c>
      <c r="J8" s="4" t="s">
        <v>619</v>
      </c>
      <c r="K8" s="7">
        <v>0.39278138055780276</v>
      </c>
    </row>
    <row r="9" spans="1:11">
      <c r="A9" s="4" t="s">
        <v>85</v>
      </c>
      <c r="B9" s="5" t="b">
        <v>1</v>
      </c>
      <c r="C9" s="7">
        <v>80446.520600000003</v>
      </c>
      <c r="D9" s="7">
        <v>65304.3671999996</v>
      </c>
      <c r="E9" s="7">
        <v>0.81177366917717997</v>
      </c>
      <c r="F9" s="7">
        <v>4.3983443579783607E-2</v>
      </c>
      <c r="G9" s="7">
        <v>0.16587922598109231</v>
      </c>
      <c r="H9" s="7">
        <v>0.18822633082282003</v>
      </c>
      <c r="I9" s="7">
        <v>0.99999991795791332</v>
      </c>
      <c r="J9" s="4" t="s">
        <v>619</v>
      </c>
      <c r="K9" s="7">
        <v>0.14424280520094984</v>
      </c>
    </row>
    <row r="10" spans="1:11">
      <c r="A10" s="4" t="s">
        <v>87</v>
      </c>
      <c r="B10" s="5" t="b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4" t="s">
        <v>619</v>
      </c>
      <c r="K10" s="7">
        <v>0</v>
      </c>
    </row>
    <row r="11" spans="1:11">
      <c r="A11" s="4" t="s">
        <v>89</v>
      </c>
      <c r="B11" s="5" t="b">
        <v>1</v>
      </c>
      <c r="C11" s="7">
        <v>58839.515200000002</v>
      </c>
      <c r="D11" s="7">
        <v>46596.765499999958</v>
      </c>
      <c r="E11" s="7">
        <v>0.79192979992465939</v>
      </c>
      <c r="F11" s="7">
        <v>2.894194308385464E-2</v>
      </c>
      <c r="G11" s="7">
        <v>0.20599734895504371</v>
      </c>
      <c r="H11" s="7">
        <v>0.20807020007534061</v>
      </c>
      <c r="I11" s="7">
        <v>0.99999987253463907</v>
      </c>
      <c r="J11" s="4" t="s">
        <v>619</v>
      </c>
      <c r="K11" s="7">
        <v>0.17912812952612497</v>
      </c>
    </row>
    <row r="12" spans="1:11">
      <c r="A12" s="4" t="s">
        <v>91</v>
      </c>
      <c r="B12" s="5" t="b">
        <v>1</v>
      </c>
      <c r="C12" s="7">
        <v>1971.0051000000001</v>
      </c>
      <c r="D12" s="7">
        <v>1314.2005999999808</v>
      </c>
      <c r="E12" s="7">
        <v>0.6667667171434416</v>
      </c>
      <c r="F12" s="7">
        <v>2.3638700884132668E-2</v>
      </c>
      <c r="G12" s="7">
        <v>0.35603009347870274</v>
      </c>
      <c r="H12" s="7">
        <v>0.3332332828565584</v>
      </c>
      <c r="I12" s="7">
        <v>0.99999680366122878</v>
      </c>
      <c r="J12" s="4" t="s">
        <v>619</v>
      </c>
      <c r="K12" s="7">
        <v>0.30959138563365457</v>
      </c>
    </row>
    <row r="13" spans="1:11">
      <c r="A13" s="4" t="s">
        <v>93</v>
      </c>
      <c r="B13" s="5" t="b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4" t="s">
        <v>619</v>
      </c>
      <c r="K13" s="7">
        <v>0</v>
      </c>
    </row>
    <row r="14" spans="1:11">
      <c r="A14" s="4" t="s">
        <v>95</v>
      </c>
      <c r="B14" s="5" t="b">
        <v>1</v>
      </c>
      <c r="C14" s="7">
        <v>1216322.3459000001</v>
      </c>
      <c r="D14" s="7">
        <v>924349.9137999923</v>
      </c>
      <c r="E14" s="7">
        <v>0.75995472492617322</v>
      </c>
      <c r="F14" s="7">
        <v>2.2822261790693289E-2</v>
      </c>
      <c r="G14" s="7">
        <v>0.24980685887602747</v>
      </c>
      <c r="H14" s="7">
        <v>0.24004527507382678</v>
      </c>
      <c r="I14" s="7">
        <v>1.0000003422612382</v>
      </c>
      <c r="J14" s="4" t="s">
        <v>619</v>
      </c>
      <c r="K14" s="7">
        <v>0.21722335554437172</v>
      </c>
    </row>
    <row r="15" spans="1:11">
      <c r="A15" s="4" t="s">
        <v>97</v>
      </c>
      <c r="B15" s="5" t="b">
        <v>1</v>
      </c>
      <c r="C15" s="7">
        <v>211.6902</v>
      </c>
      <c r="D15" s="7">
        <v>149.14130000000227</v>
      </c>
      <c r="E15" s="7">
        <v>0.70452623692548011</v>
      </c>
      <c r="F15" s="7">
        <v>3.4952019507752369E-2</v>
      </c>
      <c r="G15" s="7">
        <v>0.29954568043301011</v>
      </c>
      <c r="H15" s="7">
        <v>0.29547376307451989</v>
      </c>
      <c r="I15" s="7">
        <v>0.99995276115758913</v>
      </c>
      <c r="J15" s="4" t="s">
        <v>619</v>
      </c>
      <c r="K15" s="7">
        <v>0.26047450472435663</v>
      </c>
    </row>
    <row r="16" spans="1:11">
      <c r="A16" s="4" t="s">
        <v>99</v>
      </c>
      <c r="B16" s="5" t="b">
        <v>1</v>
      </c>
      <c r="C16" s="7">
        <v>11.7768</v>
      </c>
      <c r="D16" s="7">
        <v>6.4488000000000074</v>
      </c>
      <c r="E16" s="7">
        <v>0.54758508253515448</v>
      </c>
      <c r="F16" s="7">
        <v>1.8026968276611644E-2</v>
      </c>
      <c r="G16" s="7">
        <v>0.49849152571156846</v>
      </c>
      <c r="H16" s="7">
        <v>0.45241491746484552</v>
      </c>
      <c r="I16" s="7">
        <v>0.99908294273486919</v>
      </c>
      <c r="J16" s="4" t="s">
        <v>619</v>
      </c>
      <c r="K16" s="7">
        <v>0.43347089192310306</v>
      </c>
    </row>
    <row r="17" spans="1:11">
      <c r="A17" s="4" t="s">
        <v>101</v>
      </c>
      <c r="B17" s="5" t="b">
        <v>1</v>
      </c>
      <c r="C17" s="7">
        <v>2668.5297999999998</v>
      </c>
      <c r="D17" s="7">
        <v>2120.3562999999876</v>
      </c>
      <c r="E17" s="7">
        <v>0.79457846039417956</v>
      </c>
      <c r="F17" s="7">
        <v>1.666247084818015E-2</v>
      </c>
      <c r="G17" s="7">
        <v>0.21706999861871507</v>
      </c>
      <c r="H17" s="7">
        <v>0.20542153960582044</v>
      </c>
      <c r="I17" s="7">
        <v>0.99999745178037291</v>
      </c>
      <c r="J17" s="4" t="s">
        <v>619</v>
      </c>
      <c r="K17" s="7">
        <v>0.18875652053801312</v>
      </c>
    </row>
    <row r="18" spans="1:11">
      <c r="A18" s="4" t="s">
        <v>103</v>
      </c>
      <c r="B18" s="5" t="b">
        <v>1</v>
      </c>
      <c r="C18" s="7">
        <v>35.915399999999998</v>
      </c>
      <c r="D18" s="7">
        <v>21.108699999999764</v>
      </c>
      <c r="E18" s="7">
        <v>0.58773395256630212</v>
      </c>
      <c r="F18" s="7">
        <v>1.7104083485078823E-2</v>
      </c>
      <c r="G18" s="7">
        <v>0.45410325375744109</v>
      </c>
      <c r="H18" s="7">
        <v>0.41226604743369788</v>
      </c>
      <c r="I18" s="7">
        <v>0.99971043062306886</v>
      </c>
      <c r="J18" s="4" t="s">
        <v>619</v>
      </c>
      <c r="K18" s="7">
        <v>0.39487239457168793</v>
      </c>
    </row>
    <row r="19" spans="1:11">
      <c r="A19" s="4" t="s">
        <v>105</v>
      </c>
      <c r="B19" s="5" t="b">
        <v>1</v>
      </c>
      <c r="C19" s="7">
        <v>18.681799999999999</v>
      </c>
      <c r="D19" s="7">
        <v>12.890599999999946</v>
      </c>
      <c r="E19" s="7">
        <v>0.69000845742915273</v>
      </c>
      <c r="F19" s="7">
        <v>3.3893950261752077E-2</v>
      </c>
      <c r="G19" s="7">
        <v>0.3169089702277082</v>
      </c>
      <c r="H19" s="7">
        <v>0.30999154257084727</v>
      </c>
      <c r="I19" s="7">
        <v>0.99947542528021638</v>
      </c>
      <c r="J19" s="4" t="s">
        <v>619</v>
      </c>
      <c r="K19" s="7">
        <v>0.27557301758931152</v>
      </c>
    </row>
    <row r="20" spans="1:11">
      <c r="A20" s="4" t="s">
        <v>107</v>
      </c>
      <c r="B20" s="5" t="b">
        <v>1</v>
      </c>
      <c r="C20" s="7">
        <v>60287.947399999997</v>
      </c>
      <c r="D20" s="7">
        <v>48559.257199999811</v>
      </c>
      <c r="E20" s="7">
        <v>0.80545547317804045</v>
      </c>
      <c r="F20" s="7">
        <v>2.135494166782663E-2</v>
      </c>
      <c r="G20" s="7">
        <v>0.19916796951690546</v>
      </c>
      <c r="H20" s="7">
        <v>0.19454452682195955</v>
      </c>
      <c r="I20" s="7">
        <v>0.99999995355621962</v>
      </c>
      <c r="J20" s="4" t="s">
        <v>619</v>
      </c>
      <c r="K20" s="7">
        <v>0.17318953871035259</v>
      </c>
    </row>
    <row r="21" spans="1:11">
      <c r="A21" s="4" t="s">
        <v>109</v>
      </c>
      <c r="B21" s="5" t="b">
        <v>1</v>
      </c>
      <c r="C21" s="7">
        <v>496516.10279999999</v>
      </c>
      <c r="D21" s="7">
        <v>330085.88420000224</v>
      </c>
      <c r="E21" s="7">
        <v>0.66480398588998646</v>
      </c>
      <c r="F21" s="7">
        <v>2.0946713795079758E-2</v>
      </c>
      <c r="G21" s="7">
        <v>0.36138669929961437</v>
      </c>
      <c r="H21" s="7">
        <v>0.33519601411001354</v>
      </c>
      <c r="I21" s="7">
        <v>1.0000000034238612</v>
      </c>
      <c r="J21" s="4" t="s">
        <v>619</v>
      </c>
      <c r="K21" s="7">
        <v>0.31424930373879512</v>
      </c>
    </row>
    <row r="22" spans="1:11">
      <c r="A22" s="4" t="s">
        <v>111</v>
      </c>
      <c r="B22" s="5" t="b">
        <v>1</v>
      </c>
      <c r="C22" s="7">
        <v>1005.6104</v>
      </c>
      <c r="D22" s="7">
        <v>628.76659999999356</v>
      </c>
      <c r="E22" s="7">
        <v>0.62525864887633775</v>
      </c>
      <c r="F22" s="7">
        <v>3.3991195795111104E-2</v>
      </c>
      <c r="G22" s="7">
        <v>0.39185330123873024</v>
      </c>
      <c r="H22" s="7">
        <v>0.37474135112366225</v>
      </c>
      <c r="I22" s="7">
        <v>0.99999184574860567</v>
      </c>
      <c r="J22" s="4" t="s">
        <v>619</v>
      </c>
      <c r="K22" s="7">
        <v>0.34074200107715674</v>
      </c>
    </row>
    <row r="23" spans="1:11">
      <c r="A23" s="4" t="s">
        <v>113</v>
      </c>
      <c r="B23" s="5" t="b">
        <v>1</v>
      </c>
      <c r="C23" s="7">
        <v>2288.0201000000002</v>
      </c>
      <c r="D23" s="7">
        <v>1506.1000999999944</v>
      </c>
      <c r="E23" s="7">
        <v>0.6582547504718137</v>
      </c>
      <c r="F23" s="7">
        <v>1.171029922333287E-2</v>
      </c>
      <c r="G23" s="7">
        <v>0.37953647347765868</v>
      </c>
      <c r="H23" s="7">
        <v>0.3417452495281863</v>
      </c>
      <c r="I23" s="7">
        <v>0.99999676576267582</v>
      </c>
      <c r="J23" s="4" t="s">
        <v>619</v>
      </c>
      <c r="K23" s="7">
        <v>0.33003171606752929</v>
      </c>
    </row>
    <row r="24" spans="1:11">
      <c r="A24" s="4" t="s">
        <v>115</v>
      </c>
      <c r="B24" s="5" t="b">
        <v>1</v>
      </c>
      <c r="C24" s="7">
        <v>73783.713499999998</v>
      </c>
      <c r="D24" s="7">
        <v>58374.177199999642</v>
      </c>
      <c r="E24" s="7">
        <v>0.79115260578473923</v>
      </c>
      <c r="F24" s="7">
        <v>2.7597910208192491E-2</v>
      </c>
      <c r="G24" s="7">
        <v>0.20843690349090385</v>
      </c>
      <c r="H24" s="7">
        <v>0.20884739421526077</v>
      </c>
      <c r="I24" s="7">
        <v>0.99999999728936984</v>
      </c>
      <c r="J24" s="4" t="s">
        <v>619</v>
      </c>
      <c r="K24" s="7">
        <v>0.18124948129643814</v>
      </c>
    </row>
    <row r="25" spans="1:11">
      <c r="A25" s="4" t="s">
        <v>117</v>
      </c>
      <c r="B25" s="5" t="b">
        <v>1</v>
      </c>
      <c r="C25" s="7">
        <v>670.07299999999998</v>
      </c>
      <c r="D25" s="7">
        <v>519.07669999999541</v>
      </c>
      <c r="E25" s="7">
        <v>0.77465694036320731</v>
      </c>
      <c r="F25" s="7">
        <v>3.6924932059641265E-2</v>
      </c>
      <c r="G25" s="7">
        <v>0.2166660871278204</v>
      </c>
      <c r="H25" s="7">
        <v>0.22534305963679269</v>
      </c>
      <c r="I25" s="7">
        <v>0.99998716557747502</v>
      </c>
      <c r="J25" s="4" t="s">
        <v>619</v>
      </c>
      <c r="K25" s="7">
        <v>0.18840529315462645</v>
      </c>
    </row>
    <row r="26" spans="1:11">
      <c r="A26" s="4" t="s">
        <v>119</v>
      </c>
      <c r="B26" s="5" t="b">
        <v>1</v>
      </c>
      <c r="C26" s="7">
        <v>2290.326</v>
      </c>
      <c r="D26" s="7">
        <v>1564.9774999999872</v>
      </c>
      <c r="E26" s="7">
        <v>0.68329901507470425</v>
      </c>
      <c r="F26" s="7">
        <v>3.5049508235945451E-2</v>
      </c>
      <c r="G26" s="7">
        <v>0.32389638636595836</v>
      </c>
      <c r="H26" s="7">
        <v>0.31670098492529575</v>
      </c>
      <c r="I26" s="7">
        <v>0.99999755493322218</v>
      </c>
      <c r="J26" s="4" t="s">
        <v>619</v>
      </c>
      <c r="K26" s="7">
        <v>0.28164903162257249</v>
      </c>
    </row>
    <row r="27" spans="1:11">
      <c r="A27" s="4" t="s">
        <v>121</v>
      </c>
      <c r="B27" s="5" t="b">
        <v>1</v>
      </c>
      <c r="C27" s="7">
        <v>82290.599000000002</v>
      </c>
      <c r="D27" s="7">
        <v>66509.251699999717</v>
      </c>
      <c r="E27" s="7">
        <v>0.80822417758801002</v>
      </c>
      <c r="F27" s="7">
        <v>1.3806690117786116E-2</v>
      </c>
      <c r="G27" s="7">
        <v>0.20466445741876296</v>
      </c>
      <c r="H27" s="7">
        <v>0.19177582241198998</v>
      </c>
      <c r="I27" s="7">
        <v>0.99999996111341616</v>
      </c>
      <c r="J27" s="4" t="s">
        <v>619</v>
      </c>
      <c r="K27" s="7">
        <v>0.17796909340761999</v>
      </c>
    </row>
    <row r="28" spans="1:11">
      <c r="A28" s="4" t="s">
        <v>123</v>
      </c>
      <c r="B28" s="5" t="b">
        <v>1</v>
      </c>
      <c r="C28" s="7">
        <v>81424.3989</v>
      </c>
      <c r="D28" s="7">
        <v>59647.787299999734</v>
      </c>
      <c r="E28" s="7">
        <v>0.73255422337541798</v>
      </c>
      <c r="F28" s="7">
        <v>3.0097146962174259E-2</v>
      </c>
      <c r="G28" s="7">
        <v>0.27295091281294065</v>
      </c>
      <c r="H28" s="7">
        <v>0.26744577662458202</v>
      </c>
      <c r="I28" s="7">
        <v>0.99999999017493191</v>
      </c>
      <c r="J28" s="4" t="s">
        <v>619</v>
      </c>
      <c r="K28" s="7">
        <v>0.23734861983733971</v>
      </c>
    </row>
    <row r="29" spans="1:11">
      <c r="A29" s="4" t="s">
        <v>125</v>
      </c>
      <c r="B29" s="5" t="b">
        <v>1</v>
      </c>
      <c r="C29" s="7">
        <v>157.65790000000001</v>
      </c>
      <c r="D29" s="7">
        <v>85.882500000001144</v>
      </c>
      <c r="E29" s="7">
        <v>0.54473959122886417</v>
      </c>
      <c r="F29" s="7">
        <v>2.0403671493784959E-2</v>
      </c>
      <c r="G29" s="7">
        <v>0.50001303455139257</v>
      </c>
      <c r="H29" s="7">
        <v>0.45526040877113583</v>
      </c>
      <c r="I29" s="7">
        <v>0.99993720581081658</v>
      </c>
      <c r="J29" s="4" t="s">
        <v>619</v>
      </c>
      <c r="K29" s="7">
        <v>0.43479394308816743</v>
      </c>
    </row>
    <row r="30" spans="1:11">
      <c r="A30" s="4" t="s">
        <v>127</v>
      </c>
      <c r="B30" s="5" t="b">
        <v>1</v>
      </c>
      <c r="C30" s="7">
        <v>2026.8551</v>
      </c>
      <c r="D30" s="7">
        <v>1902.1654999999907</v>
      </c>
      <c r="E30" s="7">
        <v>0.93848124614334327</v>
      </c>
      <c r="F30" s="7">
        <v>1.0075461240421184E-2</v>
      </c>
      <c r="G30" s="7">
        <v>5.9154226170385828E-2</v>
      </c>
      <c r="H30" s="7">
        <v>6.1518753856656727E-2</v>
      </c>
      <c r="I30" s="7">
        <v>0.99999516492323037</v>
      </c>
      <c r="J30" s="4" t="s">
        <v>619</v>
      </c>
      <c r="K30" s="7">
        <v>5.1438457539465944E-2</v>
      </c>
    </row>
    <row r="31" spans="1:11">
      <c r="A31" s="4" t="s">
        <v>129</v>
      </c>
      <c r="B31" s="5" t="b">
        <v>1</v>
      </c>
      <c r="C31" s="7">
        <v>388.56139999999999</v>
      </c>
      <c r="D31" s="7">
        <v>265.83510000000064</v>
      </c>
      <c r="E31" s="7">
        <v>0.68415210569037643</v>
      </c>
      <c r="F31" s="7">
        <v>3.4086762092168703E-2</v>
      </c>
      <c r="G31" s="7">
        <v>0.324000145150805</v>
      </c>
      <c r="H31" s="7">
        <v>0.31584789430962357</v>
      </c>
      <c r="I31" s="7">
        <v>0.999978124435419</v>
      </c>
      <c r="J31" s="4" t="s">
        <v>619</v>
      </c>
      <c r="K31" s="7">
        <v>0.28173925665287392</v>
      </c>
    </row>
    <row r="32" spans="1:11">
      <c r="A32" s="4" t="s">
        <v>131</v>
      </c>
      <c r="B32" s="5" t="b">
        <v>1</v>
      </c>
      <c r="C32" s="7">
        <v>32442.316599999998</v>
      </c>
      <c r="D32" s="7">
        <v>26803.944600000032</v>
      </c>
      <c r="E32" s="7">
        <v>0.82620316330924515</v>
      </c>
      <c r="F32" s="7">
        <v>3.1062858809533966E-2</v>
      </c>
      <c r="G32" s="7">
        <v>0.16414385478871751</v>
      </c>
      <c r="H32" s="7">
        <v>0.17379683669075485</v>
      </c>
      <c r="I32" s="7">
        <v>0.99999980889157691</v>
      </c>
      <c r="J32" s="4" t="s">
        <v>619</v>
      </c>
      <c r="K32" s="7">
        <v>0.14273378677279785</v>
      </c>
    </row>
    <row r="33" spans="1:11">
      <c r="A33" s="4" t="s">
        <v>133</v>
      </c>
      <c r="B33" s="5" t="b">
        <v>1</v>
      </c>
      <c r="C33" s="7">
        <v>45282.0118</v>
      </c>
      <c r="D33" s="7">
        <v>31971.160899999959</v>
      </c>
      <c r="E33" s="7">
        <v>0.70604550524850929</v>
      </c>
      <c r="F33" s="7">
        <v>2.1283758421705105E-2</v>
      </c>
      <c r="G33" s="7">
        <v>0.31357116646482558</v>
      </c>
      <c r="H33" s="7">
        <v>0.29395449475149071</v>
      </c>
      <c r="I33" s="7">
        <v>0.99999984320484536</v>
      </c>
      <c r="J33" s="4" t="s">
        <v>619</v>
      </c>
      <c r="K33" s="7">
        <v>0.27267057953463097</v>
      </c>
    </row>
    <row r="34" spans="1:11">
      <c r="A34" s="4" t="s">
        <v>135</v>
      </c>
      <c r="B34" s="5" t="b">
        <v>1</v>
      </c>
      <c r="C34" s="7">
        <v>167999.8033</v>
      </c>
      <c r="D34" s="7">
        <v>124228.79980000018</v>
      </c>
      <c r="E34" s="7">
        <v>0.73945800744875145</v>
      </c>
      <c r="F34" s="7">
        <v>6.7593736283856704E-2</v>
      </c>
      <c r="G34" s="7">
        <v>0.22189047280271426</v>
      </c>
      <c r="H34" s="7">
        <v>0.26054199255124855</v>
      </c>
      <c r="I34" s="7">
        <v>0.99999998095235965</v>
      </c>
      <c r="J34" s="4" t="s">
        <v>619</v>
      </c>
      <c r="K34" s="7">
        <v>0.19294823721975154</v>
      </c>
    </row>
    <row r="35" spans="1:11">
      <c r="A35" s="4" t="s">
        <v>137</v>
      </c>
      <c r="B35" s="5" t="b">
        <v>1</v>
      </c>
      <c r="C35" s="7">
        <v>850.48649999999998</v>
      </c>
      <c r="D35" s="7">
        <v>433.97059999999641</v>
      </c>
      <c r="E35" s="7">
        <v>0.51026159733281651</v>
      </c>
      <c r="F35" s="7">
        <v>5.2859392829868554E-2</v>
      </c>
      <c r="G35" s="7">
        <v>0.50239666355668189</v>
      </c>
      <c r="H35" s="7">
        <v>0.48973840266718349</v>
      </c>
      <c r="I35" s="7">
        <v>0.99998765412501722</v>
      </c>
      <c r="J35" s="4" t="s">
        <v>619</v>
      </c>
      <c r="K35" s="7">
        <v>0.43686666396233215</v>
      </c>
    </row>
    <row r="36" spans="1:11">
      <c r="A36" s="4" t="s">
        <v>139</v>
      </c>
      <c r="B36" s="5" t="b">
        <v>1</v>
      </c>
      <c r="C36" s="7">
        <v>10.665800000000001</v>
      </c>
      <c r="D36" s="7">
        <v>6.2807000000000004</v>
      </c>
      <c r="E36" s="7">
        <v>0.58886347015695029</v>
      </c>
      <c r="F36" s="7">
        <v>1.5282491702450824E-2</v>
      </c>
      <c r="G36" s="7">
        <v>0.45402454574434159</v>
      </c>
      <c r="H36" s="7">
        <v>0.41113652984304971</v>
      </c>
      <c r="I36" s="7">
        <v>0.99894991468056771</v>
      </c>
      <c r="J36" s="4" t="s">
        <v>619</v>
      </c>
      <c r="K36" s="7">
        <v>0.39480395282116665</v>
      </c>
    </row>
    <row r="37" spans="1:11">
      <c r="A37" s="4" t="s">
        <v>141</v>
      </c>
      <c r="B37" s="5" t="b">
        <v>1</v>
      </c>
      <c r="C37" s="7">
        <v>1544.829</v>
      </c>
      <c r="D37" s="7">
        <v>1074.9348999999982</v>
      </c>
      <c r="E37" s="7">
        <v>0.69582775828263077</v>
      </c>
      <c r="F37" s="7">
        <v>2.6209826459757037E-2</v>
      </c>
      <c r="G37" s="7">
        <v>0.31965156661352162</v>
      </c>
      <c r="H37" s="7">
        <v>0.30417224171736923</v>
      </c>
      <c r="I37" s="7">
        <v>0.99999546875414569</v>
      </c>
      <c r="J37" s="4" t="s">
        <v>619</v>
      </c>
      <c r="K37" s="7">
        <v>0.27795788401175797</v>
      </c>
    </row>
    <row r="38" spans="1:11">
      <c r="A38" s="4" t="s">
        <v>143</v>
      </c>
      <c r="B38" s="5" t="b">
        <v>1</v>
      </c>
      <c r="C38" s="7">
        <v>76424.170100000003</v>
      </c>
      <c r="D38" s="7">
        <v>58317.338699999949</v>
      </c>
      <c r="E38" s="7">
        <v>0.76307454335051972</v>
      </c>
      <c r="F38" s="7">
        <v>2.4631019185905427E-2</v>
      </c>
      <c r="G38" s="7">
        <v>0.24413853235941124</v>
      </c>
      <c r="H38" s="7">
        <v>0.23692545664948028</v>
      </c>
      <c r="I38" s="7">
        <v>0.99999993850113056</v>
      </c>
      <c r="J38" s="4" t="s">
        <v>619</v>
      </c>
      <c r="K38" s="7">
        <v>0.21229437596470543</v>
      </c>
    </row>
    <row r="39" spans="1:11">
      <c r="A39" s="4" t="s">
        <v>145</v>
      </c>
      <c r="B39" s="5" t="b">
        <v>1</v>
      </c>
      <c r="C39" s="7">
        <v>203.3725</v>
      </c>
      <c r="D39" s="7">
        <v>126.4752000000008</v>
      </c>
      <c r="E39" s="7">
        <v>0.62188939015845701</v>
      </c>
      <c r="F39" s="7">
        <v>2.5197605379291693E-2</v>
      </c>
      <c r="G39" s="7">
        <v>0.40579397411154405</v>
      </c>
      <c r="H39" s="7">
        <v>0.37811060984154299</v>
      </c>
      <c r="I39" s="7">
        <v>0.9999513208521349</v>
      </c>
      <c r="J39" s="4" t="s">
        <v>619</v>
      </c>
      <c r="K39" s="7">
        <v>0.35286432531438616</v>
      </c>
    </row>
    <row r="40" spans="1:11">
      <c r="A40" s="4" t="s">
        <v>147</v>
      </c>
      <c r="B40" s="5" t="b">
        <v>1</v>
      </c>
      <c r="C40" s="7">
        <v>377049.52710000001</v>
      </c>
      <c r="D40" s="7">
        <v>277028.79120000161</v>
      </c>
      <c r="E40" s="7">
        <v>0.73472785745340241</v>
      </c>
      <c r="F40" s="7">
        <v>2.3542786721612096E-2</v>
      </c>
      <c r="G40" s="7">
        <v>0.27798876346873425</v>
      </c>
      <c r="H40" s="7">
        <v>0.26527214254659759</v>
      </c>
      <c r="I40" s="7">
        <v>1.0000000037130443</v>
      </c>
      <c r="J40" s="4" t="s">
        <v>619</v>
      </c>
      <c r="K40" s="7">
        <v>0.24172935953802979</v>
      </c>
    </row>
    <row r="41" spans="1:11">
      <c r="A41" s="4" t="s">
        <v>149</v>
      </c>
      <c r="B41" s="5" t="b">
        <v>1</v>
      </c>
      <c r="C41" s="7">
        <v>2231.8829000000001</v>
      </c>
      <c r="D41" s="7">
        <v>1096.2714999999898</v>
      </c>
      <c r="E41" s="7">
        <v>0.49118683601186686</v>
      </c>
      <c r="F41" s="7">
        <v>1.1125090836978947E-2</v>
      </c>
      <c r="G41" s="7">
        <v>0.57233638915374985</v>
      </c>
      <c r="H41" s="7">
        <v>0.50881316398813314</v>
      </c>
      <c r="I41" s="7">
        <v>0.99999574350428055</v>
      </c>
      <c r="J41" s="4" t="s">
        <v>619</v>
      </c>
      <c r="K41" s="7">
        <v>0.49768381665543471</v>
      </c>
    </row>
    <row r="42" spans="1:11">
      <c r="A42" s="4" t="s">
        <v>151</v>
      </c>
      <c r="B42" s="5" t="b">
        <v>1</v>
      </c>
      <c r="C42" s="7">
        <v>106.78189999999999</v>
      </c>
      <c r="D42" s="7">
        <v>71.743100000000439</v>
      </c>
      <c r="E42" s="7">
        <v>0.67186573754541212</v>
      </c>
      <c r="F42" s="7">
        <v>6.8569673324786317E-3</v>
      </c>
      <c r="G42" s="7">
        <v>0.36937627069756207</v>
      </c>
      <c r="H42" s="7">
        <v>0.32813426245458788</v>
      </c>
      <c r="I42" s="7">
        <v>0.99991946200620563</v>
      </c>
      <c r="J42" s="4" t="s">
        <v>619</v>
      </c>
      <c r="K42" s="7">
        <v>0.32119675712831486</v>
      </c>
    </row>
    <row r="43" spans="1:11">
      <c r="A43" s="4" t="s">
        <v>153</v>
      </c>
      <c r="B43" s="5" t="b">
        <v>1</v>
      </c>
      <c r="C43" s="7">
        <v>216241.5337</v>
      </c>
      <c r="D43" s="7">
        <v>172320.11560000139</v>
      </c>
      <c r="E43" s="7">
        <v>0.79688722444536286</v>
      </c>
      <c r="F43" s="7">
        <v>2.0802068515850525E-2</v>
      </c>
      <c r="G43" s="7">
        <v>0.20965728544035017</v>
      </c>
      <c r="H43" s="7">
        <v>0.20311277555463714</v>
      </c>
      <c r="I43" s="7">
        <v>0.9999999759528222</v>
      </c>
      <c r="J43" s="4" t="s">
        <v>619</v>
      </c>
      <c r="K43" s="7">
        <v>0.18231068299160885</v>
      </c>
    </row>
    <row r="44" spans="1:11">
      <c r="A44" s="4" t="s">
        <v>155</v>
      </c>
      <c r="B44" s="5" t="b">
        <v>1</v>
      </c>
      <c r="C44" s="7">
        <v>3.0213000000000001</v>
      </c>
      <c r="D44" s="7">
        <v>2.1422000000000021</v>
      </c>
      <c r="E44" s="7">
        <v>0.70903253566345681</v>
      </c>
      <c r="F44" s="7">
        <v>2.6246979776917218E-2</v>
      </c>
      <c r="G44" s="7">
        <v>0.30206864594710886</v>
      </c>
      <c r="H44" s="7">
        <v>0.29096746433654319</v>
      </c>
      <c r="I44" s="7">
        <v>0.99794790322046878</v>
      </c>
      <c r="J44" s="4" t="s">
        <v>619</v>
      </c>
      <c r="K44" s="7">
        <v>0.26266838778009466</v>
      </c>
    </row>
    <row r="45" spans="1:11">
      <c r="A45" s="4" t="s">
        <v>157</v>
      </c>
      <c r="B45" s="5" t="b">
        <v>1</v>
      </c>
      <c r="C45" s="7">
        <v>713.15030000000002</v>
      </c>
      <c r="D45" s="7">
        <v>461.88879999999745</v>
      </c>
      <c r="E45" s="7">
        <v>0.64767384939752171</v>
      </c>
      <c r="F45" s="7">
        <v>2.7850089945976323E-2</v>
      </c>
      <c r="G45" s="7">
        <v>0.3731379556315127</v>
      </c>
      <c r="H45" s="7">
        <v>0.35232615060247829</v>
      </c>
      <c r="I45" s="7">
        <v>0.99999172684916138</v>
      </c>
      <c r="J45" s="4" t="s">
        <v>619</v>
      </c>
      <c r="K45" s="7">
        <v>0.32446778750566324</v>
      </c>
    </row>
    <row r="46" spans="1:11">
      <c r="A46" s="4" t="s">
        <v>159</v>
      </c>
      <c r="B46" s="5" t="b">
        <v>1</v>
      </c>
      <c r="C46" s="7">
        <v>286.79500000000002</v>
      </c>
      <c r="D46" s="7">
        <v>229.63130000000166</v>
      </c>
      <c r="E46" s="7">
        <v>0.80068097421503737</v>
      </c>
      <c r="F46" s="7">
        <v>4.0033822068027684E-2</v>
      </c>
      <c r="G46" s="7">
        <v>0.183135881030004</v>
      </c>
      <c r="H46" s="7">
        <v>0.19931902578496263</v>
      </c>
      <c r="I46" s="7">
        <v>0.99996338848306854</v>
      </c>
      <c r="J46" s="4" t="s">
        <v>619</v>
      </c>
      <c r="K46" s="7">
        <v>0.15924859220000348</v>
      </c>
    </row>
    <row r="47" spans="1:11">
      <c r="A47" s="4" t="s">
        <v>161</v>
      </c>
      <c r="B47" s="5" t="b">
        <v>1</v>
      </c>
      <c r="C47" s="7">
        <v>358.28320000000002</v>
      </c>
      <c r="D47" s="7">
        <v>245.06550000000146</v>
      </c>
      <c r="E47" s="7">
        <v>0.68399941722079471</v>
      </c>
      <c r="F47" s="7">
        <v>3.6631636649443786E-2</v>
      </c>
      <c r="G47" s="7">
        <v>0.32125438759059866</v>
      </c>
      <c r="H47" s="7">
        <v>0.31600058277920529</v>
      </c>
      <c r="I47" s="7">
        <v>0.9999826952533678</v>
      </c>
      <c r="J47" s="4" t="s">
        <v>619</v>
      </c>
      <c r="K47" s="7">
        <v>0.27935164138312929</v>
      </c>
    </row>
    <row r="48" spans="1:11">
      <c r="A48" s="4" t="s">
        <v>163</v>
      </c>
      <c r="B48" s="5" t="b">
        <v>1</v>
      </c>
      <c r="C48" s="7">
        <v>10579.0213</v>
      </c>
      <c r="D48" s="7">
        <v>8644.9834000000155</v>
      </c>
      <c r="E48" s="7">
        <v>0.81718177465055442</v>
      </c>
      <c r="F48" s="7">
        <v>1.9200537955245442E-2</v>
      </c>
      <c r="G48" s="7">
        <v>0.18815976436307955</v>
      </c>
      <c r="H48" s="7">
        <v>0.18281822534944558</v>
      </c>
      <c r="I48" s="7">
        <v>0.99999949900847773</v>
      </c>
      <c r="J48" s="4" t="s">
        <v>619</v>
      </c>
      <c r="K48" s="7">
        <v>0.16361718640267789</v>
      </c>
    </row>
    <row r="49" spans="1:11">
      <c r="A49" s="4" t="s">
        <v>165</v>
      </c>
      <c r="B49" s="5" t="b">
        <v>1</v>
      </c>
      <c r="C49" s="7">
        <v>207439.30869999999</v>
      </c>
      <c r="D49" s="7">
        <v>142339.07150000005</v>
      </c>
      <c r="E49" s="7">
        <v>0.68617212616077361</v>
      </c>
      <c r="F49" s="7">
        <v>2.554689915431636E-2</v>
      </c>
      <c r="G49" s="7">
        <v>0.3315231014843813</v>
      </c>
      <c r="H49" s="7">
        <v>0.31382787383922639</v>
      </c>
      <c r="I49" s="7">
        <v>0.99999998312759553</v>
      </c>
      <c r="J49" s="4" t="s">
        <v>619</v>
      </c>
      <c r="K49" s="7">
        <v>0.28828095781250551</v>
      </c>
    </row>
    <row r="50" spans="1:11">
      <c r="A50" s="4" t="s">
        <v>167</v>
      </c>
      <c r="B50" s="5" t="b">
        <v>1</v>
      </c>
      <c r="C50" s="7">
        <v>194.00299999999999</v>
      </c>
      <c r="D50" s="7">
        <v>117.02800000000072</v>
      </c>
      <c r="E50" s="7">
        <v>0.60322778513734698</v>
      </c>
      <c r="F50" s="7">
        <v>1.6235831404669002E-2</v>
      </c>
      <c r="G50" s="7">
        <v>0.43756112018886306</v>
      </c>
      <c r="H50" s="7">
        <v>0.39677221486265302</v>
      </c>
      <c r="I50" s="7">
        <v>0.99995154714102741</v>
      </c>
      <c r="J50" s="4" t="s">
        <v>619</v>
      </c>
      <c r="K50" s="7">
        <v>0.38048793059901137</v>
      </c>
    </row>
    <row r="51" spans="1:11">
      <c r="A51" s="4" t="s">
        <v>169</v>
      </c>
      <c r="B51" s="5" t="b">
        <v>1</v>
      </c>
      <c r="C51" s="7">
        <v>1365.3452</v>
      </c>
      <c r="D51" s="7">
        <v>918.89999999999623</v>
      </c>
      <c r="E51" s="7">
        <v>0.67301661147671388</v>
      </c>
      <c r="F51" s="7">
        <v>2.3083100156649029E-2</v>
      </c>
      <c r="G51" s="7">
        <v>0.34947682461548918</v>
      </c>
      <c r="H51" s="7">
        <v>0.32698338852328612</v>
      </c>
      <c r="I51" s="7">
        <v>0.99999260260335354</v>
      </c>
      <c r="J51" s="4" t="s">
        <v>619</v>
      </c>
      <c r="K51" s="7">
        <v>0.30389289096999061</v>
      </c>
    </row>
    <row r="52" spans="1:11">
      <c r="A52" s="4" t="s">
        <v>171</v>
      </c>
      <c r="B52" s="5" t="b">
        <v>1</v>
      </c>
      <c r="C52" s="7">
        <v>15878.7345</v>
      </c>
      <c r="D52" s="7">
        <v>9871.3699999999371</v>
      </c>
      <c r="E52" s="7">
        <v>0.62167233793095644</v>
      </c>
      <c r="F52" s="7">
        <v>1.3605706424526463E-2</v>
      </c>
      <c r="G52" s="7">
        <v>0.41942993032599668</v>
      </c>
      <c r="H52" s="7">
        <v>0.37832766206904356</v>
      </c>
      <c r="I52" s="7">
        <v>0.99999972289982786</v>
      </c>
      <c r="J52" s="4" t="s">
        <v>619</v>
      </c>
      <c r="K52" s="7">
        <v>0.36472167854434495</v>
      </c>
    </row>
    <row r="53" spans="1:11">
      <c r="A53" s="4" t="s">
        <v>173</v>
      </c>
      <c r="B53" s="5" t="b">
        <v>1</v>
      </c>
      <c r="C53" s="7">
        <v>8888.5630000000001</v>
      </c>
      <c r="D53" s="7">
        <v>6408.2221000000136</v>
      </c>
      <c r="E53" s="7">
        <v>0.72095141813136876</v>
      </c>
      <c r="F53" s="7">
        <v>1.6688659347973346E-2</v>
      </c>
      <c r="G53" s="7">
        <v>0.3017133804418104</v>
      </c>
      <c r="H53" s="7">
        <v>0.27904858186863124</v>
      </c>
      <c r="I53" s="7">
        <v>0.99999953873309033</v>
      </c>
      <c r="J53" s="4" t="s">
        <v>619</v>
      </c>
      <c r="K53" s="7">
        <v>0.26235946125374821</v>
      </c>
    </row>
    <row r="54" spans="1:11">
      <c r="A54" s="4" t="s">
        <v>175</v>
      </c>
      <c r="B54" s="5" t="b">
        <v>1</v>
      </c>
      <c r="C54" s="7">
        <v>15807.8099</v>
      </c>
      <c r="D54" s="7">
        <v>11411.127999999981</v>
      </c>
      <c r="E54" s="7">
        <v>0.72186647436846896</v>
      </c>
      <c r="F54" s="7">
        <v>8.0182163627865996E-2</v>
      </c>
      <c r="G54" s="7">
        <v>0.22764362981110997</v>
      </c>
      <c r="H54" s="7">
        <v>0.27813352563153104</v>
      </c>
      <c r="I54" s="7">
        <v>0.99999962044077839</v>
      </c>
      <c r="J54" s="4" t="s">
        <v>619</v>
      </c>
      <c r="K54" s="7">
        <v>0.19795098244444348</v>
      </c>
    </row>
    <row r="55" spans="1:11">
      <c r="A55" s="4" t="s">
        <v>177</v>
      </c>
      <c r="B55" s="5" t="b">
        <v>1</v>
      </c>
      <c r="C55" s="7">
        <v>1185.7136</v>
      </c>
      <c r="D55" s="7">
        <v>773.2866999999942</v>
      </c>
      <c r="E55" s="7">
        <v>0.65216988318257818</v>
      </c>
      <c r="F55" s="7">
        <v>6.6450616742525337E-2</v>
      </c>
      <c r="G55" s="7">
        <v>0.32357944194955679</v>
      </c>
      <c r="H55" s="7">
        <v>0.34783011681742182</v>
      </c>
      <c r="I55" s="7">
        <v>0.99999392770732687</v>
      </c>
      <c r="J55" s="4" t="s">
        <v>619</v>
      </c>
      <c r="K55" s="7">
        <v>0.2813734277822233</v>
      </c>
    </row>
    <row r="56" spans="1:11">
      <c r="A56" s="4" t="s">
        <v>179</v>
      </c>
      <c r="B56" s="5" t="b">
        <v>1</v>
      </c>
      <c r="C56" s="7">
        <v>1078.5429999999999</v>
      </c>
      <c r="D56" s="7">
        <v>736.87079999999787</v>
      </c>
      <c r="E56" s="7">
        <v>0.68320947797166909</v>
      </c>
      <c r="F56" s="7">
        <v>2.4559892373322161E-2</v>
      </c>
      <c r="G56" s="7">
        <v>0.33605488144654416</v>
      </c>
      <c r="H56" s="7">
        <v>0.31679052202833091</v>
      </c>
      <c r="I56" s="7">
        <v>0.99999100638546445</v>
      </c>
      <c r="J56" s="4" t="s">
        <v>619</v>
      </c>
      <c r="K56" s="7">
        <v>0.29222163604047319</v>
      </c>
    </row>
    <row r="57" spans="1:11">
      <c r="A57" s="4" t="s">
        <v>181</v>
      </c>
      <c r="B57" s="5" t="b">
        <v>1</v>
      </c>
      <c r="C57" s="7">
        <v>5530.0393000000004</v>
      </c>
      <c r="D57" s="7">
        <v>3219.1016000000095</v>
      </c>
      <c r="E57" s="7">
        <v>0.58211188481065756</v>
      </c>
      <c r="F57" s="7">
        <v>1.8315493707250868E-2</v>
      </c>
      <c r="G57" s="7">
        <v>0.45950745413328248</v>
      </c>
      <c r="H57" s="7">
        <v>0.41788811518934244</v>
      </c>
      <c r="I57" s="7">
        <v>0.99999907776424102</v>
      </c>
      <c r="J57" s="4" t="s">
        <v>619</v>
      </c>
      <c r="K57" s="7">
        <v>0.39957169924633262</v>
      </c>
    </row>
    <row r="58" spans="1:11">
      <c r="A58" s="4" t="s">
        <v>183</v>
      </c>
      <c r="B58" s="5" t="b">
        <v>1</v>
      </c>
      <c r="C58" s="7">
        <v>1831.3571999999999</v>
      </c>
      <c r="D58" s="7">
        <v>762.60229999999774</v>
      </c>
      <c r="E58" s="7">
        <v>0.41641373949331006</v>
      </c>
      <c r="F58" s="7">
        <v>1.4611731670915975E-2</v>
      </c>
      <c r="G58" s="7">
        <v>0.65431656369385494</v>
      </c>
      <c r="H58" s="7">
        <v>0.58358626050668994</v>
      </c>
      <c r="I58" s="7">
        <v>0.99999639611540436</v>
      </c>
      <c r="J58" s="4" t="s">
        <v>619</v>
      </c>
      <c r="K58" s="7">
        <v>0.56897092495117829</v>
      </c>
    </row>
    <row r="59" spans="1:11">
      <c r="A59" s="4" t="s">
        <v>185</v>
      </c>
      <c r="B59" s="5" t="b">
        <v>1</v>
      </c>
      <c r="C59" s="7">
        <v>2758.518</v>
      </c>
      <c r="D59" s="7">
        <v>2056.1206999999954</v>
      </c>
      <c r="E59" s="7">
        <v>0.74537150020409337</v>
      </c>
      <c r="F59" s="7">
        <v>2.2229762502909169E-2</v>
      </c>
      <c r="G59" s="7">
        <v>0.26725604654383256</v>
      </c>
      <c r="H59" s="7">
        <v>0.25462849979590663</v>
      </c>
      <c r="I59" s="7">
        <v>0.99999782491903089</v>
      </c>
      <c r="J59" s="4" t="s">
        <v>619</v>
      </c>
      <c r="K59" s="7">
        <v>0.23239656221202834</v>
      </c>
    </row>
    <row r="60" spans="1:11">
      <c r="A60" s="4" t="s">
        <v>187</v>
      </c>
      <c r="B60" s="5" t="b">
        <v>1</v>
      </c>
      <c r="C60" s="7">
        <v>46458.806700000001</v>
      </c>
      <c r="D60" s="7">
        <v>36627.96629999976</v>
      </c>
      <c r="E60" s="7">
        <v>0.78839662276559852</v>
      </c>
      <c r="F60" s="7">
        <v>2.5698451699578413E-2</v>
      </c>
      <c r="G60" s="7">
        <v>0.21379057030321871</v>
      </c>
      <c r="H60" s="7">
        <v>0.21160337723440148</v>
      </c>
      <c r="I60" s="7">
        <v>0.99999991820710621</v>
      </c>
      <c r="J60" s="4" t="s">
        <v>619</v>
      </c>
      <c r="K60" s="7">
        <v>0.18590484374192934</v>
      </c>
    </row>
    <row r="61" spans="1:11">
      <c r="A61" s="4" t="s">
        <v>189</v>
      </c>
      <c r="B61" s="5" t="b">
        <v>1</v>
      </c>
      <c r="C61" s="7">
        <v>13211.645699999999</v>
      </c>
      <c r="D61" s="7">
        <v>10784.483300000029</v>
      </c>
      <c r="E61" s="7">
        <v>0.81628614215714468</v>
      </c>
      <c r="F61" s="7">
        <v>3.2787997032042722E-2</v>
      </c>
      <c r="G61" s="7">
        <v>0.17356410450819157</v>
      </c>
      <c r="H61" s="7">
        <v>0.18371385784285532</v>
      </c>
      <c r="I61" s="7">
        <v>0.99999944745718006</v>
      </c>
      <c r="J61" s="4" t="s">
        <v>619</v>
      </c>
      <c r="K61" s="7">
        <v>0.15092530826799269</v>
      </c>
    </row>
    <row r="62" spans="1:11">
      <c r="A62" s="4" t="s">
        <v>191</v>
      </c>
      <c r="B62" s="5" t="b">
        <v>1</v>
      </c>
      <c r="C62" s="7">
        <v>23991.0517</v>
      </c>
      <c r="D62" s="7">
        <v>18782.063400000035</v>
      </c>
      <c r="E62" s="7">
        <v>0.78287786775100132</v>
      </c>
      <c r="F62" s="7">
        <v>1.8487372106325794E-2</v>
      </c>
      <c r="G62" s="7">
        <v>0.2284297296979273</v>
      </c>
      <c r="H62" s="7">
        <v>0.21712213224899868</v>
      </c>
      <c r="I62" s="7">
        <v>0.99999978742074214</v>
      </c>
      <c r="J62" s="4" t="s">
        <v>619</v>
      </c>
      <c r="K62" s="7">
        <v>0.19863454756341506</v>
      </c>
    </row>
    <row r="63" spans="1:11">
      <c r="A63" s="4" t="s">
        <v>193</v>
      </c>
      <c r="B63" s="5" t="b">
        <v>1</v>
      </c>
      <c r="C63" s="7">
        <v>54740.681400000001</v>
      </c>
      <c r="D63" s="7">
        <v>43531.692800000113</v>
      </c>
      <c r="E63" s="7">
        <v>0.79523476300753748</v>
      </c>
      <c r="F63" s="7">
        <v>5.3167228203337635E-2</v>
      </c>
      <c r="G63" s="7">
        <v>0.1743376239741144</v>
      </c>
      <c r="H63" s="7">
        <v>0.20476523699246252</v>
      </c>
      <c r="I63" s="7">
        <v>0.99999992510140934</v>
      </c>
      <c r="J63" s="4" t="s">
        <v>619</v>
      </c>
      <c r="K63" s="7">
        <v>0.15159793389053428</v>
      </c>
    </row>
    <row r="64" spans="1:11">
      <c r="A64" s="4" t="s">
        <v>195</v>
      </c>
      <c r="B64" s="5" t="b">
        <v>1</v>
      </c>
      <c r="C64" s="7">
        <v>2071.8162000000002</v>
      </c>
      <c r="D64" s="7">
        <v>976.5154</v>
      </c>
      <c r="E64" s="7">
        <v>0.47133302654936277</v>
      </c>
      <c r="F64" s="7">
        <v>1.3892593368079659E-2</v>
      </c>
      <c r="G64" s="7">
        <v>0.59198726219053588</v>
      </c>
      <c r="H64" s="7">
        <v>0.52866697345063729</v>
      </c>
      <c r="I64" s="7">
        <v>0.99999715225703889</v>
      </c>
      <c r="J64" s="4" t="s">
        <v>619</v>
      </c>
      <c r="K64" s="7">
        <v>0.51477153233959649</v>
      </c>
    </row>
    <row r="65" spans="1:11">
      <c r="A65" s="4" t="s">
        <v>197</v>
      </c>
      <c r="B65" s="5" t="b">
        <v>1</v>
      </c>
      <c r="C65" s="7">
        <v>3.8416000000000001</v>
      </c>
      <c r="D65" s="7">
        <v>1.6048999999999962</v>
      </c>
      <c r="E65" s="7">
        <v>0.41776863806747089</v>
      </c>
      <c r="F65" s="7">
        <v>1.1219283631820074E-2</v>
      </c>
      <c r="G65" s="7">
        <v>0.65414931278633892</v>
      </c>
      <c r="H65" s="7">
        <v>0.58223136193252911</v>
      </c>
      <c r="I65" s="7">
        <v>0.99781341107871624</v>
      </c>
      <c r="J65" s="4" t="s">
        <v>619</v>
      </c>
      <c r="K65" s="7">
        <v>0.56882548937942523</v>
      </c>
    </row>
    <row r="66" spans="1:11">
      <c r="A66" s="4" t="s">
        <v>199</v>
      </c>
      <c r="B66" s="5" t="b">
        <v>1</v>
      </c>
      <c r="C66" s="7">
        <v>1064.3344</v>
      </c>
      <c r="D66" s="7">
        <v>751.36159999999893</v>
      </c>
      <c r="E66" s="7">
        <v>0.70594504884930809</v>
      </c>
      <c r="F66" s="7">
        <v>1.4446681418922474E-2</v>
      </c>
      <c r="G66" s="7">
        <v>0.32154000190165799</v>
      </c>
      <c r="H66" s="7">
        <v>0.29405495115069191</v>
      </c>
      <c r="I66" s="7">
        <v>0.99999173192184621</v>
      </c>
      <c r="J66" s="4" t="s">
        <v>619</v>
      </c>
      <c r="K66" s="7">
        <v>0.27960000165361565</v>
      </c>
    </row>
    <row r="67" spans="1:11">
      <c r="A67" s="4" t="s">
        <v>201</v>
      </c>
      <c r="B67" s="5" t="b">
        <v>1</v>
      </c>
      <c r="C67" s="7">
        <v>35796.703600000001</v>
      </c>
      <c r="D67" s="7">
        <v>31153.656500000012</v>
      </c>
      <c r="E67" s="7">
        <v>0.87029400383112399</v>
      </c>
      <c r="F67" s="7">
        <v>2.5149952634186127E-2</v>
      </c>
      <c r="G67" s="7">
        <v>0.12023935368730432</v>
      </c>
      <c r="H67" s="7">
        <v>0.12970599616887601</v>
      </c>
      <c r="I67" s="7">
        <v>0.9999999161934009</v>
      </c>
      <c r="J67" s="4" t="s">
        <v>619</v>
      </c>
      <c r="K67" s="7">
        <v>0.10455595972809072</v>
      </c>
    </row>
    <row r="68" spans="1:11">
      <c r="A68" s="4" t="s">
        <v>203</v>
      </c>
      <c r="B68" s="5" t="b">
        <v>1</v>
      </c>
      <c r="C68" s="7">
        <v>3660.7725</v>
      </c>
      <c r="D68" s="7">
        <v>2826.1930000000002</v>
      </c>
      <c r="E68" s="7">
        <v>0.77202093274028916</v>
      </c>
      <c r="F68" s="7">
        <v>2.6042918537002777E-2</v>
      </c>
      <c r="G68" s="7">
        <v>0.23222566002121134</v>
      </c>
      <c r="H68" s="7">
        <v>0.22797906725971084</v>
      </c>
      <c r="I68" s="7">
        <v>0.99999920781747575</v>
      </c>
      <c r="J68" s="4" t="s">
        <v>619</v>
      </c>
      <c r="K68" s="7">
        <v>0.2019353565401838</v>
      </c>
    </row>
    <row r="69" spans="1:11">
      <c r="A69" s="4" t="s">
        <v>205</v>
      </c>
      <c r="B69" s="5" t="b">
        <v>1</v>
      </c>
      <c r="C69" s="7">
        <v>40863.885999999999</v>
      </c>
      <c r="D69" s="7">
        <v>27907.872299999981</v>
      </c>
      <c r="E69" s="7">
        <v>0.68294709661239716</v>
      </c>
      <c r="F69" s="7">
        <v>3.5899610722289116E-2</v>
      </c>
      <c r="G69" s="7">
        <v>0.32332610926919675</v>
      </c>
      <c r="H69" s="7">
        <v>0.31705290338760284</v>
      </c>
      <c r="I69" s="7">
        <v>0.99999984582963997</v>
      </c>
      <c r="J69" s="4" t="s">
        <v>619</v>
      </c>
      <c r="K69" s="7">
        <v>0.28115313849495371</v>
      </c>
    </row>
    <row r="70" spans="1:11">
      <c r="A70" s="4" t="s">
        <v>207</v>
      </c>
      <c r="B70" s="5" t="b">
        <v>1</v>
      </c>
      <c r="C70" s="7">
        <v>43031.218399999998</v>
      </c>
      <c r="D70" s="7">
        <v>32974.702099999929</v>
      </c>
      <c r="E70" s="7">
        <v>0.766297198314978</v>
      </c>
      <c r="F70" s="7">
        <v>3.1772858190787366E-2</v>
      </c>
      <c r="G70" s="7">
        <v>0.23221927734214468</v>
      </c>
      <c r="H70" s="7">
        <v>0.233702801685022</v>
      </c>
      <c r="I70" s="7">
        <v>0.99999986289023901</v>
      </c>
      <c r="J70" s="4" t="s">
        <v>619</v>
      </c>
      <c r="K70" s="7">
        <v>0.20192980638447364</v>
      </c>
    </row>
    <row r="71" spans="1:11">
      <c r="A71" s="4" t="s">
        <v>209</v>
      </c>
      <c r="B71" s="5" t="b">
        <v>1</v>
      </c>
      <c r="C71" s="7">
        <v>1021.593</v>
      </c>
      <c r="D71" s="7">
        <v>613.84739999999795</v>
      </c>
      <c r="E71" s="7">
        <v>0.60087275460971046</v>
      </c>
      <c r="F71" s="7">
        <v>5.3407766106463146E-2</v>
      </c>
      <c r="G71" s="7">
        <v>0.39756636938585127</v>
      </c>
      <c r="H71" s="7">
        <v>0.39912724539028954</v>
      </c>
      <c r="I71" s="7">
        <v>0.99999040713865295</v>
      </c>
      <c r="J71" s="4" t="s">
        <v>619</v>
      </c>
      <c r="K71" s="7">
        <v>0.34570988642247941</v>
      </c>
    </row>
    <row r="72" spans="1:11">
      <c r="A72" s="4" t="s">
        <v>211</v>
      </c>
      <c r="B72" s="5" t="b">
        <v>1</v>
      </c>
      <c r="C72" s="7">
        <v>34273.268300000003</v>
      </c>
      <c r="D72" s="7">
        <v>25473.913800000038</v>
      </c>
      <c r="E72" s="7">
        <v>0.743258961387118</v>
      </c>
      <c r="F72" s="7">
        <v>3.0755018481852806E-2</v>
      </c>
      <c r="G72" s="7">
        <v>0.25988383591068259</v>
      </c>
      <c r="H72" s="7">
        <v>0.256741038612882</v>
      </c>
      <c r="I72" s="7">
        <v>0.99999992413912953</v>
      </c>
      <c r="J72" s="4" t="s">
        <v>619</v>
      </c>
      <c r="K72" s="7">
        <v>0.22598594427015878</v>
      </c>
    </row>
    <row r="73" spans="1:11">
      <c r="A73" s="4" t="s">
        <v>213</v>
      </c>
      <c r="B73" s="5" t="b">
        <v>1</v>
      </c>
      <c r="C73" s="7">
        <v>17386.644</v>
      </c>
      <c r="D73" s="7">
        <v>12251.640300000021</v>
      </c>
      <c r="E73" s="7">
        <v>0.70465814449298103</v>
      </c>
      <c r="F73" s="7">
        <v>6.8810289093168301E-3</v>
      </c>
      <c r="G73" s="7">
        <v>0.33172961325946509</v>
      </c>
      <c r="H73" s="7">
        <v>0.29534185550701897</v>
      </c>
      <c r="I73" s="7">
        <v>0.99999970667139793</v>
      </c>
      <c r="J73" s="4" t="s">
        <v>619</v>
      </c>
      <c r="K73" s="7">
        <v>0.28846053326910009</v>
      </c>
    </row>
    <row r="74" spans="1:11">
      <c r="A74" s="4" t="s">
        <v>215</v>
      </c>
      <c r="B74" s="5" t="b">
        <v>1</v>
      </c>
      <c r="C74" s="7">
        <v>1004.4237000000001</v>
      </c>
      <c r="D74" s="7">
        <v>790.69700000000103</v>
      </c>
      <c r="E74" s="7">
        <v>0.7872145987793806</v>
      </c>
      <c r="F74" s="7">
        <v>4.2782045067236062E-2</v>
      </c>
      <c r="G74" s="7">
        <v>0.19549355516003852</v>
      </c>
      <c r="H74" s="7">
        <v>0.2127854012206194</v>
      </c>
      <c r="I74" s="7">
        <v>0.99999103963795455</v>
      </c>
      <c r="J74" s="4" t="s">
        <v>619</v>
      </c>
      <c r="K74" s="7">
        <v>0.16999439579133785</v>
      </c>
    </row>
    <row r="75" spans="1:11">
      <c r="A75" s="4" t="s">
        <v>217</v>
      </c>
      <c r="B75" s="5" t="b">
        <v>1</v>
      </c>
      <c r="C75" s="7">
        <v>733534.88489999995</v>
      </c>
      <c r="D75" s="7">
        <v>574229.58040000009</v>
      </c>
      <c r="E75" s="7">
        <v>0.7828251828517776</v>
      </c>
      <c r="F75" s="7">
        <v>1.4107963933318313E-2</v>
      </c>
      <c r="G75" s="7">
        <v>0.23352687884551349</v>
      </c>
      <c r="H75" s="7">
        <v>0.2171748171482224</v>
      </c>
      <c r="I75" s="7">
        <v>0.99999999795510774</v>
      </c>
      <c r="J75" s="4" t="s">
        <v>619</v>
      </c>
      <c r="K75" s="7">
        <v>0.20306685117001175</v>
      </c>
    </row>
    <row r="76" spans="1:11">
      <c r="A76" s="4" t="s">
        <v>219</v>
      </c>
      <c r="B76" s="5" t="b">
        <v>1</v>
      </c>
      <c r="C76" s="7">
        <v>8574.0831999999991</v>
      </c>
      <c r="D76" s="7">
        <v>6869.0454000000282</v>
      </c>
      <c r="E76" s="7">
        <v>0.80114051144267284</v>
      </c>
      <c r="F76" s="7">
        <v>2.7996252707228223E-2</v>
      </c>
      <c r="G76" s="7">
        <v>0.19649171528916354</v>
      </c>
      <c r="H76" s="7">
        <v>0.19885948855732716</v>
      </c>
      <c r="I76" s="7">
        <v>0.99999912527091284</v>
      </c>
      <c r="J76" s="4" t="s">
        <v>619</v>
      </c>
      <c r="K76" s="7">
        <v>0.17086236112101177</v>
      </c>
    </row>
    <row r="77" spans="1:11">
      <c r="A77" s="4" t="s">
        <v>221</v>
      </c>
      <c r="B77" s="5" t="b">
        <v>1</v>
      </c>
      <c r="C77" s="7">
        <v>18393.540499999999</v>
      </c>
      <c r="D77" s="7">
        <v>14164.788500000046</v>
      </c>
      <c r="E77" s="7">
        <v>0.77009581162474117</v>
      </c>
      <c r="F77" s="7">
        <v>5.9437132291088816E-2</v>
      </c>
      <c r="G77" s="7">
        <v>0.19603675186949462</v>
      </c>
      <c r="H77" s="7">
        <v>0.22990418837525883</v>
      </c>
      <c r="I77" s="7">
        <v>0.99999968467191225</v>
      </c>
      <c r="J77" s="4" t="s">
        <v>619</v>
      </c>
      <c r="K77" s="7">
        <v>0.17046674075608229</v>
      </c>
    </row>
    <row r="78" spans="1:11">
      <c r="A78" s="4" t="s">
        <v>223</v>
      </c>
      <c r="B78" s="5" t="b">
        <v>1</v>
      </c>
      <c r="C78" s="7">
        <v>85511.034499999994</v>
      </c>
      <c r="D78" s="7">
        <v>56691.415699999947</v>
      </c>
      <c r="E78" s="7">
        <v>0.66297193141780963</v>
      </c>
      <c r="F78" s="7">
        <v>3.1428801156650726E-2</v>
      </c>
      <c r="G78" s="7">
        <v>0.35143872853040975</v>
      </c>
      <c r="H78" s="7">
        <v>0.33702806858219037</v>
      </c>
      <c r="I78" s="7">
        <v>0.99999962694872968</v>
      </c>
      <c r="J78" s="4" t="s">
        <v>619</v>
      </c>
      <c r="K78" s="7">
        <v>0.30559889437426935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8"/>
  <sheetViews>
    <sheetView showGridLines="0" workbookViewId="0"/>
  </sheetViews>
  <sheetFormatPr defaultRowHeight="13.8"/>
  <cols>
    <col min="1" max="1" width="20" customWidth="1"/>
    <col min="2" max="2" width="10" customWidth="1"/>
    <col min="3" max="3" width="18" customWidth="1"/>
    <col min="4" max="4" width="21" customWidth="1"/>
    <col min="5" max="5" width="13" customWidth="1"/>
    <col min="6" max="6" width="22" customWidth="1"/>
    <col min="7" max="7" width="20" customWidth="1"/>
    <col min="8" max="13" width="11" customWidth="1"/>
    <col min="14" max="14" width="13" customWidth="1"/>
    <col min="15" max="16" width="18" customWidth="1"/>
    <col min="17" max="22" width="13" customWidth="1"/>
    <col min="23" max="24" width="15" customWidth="1"/>
    <col min="25" max="25" width="20" customWidth="1"/>
    <col min="26" max="26" width="19" customWidth="1"/>
    <col min="27" max="27" width="13" customWidth="1"/>
    <col min="28" max="28" width="52" customWidth="1"/>
  </cols>
  <sheetData>
    <row r="1" spans="1:28" ht="24">
      <c r="A1" s="24" t="s">
        <v>294</v>
      </c>
      <c r="B1" s="25" t="s">
        <v>62</v>
      </c>
      <c r="C1" s="25" t="s">
        <v>352</v>
      </c>
      <c r="D1" s="25" t="s">
        <v>353</v>
      </c>
      <c r="E1" s="25" t="s">
        <v>343</v>
      </c>
      <c r="F1" s="25" t="s">
        <v>354</v>
      </c>
      <c r="G1" s="25" t="s">
        <v>355</v>
      </c>
      <c r="H1" s="25" t="s">
        <v>297</v>
      </c>
      <c r="I1" s="25" t="s">
        <v>298</v>
      </c>
      <c r="J1" s="25" t="s">
        <v>299</v>
      </c>
      <c r="K1" s="25" t="s">
        <v>300</v>
      </c>
      <c r="L1" s="25" t="s">
        <v>301</v>
      </c>
      <c r="M1" s="25" t="s">
        <v>302</v>
      </c>
      <c r="N1" s="25" t="s">
        <v>303</v>
      </c>
      <c r="O1" s="25" t="s">
        <v>304</v>
      </c>
      <c r="P1" s="25" t="s">
        <v>356</v>
      </c>
      <c r="Q1" s="25" t="s">
        <v>357</v>
      </c>
      <c r="R1" s="25" t="s">
        <v>358</v>
      </c>
      <c r="S1" s="25" t="s">
        <v>359</v>
      </c>
      <c r="T1" s="25" t="s">
        <v>360</v>
      </c>
      <c r="U1" s="25" t="s">
        <v>361</v>
      </c>
      <c r="V1" s="25" t="s">
        <v>362</v>
      </c>
      <c r="W1" s="25" t="s">
        <v>363</v>
      </c>
      <c r="X1" s="25" t="s">
        <v>364</v>
      </c>
      <c r="Y1" s="25" t="s">
        <v>365</v>
      </c>
      <c r="Z1" s="25" t="s">
        <v>366</v>
      </c>
      <c r="AA1" s="25" t="s">
        <v>367</v>
      </c>
      <c r="AB1" s="26" t="s">
        <v>67</v>
      </c>
    </row>
    <row r="2" spans="1:28">
      <c r="A2" s="38" t="str">
        <f t="shared" ref="A2:A33" si="0">"BASE_FIGURE_ICIO"</f>
        <v>BASE_FIGURE_ICIO</v>
      </c>
      <c r="B2" s="38" t="str">
        <f>ICIO_intensity!A2</f>
        <v>ARG</v>
      </c>
      <c r="C2" s="38" t="str">
        <f>IF(COUNTIF(BOM_raw!$A$2:$A$1001,B2)&gt;0,B2,"OTHERS")</f>
        <v>OTHERS</v>
      </c>
      <c r="D2" s="38" t="str">
        <f t="shared" ref="D2:D33" si="1">IF(C2=B2,"EXACT","OTHERS_FALLBACK")</f>
        <v>OTHERS_FALLBACK</v>
      </c>
      <c r="E2" s="38" t="b">
        <f>ICIO_intensity!B2</f>
        <v>1</v>
      </c>
      <c r="F2" s="44">
        <f>ICIO_intensity!E2</f>
        <v>0.71183400199461322</v>
      </c>
      <c r="G2" s="44">
        <f>ICIO_intensity!H2</f>
        <v>0.28816599800538678</v>
      </c>
      <c r="H2" s="40">
        <f>SUMIFS(BOM_raw!$E$2:$E$1001,BOM_raw!$A$2:$A$1001,$C2,BOM_raw!$F$2:$F$1001,"T")</f>
        <v>0.29000000000000004</v>
      </c>
      <c r="I2" s="40">
        <f>SUMIFS(BOM_raw!$E$2:$E$1001,BOM_raw!$A$2:$A$1001,$C2,BOM_raw!$F$2:$F$1001,"M")</f>
        <v>3.5999999999999997E-2</v>
      </c>
      <c r="J2" s="40">
        <f>SUMIFS(BOM_raw!$E$2:$E$1001,BOM_raw!$A$2:$A$1001,$C2,BOM_raw!$F$2:$F$1001,"E")</f>
        <v>5.3000000000000005E-2</v>
      </c>
      <c r="K2" s="40">
        <f>SUMIFS(BOM_raw!$E$2:$E$1001,BOM_raw!$A$2:$A$1001,$C2,BOM_raw!$F$2:$F$1001,"I")</f>
        <v>5.8999999999999997E-2</v>
      </c>
      <c r="L2" s="40">
        <f>SUMIFS(BOM_raw!$E$2:$E$1001,BOM_raw!$A$2:$A$1001,$C2,BOM_raw!$F$2:$F$1001,"EE")</f>
        <v>0.10299999999999999</v>
      </c>
      <c r="M2" s="40">
        <f>SUMIFS(BOM_raw!$E$2:$E$1001,BOM_raw!$A$2:$A$1001,$C2,BOM_raw!$F$2:$F$1001,"HV")</f>
        <v>0.01</v>
      </c>
      <c r="N2" s="40">
        <f>SUMIFS(BOM_raw!$E$2:$E$1001,BOM_raw!$A$2:$A$1001,$C2,BOM_raw!$F$2:$F$1001,"SHARED")</f>
        <v>0.44900000000000001</v>
      </c>
      <c r="O2" s="40">
        <f t="shared" ref="O2:O33" si="2">SUM(H2:N2)</f>
        <v>1</v>
      </c>
      <c r="P2" s="40">
        <f t="shared" ref="P2:P33" si="3">IF(E2,F2,0)</f>
        <v>0.71183400199461322</v>
      </c>
      <c r="Q2" s="40">
        <f t="shared" ref="Q2:Q33" si="4">P2*H2</f>
        <v>0.20643186057843785</v>
      </c>
      <c r="R2" s="40">
        <f t="shared" ref="R2:R33" si="5">P2*I2</f>
        <v>2.5626024071806072E-2</v>
      </c>
      <c r="S2" s="40">
        <f t="shared" ref="S2:S33" si="6">P2*J2</f>
        <v>3.7727202105714508E-2</v>
      </c>
      <c r="T2" s="40">
        <f t="shared" ref="T2:T33" si="7">P2*K2</f>
        <v>4.199820611768218E-2</v>
      </c>
      <c r="U2" s="40">
        <f t="shared" ref="U2:U33" si="8">P2*L2</f>
        <v>7.3318902205445152E-2</v>
      </c>
      <c r="V2" s="40">
        <f t="shared" ref="V2:V33" si="9">P2*M2</f>
        <v>7.1183400199461323E-3</v>
      </c>
      <c r="W2" s="40">
        <f t="shared" ref="W2:W33" si="10">P2*N2</f>
        <v>0.31961346689558134</v>
      </c>
      <c r="X2" s="40">
        <f t="shared" ref="X2:X33" si="11">SUM(Q2:W2)</f>
        <v>0.71183400199461322</v>
      </c>
      <c r="Y2" s="40">
        <f t="shared" ref="Y2:Y33" si="12">X2-F2</f>
        <v>0</v>
      </c>
      <c r="Z2" s="40">
        <f t="shared" ref="Z2:Z33" si="13">X2+G2</f>
        <v>1</v>
      </c>
      <c r="AA2" s="39" t="str">
        <f t="shared" ref="AA2:AA33" si="14">IF(E2,IF(AND(ABS(O2-1)&lt;0.0000001,ABS(Y2)&lt;0.0000001,ABS(Z2-1)&lt;0.0000001),"PASS","FAIL"),"INACTIVE")</f>
        <v>PASS</v>
      </c>
      <c r="AB2" s="38" t="s">
        <v>368</v>
      </c>
    </row>
    <row r="3" spans="1:28">
      <c r="A3" s="38" t="str">
        <f t="shared" si="0"/>
        <v>BASE_FIGURE_ICIO</v>
      </c>
      <c r="B3" s="38" t="str">
        <f>ICIO_intensity!A3</f>
        <v>AUS</v>
      </c>
      <c r="C3" s="38" t="str">
        <f>IF(COUNTIF(BOM_raw!$A$2:$A$1001,B3)&gt;0,B3,"OTHERS")</f>
        <v>OTHERS</v>
      </c>
      <c r="D3" s="38" t="str">
        <f t="shared" si="1"/>
        <v>OTHERS_FALLBACK</v>
      </c>
      <c r="E3" s="38" t="b">
        <f>ICIO_intensity!B3</f>
        <v>1</v>
      </c>
      <c r="F3" s="44">
        <f>ICIO_intensity!E3</f>
        <v>0.64808100964944304</v>
      </c>
      <c r="G3" s="44">
        <f>ICIO_intensity!H3</f>
        <v>0.35191899035055696</v>
      </c>
      <c r="H3" s="40">
        <f>SUMIFS(BOM_raw!$E$2:$E$1001,BOM_raw!$A$2:$A$1001,$C3,BOM_raw!$F$2:$F$1001,"T")</f>
        <v>0.29000000000000004</v>
      </c>
      <c r="I3" s="40">
        <f>SUMIFS(BOM_raw!$E$2:$E$1001,BOM_raw!$A$2:$A$1001,$C3,BOM_raw!$F$2:$F$1001,"M")</f>
        <v>3.5999999999999997E-2</v>
      </c>
      <c r="J3" s="40">
        <f>SUMIFS(BOM_raw!$E$2:$E$1001,BOM_raw!$A$2:$A$1001,$C3,BOM_raw!$F$2:$F$1001,"E")</f>
        <v>5.3000000000000005E-2</v>
      </c>
      <c r="K3" s="40">
        <f>SUMIFS(BOM_raw!$E$2:$E$1001,BOM_raw!$A$2:$A$1001,$C3,BOM_raw!$F$2:$F$1001,"I")</f>
        <v>5.8999999999999997E-2</v>
      </c>
      <c r="L3" s="40">
        <f>SUMIFS(BOM_raw!$E$2:$E$1001,BOM_raw!$A$2:$A$1001,$C3,BOM_raw!$F$2:$F$1001,"EE")</f>
        <v>0.10299999999999999</v>
      </c>
      <c r="M3" s="40">
        <f>SUMIFS(BOM_raw!$E$2:$E$1001,BOM_raw!$A$2:$A$1001,$C3,BOM_raw!$F$2:$F$1001,"HV")</f>
        <v>0.01</v>
      </c>
      <c r="N3" s="40">
        <f>SUMIFS(BOM_raw!$E$2:$E$1001,BOM_raw!$A$2:$A$1001,$C3,BOM_raw!$F$2:$F$1001,"SHARED")</f>
        <v>0.44900000000000001</v>
      </c>
      <c r="O3" s="40">
        <f t="shared" si="2"/>
        <v>1</v>
      </c>
      <c r="P3" s="40">
        <f t="shared" si="3"/>
        <v>0.64808100964944304</v>
      </c>
      <c r="Q3" s="40">
        <f t="shared" si="4"/>
        <v>0.1879434927983385</v>
      </c>
      <c r="R3" s="40">
        <f t="shared" si="5"/>
        <v>2.3330916347379948E-2</v>
      </c>
      <c r="S3" s="40">
        <f t="shared" si="6"/>
        <v>3.4348293511420484E-2</v>
      </c>
      <c r="T3" s="40">
        <f t="shared" si="7"/>
        <v>3.8236779569317141E-2</v>
      </c>
      <c r="U3" s="40">
        <f t="shared" si="8"/>
        <v>6.6752343993892627E-2</v>
      </c>
      <c r="V3" s="40">
        <f t="shared" si="9"/>
        <v>6.4808100964944305E-3</v>
      </c>
      <c r="W3" s="40">
        <f t="shared" si="10"/>
        <v>0.29098837333259991</v>
      </c>
      <c r="X3" s="40">
        <f t="shared" si="11"/>
        <v>0.64808100964944304</v>
      </c>
      <c r="Y3" s="40">
        <f t="shared" si="12"/>
        <v>0</v>
      </c>
      <c r="Z3" s="40">
        <f t="shared" si="13"/>
        <v>1</v>
      </c>
      <c r="AA3" s="39" t="str">
        <f t="shared" si="14"/>
        <v>PASS</v>
      </c>
      <c r="AB3" s="38" t="s">
        <v>368</v>
      </c>
    </row>
    <row r="4" spans="1:28">
      <c r="A4" s="38" t="str">
        <f t="shared" si="0"/>
        <v>BASE_FIGURE_ICIO</v>
      </c>
      <c r="B4" s="38" t="str">
        <f>ICIO_intensity!A4</f>
        <v>AUT</v>
      </c>
      <c r="C4" s="38" t="str">
        <f>IF(COUNTIF(BOM_raw!$A$2:$A$1001,B4)&gt;0,B4,"OTHERS")</f>
        <v>OTHERS</v>
      </c>
      <c r="D4" s="38" t="str">
        <f t="shared" si="1"/>
        <v>OTHERS_FALLBACK</v>
      </c>
      <c r="E4" s="38" t="b">
        <f>ICIO_intensity!B4</f>
        <v>1</v>
      </c>
      <c r="F4" s="44">
        <f>ICIO_intensity!E4</f>
        <v>0.72752091712413836</v>
      </c>
      <c r="G4" s="44">
        <f>ICIO_intensity!H4</f>
        <v>0.27247908287586164</v>
      </c>
      <c r="H4" s="40">
        <f>SUMIFS(BOM_raw!$E$2:$E$1001,BOM_raw!$A$2:$A$1001,$C4,BOM_raw!$F$2:$F$1001,"T")</f>
        <v>0.29000000000000004</v>
      </c>
      <c r="I4" s="40">
        <f>SUMIFS(BOM_raw!$E$2:$E$1001,BOM_raw!$A$2:$A$1001,$C4,BOM_raw!$F$2:$F$1001,"M")</f>
        <v>3.5999999999999997E-2</v>
      </c>
      <c r="J4" s="40">
        <f>SUMIFS(BOM_raw!$E$2:$E$1001,BOM_raw!$A$2:$A$1001,$C4,BOM_raw!$F$2:$F$1001,"E")</f>
        <v>5.3000000000000005E-2</v>
      </c>
      <c r="K4" s="40">
        <f>SUMIFS(BOM_raw!$E$2:$E$1001,BOM_raw!$A$2:$A$1001,$C4,BOM_raw!$F$2:$F$1001,"I")</f>
        <v>5.8999999999999997E-2</v>
      </c>
      <c r="L4" s="40">
        <f>SUMIFS(BOM_raw!$E$2:$E$1001,BOM_raw!$A$2:$A$1001,$C4,BOM_raw!$F$2:$F$1001,"EE")</f>
        <v>0.10299999999999999</v>
      </c>
      <c r="M4" s="40">
        <f>SUMIFS(BOM_raw!$E$2:$E$1001,BOM_raw!$A$2:$A$1001,$C4,BOM_raw!$F$2:$F$1001,"HV")</f>
        <v>0.01</v>
      </c>
      <c r="N4" s="40">
        <f>SUMIFS(BOM_raw!$E$2:$E$1001,BOM_raw!$A$2:$A$1001,$C4,BOM_raw!$F$2:$F$1001,"SHARED")</f>
        <v>0.44900000000000001</v>
      </c>
      <c r="O4" s="40">
        <f t="shared" si="2"/>
        <v>1</v>
      </c>
      <c r="P4" s="40">
        <f t="shared" si="3"/>
        <v>0.72752091712413836</v>
      </c>
      <c r="Q4" s="40">
        <f t="shared" si="4"/>
        <v>0.21098106596600014</v>
      </c>
      <c r="R4" s="40">
        <f t="shared" si="5"/>
        <v>2.619075301646898E-2</v>
      </c>
      <c r="S4" s="40">
        <f t="shared" si="6"/>
        <v>3.8558608607579335E-2</v>
      </c>
      <c r="T4" s="40">
        <f t="shared" si="7"/>
        <v>4.2923734110324158E-2</v>
      </c>
      <c r="U4" s="40">
        <f t="shared" si="8"/>
        <v>7.4934654463786249E-2</v>
      </c>
      <c r="V4" s="40">
        <f t="shared" si="9"/>
        <v>7.2752091712413834E-3</v>
      </c>
      <c r="W4" s="40">
        <f t="shared" si="10"/>
        <v>0.32665689178873814</v>
      </c>
      <c r="X4" s="40">
        <f t="shared" si="11"/>
        <v>0.72752091712413836</v>
      </c>
      <c r="Y4" s="40">
        <f t="shared" si="12"/>
        <v>0</v>
      </c>
      <c r="Z4" s="40">
        <f t="shared" si="13"/>
        <v>1</v>
      </c>
      <c r="AA4" s="39" t="str">
        <f t="shared" si="14"/>
        <v>PASS</v>
      </c>
      <c r="AB4" s="38" t="s">
        <v>368</v>
      </c>
    </row>
    <row r="5" spans="1:28">
      <c r="A5" s="38" t="str">
        <f t="shared" si="0"/>
        <v>BASE_FIGURE_ICIO</v>
      </c>
      <c r="B5" s="38" t="str">
        <f>ICIO_intensity!A5</f>
        <v>BEL</v>
      </c>
      <c r="C5" s="38" t="str">
        <f>IF(COUNTIF(BOM_raw!$A$2:$A$1001,B5)&gt;0,B5,"OTHERS")</f>
        <v>OTHERS</v>
      </c>
      <c r="D5" s="38" t="str">
        <f t="shared" si="1"/>
        <v>OTHERS_FALLBACK</v>
      </c>
      <c r="E5" s="38" t="b">
        <f>ICIO_intensity!B5</f>
        <v>1</v>
      </c>
      <c r="F5" s="44">
        <f>ICIO_intensity!E5</f>
        <v>0.81110763559764876</v>
      </c>
      <c r="G5" s="44">
        <f>ICIO_intensity!H5</f>
        <v>0.18889236440235124</v>
      </c>
      <c r="H5" s="40">
        <f>SUMIFS(BOM_raw!$E$2:$E$1001,BOM_raw!$A$2:$A$1001,$C5,BOM_raw!$F$2:$F$1001,"T")</f>
        <v>0.29000000000000004</v>
      </c>
      <c r="I5" s="40">
        <f>SUMIFS(BOM_raw!$E$2:$E$1001,BOM_raw!$A$2:$A$1001,$C5,BOM_raw!$F$2:$F$1001,"M")</f>
        <v>3.5999999999999997E-2</v>
      </c>
      <c r="J5" s="40">
        <f>SUMIFS(BOM_raw!$E$2:$E$1001,BOM_raw!$A$2:$A$1001,$C5,BOM_raw!$F$2:$F$1001,"E")</f>
        <v>5.3000000000000005E-2</v>
      </c>
      <c r="K5" s="40">
        <f>SUMIFS(BOM_raw!$E$2:$E$1001,BOM_raw!$A$2:$A$1001,$C5,BOM_raw!$F$2:$F$1001,"I")</f>
        <v>5.8999999999999997E-2</v>
      </c>
      <c r="L5" s="40">
        <f>SUMIFS(BOM_raw!$E$2:$E$1001,BOM_raw!$A$2:$A$1001,$C5,BOM_raw!$F$2:$F$1001,"EE")</f>
        <v>0.10299999999999999</v>
      </c>
      <c r="M5" s="40">
        <f>SUMIFS(BOM_raw!$E$2:$E$1001,BOM_raw!$A$2:$A$1001,$C5,BOM_raw!$F$2:$F$1001,"HV")</f>
        <v>0.01</v>
      </c>
      <c r="N5" s="40">
        <f>SUMIFS(BOM_raw!$E$2:$E$1001,BOM_raw!$A$2:$A$1001,$C5,BOM_raw!$F$2:$F$1001,"SHARED")</f>
        <v>0.44900000000000001</v>
      </c>
      <c r="O5" s="40">
        <f t="shared" si="2"/>
        <v>1</v>
      </c>
      <c r="P5" s="40">
        <f t="shared" si="3"/>
        <v>0.81110763559764876</v>
      </c>
      <c r="Q5" s="40">
        <f t="shared" si="4"/>
        <v>0.23522121432331816</v>
      </c>
      <c r="R5" s="40">
        <f t="shared" si="5"/>
        <v>2.9199874881515354E-2</v>
      </c>
      <c r="S5" s="40">
        <f t="shared" si="6"/>
        <v>4.2988704686675386E-2</v>
      </c>
      <c r="T5" s="40">
        <f t="shared" si="7"/>
        <v>4.7855350500261275E-2</v>
      </c>
      <c r="U5" s="40">
        <f t="shared" si="8"/>
        <v>8.3544086466557824E-2</v>
      </c>
      <c r="V5" s="40">
        <f t="shared" si="9"/>
        <v>8.1110763559764879E-3</v>
      </c>
      <c r="W5" s="40">
        <f t="shared" si="10"/>
        <v>0.36418732838334428</v>
      </c>
      <c r="X5" s="40">
        <f t="shared" si="11"/>
        <v>0.81110763559764876</v>
      </c>
      <c r="Y5" s="40">
        <f t="shared" si="12"/>
        <v>0</v>
      </c>
      <c r="Z5" s="40">
        <f t="shared" si="13"/>
        <v>1</v>
      </c>
      <c r="AA5" s="39" t="str">
        <f t="shared" si="14"/>
        <v>PASS</v>
      </c>
      <c r="AB5" s="38" t="s">
        <v>368</v>
      </c>
    </row>
    <row r="6" spans="1:28">
      <c r="A6" s="38" t="str">
        <f t="shared" si="0"/>
        <v>BASE_FIGURE_ICIO</v>
      </c>
      <c r="B6" s="38" t="str">
        <f>ICIO_intensity!A6</f>
        <v>BGD</v>
      </c>
      <c r="C6" s="38" t="str">
        <f>IF(COUNTIF(BOM_raw!$A$2:$A$1001,B6)&gt;0,B6,"OTHERS")</f>
        <v>OTHERS</v>
      </c>
      <c r="D6" s="38" t="str">
        <f t="shared" si="1"/>
        <v>OTHERS_FALLBACK</v>
      </c>
      <c r="E6" s="38" t="b">
        <f>ICIO_intensity!B6</f>
        <v>1</v>
      </c>
      <c r="F6" s="44">
        <f>ICIO_intensity!E6</f>
        <v>0.65099767965783784</v>
      </c>
      <c r="G6" s="44">
        <f>ICIO_intensity!H6</f>
        <v>0.34900232034216216</v>
      </c>
      <c r="H6" s="40">
        <f>SUMIFS(BOM_raw!$E$2:$E$1001,BOM_raw!$A$2:$A$1001,$C6,BOM_raw!$F$2:$F$1001,"T")</f>
        <v>0.29000000000000004</v>
      </c>
      <c r="I6" s="40">
        <f>SUMIFS(BOM_raw!$E$2:$E$1001,BOM_raw!$A$2:$A$1001,$C6,BOM_raw!$F$2:$F$1001,"M")</f>
        <v>3.5999999999999997E-2</v>
      </c>
      <c r="J6" s="40">
        <f>SUMIFS(BOM_raw!$E$2:$E$1001,BOM_raw!$A$2:$A$1001,$C6,BOM_raw!$F$2:$F$1001,"E")</f>
        <v>5.3000000000000005E-2</v>
      </c>
      <c r="K6" s="40">
        <f>SUMIFS(BOM_raw!$E$2:$E$1001,BOM_raw!$A$2:$A$1001,$C6,BOM_raw!$F$2:$F$1001,"I")</f>
        <v>5.8999999999999997E-2</v>
      </c>
      <c r="L6" s="40">
        <f>SUMIFS(BOM_raw!$E$2:$E$1001,BOM_raw!$A$2:$A$1001,$C6,BOM_raw!$F$2:$F$1001,"EE")</f>
        <v>0.10299999999999999</v>
      </c>
      <c r="M6" s="40">
        <f>SUMIFS(BOM_raw!$E$2:$E$1001,BOM_raw!$A$2:$A$1001,$C6,BOM_raw!$F$2:$F$1001,"HV")</f>
        <v>0.01</v>
      </c>
      <c r="N6" s="40">
        <f>SUMIFS(BOM_raw!$E$2:$E$1001,BOM_raw!$A$2:$A$1001,$C6,BOM_raw!$F$2:$F$1001,"SHARED")</f>
        <v>0.44900000000000001</v>
      </c>
      <c r="O6" s="40">
        <f t="shared" si="2"/>
        <v>1</v>
      </c>
      <c r="P6" s="40">
        <f t="shared" si="3"/>
        <v>0.65099767965783784</v>
      </c>
      <c r="Q6" s="40">
        <f t="shared" si="4"/>
        <v>0.18878932710077301</v>
      </c>
      <c r="R6" s="40">
        <f t="shared" si="5"/>
        <v>2.3435916467682161E-2</v>
      </c>
      <c r="S6" s="40">
        <f t="shared" si="6"/>
        <v>3.4502877021865407E-2</v>
      </c>
      <c r="T6" s="40">
        <f t="shared" si="7"/>
        <v>3.8408863099812431E-2</v>
      </c>
      <c r="U6" s="40">
        <f t="shared" si="8"/>
        <v>6.7052761004757294E-2</v>
      </c>
      <c r="V6" s="40">
        <f t="shared" si="9"/>
        <v>6.5099767965783786E-3</v>
      </c>
      <c r="W6" s="40">
        <f t="shared" si="10"/>
        <v>0.29229795816636922</v>
      </c>
      <c r="X6" s="40">
        <f t="shared" si="11"/>
        <v>0.65099767965783784</v>
      </c>
      <c r="Y6" s="40">
        <f t="shared" si="12"/>
        <v>0</v>
      </c>
      <c r="Z6" s="40">
        <f t="shared" si="13"/>
        <v>1</v>
      </c>
      <c r="AA6" s="39" t="str">
        <f t="shared" si="14"/>
        <v>PASS</v>
      </c>
      <c r="AB6" s="38" t="s">
        <v>368</v>
      </c>
    </row>
    <row r="7" spans="1:28">
      <c r="A7" s="38" t="str">
        <f t="shared" si="0"/>
        <v>BASE_FIGURE_ICIO</v>
      </c>
      <c r="B7" s="38" t="str">
        <f>ICIO_intensity!A7</f>
        <v>BGR</v>
      </c>
      <c r="C7" s="38" t="str">
        <f>IF(COUNTIF(BOM_raw!$A$2:$A$1001,B7)&gt;0,B7,"OTHERS")</f>
        <v>OTHERS</v>
      </c>
      <c r="D7" s="38" t="str">
        <f t="shared" si="1"/>
        <v>OTHERS_FALLBACK</v>
      </c>
      <c r="E7" s="38" t="b">
        <f>ICIO_intensity!B7</f>
        <v>1</v>
      </c>
      <c r="F7" s="44">
        <f>ICIO_intensity!E7</f>
        <v>0.77746702629656805</v>
      </c>
      <c r="G7" s="44">
        <f>ICIO_intensity!H7</f>
        <v>0.22253297370343195</v>
      </c>
      <c r="H7" s="40">
        <f>SUMIFS(BOM_raw!$E$2:$E$1001,BOM_raw!$A$2:$A$1001,$C7,BOM_raw!$F$2:$F$1001,"T")</f>
        <v>0.29000000000000004</v>
      </c>
      <c r="I7" s="40">
        <f>SUMIFS(BOM_raw!$E$2:$E$1001,BOM_raw!$A$2:$A$1001,$C7,BOM_raw!$F$2:$F$1001,"M")</f>
        <v>3.5999999999999997E-2</v>
      </c>
      <c r="J7" s="40">
        <f>SUMIFS(BOM_raw!$E$2:$E$1001,BOM_raw!$A$2:$A$1001,$C7,BOM_raw!$F$2:$F$1001,"E")</f>
        <v>5.3000000000000005E-2</v>
      </c>
      <c r="K7" s="40">
        <f>SUMIFS(BOM_raw!$E$2:$E$1001,BOM_raw!$A$2:$A$1001,$C7,BOM_raw!$F$2:$F$1001,"I")</f>
        <v>5.8999999999999997E-2</v>
      </c>
      <c r="L7" s="40">
        <f>SUMIFS(BOM_raw!$E$2:$E$1001,BOM_raw!$A$2:$A$1001,$C7,BOM_raw!$F$2:$F$1001,"EE")</f>
        <v>0.10299999999999999</v>
      </c>
      <c r="M7" s="40">
        <f>SUMIFS(BOM_raw!$E$2:$E$1001,BOM_raw!$A$2:$A$1001,$C7,BOM_raw!$F$2:$F$1001,"HV")</f>
        <v>0.01</v>
      </c>
      <c r="N7" s="40">
        <f>SUMIFS(BOM_raw!$E$2:$E$1001,BOM_raw!$A$2:$A$1001,$C7,BOM_raw!$F$2:$F$1001,"SHARED")</f>
        <v>0.44900000000000001</v>
      </c>
      <c r="O7" s="40">
        <f t="shared" si="2"/>
        <v>1</v>
      </c>
      <c r="P7" s="40">
        <f t="shared" si="3"/>
        <v>0.77746702629656805</v>
      </c>
      <c r="Q7" s="40">
        <f t="shared" si="4"/>
        <v>0.22546543762600477</v>
      </c>
      <c r="R7" s="40">
        <f t="shared" si="5"/>
        <v>2.7988812946676447E-2</v>
      </c>
      <c r="S7" s="40">
        <f t="shared" si="6"/>
        <v>4.1205752393718112E-2</v>
      </c>
      <c r="T7" s="40">
        <f t="shared" si="7"/>
        <v>4.5870554551497515E-2</v>
      </c>
      <c r="U7" s="40">
        <f t="shared" si="8"/>
        <v>8.0079103708546512E-2</v>
      </c>
      <c r="V7" s="40">
        <f t="shared" si="9"/>
        <v>7.7746702629656805E-3</v>
      </c>
      <c r="W7" s="40">
        <f t="shared" si="10"/>
        <v>0.34908269480715909</v>
      </c>
      <c r="X7" s="40">
        <f t="shared" si="11"/>
        <v>0.77746702629656816</v>
      </c>
      <c r="Y7" s="40">
        <f t="shared" si="12"/>
        <v>0</v>
      </c>
      <c r="Z7" s="40">
        <f t="shared" si="13"/>
        <v>1</v>
      </c>
      <c r="AA7" s="39" t="str">
        <f t="shared" si="14"/>
        <v>PASS</v>
      </c>
      <c r="AB7" s="38" t="s">
        <v>368</v>
      </c>
    </row>
    <row r="8" spans="1:28">
      <c r="A8" s="38" t="str">
        <f t="shared" si="0"/>
        <v>BASE_FIGURE_ICIO</v>
      </c>
      <c r="B8" s="38" t="str">
        <f>ICIO_intensity!A8</f>
        <v>BLR</v>
      </c>
      <c r="C8" s="38" t="str">
        <f>IF(COUNTIF(BOM_raw!$A$2:$A$1001,B8)&gt;0,B8,"OTHERS")</f>
        <v>OTHERS</v>
      </c>
      <c r="D8" s="38" t="str">
        <f t="shared" si="1"/>
        <v>OTHERS_FALLBACK</v>
      </c>
      <c r="E8" s="38" t="b">
        <f>ICIO_intensity!B8</f>
        <v>1</v>
      </c>
      <c r="F8" s="44">
        <f>ICIO_intensity!E8</f>
        <v>0.5763606708846698</v>
      </c>
      <c r="G8" s="44">
        <f>ICIO_intensity!H8</f>
        <v>0.4236393291153302</v>
      </c>
      <c r="H8" s="40">
        <f>SUMIFS(BOM_raw!$E$2:$E$1001,BOM_raw!$A$2:$A$1001,$C8,BOM_raw!$F$2:$F$1001,"T")</f>
        <v>0.29000000000000004</v>
      </c>
      <c r="I8" s="40">
        <f>SUMIFS(BOM_raw!$E$2:$E$1001,BOM_raw!$A$2:$A$1001,$C8,BOM_raw!$F$2:$F$1001,"M")</f>
        <v>3.5999999999999997E-2</v>
      </c>
      <c r="J8" s="40">
        <f>SUMIFS(BOM_raw!$E$2:$E$1001,BOM_raw!$A$2:$A$1001,$C8,BOM_raw!$F$2:$F$1001,"E")</f>
        <v>5.3000000000000005E-2</v>
      </c>
      <c r="K8" s="40">
        <f>SUMIFS(BOM_raw!$E$2:$E$1001,BOM_raw!$A$2:$A$1001,$C8,BOM_raw!$F$2:$F$1001,"I")</f>
        <v>5.8999999999999997E-2</v>
      </c>
      <c r="L8" s="40">
        <f>SUMIFS(BOM_raw!$E$2:$E$1001,BOM_raw!$A$2:$A$1001,$C8,BOM_raw!$F$2:$F$1001,"EE")</f>
        <v>0.10299999999999999</v>
      </c>
      <c r="M8" s="40">
        <f>SUMIFS(BOM_raw!$E$2:$E$1001,BOM_raw!$A$2:$A$1001,$C8,BOM_raw!$F$2:$F$1001,"HV")</f>
        <v>0.01</v>
      </c>
      <c r="N8" s="40">
        <f>SUMIFS(BOM_raw!$E$2:$E$1001,BOM_raw!$A$2:$A$1001,$C8,BOM_raw!$F$2:$F$1001,"SHARED")</f>
        <v>0.44900000000000001</v>
      </c>
      <c r="O8" s="40">
        <f t="shared" si="2"/>
        <v>1</v>
      </c>
      <c r="P8" s="40">
        <f t="shared" si="3"/>
        <v>0.5763606708846698</v>
      </c>
      <c r="Q8" s="40">
        <f t="shared" si="4"/>
        <v>0.16714459455655425</v>
      </c>
      <c r="R8" s="40">
        <f t="shared" si="5"/>
        <v>2.0748984151848112E-2</v>
      </c>
      <c r="S8" s="40">
        <f t="shared" si="6"/>
        <v>3.0547115556887501E-2</v>
      </c>
      <c r="T8" s="40">
        <f t="shared" si="7"/>
        <v>3.4005279582195513E-2</v>
      </c>
      <c r="U8" s="40">
        <f t="shared" si="8"/>
        <v>5.9365149101120986E-2</v>
      </c>
      <c r="V8" s="40">
        <f t="shared" si="9"/>
        <v>5.7636067088466985E-3</v>
      </c>
      <c r="W8" s="40">
        <f t="shared" si="10"/>
        <v>0.25878594122721676</v>
      </c>
      <c r="X8" s="40">
        <f t="shared" si="11"/>
        <v>0.5763606708846698</v>
      </c>
      <c r="Y8" s="40">
        <f t="shared" si="12"/>
        <v>0</v>
      </c>
      <c r="Z8" s="40">
        <f t="shared" si="13"/>
        <v>1</v>
      </c>
      <c r="AA8" s="39" t="str">
        <f t="shared" si="14"/>
        <v>PASS</v>
      </c>
      <c r="AB8" s="38" t="s">
        <v>368</v>
      </c>
    </row>
    <row r="9" spans="1:28">
      <c r="A9" s="38" t="str">
        <f t="shared" si="0"/>
        <v>BASE_FIGURE_ICIO</v>
      </c>
      <c r="B9" s="38" t="str">
        <f>ICIO_intensity!A9</f>
        <v>BRA</v>
      </c>
      <c r="C9" s="38" t="str">
        <f>IF(COUNTIF(BOM_raw!$A$2:$A$1001,B9)&gt;0,B9,"OTHERS")</f>
        <v>OTHERS</v>
      </c>
      <c r="D9" s="38" t="str">
        <f t="shared" si="1"/>
        <v>OTHERS_FALLBACK</v>
      </c>
      <c r="E9" s="38" t="b">
        <f>ICIO_intensity!B9</f>
        <v>1</v>
      </c>
      <c r="F9" s="44">
        <f>ICIO_intensity!E9</f>
        <v>0.81177366917717997</v>
      </c>
      <c r="G9" s="44">
        <f>ICIO_intensity!H9</f>
        <v>0.18822633082282003</v>
      </c>
      <c r="H9" s="40">
        <f>SUMIFS(BOM_raw!$E$2:$E$1001,BOM_raw!$A$2:$A$1001,$C9,BOM_raw!$F$2:$F$1001,"T")</f>
        <v>0.29000000000000004</v>
      </c>
      <c r="I9" s="40">
        <f>SUMIFS(BOM_raw!$E$2:$E$1001,BOM_raw!$A$2:$A$1001,$C9,BOM_raw!$F$2:$F$1001,"M")</f>
        <v>3.5999999999999997E-2</v>
      </c>
      <c r="J9" s="40">
        <f>SUMIFS(BOM_raw!$E$2:$E$1001,BOM_raw!$A$2:$A$1001,$C9,BOM_raw!$F$2:$F$1001,"E")</f>
        <v>5.3000000000000005E-2</v>
      </c>
      <c r="K9" s="40">
        <f>SUMIFS(BOM_raw!$E$2:$E$1001,BOM_raw!$A$2:$A$1001,$C9,BOM_raw!$F$2:$F$1001,"I")</f>
        <v>5.8999999999999997E-2</v>
      </c>
      <c r="L9" s="40">
        <f>SUMIFS(BOM_raw!$E$2:$E$1001,BOM_raw!$A$2:$A$1001,$C9,BOM_raw!$F$2:$F$1001,"EE")</f>
        <v>0.10299999999999999</v>
      </c>
      <c r="M9" s="40">
        <f>SUMIFS(BOM_raw!$E$2:$E$1001,BOM_raw!$A$2:$A$1001,$C9,BOM_raw!$F$2:$F$1001,"HV")</f>
        <v>0.01</v>
      </c>
      <c r="N9" s="40">
        <f>SUMIFS(BOM_raw!$E$2:$E$1001,BOM_raw!$A$2:$A$1001,$C9,BOM_raw!$F$2:$F$1001,"SHARED")</f>
        <v>0.44900000000000001</v>
      </c>
      <c r="O9" s="40">
        <f t="shared" si="2"/>
        <v>1</v>
      </c>
      <c r="P9" s="40">
        <f t="shared" si="3"/>
        <v>0.81177366917717997</v>
      </c>
      <c r="Q9" s="40">
        <f t="shared" si="4"/>
        <v>0.23541436406138222</v>
      </c>
      <c r="R9" s="40">
        <f t="shared" si="5"/>
        <v>2.9223852090378477E-2</v>
      </c>
      <c r="S9" s="40">
        <f t="shared" si="6"/>
        <v>4.3024004466390542E-2</v>
      </c>
      <c r="T9" s="40">
        <f t="shared" si="7"/>
        <v>4.7894646481453619E-2</v>
      </c>
      <c r="U9" s="40">
        <f t="shared" si="8"/>
        <v>8.3612687925249535E-2</v>
      </c>
      <c r="V9" s="40">
        <f t="shared" si="9"/>
        <v>8.1177366917718E-3</v>
      </c>
      <c r="W9" s="40">
        <f t="shared" si="10"/>
        <v>0.36448637746055379</v>
      </c>
      <c r="X9" s="40">
        <f t="shared" si="11"/>
        <v>0.81177366917717997</v>
      </c>
      <c r="Y9" s="40">
        <f t="shared" si="12"/>
        <v>0</v>
      </c>
      <c r="Z9" s="40">
        <f t="shared" si="13"/>
        <v>1</v>
      </c>
      <c r="AA9" s="39" t="str">
        <f t="shared" si="14"/>
        <v>PASS</v>
      </c>
      <c r="AB9" s="38" t="s">
        <v>368</v>
      </c>
    </row>
    <row r="10" spans="1:28">
      <c r="A10" s="38" t="str">
        <f t="shared" si="0"/>
        <v>BASE_FIGURE_ICIO</v>
      </c>
      <c r="B10" s="38" t="str">
        <f>ICIO_intensity!A10</f>
        <v>BRN</v>
      </c>
      <c r="C10" s="38" t="str">
        <f>IF(COUNTIF(BOM_raw!$A$2:$A$1001,B10)&gt;0,B10,"OTHERS")</f>
        <v>OTHERS</v>
      </c>
      <c r="D10" s="38" t="str">
        <f t="shared" si="1"/>
        <v>OTHERS_FALLBACK</v>
      </c>
      <c r="E10" s="38" t="b">
        <f>ICIO_intensity!B10</f>
        <v>0</v>
      </c>
      <c r="F10" s="44">
        <f>ICIO_intensity!E10</f>
        <v>0</v>
      </c>
      <c r="G10" s="44">
        <f>ICIO_intensity!H10</f>
        <v>0</v>
      </c>
      <c r="H10" s="40">
        <f>SUMIFS(BOM_raw!$E$2:$E$1001,BOM_raw!$A$2:$A$1001,$C10,BOM_raw!$F$2:$F$1001,"T")</f>
        <v>0.29000000000000004</v>
      </c>
      <c r="I10" s="40">
        <f>SUMIFS(BOM_raw!$E$2:$E$1001,BOM_raw!$A$2:$A$1001,$C10,BOM_raw!$F$2:$F$1001,"M")</f>
        <v>3.5999999999999997E-2</v>
      </c>
      <c r="J10" s="40">
        <f>SUMIFS(BOM_raw!$E$2:$E$1001,BOM_raw!$A$2:$A$1001,$C10,BOM_raw!$F$2:$F$1001,"E")</f>
        <v>5.3000000000000005E-2</v>
      </c>
      <c r="K10" s="40">
        <f>SUMIFS(BOM_raw!$E$2:$E$1001,BOM_raw!$A$2:$A$1001,$C10,BOM_raw!$F$2:$F$1001,"I")</f>
        <v>5.8999999999999997E-2</v>
      </c>
      <c r="L10" s="40">
        <f>SUMIFS(BOM_raw!$E$2:$E$1001,BOM_raw!$A$2:$A$1001,$C10,BOM_raw!$F$2:$F$1001,"EE")</f>
        <v>0.10299999999999999</v>
      </c>
      <c r="M10" s="40">
        <f>SUMIFS(BOM_raw!$E$2:$E$1001,BOM_raw!$A$2:$A$1001,$C10,BOM_raw!$F$2:$F$1001,"HV")</f>
        <v>0.01</v>
      </c>
      <c r="N10" s="40">
        <f>SUMIFS(BOM_raw!$E$2:$E$1001,BOM_raw!$A$2:$A$1001,$C10,BOM_raw!$F$2:$F$1001,"SHARED")</f>
        <v>0.44900000000000001</v>
      </c>
      <c r="O10" s="40">
        <f t="shared" si="2"/>
        <v>1</v>
      </c>
      <c r="P10" s="40">
        <f t="shared" si="3"/>
        <v>0</v>
      </c>
      <c r="Q10" s="40">
        <f t="shared" si="4"/>
        <v>0</v>
      </c>
      <c r="R10" s="40">
        <f t="shared" si="5"/>
        <v>0</v>
      </c>
      <c r="S10" s="40">
        <f t="shared" si="6"/>
        <v>0</v>
      </c>
      <c r="T10" s="40">
        <f t="shared" si="7"/>
        <v>0</v>
      </c>
      <c r="U10" s="40">
        <f t="shared" si="8"/>
        <v>0</v>
      </c>
      <c r="V10" s="40">
        <f t="shared" si="9"/>
        <v>0</v>
      </c>
      <c r="W10" s="40">
        <f t="shared" si="10"/>
        <v>0</v>
      </c>
      <c r="X10" s="40">
        <f t="shared" si="11"/>
        <v>0</v>
      </c>
      <c r="Y10" s="40">
        <f t="shared" si="12"/>
        <v>0</v>
      </c>
      <c r="Z10" s="40">
        <f t="shared" si="13"/>
        <v>0</v>
      </c>
      <c r="AA10" s="39" t="str">
        <f t="shared" si="14"/>
        <v>INACTIVE</v>
      </c>
      <c r="AB10" s="38" t="s">
        <v>368</v>
      </c>
    </row>
    <row r="11" spans="1:28">
      <c r="A11" s="38" t="str">
        <f t="shared" si="0"/>
        <v>BASE_FIGURE_ICIO</v>
      </c>
      <c r="B11" s="38" t="str">
        <f>ICIO_intensity!A11</f>
        <v>CAN</v>
      </c>
      <c r="C11" s="38" t="str">
        <f>IF(COUNTIF(BOM_raw!$A$2:$A$1001,B11)&gt;0,B11,"OTHERS")</f>
        <v>OTHERS</v>
      </c>
      <c r="D11" s="38" t="str">
        <f t="shared" si="1"/>
        <v>OTHERS_FALLBACK</v>
      </c>
      <c r="E11" s="38" t="b">
        <f>ICIO_intensity!B11</f>
        <v>1</v>
      </c>
      <c r="F11" s="44">
        <f>ICIO_intensity!E11</f>
        <v>0.79192979992465939</v>
      </c>
      <c r="G11" s="44">
        <f>ICIO_intensity!H11</f>
        <v>0.20807020007534061</v>
      </c>
      <c r="H11" s="40">
        <f>SUMIFS(BOM_raw!$E$2:$E$1001,BOM_raw!$A$2:$A$1001,$C11,BOM_raw!$F$2:$F$1001,"T")</f>
        <v>0.29000000000000004</v>
      </c>
      <c r="I11" s="40">
        <f>SUMIFS(BOM_raw!$E$2:$E$1001,BOM_raw!$A$2:$A$1001,$C11,BOM_raw!$F$2:$F$1001,"M")</f>
        <v>3.5999999999999997E-2</v>
      </c>
      <c r="J11" s="40">
        <f>SUMIFS(BOM_raw!$E$2:$E$1001,BOM_raw!$A$2:$A$1001,$C11,BOM_raw!$F$2:$F$1001,"E")</f>
        <v>5.3000000000000005E-2</v>
      </c>
      <c r="K11" s="40">
        <f>SUMIFS(BOM_raw!$E$2:$E$1001,BOM_raw!$A$2:$A$1001,$C11,BOM_raw!$F$2:$F$1001,"I")</f>
        <v>5.8999999999999997E-2</v>
      </c>
      <c r="L11" s="40">
        <f>SUMIFS(BOM_raw!$E$2:$E$1001,BOM_raw!$A$2:$A$1001,$C11,BOM_raw!$F$2:$F$1001,"EE")</f>
        <v>0.10299999999999999</v>
      </c>
      <c r="M11" s="40">
        <f>SUMIFS(BOM_raw!$E$2:$E$1001,BOM_raw!$A$2:$A$1001,$C11,BOM_raw!$F$2:$F$1001,"HV")</f>
        <v>0.01</v>
      </c>
      <c r="N11" s="40">
        <f>SUMIFS(BOM_raw!$E$2:$E$1001,BOM_raw!$A$2:$A$1001,$C11,BOM_raw!$F$2:$F$1001,"SHARED")</f>
        <v>0.44900000000000001</v>
      </c>
      <c r="O11" s="40">
        <f t="shared" si="2"/>
        <v>1</v>
      </c>
      <c r="P11" s="40">
        <f t="shared" si="3"/>
        <v>0.79192979992465939</v>
      </c>
      <c r="Q11" s="40">
        <f t="shared" si="4"/>
        <v>0.22965964197815125</v>
      </c>
      <c r="R11" s="40">
        <f t="shared" si="5"/>
        <v>2.8509472797287737E-2</v>
      </c>
      <c r="S11" s="40">
        <f t="shared" si="6"/>
        <v>4.1972279396006951E-2</v>
      </c>
      <c r="T11" s="40">
        <f t="shared" si="7"/>
        <v>4.6723858195554899E-2</v>
      </c>
      <c r="U11" s="40">
        <f t="shared" si="8"/>
        <v>8.1568769392239907E-2</v>
      </c>
      <c r="V11" s="40">
        <f t="shared" si="9"/>
        <v>7.9192979992465939E-3</v>
      </c>
      <c r="W11" s="40">
        <f t="shared" si="10"/>
        <v>0.35557648016617205</v>
      </c>
      <c r="X11" s="40">
        <f t="shared" si="11"/>
        <v>0.79192979992465939</v>
      </c>
      <c r="Y11" s="40">
        <f t="shared" si="12"/>
        <v>0</v>
      </c>
      <c r="Z11" s="40">
        <f t="shared" si="13"/>
        <v>1</v>
      </c>
      <c r="AA11" s="39" t="str">
        <f t="shared" si="14"/>
        <v>PASS</v>
      </c>
      <c r="AB11" s="38" t="s">
        <v>368</v>
      </c>
    </row>
    <row r="12" spans="1:28">
      <c r="A12" s="38" t="str">
        <f t="shared" si="0"/>
        <v>BASE_FIGURE_ICIO</v>
      </c>
      <c r="B12" s="38" t="str">
        <f>ICIO_intensity!A12</f>
        <v>CHE</v>
      </c>
      <c r="C12" s="38" t="str">
        <f>IF(COUNTIF(BOM_raw!$A$2:$A$1001,B12)&gt;0,B12,"OTHERS")</f>
        <v>OTHERS</v>
      </c>
      <c r="D12" s="38" t="str">
        <f t="shared" si="1"/>
        <v>OTHERS_FALLBACK</v>
      </c>
      <c r="E12" s="38" t="b">
        <f>ICIO_intensity!B12</f>
        <v>1</v>
      </c>
      <c r="F12" s="44">
        <f>ICIO_intensity!E12</f>
        <v>0.6667667171434416</v>
      </c>
      <c r="G12" s="44">
        <f>ICIO_intensity!H12</f>
        <v>0.3332332828565584</v>
      </c>
      <c r="H12" s="40">
        <f>SUMIFS(BOM_raw!$E$2:$E$1001,BOM_raw!$A$2:$A$1001,$C12,BOM_raw!$F$2:$F$1001,"T")</f>
        <v>0.29000000000000004</v>
      </c>
      <c r="I12" s="40">
        <f>SUMIFS(BOM_raw!$E$2:$E$1001,BOM_raw!$A$2:$A$1001,$C12,BOM_raw!$F$2:$F$1001,"M")</f>
        <v>3.5999999999999997E-2</v>
      </c>
      <c r="J12" s="40">
        <f>SUMIFS(BOM_raw!$E$2:$E$1001,BOM_raw!$A$2:$A$1001,$C12,BOM_raw!$F$2:$F$1001,"E")</f>
        <v>5.3000000000000005E-2</v>
      </c>
      <c r="K12" s="40">
        <f>SUMIFS(BOM_raw!$E$2:$E$1001,BOM_raw!$A$2:$A$1001,$C12,BOM_raw!$F$2:$F$1001,"I")</f>
        <v>5.8999999999999997E-2</v>
      </c>
      <c r="L12" s="40">
        <f>SUMIFS(BOM_raw!$E$2:$E$1001,BOM_raw!$A$2:$A$1001,$C12,BOM_raw!$F$2:$F$1001,"EE")</f>
        <v>0.10299999999999999</v>
      </c>
      <c r="M12" s="40">
        <f>SUMIFS(BOM_raw!$E$2:$E$1001,BOM_raw!$A$2:$A$1001,$C12,BOM_raw!$F$2:$F$1001,"HV")</f>
        <v>0.01</v>
      </c>
      <c r="N12" s="40">
        <f>SUMIFS(BOM_raw!$E$2:$E$1001,BOM_raw!$A$2:$A$1001,$C12,BOM_raw!$F$2:$F$1001,"SHARED")</f>
        <v>0.44900000000000001</v>
      </c>
      <c r="O12" s="40">
        <f t="shared" si="2"/>
        <v>1</v>
      </c>
      <c r="P12" s="40">
        <f t="shared" si="3"/>
        <v>0.6667667171434416</v>
      </c>
      <c r="Q12" s="40">
        <f t="shared" si="4"/>
        <v>0.1933623479715981</v>
      </c>
      <c r="R12" s="40">
        <f t="shared" si="5"/>
        <v>2.4003601817163895E-2</v>
      </c>
      <c r="S12" s="40">
        <f t="shared" si="6"/>
        <v>3.533863600860241E-2</v>
      </c>
      <c r="T12" s="40">
        <f t="shared" si="7"/>
        <v>3.9339236311463049E-2</v>
      </c>
      <c r="U12" s="40">
        <f t="shared" si="8"/>
        <v>6.8676971865774483E-2</v>
      </c>
      <c r="V12" s="40">
        <f t="shared" si="9"/>
        <v>6.6676671714344165E-3</v>
      </c>
      <c r="W12" s="40">
        <f t="shared" si="10"/>
        <v>0.29937825599740531</v>
      </c>
      <c r="X12" s="40">
        <f t="shared" si="11"/>
        <v>0.66676671714344171</v>
      </c>
      <c r="Y12" s="40">
        <f t="shared" si="12"/>
        <v>0</v>
      </c>
      <c r="Z12" s="40">
        <f t="shared" si="13"/>
        <v>1</v>
      </c>
      <c r="AA12" s="39" t="str">
        <f t="shared" si="14"/>
        <v>PASS</v>
      </c>
      <c r="AB12" s="38" t="s">
        <v>368</v>
      </c>
    </row>
    <row r="13" spans="1:28">
      <c r="A13" s="38" t="str">
        <f t="shared" si="0"/>
        <v>BASE_FIGURE_ICIO</v>
      </c>
      <c r="B13" s="38" t="str">
        <f>ICIO_intensity!A13</f>
        <v>CHL</v>
      </c>
      <c r="C13" s="38" t="str">
        <f>IF(COUNTIF(BOM_raw!$A$2:$A$1001,B13)&gt;0,B13,"OTHERS")</f>
        <v>OTHERS</v>
      </c>
      <c r="D13" s="38" t="str">
        <f t="shared" si="1"/>
        <v>OTHERS_FALLBACK</v>
      </c>
      <c r="E13" s="38" t="b">
        <f>ICIO_intensity!B13</f>
        <v>0</v>
      </c>
      <c r="F13" s="44">
        <f>ICIO_intensity!E13</f>
        <v>0</v>
      </c>
      <c r="G13" s="44">
        <f>ICIO_intensity!H13</f>
        <v>0</v>
      </c>
      <c r="H13" s="40">
        <f>SUMIFS(BOM_raw!$E$2:$E$1001,BOM_raw!$A$2:$A$1001,$C13,BOM_raw!$F$2:$F$1001,"T")</f>
        <v>0.29000000000000004</v>
      </c>
      <c r="I13" s="40">
        <f>SUMIFS(BOM_raw!$E$2:$E$1001,BOM_raw!$A$2:$A$1001,$C13,BOM_raw!$F$2:$F$1001,"M")</f>
        <v>3.5999999999999997E-2</v>
      </c>
      <c r="J13" s="40">
        <f>SUMIFS(BOM_raw!$E$2:$E$1001,BOM_raw!$A$2:$A$1001,$C13,BOM_raw!$F$2:$F$1001,"E")</f>
        <v>5.3000000000000005E-2</v>
      </c>
      <c r="K13" s="40">
        <f>SUMIFS(BOM_raw!$E$2:$E$1001,BOM_raw!$A$2:$A$1001,$C13,BOM_raw!$F$2:$F$1001,"I")</f>
        <v>5.8999999999999997E-2</v>
      </c>
      <c r="L13" s="40">
        <f>SUMIFS(BOM_raw!$E$2:$E$1001,BOM_raw!$A$2:$A$1001,$C13,BOM_raw!$F$2:$F$1001,"EE")</f>
        <v>0.10299999999999999</v>
      </c>
      <c r="M13" s="40">
        <f>SUMIFS(BOM_raw!$E$2:$E$1001,BOM_raw!$A$2:$A$1001,$C13,BOM_raw!$F$2:$F$1001,"HV")</f>
        <v>0.01</v>
      </c>
      <c r="N13" s="40">
        <f>SUMIFS(BOM_raw!$E$2:$E$1001,BOM_raw!$A$2:$A$1001,$C13,BOM_raw!$F$2:$F$1001,"SHARED")</f>
        <v>0.44900000000000001</v>
      </c>
      <c r="O13" s="40">
        <f t="shared" si="2"/>
        <v>1</v>
      </c>
      <c r="P13" s="40">
        <f t="shared" si="3"/>
        <v>0</v>
      </c>
      <c r="Q13" s="40">
        <f t="shared" si="4"/>
        <v>0</v>
      </c>
      <c r="R13" s="40">
        <f t="shared" si="5"/>
        <v>0</v>
      </c>
      <c r="S13" s="40">
        <f t="shared" si="6"/>
        <v>0</v>
      </c>
      <c r="T13" s="40">
        <f t="shared" si="7"/>
        <v>0</v>
      </c>
      <c r="U13" s="40">
        <f t="shared" si="8"/>
        <v>0</v>
      </c>
      <c r="V13" s="40">
        <f t="shared" si="9"/>
        <v>0</v>
      </c>
      <c r="W13" s="40">
        <f t="shared" si="10"/>
        <v>0</v>
      </c>
      <c r="X13" s="40">
        <f t="shared" si="11"/>
        <v>0</v>
      </c>
      <c r="Y13" s="40">
        <f t="shared" si="12"/>
        <v>0</v>
      </c>
      <c r="Z13" s="40">
        <f t="shared" si="13"/>
        <v>0</v>
      </c>
      <c r="AA13" s="39" t="str">
        <f t="shared" si="14"/>
        <v>INACTIVE</v>
      </c>
      <c r="AB13" s="38" t="s">
        <v>368</v>
      </c>
    </row>
    <row r="14" spans="1:28">
      <c r="A14" s="38" t="str">
        <f t="shared" si="0"/>
        <v>BASE_FIGURE_ICIO</v>
      </c>
      <c r="B14" s="38" t="str">
        <f>ICIO_intensity!A14</f>
        <v>CHN</v>
      </c>
      <c r="C14" s="38" t="str">
        <f>IF(COUNTIF(BOM_raw!$A$2:$A$1001,B14)&gt;0,B14,"OTHERS")</f>
        <v>CHN</v>
      </c>
      <c r="D14" s="38" t="str">
        <f t="shared" si="1"/>
        <v>EXACT</v>
      </c>
      <c r="E14" s="38" t="b">
        <f>ICIO_intensity!B14</f>
        <v>1</v>
      </c>
      <c r="F14" s="44">
        <f>ICIO_intensity!E14</f>
        <v>0.75995472492617322</v>
      </c>
      <c r="G14" s="44">
        <f>ICIO_intensity!H14</f>
        <v>0.24004527507382678</v>
      </c>
      <c r="H14" s="40">
        <f>SUMIFS(BOM_raw!$E$2:$E$1001,BOM_raw!$A$2:$A$1001,$C14,BOM_raw!$F$2:$F$1001,"T")</f>
        <v>0.26050000000000006</v>
      </c>
      <c r="I14" s="40">
        <f>SUMIFS(BOM_raw!$E$2:$E$1001,BOM_raw!$A$2:$A$1001,$C14,BOM_raw!$F$2:$F$1001,"M")</f>
        <v>3.5999999999999997E-2</v>
      </c>
      <c r="J14" s="40">
        <f>SUMIFS(BOM_raw!$E$2:$E$1001,BOM_raw!$A$2:$A$1001,$C14,BOM_raw!$F$2:$F$1001,"E")</f>
        <v>5.3000000000000005E-2</v>
      </c>
      <c r="K14" s="40">
        <f>SUMIFS(BOM_raw!$E$2:$E$1001,BOM_raw!$A$2:$A$1001,$C14,BOM_raw!$F$2:$F$1001,"I")</f>
        <v>5.8999999999999997E-2</v>
      </c>
      <c r="L14" s="40">
        <f>SUMIFS(BOM_raw!$E$2:$E$1001,BOM_raw!$A$2:$A$1001,$C14,BOM_raw!$F$2:$F$1001,"EE")</f>
        <v>0.10299999999999999</v>
      </c>
      <c r="M14" s="40">
        <f>SUMIFS(BOM_raw!$E$2:$E$1001,BOM_raw!$A$2:$A$1001,$C14,BOM_raw!$F$2:$F$1001,"HV")</f>
        <v>0.01</v>
      </c>
      <c r="N14" s="40">
        <f>SUMIFS(BOM_raw!$E$2:$E$1001,BOM_raw!$A$2:$A$1001,$C14,BOM_raw!$F$2:$F$1001,"SHARED")</f>
        <v>0.47850000000000004</v>
      </c>
      <c r="O14" s="40">
        <f t="shared" si="2"/>
        <v>1</v>
      </c>
      <c r="P14" s="40">
        <f t="shared" si="3"/>
        <v>0.75995472492617322</v>
      </c>
      <c r="Q14" s="40">
        <f t="shared" si="4"/>
        <v>0.19796820584326819</v>
      </c>
      <c r="R14" s="40">
        <f t="shared" si="5"/>
        <v>2.7358370097342235E-2</v>
      </c>
      <c r="S14" s="40">
        <f t="shared" si="6"/>
        <v>4.0277600421087183E-2</v>
      </c>
      <c r="T14" s="40">
        <f t="shared" si="7"/>
        <v>4.4837328770644218E-2</v>
      </c>
      <c r="U14" s="40">
        <f t="shared" si="8"/>
        <v>7.8275336667395834E-2</v>
      </c>
      <c r="V14" s="40">
        <f t="shared" si="9"/>
        <v>7.5995472492617327E-3</v>
      </c>
      <c r="W14" s="40">
        <f t="shared" si="10"/>
        <v>0.36363833587717392</v>
      </c>
      <c r="X14" s="40">
        <f t="shared" si="11"/>
        <v>0.75995472492617333</v>
      </c>
      <c r="Y14" s="40">
        <f t="shared" si="12"/>
        <v>0</v>
      </c>
      <c r="Z14" s="40">
        <f t="shared" si="13"/>
        <v>1</v>
      </c>
      <c r="AA14" s="39" t="str">
        <f t="shared" si="14"/>
        <v>PASS</v>
      </c>
      <c r="AB14" s="38" t="s">
        <v>368</v>
      </c>
    </row>
    <row r="15" spans="1:28">
      <c r="A15" s="38" t="str">
        <f t="shared" si="0"/>
        <v>BASE_FIGURE_ICIO</v>
      </c>
      <c r="B15" s="38" t="str">
        <f>ICIO_intensity!A15</f>
        <v>CIV</v>
      </c>
      <c r="C15" s="38" t="str">
        <f>IF(COUNTIF(BOM_raw!$A$2:$A$1001,B15)&gt;0,B15,"OTHERS")</f>
        <v>OTHERS</v>
      </c>
      <c r="D15" s="38" t="str">
        <f t="shared" si="1"/>
        <v>OTHERS_FALLBACK</v>
      </c>
      <c r="E15" s="38" t="b">
        <f>ICIO_intensity!B15</f>
        <v>1</v>
      </c>
      <c r="F15" s="44">
        <f>ICIO_intensity!E15</f>
        <v>0.70452623692548011</v>
      </c>
      <c r="G15" s="44">
        <f>ICIO_intensity!H15</f>
        <v>0.29547376307451989</v>
      </c>
      <c r="H15" s="40">
        <f>SUMIFS(BOM_raw!$E$2:$E$1001,BOM_raw!$A$2:$A$1001,$C15,BOM_raw!$F$2:$F$1001,"T")</f>
        <v>0.29000000000000004</v>
      </c>
      <c r="I15" s="40">
        <f>SUMIFS(BOM_raw!$E$2:$E$1001,BOM_raw!$A$2:$A$1001,$C15,BOM_raw!$F$2:$F$1001,"M")</f>
        <v>3.5999999999999997E-2</v>
      </c>
      <c r="J15" s="40">
        <f>SUMIFS(BOM_raw!$E$2:$E$1001,BOM_raw!$A$2:$A$1001,$C15,BOM_raw!$F$2:$F$1001,"E")</f>
        <v>5.3000000000000005E-2</v>
      </c>
      <c r="K15" s="40">
        <f>SUMIFS(BOM_raw!$E$2:$E$1001,BOM_raw!$A$2:$A$1001,$C15,BOM_raw!$F$2:$F$1001,"I")</f>
        <v>5.8999999999999997E-2</v>
      </c>
      <c r="L15" s="40">
        <f>SUMIFS(BOM_raw!$E$2:$E$1001,BOM_raw!$A$2:$A$1001,$C15,BOM_raw!$F$2:$F$1001,"EE")</f>
        <v>0.10299999999999999</v>
      </c>
      <c r="M15" s="40">
        <f>SUMIFS(BOM_raw!$E$2:$E$1001,BOM_raw!$A$2:$A$1001,$C15,BOM_raw!$F$2:$F$1001,"HV")</f>
        <v>0.01</v>
      </c>
      <c r="N15" s="40">
        <f>SUMIFS(BOM_raw!$E$2:$E$1001,BOM_raw!$A$2:$A$1001,$C15,BOM_raw!$F$2:$F$1001,"SHARED")</f>
        <v>0.44900000000000001</v>
      </c>
      <c r="O15" s="40">
        <f t="shared" si="2"/>
        <v>1</v>
      </c>
      <c r="P15" s="40">
        <f t="shared" si="3"/>
        <v>0.70452623692548011</v>
      </c>
      <c r="Q15" s="40">
        <f t="shared" si="4"/>
        <v>0.20431260870838927</v>
      </c>
      <c r="R15" s="40">
        <f t="shared" si="5"/>
        <v>2.5362944529317283E-2</v>
      </c>
      <c r="S15" s="40">
        <f t="shared" si="6"/>
        <v>3.7339890557050448E-2</v>
      </c>
      <c r="T15" s="40">
        <f t="shared" si="7"/>
        <v>4.1567047978603326E-2</v>
      </c>
      <c r="U15" s="40">
        <f t="shared" si="8"/>
        <v>7.2566202403324453E-2</v>
      </c>
      <c r="V15" s="40">
        <f t="shared" si="9"/>
        <v>7.0452623692548013E-3</v>
      </c>
      <c r="W15" s="40">
        <f t="shared" si="10"/>
        <v>0.31633228037954059</v>
      </c>
      <c r="X15" s="40">
        <f t="shared" si="11"/>
        <v>0.70452623692548011</v>
      </c>
      <c r="Y15" s="40">
        <f t="shared" si="12"/>
        <v>0</v>
      </c>
      <c r="Z15" s="40">
        <f t="shared" si="13"/>
        <v>1</v>
      </c>
      <c r="AA15" s="39" t="str">
        <f t="shared" si="14"/>
        <v>PASS</v>
      </c>
      <c r="AB15" s="38" t="s">
        <v>368</v>
      </c>
    </row>
    <row r="16" spans="1:28">
      <c r="A16" s="38" t="str">
        <f t="shared" si="0"/>
        <v>BASE_FIGURE_ICIO</v>
      </c>
      <c r="B16" s="38" t="str">
        <f>ICIO_intensity!A16</f>
        <v>CMR</v>
      </c>
      <c r="C16" s="38" t="str">
        <f>IF(COUNTIF(BOM_raw!$A$2:$A$1001,B16)&gt;0,B16,"OTHERS")</f>
        <v>OTHERS</v>
      </c>
      <c r="D16" s="38" t="str">
        <f t="shared" si="1"/>
        <v>OTHERS_FALLBACK</v>
      </c>
      <c r="E16" s="38" t="b">
        <f>ICIO_intensity!B16</f>
        <v>1</v>
      </c>
      <c r="F16" s="44">
        <f>ICIO_intensity!E16</f>
        <v>0.54758508253515448</v>
      </c>
      <c r="G16" s="44">
        <f>ICIO_intensity!H16</f>
        <v>0.45241491746484552</v>
      </c>
      <c r="H16" s="40">
        <f>SUMIFS(BOM_raw!$E$2:$E$1001,BOM_raw!$A$2:$A$1001,$C16,BOM_raw!$F$2:$F$1001,"T")</f>
        <v>0.29000000000000004</v>
      </c>
      <c r="I16" s="40">
        <f>SUMIFS(BOM_raw!$E$2:$E$1001,BOM_raw!$A$2:$A$1001,$C16,BOM_raw!$F$2:$F$1001,"M")</f>
        <v>3.5999999999999997E-2</v>
      </c>
      <c r="J16" s="40">
        <f>SUMIFS(BOM_raw!$E$2:$E$1001,BOM_raw!$A$2:$A$1001,$C16,BOM_raw!$F$2:$F$1001,"E")</f>
        <v>5.3000000000000005E-2</v>
      </c>
      <c r="K16" s="40">
        <f>SUMIFS(BOM_raw!$E$2:$E$1001,BOM_raw!$A$2:$A$1001,$C16,BOM_raw!$F$2:$F$1001,"I")</f>
        <v>5.8999999999999997E-2</v>
      </c>
      <c r="L16" s="40">
        <f>SUMIFS(BOM_raw!$E$2:$E$1001,BOM_raw!$A$2:$A$1001,$C16,BOM_raw!$F$2:$F$1001,"EE")</f>
        <v>0.10299999999999999</v>
      </c>
      <c r="M16" s="40">
        <f>SUMIFS(BOM_raw!$E$2:$E$1001,BOM_raw!$A$2:$A$1001,$C16,BOM_raw!$F$2:$F$1001,"HV")</f>
        <v>0.01</v>
      </c>
      <c r="N16" s="40">
        <f>SUMIFS(BOM_raw!$E$2:$E$1001,BOM_raw!$A$2:$A$1001,$C16,BOM_raw!$F$2:$F$1001,"SHARED")</f>
        <v>0.44900000000000001</v>
      </c>
      <c r="O16" s="40">
        <f t="shared" si="2"/>
        <v>1</v>
      </c>
      <c r="P16" s="40">
        <f t="shared" si="3"/>
        <v>0.54758508253515448</v>
      </c>
      <c r="Q16" s="40">
        <f t="shared" si="4"/>
        <v>0.15879967393519481</v>
      </c>
      <c r="R16" s="40">
        <f t="shared" si="5"/>
        <v>1.9713062971265561E-2</v>
      </c>
      <c r="S16" s="40">
        <f t="shared" si="6"/>
        <v>2.9022009374363191E-2</v>
      </c>
      <c r="T16" s="40">
        <f t="shared" si="7"/>
        <v>3.2307519869574114E-2</v>
      </c>
      <c r="U16" s="40">
        <f t="shared" si="8"/>
        <v>5.6401263501120909E-2</v>
      </c>
      <c r="V16" s="40">
        <f t="shared" si="9"/>
        <v>5.4758508253515449E-3</v>
      </c>
      <c r="W16" s="40">
        <f t="shared" si="10"/>
        <v>0.24586570205828437</v>
      </c>
      <c r="X16" s="40">
        <f t="shared" si="11"/>
        <v>0.54758508253515459</v>
      </c>
      <c r="Y16" s="40">
        <f t="shared" si="12"/>
        <v>0</v>
      </c>
      <c r="Z16" s="40">
        <f t="shared" si="13"/>
        <v>1</v>
      </c>
      <c r="AA16" s="39" t="str">
        <f t="shared" si="14"/>
        <v>PASS</v>
      </c>
      <c r="AB16" s="38" t="s">
        <v>368</v>
      </c>
    </row>
    <row r="17" spans="1:28">
      <c r="A17" s="38" t="str">
        <f t="shared" si="0"/>
        <v>BASE_FIGURE_ICIO</v>
      </c>
      <c r="B17" s="38" t="str">
        <f>ICIO_intensity!A17</f>
        <v>COL</v>
      </c>
      <c r="C17" s="38" t="str">
        <f>IF(COUNTIF(BOM_raw!$A$2:$A$1001,B17)&gt;0,B17,"OTHERS")</f>
        <v>OTHERS</v>
      </c>
      <c r="D17" s="38" t="str">
        <f t="shared" si="1"/>
        <v>OTHERS_FALLBACK</v>
      </c>
      <c r="E17" s="38" t="b">
        <f>ICIO_intensity!B17</f>
        <v>1</v>
      </c>
      <c r="F17" s="44">
        <f>ICIO_intensity!E17</f>
        <v>0.79457846039417956</v>
      </c>
      <c r="G17" s="44">
        <f>ICIO_intensity!H17</f>
        <v>0.20542153960582044</v>
      </c>
      <c r="H17" s="40">
        <f>SUMIFS(BOM_raw!$E$2:$E$1001,BOM_raw!$A$2:$A$1001,$C17,BOM_raw!$F$2:$F$1001,"T")</f>
        <v>0.29000000000000004</v>
      </c>
      <c r="I17" s="40">
        <f>SUMIFS(BOM_raw!$E$2:$E$1001,BOM_raw!$A$2:$A$1001,$C17,BOM_raw!$F$2:$F$1001,"M")</f>
        <v>3.5999999999999997E-2</v>
      </c>
      <c r="J17" s="40">
        <f>SUMIFS(BOM_raw!$E$2:$E$1001,BOM_raw!$A$2:$A$1001,$C17,BOM_raw!$F$2:$F$1001,"E")</f>
        <v>5.3000000000000005E-2</v>
      </c>
      <c r="K17" s="40">
        <f>SUMIFS(BOM_raw!$E$2:$E$1001,BOM_raw!$A$2:$A$1001,$C17,BOM_raw!$F$2:$F$1001,"I")</f>
        <v>5.8999999999999997E-2</v>
      </c>
      <c r="L17" s="40">
        <f>SUMIFS(BOM_raw!$E$2:$E$1001,BOM_raw!$A$2:$A$1001,$C17,BOM_raw!$F$2:$F$1001,"EE")</f>
        <v>0.10299999999999999</v>
      </c>
      <c r="M17" s="40">
        <f>SUMIFS(BOM_raw!$E$2:$E$1001,BOM_raw!$A$2:$A$1001,$C17,BOM_raw!$F$2:$F$1001,"HV")</f>
        <v>0.01</v>
      </c>
      <c r="N17" s="40">
        <f>SUMIFS(BOM_raw!$E$2:$E$1001,BOM_raw!$A$2:$A$1001,$C17,BOM_raw!$F$2:$F$1001,"SHARED")</f>
        <v>0.44900000000000001</v>
      </c>
      <c r="O17" s="40">
        <f t="shared" si="2"/>
        <v>1</v>
      </c>
      <c r="P17" s="40">
        <f t="shared" si="3"/>
        <v>0.79457846039417956</v>
      </c>
      <c r="Q17" s="40">
        <f t="shared" si="4"/>
        <v>0.23042775351431211</v>
      </c>
      <c r="R17" s="40">
        <f t="shared" si="5"/>
        <v>2.8604824574190463E-2</v>
      </c>
      <c r="S17" s="40">
        <f t="shared" si="6"/>
        <v>4.2112658400891519E-2</v>
      </c>
      <c r="T17" s="40">
        <f t="shared" si="7"/>
        <v>4.6880129163256595E-2</v>
      </c>
      <c r="U17" s="40">
        <f t="shared" si="8"/>
        <v>8.1841581420600495E-2</v>
      </c>
      <c r="V17" s="40">
        <f t="shared" si="9"/>
        <v>7.945784603941795E-3</v>
      </c>
      <c r="W17" s="40">
        <f t="shared" si="10"/>
        <v>0.35676572871698664</v>
      </c>
      <c r="X17" s="40">
        <f t="shared" si="11"/>
        <v>0.79457846039417956</v>
      </c>
      <c r="Y17" s="40">
        <f t="shared" si="12"/>
        <v>0</v>
      </c>
      <c r="Z17" s="40">
        <f t="shared" si="13"/>
        <v>1</v>
      </c>
      <c r="AA17" s="39" t="str">
        <f t="shared" si="14"/>
        <v>PASS</v>
      </c>
      <c r="AB17" s="38" t="s">
        <v>368</v>
      </c>
    </row>
    <row r="18" spans="1:28">
      <c r="A18" s="38" t="str">
        <f t="shared" si="0"/>
        <v>BASE_FIGURE_ICIO</v>
      </c>
      <c r="B18" s="38" t="str">
        <f>ICIO_intensity!A18</f>
        <v>CRI</v>
      </c>
      <c r="C18" s="38" t="str">
        <f>IF(COUNTIF(BOM_raw!$A$2:$A$1001,B18)&gt;0,B18,"OTHERS")</f>
        <v>OTHERS</v>
      </c>
      <c r="D18" s="38" t="str">
        <f t="shared" si="1"/>
        <v>OTHERS_FALLBACK</v>
      </c>
      <c r="E18" s="38" t="b">
        <f>ICIO_intensity!B18</f>
        <v>1</v>
      </c>
      <c r="F18" s="44">
        <f>ICIO_intensity!E18</f>
        <v>0.58773395256630212</v>
      </c>
      <c r="G18" s="44">
        <f>ICIO_intensity!H18</f>
        <v>0.41226604743369788</v>
      </c>
      <c r="H18" s="40">
        <f>SUMIFS(BOM_raw!$E$2:$E$1001,BOM_raw!$A$2:$A$1001,$C18,BOM_raw!$F$2:$F$1001,"T")</f>
        <v>0.29000000000000004</v>
      </c>
      <c r="I18" s="40">
        <f>SUMIFS(BOM_raw!$E$2:$E$1001,BOM_raw!$A$2:$A$1001,$C18,BOM_raw!$F$2:$F$1001,"M")</f>
        <v>3.5999999999999997E-2</v>
      </c>
      <c r="J18" s="40">
        <f>SUMIFS(BOM_raw!$E$2:$E$1001,BOM_raw!$A$2:$A$1001,$C18,BOM_raw!$F$2:$F$1001,"E")</f>
        <v>5.3000000000000005E-2</v>
      </c>
      <c r="K18" s="40">
        <f>SUMIFS(BOM_raw!$E$2:$E$1001,BOM_raw!$A$2:$A$1001,$C18,BOM_raw!$F$2:$F$1001,"I")</f>
        <v>5.8999999999999997E-2</v>
      </c>
      <c r="L18" s="40">
        <f>SUMIFS(BOM_raw!$E$2:$E$1001,BOM_raw!$A$2:$A$1001,$C18,BOM_raw!$F$2:$F$1001,"EE")</f>
        <v>0.10299999999999999</v>
      </c>
      <c r="M18" s="40">
        <f>SUMIFS(BOM_raw!$E$2:$E$1001,BOM_raw!$A$2:$A$1001,$C18,BOM_raw!$F$2:$F$1001,"HV")</f>
        <v>0.01</v>
      </c>
      <c r="N18" s="40">
        <f>SUMIFS(BOM_raw!$E$2:$E$1001,BOM_raw!$A$2:$A$1001,$C18,BOM_raw!$F$2:$F$1001,"SHARED")</f>
        <v>0.44900000000000001</v>
      </c>
      <c r="O18" s="40">
        <f t="shared" si="2"/>
        <v>1</v>
      </c>
      <c r="P18" s="40">
        <f t="shared" si="3"/>
        <v>0.58773395256630212</v>
      </c>
      <c r="Q18" s="40">
        <f t="shared" si="4"/>
        <v>0.17044284624422765</v>
      </c>
      <c r="R18" s="40">
        <f t="shared" si="5"/>
        <v>2.1158422292386875E-2</v>
      </c>
      <c r="S18" s="40">
        <f t="shared" si="6"/>
        <v>3.1149899486014015E-2</v>
      </c>
      <c r="T18" s="40">
        <f t="shared" si="7"/>
        <v>3.4676303201411823E-2</v>
      </c>
      <c r="U18" s="40">
        <f t="shared" si="8"/>
        <v>6.0536597114329113E-2</v>
      </c>
      <c r="V18" s="40">
        <f t="shared" si="9"/>
        <v>5.8773395256630214E-3</v>
      </c>
      <c r="W18" s="40">
        <f t="shared" si="10"/>
        <v>0.26389254470226964</v>
      </c>
      <c r="X18" s="40">
        <f t="shared" si="11"/>
        <v>0.58773395256630212</v>
      </c>
      <c r="Y18" s="40">
        <f t="shared" si="12"/>
        <v>0</v>
      </c>
      <c r="Z18" s="40">
        <f t="shared" si="13"/>
        <v>1</v>
      </c>
      <c r="AA18" s="39" t="str">
        <f t="shared" si="14"/>
        <v>PASS</v>
      </c>
      <c r="AB18" s="38" t="s">
        <v>368</v>
      </c>
    </row>
    <row r="19" spans="1:28">
      <c r="A19" s="38" t="str">
        <f t="shared" si="0"/>
        <v>BASE_FIGURE_ICIO</v>
      </c>
      <c r="B19" s="38" t="str">
        <f>ICIO_intensity!A19</f>
        <v>CYP</v>
      </c>
      <c r="C19" s="38" t="str">
        <f>IF(COUNTIF(BOM_raw!$A$2:$A$1001,B19)&gt;0,B19,"OTHERS")</f>
        <v>OTHERS</v>
      </c>
      <c r="D19" s="38" t="str">
        <f t="shared" si="1"/>
        <v>OTHERS_FALLBACK</v>
      </c>
      <c r="E19" s="38" t="b">
        <f>ICIO_intensity!B19</f>
        <v>1</v>
      </c>
      <c r="F19" s="44">
        <f>ICIO_intensity!E19</f>
        <v>0.69000845742915273</v>
      </c>
      <c r="G19" s="44">
        <f>ICIO_intensity!H19</f>
        <v>0.30999154257084727</v>
      </c>
      <c r="H19" s="40">
        <f>SUMIFS(BOM_raw!$E$2:$E$1001,BOM_raw!$A$2:$A$1001,$C19,BOM_raw!$F$2:$F$1001,"T")</f>
        <v>0.29000000000000004</v>
      </c>
      <c r="I19" s="40">
        <f>SUMIFS(BOM_raw!$E$2:$E$1001,BOM_raw!$A$2:$A$1001,$C19,BOM_raw!$F$2:$F$1001,"M")</f>
        <v>3.5999999999999997E-2</v>
      </c>
      <c r="J19" s="40">
        <f>SUMIFS(BOM_raw!$E$2:$E$1001,BOM_raw!$A$2:$A$1001,$C19,BOM_raw!$F$2:$F$1001,"E")</f>
        <v>5.3000000000000005E-2</v>
      </c>
      <c r="K19" s="40">
        <f>SUMIFS(BOM_raw!$E$2:$E$1001,BOM_raw!$A$2:$A$1001,$C19,BOM_raw!$F$2:$F$1001,"I")</f>
        <v>5.8999999999999997E-2</v>
      </c>
      <c r="L19" s="40">
        <f>SUMIFS(BOM_raw!$E$2:$E$1001,BOM_raw!$A$2:$A$1001,$C19,BOM_raw!$F$2:$F$1001,"EE")</f>
        <v>0.10299999999999999</v>
      </c>
      <c r="M19" s="40">
        <f>SUMIFS(BOM_raw!$E$2:$E$1001,BOM_raw!$A$2:$A$1001,$C19,BOM_raw!$F$2:$F$1001,"HV")</f>
        <v>0.01</v>
      </c>
      <c r="N19" s="40">
        <f>SUMIFS(BOM_raw!$E$2:$E$1001,BOM_raw!$A$2:$A$1001,$C19,BOM_raw!$F$2:$F$1001,"SHARED")</f>
        <v>0.44900000000000001</v>
      </c>
      <c r="O19" s="40">
        <f t="shared" si="2"/>
        <v>1</v>
      </c>
      <c r="P19" s="40">
        <f t="shared" si="3"/>
        <v>0.69000845742915273</v>
      </c>
      <c r="Q19" s="40">
        <f t="shared" si="4"/>
        <v>0.20010245265445431</v>
      </c>
      <c r="R19" s="40">
        <f t="shared" si="5"/>
        <v>2.4840304467449496E-2</v>
      </c>
      <c r="S19" s="40">
        <f t="shared" si="6"/>
        <v>3.6570448243745099E-2</v>
      </c>
      <c r="T19" s="40">
        <f t="shared" si="7"/>
        <v>4.0710498988320007E-2</v>
      </c>
      <c r="U19" s="40">
        <f t="shared" si="8"/>
        <v>7.107087111520273E-2</v>
      </c>
      <c r="V19" s="40">
        <f t="shared" si="9"/>
        <v>6.9000845742915274E-3</v>
      </c>
      <c r="W19" s="40">
        <f t="shared" si="10"/>
        <v>0.30981379738568959</v>
      </c>
      <c r="X19" s="40">
        <f t="shared" si="11"/>
        <v>0.69000845742915273</v>
      </c>
      <c r="Y19" s="40">
        <f t="shared" si="12"/>
        <v>0</v>
      </c>
      <c r="Z19" s="40">
        <f t="shared" si="13"/>
        <v>1</v>
      </c>
      <c r="AA19" s="39" t="str">
        <f t="shared" si="14"/>
        <v>PASS</v>
      </c>
      <c r="AB19" s="38" t="s">
        <v>368</v>
      </c>
    </row>
    <row r="20" spans="1:28">
      <c r="A20" s="38" t="str">
        <f t="shared" si="0"/>
        <v>BASE_FIGURE_ICIO</v>
      </c>
      <c r="B20" s="38" t="str">
        <f>ICIO_intensity!A20</f>
        <v>CZE</v>
      </c>
      <c r="C20" s="38" t="str">
        <f>IF(COUNTIF(BOM_raw!$A$2:$A$1001,B20)&gt;0,B20,"OTHERS")</f>
        <v>OTHERS</v>
      </c>
      <c r="D20" s="38" t="str">
        <f t="shared" si="1"/>
        <v>OTHERS_FALLBACK</v>
      </c>
      <c r="E20" s="38" t="b">
        <f>ICIO_intensity!B20</f>
        <v>1</v>
      </c>
      <c r="F20" s="44">
        <f>ICIO_intensity!E20</f>
        <v>0.80545547317804045</v>
      </c>
      <c r="G20" s="44">
        <f>ICIO_intensity!H20</f>
        <v>0.19454452682195955</v>
      </c>
      <c r="H20" s="40">
        <f>SUMIFS(BOM_raw!$E$2:$E$1001,BOM_raw!$A$2:$A$1001,$C20,BOM_raw!$F$2:$F$1001,"T")</f>
        <v>0.29000000000000004</v>
      </c>
      <c r="I20" s="40">
        <f>SUMIFS(BOM_raw!$E$2:$E$1001,BOM_raw!$A$2:$A$1001,$C20,BOM_raw!$F$2:$F$1001,"M")</f>
        <v>3.5999999999999997E-2</v>
      </c>
      <c r="J20" s="40">
        <f>SUMIFS(BOM_raw!$E$2:$E$1001,BOM_raw!$A$2:$A$1001,$C20,BOM_raw!$F$2:$F$1001,"E")</f>
        <v>5.3000000000000005E-2</v>
      </c>
      <c r="K20" s="40">
        <f>SUMIFS(BOM_raw!$E$2:$E$1001,BOM_raw!$A$2:$A$1001,$C20,BOM_raw!$F$2:$F$1001,"I")</f>
        <v>5.8999999999999997E-2</v>
      </c>
      <c r="L20" s="40">
        <f>SUMIFS(BOM_raw!$E$2:$E$1001,BOM_raw!$A$2:$A$1001,$C20,BOM_raw!$F$2:$F$1001,"EE")</f>
        <v>0.10299999999999999</v>
      </c>
      <c r="M20" s="40">
        <f>SUMIFS(BOM_raw!$E$2:$E$1001,BOM_raw!$A$2:$A$1001,$C20,BOM_raw!$F$2:$F$1001,"HV")</f>
        <v>0.01</v>
      </c>
      <c r="N20" s="40">
        <f>SUMIFS(BOM_raw!$E$2:$E$1001,BOM_raw!$A$2:$A$1001,$C20,BOM_raw!$F$2:$F$1001,"SHARED")</f>
        <v>0.44900000000000001</v>
      </c>
      <c r="O20" s="40">
        <f t="shared" si="2"/>
        <v>1</v>
      </c>
      <c r="P20" s="40">
        <f t="shared" si="3"/>
        <v>0.80545547317804045</v>
      </c>
      <c r="Q20" s="40">
        <f t="shared" si="4"/>
        <v>0.23358208722163176</v>
      </c>
      <c r="R20" s="40">
        <f t="shared" si="5"/>
        <v>2.8996397034409455E-2</v>
      </c>
      <c r="S20" s="40">
        <f t="shared" si="6"/>
        <v>4.2689140078436147E-2</v>
      </c>
      <c r="T20" s="40">
        <f t="shared" si="7"/>
        <v>4.7521872917504385E-2</v>
      </c>
      <c r="U20" s="40">
        <f t="shared" si="8"/>
        <v>8.2961913737338161E-2</v>
      </c>
      <c r="V20" s="40">
        <f t="shared" si="9"/>
        <v>8.0545547317804039E-3</v>
      </c>
      <c r="W20" s="40">
        <f t="shared" si="10"/>
        <v>0.36164950745694019</v>
      </c>
      <c r="X20" s="40">
        <f t="shared" si="11"/>
        <v>0.80545547317804056</v>
      </c>
      <c r="Y20" s="40">
        <f t="shared" si="12"/>
        <v>0</v>
      </c>
      <c r="Z20" s="40">
        <f t="shared" si="13"/>
        <v>1</v>
      </c>
      <c r="AA20" s="39" t="str">
        <f t="shared" si="14"/>
        <v>PASS</v>
      </c>
      <c r="AB20" s="38" t="s">
        <v>368</v>
      </c>
    </row>
    <row r="21" spans="1:28">
      <c r="A21" s="38" t="str">
        <f t="shared" si="0"/>
        <v>BASE_FIGURE_ICIO</v>
      </c>
      <c r="B21" s="38" t="str">
        <f>ICIO_intensity!A21</f>
        <v>DEU</v>
      </c>
      <c r="C21" s="38" t="str">
        <f>IF(COUNTIF(BOM_raw!$A$2:$A$1001,B21)&gt;0,B21,"OTHERS")</f>
        <v>DEU</v>
      </c>
      <c r="D21" s="38" t="str">
        <f t="shared" si="1"/>
        <v>EXACT</v>
      </c>
      <c r="E21" s="38" t="b">
        <f>ICIO_intensity!B21</f>
        <v>1</v>
      </c>
      <c r="F21" s="44">
        <f>ICIO_intensity!E21</f>
        <v>0.66480398588998646</v>
      </c>
      <c r="G21" s="44">
        <f>ICIO_intensity!H21</f>
        <v>0.33519601411001354</v>
      </c>
      <c r="H21" s="40">
        <f>SUMIFS(BOM_raw!$E$2:$E$1001,BOM_raw!$A$2:$A$1001,$C21,BOM_raw!$F$2:$F$1001,"T")</f>
        <v>0.29760000000000003</v>
      </c>
      <c r="I21" s="40">
        <f>SUMIFS(BOM_raw!$E$2:$E$1001,BOM_raw!$A$2:$A$1001,$C21,BOM_raw!$F$2:$F$1001,"M")</f>
        <v>3.5999999999999997E-2</v>
      </c>
      <c r="J21" s="40">
        <f>SUMIFS(BOM_raw!$E$2:$E$1001,BOM_raw!$A$2:$A$1001,$C21,BOM_raw!$F$2:$F$1001,"E")</f>
        <v>5.3000000000000005E-2</v>
      </c>
      <c r="K21" s="40">
        <f>SUMIFS(BOM_raw!$E$2:$E$1001,BOM_raw!$A$2:$A$1001,$C21,BOM_raw!$F$2:$F$1001,"I")</f>
        <v>5.8999999999999997E-2</v>
      </c>
      <c r="L21" s="40">
        <f>SUMIFS(BOM_raw!$E$2:$E$1001,BOM_raw!$A$2:$A$1001,$C21,BOM_raw!$F$2:$F$1001,"EE")</f>
        <v>0.10299999999999999</v>
      </c>
      <c r="M21" s="40">
        <f>SUMIFS(BOM_raw!$E$2:$E$1001,BOM_raw!$A$2:$A$1001,$C21,BOM_raw!$F$2:$F$1001,"HV")</f>
        <v>0.01</v>
      </c>
      <c r="N21" s="40">
        <f>SUMIFS(BOM_raw!$E$2:$E$1001,BOM_raw!$A$2:$A$1001,$C21,BOM_raw!$F$2:$F$1001,"SHARED")</f>
        <v>0.44140000000000001</v>
      </c>
      <c r="O21" s="40">
        <f t="shared" si="2"/>
        <v>1</v>
      </c>
      <c r="P21" s="40">
        <f t="shared" si="3"/>
        <v>0.66480398588998646</v>
      </c>
      <c r="Q21" s="40">
        <f t="shared" si="4"/>
        <v>0.19784566620086</v>
      </c>
      <c r="R21" s="40">
        <f t="shared" si="5"/>
        <v>2.3932943492039511E-2</v>
      </c>
      <c r="S21" s="40">
        <f t="shared" si="6"/>
        <v>3.5234611252169284E-2</v>
      </c>
      <c r="T21" s="40">
        <f t="shared" si="7"/>
        <v>3.9223435167509202E-2</v>
      </c>
      <c r="U21" s="40">
        <f t="shared" si="8"/>
        <v>6.8474810546668596E-2</v>
      </c>
      <c r="V21" s="40">
        <f t="shared" si="9"/>
        <v>6.648039858899865E-3</v>
      </c>
      <c r="W21" s="40">
        <f t="shared" si="10"/>
        <v>0.29344447937184004</v>
      </c>
      <c r="X21" s="40">
        <f t="shared" si="11"/>
        <v>0.66480398588998657</v>
      </c>
      <c r="Y21" s="40">
        <f t="shared" si="12"/>
        <v>0</v>
      </c>
      <c r="Z21" s="40">
        <f t="shared" si="13"/>
        <v>1</v>
      </c>
      <c r="AA21" s="39" t="str">
        <f t="shared" si="14"/>
        <v>PASS</v>
      </c>
      <c r="AB21" s="38" t="s">
        <v>368</v>
      </c>
    </row>
    <row r="22" spans="1:28">
      <c r="A22" s="38" t="str">
        <f t="shared" si="0"/>
        <v>BASE_FIGURE_ICIO</v>
      </c>
      <c r="B22" s="38" t="str">
        <f>ICIO_intensity!A22</f>
        <v>DNK</v>
      </c>
      <c r="C22" s="38" t="str">
        <f>IF(COUNTIF(BOM_raw!$A$2:$A$1001,B22)&gt;0,B22,"OTHERS")</f>
        <v>OTHERS</v>
      </c>
      <c r="D22" s="38" t="str">
        <f t="shared" si="1"/>
        <v>OTHERS_FALLBACK</v>
      </c>
      <c r="E22" s="38" t="b">
        <f>ICIO_intensity!B22</f>
        <v>1</v>
      </c>
      <c r="F22" s="44">
        <f>ICIO_intensity!E22</f>
        <v>0.62525864887633775</v>
      </c>
      <c r="G22" s="44">
        <f>ICIO_intensity!H22</f>
        <v>0.37474135112366225</v>
      </c>
      <c r="H22" s="40">
        <f>SUMIFS(BOM_raw!$E$2:$E$1001,BOM_raw!$A$2:$A$1001,$C22,BOM_raw!$F$2:$F$1001,"T")</f>
        <v>0.29000000000000004</v>
      </c>
      <c r="I22" s="40">
        <f>SUMIFS(BOM_raw!$E$2:$E$1001,BOM_raw!$A$2:$A$1001,$C22,BOM_raw!$F$2:$F$1001,"M")</f>
        <v>3.5999999999999997E-2</v>
      </c>
      <c r="J22" s="40">
        <f>SUMIFS(BOM_raw!$E$2:$E$1001,BOM_raw!$A$2:$A$1001,$C22,BOM_raw!$F$2:$F$1001,"E")</f>
        <v>5.3000000000000005E-2</v>
      </c>
      <c r="K22" s="40">
        <f>SUMIFS(BOM_raw!$E$2:$E$1001,BOM_raw!$A$2:$A$1001,$C22,BOM_raw!$F$2:$F$1001,"I")</f>
        <v>5.8999999999999997E-2</v>
      </c>
      <c r="L22" s="40">
        <f>SUMIFS(BOM_raw!$E$2:$E$1001,BOM_raw!$A$2:$A$1001,$C22,BOM_raw!$F$2:$F$1001,"EE")</f>
        <v>0.10299999999999999</v>
      </c>
      <c r="M22" s="40">
        <f>SUMIFS(BOM_raw!$E$2:$E$1001,BOM_raw!$A$2:$A$1001,$C22,BOM_raw!$F$2:$F$1001,"HV")</f>
        <v>0.01</v>
      </c>
      <c r="N22" s="40">
        <f>SUMIFS(BOM_raw!$E$2:$E$1001,BOM_raw!$A$2:$A$1001,$C22,BOM_raw!$F$2:$F$1001,"SHARED")</f>
        <v>0.44900000000000001</v>
      </c>
      <c r="O22" s="40">
        <f t="shared" si="2"/>
        <v>1</v>
      </c>
      <c r="P22" s="40">
        <f t="shared" si="3"/>
        <v>0.62525864887633775</v>
      </c>
      <c r="Q22" s="40">
        <f t="shared" si="4"/>
        <v>0.18132500817413796</v>
      </c>
      <c r="R22" s="40">
        <f t="shared" si="5"/>
        <v>2.2509311359548156E-2</v>
      </c>
      <c r="S22" s="40">
        <f t="shared" si="6"/>
        <v>3.3138708390445908E-2</v>
      </c>
      <c r="T22" s="40">
        <f t="shared" si="7"/>
        <v>3.6890260283703923E-2</v>
      </c>
      <c r="U22" s="40">
        <f t="shared" si="8"/>
        <v>6.440164083426278E-2</v>
      </c>
      <c r="V22" s="40">
        <f t="shared" si="9"/>
        <v>6.2525864887633779E-3</v>
      </c>
      <c r="W22" s="40">
        <f t="shared" si="10"/>
        <v>0.28074113334547568</v>
      </c>
      <c r="X22" s="40">
        <f t="shared" si="11"/>
        <v>0.62525864887633775</v>
      </c>
      <c r="Y22" s="40">
        <f t="shared" si="12"/>
        <v>0</v>
      </c>
      <c r="Z22" s="40">
        <f t="shared" si="13"/>
        <v>1</v>
      </c>
      <c r="AA22" s="39" t="str">
        <f t="shared" si="14"/>
        <v>PASS</v>
      </c>
      <c r="AB22" s="38" t="s">
        <v>368</v>
      </c>
    </row>
    <row r="23" spans="1:28">
      <c r="A23" s="38" t="str">
        <f t="shared" si="0"/>
        <v>BASE_FIGURE_ICIO</v>
      </c>
      <c r="B23" s="38" t="str">
        <f>ICIO_intensity!A23</f>
        <v>EGY</v>
      </c>
      <c r="C23" s="38" t="str">
        <f>IF(COUNTIF(BOM_raw!$A$2:$A$1001,B23)&gt;0,B23,"OTHERS")</f>
        <v>OTHERS</v>
      </c>
      <c r="D23" s="38" t="str">
        <f t="shared" si="1"/>
        <v>OTHERS_FALLBACK</v>
      </c>
      <c r="E23" s="38" t="b">
        <f>ICIO_intensity!B23</f>
        <v>1</v>
      </c>
      <c r="F23" s="44">
        <f>ICIO_intensity!E23</f>
        <v>0.6582547504718137</v>
      </c>
      <c r="G23" s="44">
        <f>ICIO_intensity!H23</f>
        <v>0.3417452495281863</v>
      </c>
      <c r="H23" s="40">
        <f>SUMIFS(BOM_raw!$E$2:$E$1001,BOM_raw!$A$2:$A$1001,$C23,BOM_raw!$F$2:$F$1001,"T")</f>
        <v>0.29000000000000004</v>
      </c>
      <c r="I23" s="40">
        <f>SUMIFS(BOM_raw!$E$2:$E$1001,BOM_raw!$A$2:$A$1001,$C23,BOM_raw!$F$2:$F$1001,"M")</f>
        <v>3.5999999999999997E-2</v>
      </c>
      <c r="J23" s="40">
        <f>SUMIFS(BOM_raw!$E$2:$E$1001,BOM_raw!$A$2:$A$1001,$C23,BOM_raw!$F$2:$F$1001,"E")</f>
        <v>5.3000000000000005E-2</v>
      </c>
      <c r="K23" s="40">
        <f>SUMIFS(BOM_raw!$E$2:$E$1001,BOM_raw!$A$2:$A$1001,$C23,BOM_raw!$F$2:$F$1001,"I")</f>
        <v>5.8999999999999997E-2</v>
      </c>
      <c r="L23" s="40">
        <f>SUMIFS(BOM_raw!$E$2:$E$1001,BOM_raw!$A$2:$A$1001,$C23,BOM_raw!$F$2:$F$1001,"EE")</f>
        <v>0.10299999999999999</v>
      </c>
      <c r="M23" s="40">
        <f>SUMIFS(BOM_raw!$E$2:$E$1001,BOM_raw!$A$2:$A$1001,$C23,BOM_raw!$F$2:$F$1001,"HV")</f>
        <v>0.01</v>
      </c>
      <c r="N23" s="40">
        <f>SUMIFS(BOM_raw!$E$2:$E$1001,BOM_raw!$A$2:$A$1001,$C23,BOM_raw!$F$2:$F$1001,"SHARED")</f>
        <v>0.44900000000000001</v>
      </c>
      <c r="O23" s="40">
        <f t="shared" si="2"/>
        <v>1</v>
      </c>
      <c r="P23" s="40">
        <f t="shared" si="3"/>
        <v>0.6582547504718137</v>
      </c>
      <c r="Q23" s="40">
        <f t="shared" si="4"/>
        <v>0.190893877636826</v>
      </c>
      <c r="R23" s="40">
        <f t="shared" si="5"/>
        <v>2.3697171016985291E-2</v>
      </c>
      <c r="S23" s="40">
        <f t="shared" si="6"/>
        <v>3.488750177500613E-2</v>
      </c>
      <c r="T23" s="40">
        <f t="shared" si="7"/>
        <v>3.8837030277837005E-2</v>
      </c>
      <c r="U23" s="40">
        <f t="shared" si="8"/>
        <v>6.7800239298596812E-2</v>
      </c>
      <c r="V23" s="40">
        <f t="shared" si="9"/>
        <v>6.5825475047181373E-3</v>
      </c>
      <c r="W23" s="40">
        <f t="shared" si="10"/>
        <v>0.29555638296184433</v>
      </c>
      <c r="X23" s="40">
        <f t="shared" si="11"/>
        <v>0.6582547504718137</v>
      </c>
      <c r="Y23" s="40">
        <f t="shared" si="12"/>
        <v>0</v>
      </c>
      <c r="Z23" s="40">
        <f t="shared" si="13"/>
        <v>1</v>
      </c>
      <c r="AA23" s="39" t="str">
        <f t="shared" si="14"/>
        <v>PASS</v>
      </c>
      <c r="AB23" s="38" t="s">
        <v>368</v>
      </c>
    </row>
    <row r="24" spans="1:28">
      <c r="A24" s="38" t="str">
        <f t="shared" si="0"/>
        <v>BASE_FIGURE_ICIO</v>
      </c>
      <c r="B24" s="38" t="str">
        <f>ICIO_intensity!A24</f>
        <v>ESP</v>
      </c>
      <c r="C24" s="38" t="str">
        <f>IF(COUNTIF(BOM_raw!$A$2:$A$1001,B24)&gt;0,B24,"OTHERS")</f>
        <v>OTHERS</v>
      </c>
      <c r="D24" s="38" t="str">
        <f t="shared" si="1"/>
        <v>OTHERS_FALLBACK</v>
      </c>
      <c r="E24" s="38" t="b">
        <f>ICIO_intensity!B24</f>
        <v>1</v>
      </c>
      <c r="F24" s="44">
        <f>ICIO_intensity!E24</f>
        <v>0.79115260578473923</v>
      </c>
      <c r="G24" s="44">
        <f>ICIO_intensity!H24</f>
        <v>0.20884739421526077</v>
      </c>
      <c r="H24" s="40">
        <f>SUMIFS(BOM_raw!$E$2:$E$1001,BOM_raw!$A$2:$A$1001,$C24,BOM_raw!$F$2:$F$1001,"T")</f>
        <v>0.29000000000000004</v>
      </c>
      <c r="I24" s="40">
        <f>SUMIFS(BOM_raw!$E$2:$E$1001,BOM_raw!$A$2:$A$1001,$C24,BOM_raw!$F$2:$F$1001,"M")</f>
        <v>3.5999999999999997E-2</v>
      </c>
      <c r="J24" s="40">
        <f>SUMIFS(BOM_raw!$E$2:$E$1001,BOM_raw!$A$2:$A$1001,$C24,BOM_raw!$F$2:$F$1001,"E")</f>
        <v>5.3000000000000005E-2</v>
      </c>
      <c r="K24" s="40">
        <f>SUMIFS(BOM_raw!$E$2:$E$1001,BOM_raw!$A$2:$A$1001,$C24,BOM_raw!$F$2:$F$1001,"I")</f>
        <v>5.8999999999999997E-2</v>
      </c>
      <c r="L24" s="40">
        <f>SUMIFS(BOM_raw!$E$2:$E$1001,BOM_raw!$A$2:$A$1001,$C24,BOM_raw!$F$2:$F$1001,"EE")</f>
        <v>0.10299999999999999</v>
      </c>
      <c r="M24" s="40">
        <f>SUMIFS(BOM_raw!$E$2:$E$1001,BOM_raw!$A$2:$A$1001,$C24,BOM_raw!$F$2:$F$1001,"HV")</f>
        <v>0.01</v>
      </c>
      <c r="N24" s="40">
        <f>SUMIFS(BOM_raw!$E$2:$E$1001,BOM_raw!$A$2:$A$1001,$C24,BOM_raw!$F$2:$F$1001,"SHARED")</f>
        <v>0.44900000000000001</v>
      </c>
      <c r="O24" s="40">
        <f t="shared" si="2"/>
        <v>1</v>
      </c>
      <c r="P24" s="40">
        <f t="shared" si="3"/>
        <v>0.79115260578473923</v>
      </c>
      <c r="Q24" s="40">
        <f t="shared" si="4"/>
        <v>0.22943425567757442</v>
      </c>
      <c r="R24" s="40">
        <f t="shared" si="5"/>
        <v>2.8481493808250609E-2</v>
      </c>
      <c r="S24" s="40">
        <f t="shared" si="6"/>
        <v>4.1931088106591186E-2</v>
      </c>
      <c r="T24" s="40">
        <f t="shared" si="7"/>
        <v>4.6678003741299615E-2</v>
      </c>
      <c r="U24" s="40">
        <f t="shared" si="8"/>
        <v>8.1488718395828136E-2</v>
      </c>
      <c r="V24" s="40">
        <f t="shared" si="9"/>
        <v>7.9115260578473921E-3</v>
      </c>
      <c r="W24" s="40">
        <f t="shared" si="10"/>
        <v>0.35522751999734792</v>
      </c>
      <c r="X24" s="40">
        <f t="shared" si="11"/>
        <v>0.79115260578473923</v>
      </c>
      <c r="Y24" s="40">
        <f t="shared" si="12"/>
        <v>0</v>
      </c>
      <c r="Z24" s="40">
        <f t="shared" si="13"/>
        <v>1</v>
      </c>
      <c r="AA24" s="39" t="str">
        <f t="shared" si="14"/>
        <v>PASS</v>
      </c>
      <c r="AB24" s="38" t="s">
        <v>368</v>
      </c>
    </row>
    <row r="25" spans="1:28">
      <c r="A25" s="38" t="str">
        <f t="shared" si="0"/>
        <v>BASE_FIGURE_ICIO</v>
      </c>
      <c r="B25" s="38" t="str">
        <f>ICIO_intensity!A25</f>
        <v>EST</v>
      </c>
      <c r="C25" s="38" t="str">
        <f>IF(COUNTIF(BOM_raw!$A$2:$A$1001,B25)&gt;0,B25,"OTHERS")</f>
        <v>OTHERS</v>
      </c>
      <c r="D25" s="38" t="str">
        <f t="shared" si="1"/>
        <v>OTHERS_FALLBACK</v>
      </c>
      <c r="E25" s="38" t="b">
        <f>ICIO_intensity!B25</f>
        <v>1</v>
      </c>
      <c r="F25" s="44">
        <f>ICIO_intensity!E25</f>
        <v>0.77465694036320731</v>
      </c>
      <c r="G25" s="44">
        <f>ICIO_intensity!H25</f>
        <v>0.22534305963679269</v>
      </c>
      <c r="H25" s="40">
        <f>SUMIFS(BOM_raw!$E$2:$E$1001,BOM_raw!$A$2:$A$1001,$C25,BOM_raw!$F$2:$F$1001,"T")</f>
        <v>0.29000000000000004</v>
      </c>
      <c r="I25" s="40">
        <f>SUMIFS(BOM_raw!$E$2:$E$1001,BOM_raw!$A$2:$A$1001,$C25,BOM_raw!$F$2:$F$1001,"M")</f>
        <v>3.5999999999999997E-2</v>
      </c>
      <c r="J25" s="40">
        <f>SUMIFS(BOM_raw!$E$2:$E$1001,BOM_raw!$A$2:$A$1001,$C25,BOM_raw!$F$2:$F$1001,"E")</f>
        <v>5.3000000000000005E-2</v>
      </c>
      <c r="K25" s="40">
        <f>SUMIFS(BOM_raw!$E$2:$E$1001,BOM_raw!$A$2:$A$1001,$C25,BOM_raw!$F$2:$F$1001,"I")</f>
        <v>5.8999999999999997E-2</v>
      </c>
      <c r="L25" s="40">
        <f>SUMIFS(BOM_raw!$E$2:$E$1001,BOM_raw!$A$2:$A$1001,$C25,BOM_raw!$F$2:$F$1001,"EE")</f>
        <v>0.10299999999999999</v>
      </c>
      <c r="M25" s="40">
        <f>SUMIFS(BOM_raw!$E$2:$E$1001,BOM_raw!$A$2:$A$1001,$C25,BOM_raw!$F$2:$F$1001,"HV")</f>
        <v>0.01</v>
      </c>
      <c r="N25" s="40">
        <f>SUMIFS(BOM_raw!$E$2:$E$1001,BOM_raw!$A$2:$A$1001,$C25,BOM_raw!$F$2:$F$1001,"SHARED")</f>
        <v>0.44900000000000001</v>
      </c>
      <c r="O25" s="40">
        <f t="shared" si="2"/>
        <v>1</v>
      </c>
      <c r="P25" s="40">
        <f t="shared" si="3"/>
        <v>0.77465694036320731</v>
      </c>
      <c r="Q25" s="40">
        <f t="shared" si="4"/>
        <v>0.22465051270533015</v>
      </c>
      <c r="R25" s="40">
        <f t="shared" si="5"/>
        <v>2.7887649853075461E-2</v>
      </c>
      <c r="S25" s="40">
        <f t="shared" si="6"/>
        <v>4.1056817839249991E-2</v>
      </c>
      <c r="T25" s="40">
        <f t="shared" si="7"/>
        <v>4.5704759481429227E-2</v>
      </c>
      <c r="U25" s="40">
        <f t="shared" si="8"/>
        <v>7.9789664857410347E-2</v>
      </c>
      <c r="V25" s="40">
        <f t="shared" si="9"/>
        <v>7.7465694036320731E-3</v>
      </c>
      <c r="W25" s="40">
        <f t="shared" si="10"/>
        <v>0.34782096622308012</v>
      </c>
      <c r="X25" s="40">
        <f t="shared" si="11"/>
        <v>0.77465694036320731</v>
      </c>
      <c r="Y25" s="40">
        <f t="shared" si="12"/>
        <v>0</v>
      </c>
      <c r="Z25" s="40">
        <f t="shared" si="13"/>
        <v>1</v>
      </c>
      <c r="AA25" s="39" t="str">
        <f t="shared" si="14"/>
        <v>PASS</v>
      </c>
      <c r="AB25" s="38" t="s">
        <v>368</v>
      </c>
    </row>
    <row r="26" spans="1:28">
      <c r="A26" s="38" t="str">
        <f t="shared" si="0"/>
        <v>BASE_FIGURE_ICIO</v>
      </c>
      <c r="B26" s="38" t="str">
        <f>ICIO_intensity!A26</f>
        <v>FIN</v>
      </c>
      <c r="C26" s="38" t="str">
        <f>IF(COUNTIF(BOM_raw!$A$2:$A$1001,B26)&gt;0,B26,"OTHERS")</f>
        <v>OTHERS</v>
      </c>
      <c r="D26" s="38" t="str">
        <f t="shared" si="1"/>
        <v>OTHERS_FALLBACK</v>
      </c>
      <c r="E26" s="38" t="b">
        <f>ICIO_intensity!B26</f>
        <v>1</v>
      </c>
      <c r="F26" s="44">
        <f>ICIO_intensity!E26</f>
        <v>0.68329901507470425</v>
      </c>
      <c r="G26" s="44">
        <f>ICIO_intensity!H26</f>
        <v>0.31670098492529575</v>
      </c>
      <c r="H26" s="40">
        <f>SUMIFS(BOM_raw!$E$2:$E$1001,BOM_raw!$A$2:$A$1001,$C26,BOM_raw!$F$2:$F$1001,"T")</f>
        <v>0.29000000000000004</v>
      </c>
      <c r="I26" s="40">
        <f>SUMIFS(BOM_raw!$E$2:$E$1001,BOM_raw!$A$2:$A$1001,$C26,BOM_raw!$F$2:$F$1001,"M")</f>
        <v>3.5999999999999997E-2</v>
      </c>
      <c r="J26" s="40">
        <f>SUMIFS(BOM_raw!$E$2:$E$1001,BOM_raw!$A$2:$A$1001,$C26,BOM_raw!$F$2:$F$1001,"E")</f>
        <v>5.3000000000000005E-2</v>
      </c>
      <c r="K26" s="40">
        <f>SUMIFS(BOM_raw!$E$2:$E$1001,BOM_raw!$A$2:$A$1001,$C26,BOM_raw!$F$2:$F$1001,"I")</f>
        <v>5.8999999999999997E-2</v>
      </c>
      <c r="L26" s="40">
        <f>SUMIFS(BOM_raw!$E$2:$E$1001,BOM_raw!$A$2:$A$1001,$C26,BOM_raw!$F$2:$F$1001,"EE")</f>
        <v>0.10299999999999999</v>
      </c>
      <c r="M26" s="40">
        <f>SUMIFS(BOM_raw!$E$2:$E$1001,BOM_raw!$A$2:$A$1001,$C26,BOM_raw!$F$2:$F$1001,"HV")</f>
        <v>0.01</v>
      </c>
      <c r="N26" s="40">
        <f>SUMIFS(BOM_raw!$E$2:$E$1001,BOM_raw!$A$2:$A$1001,$C26,BOM_raw!$F$2:$F$1001,"SHARED")</f>
        <v>0.44900000000000001</v>
      </c>
      <c r="O26" s="40">
        <f t="shared" si="2"/>
        <v>1</v>
      </c>
      <c r="P26" s="40">
        <f t="shared" si="3"/>
        <v>0.68329901507470425</v>
      </c>
      <c r="Q26" s="40">
        <f t="shared" si="4"/>
        <v>0.19815671437166427</v>
      </c>
      <c r="R26" s="40">
        <f t="shared" si="5"/>
        <v>2.459876454268935E-2</v>
      </c>
      <c r="S26" s="40">
        <f t="shared" si="6"/>
        <v>3.6214847798959331E-2</v>
      </c>
      <c r="T26" s="40">
        <f t="shared" si="7"/>
        <v>4.0314641889407546E-2</v>
      </c>
      <c r="U26" s="40">
        <f t="shared" si="8"/>
        <v>7.0379798552694536E-2</v>
      </c>
      <c r="V26" s="40">
        <f t="shared" si="9"/>
        <v>6.832990150747043E-3</v>
      </c>
      <c r="W26" s="40">
        <f t="shared" si="10"/>
        <v>0.30680125776854222</v>
      </c>
      <c r="X26" s="40">
        <f t="shared" si="11"/>
        <v>0.68329901507470425</v>
      </c>
      <c r="Y26" s="40">
        <f t="shared" si="12"/>
        <v>0</v>
      </c>
      <c r="Z26" s="40">
        <f t="shared" si="13"/>
        <v>1</v>
      </c>
      <c r="AA26" s="39" t="str">
        <f t="shared" si="14"/>
        <v>PASS</v>
      </c>
      <c r="AB26" s="38" t="s">
        <v>368</v>
      </c>
    </row>
    <row r="27" spans="1:28">
      <c r="A27" s="38" t="str">
        <f t="shared" si="0"/>
        <v>BASE_FIGURE_ICIO</v>
      </c>
      <c r="B27" s="38" t="str">
        <f>ICIO_intensity!A27</f>
        <v>FRA</v>
      </c>
      <c r="C27" s="38" t="str">
        <f>IF(COUNTIF(BOM_raw!$A$2:$A$1001,B27)&gt;0,B27,"OTHERS")</f>
        <v>OTHERS</v>
      </c>
      <c r="D27" s="38" t="str">
        <f t="shared" si="1"/>
        <v>OTHERS_FALLBACK</v>
      </c>
      <c r="E27" s="38" t="b">
        <f>ICIO_intensity!B27</f>
        <v>1</v>
      </c>
      <c r="F27" s="44">
        <f>ICIO_intensity!E27</f>
        <v>0.80822417758801002</v>
      </c>
      <c r="G27" s="44">
        <f>ICIO_intensity!H27</f>
        <v>0.19177582241198998</v>
      </c>
      <c r="H27" s="40">
        <f>SUMIFS(BOM_raw!$E$2:$E$1001,BOM_raw!$A$2:$A$1001,$C27,BOM_raw!$F$2:$F$1001,"T")</f>
        <v>0.29000000000000004</v>
      </c>
      <c r="I27" s="40">
        <f>SUMIFS(BOM_raw!$E$2:$E$1001,BOM_raw!$A$2:$A$1001,$C27,BOM_raw!$F$2:$F$1001,"M")</f>
        <v>3.5999999999999997E-2</v>
      </c>
      <c r="J27" s="40">
        <f>SUMIFS(BOM_raw!$E$2:$E$1001,BOM_raw!$A$2:$A$1001,$C27,BOM_raw!$F$2:$F$1001,"E")</f>
        <v>5.3000000000000005E-2</v>
      </c>
      <c r="K27" s="40">
        <f>SUMIFS(BOM_raw!$E$2:$E$1001,BOM_raw!$A$2:$A$1001,$C27,BOM_raw!$F$2:$F$1001,"I")</f>
        <v>5.8999999999999997E-2</v>
      </c>
      <c r="L27" s="40">
        <f>SUMIFS(BOM_raw!$E$2:$E$1001,BOM_raw!$A$2:$A$1001,$C27,BOM_raw!$F$2:$F$1001,"EE")</f>
        <v>0.10299999999999999</v>
      </c>
      <c r="M27" s="40">
        <f>SUMIFS(BOM_raw!$E$2:$E$1001,BOM_raw!$A$2:$A$1001,$C27,BOM_raw!$F$2:$F$1001,"HV")</f>
        <v>0.01</v>
      </c>
      <c r="N27" s="40">
        <f>SUMIFS(BOM_raw!$E$2:$E$1001,BOM_raw!$A$2:$A$1001,$C27,BOM_raw!$F$2:$F$1001,"SHARED")</f>
        <v>0.44900000000000001</v>
      </c>
      <c r="O27" s="40">
        <f t="shared" si="2"/>
        <v>1</v>
      </c>
      <c r="P27" s="40">
        <f t="shared" si="3"/>
        <v>0.80822417758801002</v>
      </c>
      <c r="Q27" s="40">
        <f t="shared" si="4"/>
        <v>0.23438501150052293</v>
      </c>
      <c r="R27" s="40">
        <f t="shared" si="5"/>
        <v>2.9096070393168357E-2</v>
      </c>
      <c r="S27" s="40">
        <f t="shared" si="6"/>
        <v>4.2835881412164538E-2</v>
      </c>
      <c r="T27" s="40">
        <f t="shared" si="7"/>
        <v>4.7685226477692591E-2</v>
      </c>
      <c r="U27" s="40">
        <f t="shared" si="8"/>
        <v>8.3247090291565032E-2</v>
      </c>
      <c r="V27" s="40">
        <f t="shared" si="9"/>
        <v>8.0822417758801002E-3</v>
      </c>
      <c r="W27" s="40">
        <f t="shared" si="10"/>
        <v>0.36289265573701651</v>
      </c>
      <c r="X27" s="40">
        <f t="shared" si="11"/>
        <v>0.80822417758801013</v>
      </c>
      <c r="Y27" s="40">
        <f t="shared" si="12"/>
        <v>0</v>
      </c>
      <c r="Z27" s="40">
        <f t="shared" si="13"/>
        <v>1</v>
      </c>
      <c r="AA27" s="39" t="str">
        <f t="shared" si="14"/>
        <v>PASS</v>
      </c>
      <c r="AB27" s="38" t="s">
        <v>368</v>
      </c>
    </row>
    <row r="28" spans="1:28">
      <c r="A28" s="38" t="str">
        <f t="shared" si="0"/>
        <v>BASE_FIGURE_ICIO</v>
      </c>
      <c r="B28" s="38" t="str">
        <f>ICIO_intensity!A28</f>
        <v>GBR</v>
      </c>
      <c r="C28" s="38" t="str">
        <f>IF(COUNTIF(BOM_raw!$A$2:$A$1001,B28)&gt;0,B28,"OTHERS")</f>
        <v>OTHERS</v>
      </c>
      <c r="D28" s="38" t="str">
        <f t="shared" si="1"/>
        <v>OTHERS_FALLBACK</v>
      </c>
      <c r="E28" s="38" t="b">
        <f>ICIO_intensity!B28</f>
        <v>1</v>
      </c>
      <c r="F28" s="44">
        <f>ICIO_intensity!E28</f>
        <v>0.73255422337541798</v>
      </c>
      <c r="G28" s="44">
        <f>ICIO_intensity!H28</f>
        <v>0.26744577662458202</v>
      </c>
      <c r="H28" s="40">
        <f>SUMIFS(BOM_raw!$E$2:$E$1001,BOM_raw!$A$2:$A$1001,$C28,BOM_raw!$F$2:$F$1001,"T")</f>
        <v>0.29000000000000004</v>
      </c>
      <c r="I28" s="40">
        <f>SUMIFS(BOM_raw!$E$2:$E$1001,BOM_raw!$A$2:$A$1001,$C28,BOM_raw!$F$2:$F$1001,"M")</f>
        <v>3.5999999999999997E-2</v>
      </c>
      <c r="J28" s="40">
        <f>SUMIFS(BOM_raw!$E$2:$E$1001,BOM_raw!$A$2:$A$1001,$C28,BOM_raw!$F$2:$F$1001,"E")</f>
        <v>5.3000000000000005E-2</v>
      </c>
      <c r="K28" s="40">
        <f>SUMIFS(BOM_raw!$E$2:$E$1001,BOM_raw!$A$2:$A$1001,$C28,BOM_raw!$F$2:$F$1001,"I")</f>
        <v>5.8999999999999997E-2</v>
      </c>
      <c r="L28" s="40">
        <f>SUMIFS(BOM_raw!$E$2:$E$1001,BOM_raw!$A$2:$A$1001,$C28,BOM_raw!$F$2:$F$1001,"EE")</f>
        <v>0.10299999999999999</v>
      </c>
      <c r="M28" s="40">
        <f>SUMIFS(BOM_raw!$E$2:$E$1001,BOM_raw!$A$2:$A$1001,$C28,BOM_raw!$F$2:$F$1001,"HV")</f>
        <v>0.01</v>
      </c>
      <c r="N28" s="40">
        <f>SUMIFS(BOM_raw!$E$2:$E$1001,BOM_raw!$A$2:$A$1001,$C28,BOM_raw!$F$2:$F$1001,"SHARED")</f>
        <v>0.44900000000000001</v>
      </c>
      <c r="O28" s="40">
        <f t="shared" si="2"/>
        <v>1</v>
      </c>
      <c r="P28" s="40">
        <f t="shared" si="3"/>
        <v>0.73255422337541798</v>
      </c>
      <c r="Q28" s="40">
        <f t="shared" si="4"/>
        <v>0.21244072477887124</v>
      </c>
      <c r="R28" s="40">
        <f t="shared" si="5"/>
        <v>2.6371952041515045E-2</v>
      </c>
      <c r="S28" s="40">
        <f t="shared" si="6"/>
        <v>3.8825373838897156E-2</v>
      </c>
      <c r="T28" s="40">
        <f t="shared" si="7"/>
        <v>4.3220699179149662E-2</v>
      </c>
      <c r="U28" s="40">
        <f t="shared" si="8"/>
        <v>7.545308500766805E-2</v>
      </c>
      <c r="V28" s="40">
        <f t="shared" si="9"/>
        <v>7.3255422337541801E-3</v>
      </c>
      <c r="W28" s="40">
        <f t="shared" si="10"/>
        <v>0.32891684629556267</v>
      </c>
      <c r="X28" s="40">
        <f t="shared" si="11"/>
        <v>0.73255422337541809</v>
      </c>
      <c r="Y28" s="40">
        <f t="shared" si="12"/>
        <v>0</v>
      </c>
      <c r="Z28" s="40">
        <f t="shared" si="13"/>
        <v>1</v>
      </c>
      <c r="AA28" s="39" t="str">
        <f t="shared" si="14"/>
        <v>PASS</v>
      </c>
      <c r="AB28" s="38" t="s">
        <v>368</v>
      </c>
    </row>
    <row r="29" spans="1:28">
      <c r="A29" s="38" t="str">
        <f t="shared" si="0"/>
        <v>BASE_FIGURE_ICIO</v>
      </c>
      <c r="B29" s="38" t="str">
        <f>ICIO_intensity!A29</f>
        <v>GRC</v>
      </c>
      <c r="C29" s="38" t="str">
        <f>IF(COUNTIF(BOM_raw!$A$2:$A$1001,B29)&gt;0,B29,"OTHERS")</f>
        <v>OTHERS</v>
      </c>
      <c r="D29" s="38" t="str">
        <f t="shared" si="1"/>
        <v>OTHERS_FALLBACK</v>
      </c>
      <c r="E29" s="38" t="b">
        <f>ICIO_intensity!B29</f>
        <v>1</v>
      </c>
      <c r="F29" s="44">
        <f>ICIO_intensity!E29</f>
        <v>0.54473959122886417</v>
      </c>
      <c r="G29" s="44">
        <f>ICIO_intensity!H29</f>
        <v>0.45526040877113583</v>
      </c>
      <c r="H29" s="40">
        <f>SUMIFS(BOM_raw!$E$2:$E$1001,BOM_raw!$A$2:$A$1001,$C29,BOM_raw!$F$2:$F$1001,"T")</f>
        <v>0.29000000000000004</v>
      </c>
      <c r="I29" s="40">
        <f>SUMIFS(BOM_raw!$E$2:$E$1001,BOM_raw!$A$2:$A$1001,$C29,BOM_raw!$F$2:$F$1001,"M")</f>
        <v>3.5999999999999997E-2</v>
      </c>
      <c r="J29" s="40">
        <f>SUMIFS(BOM_raw!$E$2:$E$1001,BOM_raw!$A$2:$A$1001,$C29,BOM_raw!$F$2:$F$1001,"E")</f>
        <v>5.3000000000000005E-2</v>
      </c>
      <c r="K29" s="40">
        <f>SUMIFS(BOM_raw!$E$2:$E$1001,BOM_raw!$A$2:$A$1001,$C29,BOM_raw!$F$2:$F$1001,"I")</f>
        <v>5.8999999999999997E-2</v>
      </c>
      <c r="L29" s="40">
        <f>SUMIFS(BOM_raw!$E$2:$E$1001,BOM_raw!$A$2:$A$1001,$C29,BOM_raw!$F$2:$F$1001,"EE")</f>
        <v>0.10299999999999999</v>
      </c>
      <c r="M29" s="40">
        <f>SUMIFS(BOM_raw!$E$2:$E$1001,BOM_raw!$A$2:$A$1001,$C29,BOM_raw!$F$2:$F$1001,"HV")</f>
        <v>0.01</v>
      </c>
      <c r="N29" s="40">
        <f>SUMIFS(BOM_raw!$E$2:$E$1001,BOM_raw!$A$2:$A$1001,$C29,BOM_raw!$F$2:$F$1001,"SHARED")</f>
        <v>0.44900000000000001</v>
      </c>
      <c r="O29" s="40">
        <f t="shared" si="2"/>
        <v>1</v>
      </c>
      <c r="P29" s="40">
        <f t="shared" si="3"/>
        <v>0.54473959122886417</v>
      </c>
      <c r="Q29" s="40">
        <f t="shared" si="4"/>
        <v>0.15797448145637064</v>
      </c>
      <c r="R29" s="40">
        <f t="shared" si="5"/>
        <v>1.9610625284239108E-2</v>
      </c>
      <c r="S29" s="40">
        <f t="shared" si="6"/>
        <v>2.8871198335129803E-2</v>
      </c>
      <c r="T29" s="40">
        <f t="shared" si="7"/>
        <v>3.2139635882502987E-2</v>
      </c>
      <c r="U29" s="40">
        <f t="shared" si="8"/>
        <v>5.6108177896573005E-2</v>
      </c>
      <c r="V29" s="40">
        <f t="shared" si="9"/>
        <v>5.447395912288642E-3</v>
      </c>
      <c r="W29" s="40">
        <f t="shared" si="10"/>
        <v>0.24458807646176001</v>
      </c>
      <c r="X29" s="40">
        <f t="shared" si="11"/>
        <v>0.54473959122886417</v>
      </c>
      <c r="Y29" s="40">
        <f t="shared" si="12"/>
        <v>0</v>
      </c>
      <c r="Z29" s="40">
        <f t="shared" si="13"/>
        <v>1</v>
      </c>
      <c r="AA29" s="39" t="str">
        <f t="shared" si="14"/>
        <v>PASS</v>
      </c>
      <c r="AB29" s="38" t="s">
        <v>368</v>
      </c>
    </row>
    <row r="30" spans="1:28">
      <c r="A30" s="38" t="str">
        <f t="shared" si="0"/>
        <v>BASE_FIGURE_ICIO</v>
      </c>
      <c r="B30" s="38" t="str">
        <f>ICIO_intensity!A30</f>
        <v>HKG</v>
      </c>
      <c r="C30" s="38" t="str">
        <f>IF(COUNTIF(BOM_raw!$A$2:$A$1001,B30)&gt;0,B30,"OTHERS")</f>
        <v>OTHERS</v>
      </c>
      <c r="D30" s="38" t="str">
        <f t="shared" si="1"/>
        <v>OTHERS_FALLBACK</v>
      </c>
      <c r="E30" s="38" t="b">
        <f>ICIO_intensity!B30</f>
        <v>1</v>
      </c>
      <c r="F30" s="44">
        <f>ICIO_intensity!E30</f>
        <v>0.93848124614334327</v>
      </c>
      <c r="G30" s="44">
        <f>ICIO_intensity!H30</f>
        <v>6.1518753856656727E-2</v>
      </c>
      <c r="H30" s="40">
        <f>SUMIFS(BOM_raw!$E$2:$E$1001,BOM_raw!$A$2:$A$1001,$C30,BOM_raw!$F$2:$F$1001,"T")</f>
        <v>0.29000000000000004</v>
      </c>
      <c r="I30" s="40">
        <f>SUMIFS(BOM_raw!$E$2:$E$1001,BOM_raw!$A$2:$A$1001,$C30,BOM_raw!$F$2:$F$1001,"M")</f>
        <v>3.5999999999999997E-2</v>
      </c>
      <c r="J30" s="40">
        <f>SUMIFS(BOM_raw!$E$2:$E$1001,BOM_raw!$A$2:$A$1001,$C30,BOM_raw!$F$2:$F$1001,"E")</f>
        <v>5.3000000000000005E-2</v>
      </c>
      <c r="K30" s="40">
        <f>SUMIFS(BOM_raw!$E$2:$E$1001,BOM_raw!$A$2:$A$1001,$C30,BOM_raw!$F$2:$F$1001,"I")</f>
        <v>5.8999999999999997E-2</v>
      </c>
      <c r="L30" s="40">
        <f>SUMIFS(BOM_raw!$E$2:$E$1001,BOM_raw!$A$2:$A$1001,$C30,BOM_raw!$F$2:$F$1001,"EE")</f>
        <v>0.10299999999999999</v>
      </c>
      <c r="M30" s="40">
        <f>SUMIFS(BOM_raw!$E$2:$E$1001,BOM_raw!$A$2:$A$1001,$C30,BOM_raw!$F$2:$F$1001,"HV")</f>
        <v>0.01</v>
      </c>
      <c r="N30" s="40">
        <f>SUMIFS(BOM_raw!$E$2:$E$1001,BOM_raw!$A$2:$A$1001,$C30,BOM_raw!$F$2:$F$1001,"SHARED")</f>
        <v>0.44900000000000001</v>
      </c>
      <c r="O30" s="40">
        <f t="shared" si="2"/>
        <v>1</v>
      </c>
      <c r="P30" s="40">
        <f t="shared" si="3"/>
        <v>0.93848124614334327</v>
      </c>
      <c r="Q30" s="40">
        <f t="shared" si="4"/>
        <v>0.2721595613815696</v>
      </c>
      <c r="R30" s="40">
        <f t="shared" si="5"/>
        <v>3.3785324861160357E-2</v>
      </c>
      <c r="S30" s="40">
        <f t="shared" si="6"/>
        <v>4.9739506045597195E-2</v>
      </c>
      <c r="T30" s="40">
        <f t="shared" si="7"/>
        <v>5.5370393522457248E-2</v>
      </c>
      <c r="U30" s="40">
        <f t="shared" si="8"/>
        <v>9.6663568352764351E-2</v>
      </c>
      <c r="V30" s="40">
        <f t="shared" si="9"/>
        <v>9.3848124614334325E-3</v>
      </c>
      <c r="W30" s="40">
        <f t="shared" si="10"/>
        <v>0.42137807951836115</v>
      </c>
      <c r="X30" s="40">
        <f t="shared" si="11"/>
        <v>0.93848124614334338</v>
      </c>
      <c r="Y30" s="40">
        <f t="shared" si="12"/>
        <v>0</v>
      </c>
      <c r="Z30" s="40">
        <f t="shared" si="13"/>
        <v>1</v>
      </c>
      <c r="AA30" s="39" t="str">
        <f t="shared" si="14"/>
        <v>PASS</v>
      </c>
      <c r="AB30" s="38" t="s">
        <v>368</v>
      </c>
    </row>
    <row r="31" spans="1:28">
      <c r="A31" s="38" t="str">
        <f t="shared" si="0"/>
        <v>BASE_FIGURE_ICIO</v>
      </c>
      <c r="B31" s="38" t="str">
        <f>ICIO_intensity!A31</f>
        <v>HRV</v>
      </c>
      <c r="C31" s="38" t="str">
        <f>IF(COUNTIF(BOM_raw!$A$2:$A$1001,B31)&gt;0,B31,"OTHERS")</f>
        <v>OTHERS</v>
      </c>
      <c r="D31" s="38" t="str">
        <f t="shared" si="1"/>
        <v>OTHERS_FALLBACK</v>
      </c>
      <c r="E31" s="38" t="b">
        <f>ICIO_intensity!B31</f>
        <v>1</v>
      </c>
      <c r="F31" s="44">
        <f>ICIO_intensity!E31</f>
        <v>0.68415210569037643</v>
      </c>
      <c r="G31" s="44">
        <f>ICIO_intensity!H31</f>
        <v>0.31584789430962357</v>
      </c>
      <c r="H31" s="40">
        <f>SUMIFS(BOM_raw!$E$2:$E$1001,BOM_raw!$A$2:$A$1001,$C31,BOM_raw!$F$2:$F$1001,"T")</f>
        <v>0.29000000000000004</v>
      </c>
      <c r="I31" s="40">
        <f>SUMIFS(BOM_raw!$E$2:$E$1001,BOM_raw!$A$2:$A$1001,$C31,BOM_raw!$F$2:$F$1001,"M")</f>
        <v>3.5999999999999997E-2</v>
      </c>
      <c r="J31" s="40">
        <f>SUMIFS(BOM_raw!$E$2:$E$1001,BOM_raw!$A$2:$A$1001,$C31,BOM_raw!$F$2:$F$1001,"E")</f>
        <v>5.3000000000000005E-2</v>
      </c>
      <c r="K31" s="40">
        <f>SUMIFS(BOM_raw!$E$2:$E$1001,BOM_raw!$A$2:$A$1001,$C31,BOM_raw!$F$2:$F$1001,"I")</f>
        <v>5.8999999999999997E-2</v>
      </c>
      <c r="L31" s="40">
        <f>SUMIFS(BOM_raw!$E$2:$E$1001,BOM_raw!$A$2:$A$1001,$C31,BOM_raw!$F$2:$F$1001,"EE")</f>
        <v>0.10299999999999999</v>
      </c>
      <c r="M31" s="40">
        <f>SUMIFS(BOM_raw!$E$2:$E$1001,BOM_raw!$A$2:$A$1001,$C31,BOM_raw!$F$2:$F$1001,"HV")</f>
        <v>0.01</v>
      </c>
      <c r="N31" s="40">
        <f>SUMIFS(BOM_raw!$E$2:$E$1001,BOM_raw!$A$2:$A$1001,$C31,BOM_raw!$F$2:$F$1001,"SHARED")</f>
        <v>0.44900000000000001</v>
      </c>
      <c r="O31" s="40">
        <f t="shared" si="2"/>
        <v>1</v>
      </c>
      <c r="P31" s="40">
        <f t="shared" si="3"/>
        <v>0.68415210569037643</v>
      </c>
      <c r="Q31" s="40">
        <f t="shared" si="4"/>
        <v>0.19840411065020919</v>
      </c>
      <c r="R31" s="40">
        <f t="shared" si="5"/>
        <v>2.462947580485355E-2</v>
      </c>
      <c r="S31" s="40">
        <f t="shared" si="6"/>
        <v>3.6260061601589955E-2</v>
      </c>
      <c r="T31" s="40">
        <f t="shared" si="7"/>
        <v>4.0364974235732209E-2</v>
      </c>
      <c r="U31" s="40">
        <f t="shared" si="8"/>
        <v>7.0467666886108768E-2</v>
      </c>
      <c r="V31" s="40">
        <f t="shared" si="9"/>
        <v>6.8415210569037644E-3</v>
      </c>
      <c r="W31" s="40">
        <f t="shared" si="10"/>
        <v>0.30718429545497905</v>
      </c>
      <c r="X31" s="40">
        <f t="shared" si="11"/>
        <v>0.68415210569037654</v>
      </c>
      <c r="Y31" s="40">
        <f t="shared" si="12"/>
        <v>0</v>
      </c>
      <c r="Z31" s="40">
        <f t="shared" si="13"/>
        <v>1</v>
      </c>
      <c r="AA31" s="39" t="str">
        <f t="shared" si="14"/>
        <v>PASS</v>
      </c>
      <c r="AB31" s="38" t="s">
        <v>368</v>
      </c>
    </row>
    <row r="32" spans="1:28">
      <c r="A32" s="38" t="str">
        <f t="shared" si="0"/>
        <v>BASE_FIGURE_ICIO</v>
      </c>
      <c r="B32" s="38" t="str">
        <f>ICIO_intensity!A32</f>
        <v>HUN</v>
      </c>
      <c r="C32" s="38" t="str">
        <f>IF(COUNTIF(BOM_raw!$A$2:$A$1001,B32)&gt;0,B32,"OTHERS")</f>
        <v>OTHERS</v>
      </c>
      <c r="D32" s="38" t="str">
        <f t="shared" si="1"/>
        <v>OTHERS_FALLBACK</v>
      </c>
      <c r="E32" s="38" t="b">
        <f>ICIO_intensity!B32</f>
        <v>1</v>
      </c>
      <c r="F32" s="44">
        <f>ICIO_intensity!E32</f>
        <v>0.82620316330924515</v>
      </c>
      <c r="G32" s="44">
        <f>ICIO_intensity!H32</f>
        <v>0.17379683669075485</v>
      </c>
      <c r="H32" s="40">
        <f>SUMIFS(BOM_raw!$E$2:$E$1001,BOM_raw!$A$2:$A$1001,$C32,BOM_raw!$F$2:$F$1001,"T")</f>
        <v>0.29000000000000004</v>
      </c>
      <c r="I32" s="40">
        <f>SUMIFS(BOM_raw!$E$2:$E$1001,BOM_raw!$A$2:$A$1001,$C32,BOM_raw!$F$2:$F$1001,"M")</f>
        <v>3.5999999999999997E-2</v>
      </c>
      <c r="J32" s="40">
        <f>SUMIFS(BOM_raw!$E$2:$E$1001,BOM_raw!$A$2:$A$1001,$C32,BOM_raw!$F$2:$F$1001,"E")</f>
        <v>5.3000000000000005E-2</v>
      </c>
      <c r="K32" s="40">
        <f>SUMIFS(BOM_raw!$E$2:$E$1001,BOM_raw!$A$2:$A$1001,$C32,BOM_raw!$F$2:$F$1001,"I")</f>
        <v>5.8999999999999997E-2</v>
      </c>
      <c r="L32" s="40">
        <f>SUMIFS(BOM_raw!$E$2:$E$1001,BOM_raw!$A$2:$A$1001,$C32,BOM_raw!$F$2:$F$1001,"EE")</f>
        <v>0.10299999999999999</v>
      </c>
      <c r="M32" s="40">
        <f>SUMIFS(BOM_raw!$E$2:$E$1001,BOM_raw!$A$2:$A$1001,$C32,BOM_raw!$F$2:$F$1001,"HV")</f>
        <v>0.01</v>
      </c>
      <c r="N32" s="40">
        <f>SUMIFS(BOM_raw!$E$2:$E$1001,BOM_raw!$A$2:$A$1001,$C32,BOM_raw!$F$2:$F$1001,"SHARED")</f>
        <v>0.44900000000000001</v>
      </c>
      <c r="O32" s="40">
        <f t="shared" si="2"/>
        <v>1</v>
      </c>
      <c r="P32" s="40">
        <f t="shared" si="3"/>
        <v>0.82620316330924515</v>
      </c>
      <c r="Q32" s="40">
        <f t="shared" si="4"/>
        <v>0.23959891735968111</v>
      </c>
      <c r="R32" s="40">
        <f t="shared" si="5"/>
        <v>2.9743313879132822E-2</v>
      </c>
      <c r="S32" s="40">
        <f t="shared" si="6"/>
        <v>4.3788767655389998E-2</v>
      </c>
      <c r="T32" s="40">
        <f t="shared" si="7"/>
        <v>4.8745986635245458E-2</v>
      </c>
      <c r="U32" s="40">
        <f t="shared" si="8"/>
        <v>8.5098925820852239E-2</v>
      </c>
      <c r="V32" s="40">
        <f t="shared" si="9"/>
        <v>8.2620316330924513E-3</v>
      </c>
      <c r="W32" s="40">
        <f t="shared" si="10"/>
        <v>0.37096522032585105</v>
      </c>
      <c r="X32" s="40">
        <f t="shared" si="11"/>
        <v>0.82620316330924504</v>
      </c>
      <c r="Y32" s="40">
        <f t="shared" si="12"/>
        <v>0</v>
      </c>
      <c r="Z32" s="40">
        <f t="shared" si="13"/>
        <v>0.99999999999999989</v>
      </c>
      <c r="AA32" s="39" t="str">
        <f t="shared" si="14"/>
        <v>PASS</v>
      </c>
      <c r="AB32" s="38" t="s">
        <v>368</v>
      </c>
    </row>
    <row r="33" spans="1:28">
      <c r="A33" s="38" t="str">
        <f t="shared" si="0"/>
        <v>BASE_FIGURE_ICIO</v>
      </c>
      <c r="B33" s="38" t="str">
        <f>ICIO_intensity!A33</f>
        <v>IDN</v>
      </c>
      <c r="C33" s="38" t="str">
        <f>IF(COUNTIF(BOM_raw!$A$2:$A$1001,B33)&gt;0,B33,"OTHERS")</f>
        <v>OTHERS</v>
      </c>
      <c r="D33" s="38" t="str">
        <f t="shared" si="1"/>
        <v>OTHERS_FALLBACK</v>
      </c>
      <c r="E33" s="38" t="b">
        <f>ICIO_intensity!B33</f>
        <v>1</v>
      </c>
      <c r="F33" s="44">
        <f>ICIO_intensity!E33</f>
        <v>0.70604550524850929</v>
      </c>
      <c r="G33" s="44">
        <f>ICIO_intensity!H33</f>
        <v>0.29395449475149071</v>
      </c>
      <c r="H33" s="40">
        <f>SUMIFS(BOM_raw!$E$2:$E$1001,BOM_raw!$A$2:$A$1001,$C33,BOM_raw!$F$2:$F$1001,"T")</f>
        <v>0.29000000000000004</v>
      </c>
      <c r="I33" s="40">
        <f>SUMIFS(BOM_raw!$E$2:$E$1001,BOM_raw!$A$2:$A$1001,$C33,BOM_raw!$F$2:$F$1001,"M")</f>
        <v>3.5999999999999997E-2</v>
      </c>
      <c r="J33" s="40">
        <f>SUMIFS(BOM_raw!$E$2:$E$1001,BOM_raw!$A$2:$A$1001,$C33,BOM_raw!$F$2:$F$1001,"E")</f>
        <v>5.3000000000000005E-2</v>
      </c>
      <c r="K33" s="40">
        <f>SUMIFS(BOM_raw!$E$2:$E$1001,BOM_raw!$A$2:$A$1001,$C33,BOM_raw!$F$2:$F$1001,"I")</f>
        <v>5.8999999999999997E-2</v>
      </c>
      <c r="L33" s="40">
        <f>SUMIFS(BOM_raw!$E$2:$E$1001,BOM_raw!$A$2:$A$1001,$C33,BOM_raw!$F$2:$F$1001,"EE")</f>
        <v>0.10299999999999999</v>
      </c>
      <c r="M33" s="40">
        <f>SUMIFS(BOM_raw!$E$2:$E$1001,BOM_raw!$A$2:$A$1001,$C33,BOM_raw!$F$2:$F$1001,"HV")</f>
        <v>0.01</v>
      </c>
      <c r="N33" s="40">
        <f>SUMIFS(BOM_raw!$E$2:$E$1001,BOM_raw!$A$2:$A$1001,$C33,BOM_raw!$F$2:$F$1001,"SHARED")</f>
        <v>0.44900000000000001</v>
      </c>
      <c r="O33" s="40">
        <f t="shared" si="2"/>
        <v>1</v>
      </c>
      <c r="P33" s="40">
        <f t="shared" si="3"/>
        <v>0.70604550524850929</v>
      </c>
      <c r="Q33" s="40">
        <f t="shared" si="4"/>
        <v>0.20475319652206772</v>
      </c>
      <c r="R33" s="40">
        <f t="shared" si="5"/>
        <v>2.5417638188946334E-2</v>
      </c>
      <c r="S33" s="40">
        <f t="shared" si="6"/>
        <v>3.7420411778170994E-2</v>
      </c>
      <c r="T33" s="40">
        <f t="shared" si="7"/>
        <v>4.1656684809662045E-2</v>
      </c>
      <c r="U33" s="40">
        <f t="shared" si="8"/>
        <v>7.2722687040596451E-2</v>
      </c>
      <c r="V33" s="40">
        <f t="shared" si="9"/>
        <v>7.0604550524850929E-3</v>
      </c>
      <c r="W33" s="40">
        <f t="shared" si="10"/>
        <v>0.31701443185658068</v>
      </c>
      <c r="X33" s="40">
        <f t="shared" si="11"/>
        <v>0.70604550524850929</v>
      </c>
      <c r="Y33" s="40">
        <f t="shared" si="12"/>
        <v>0</v>
      </c>
      <c r="Z33" s="40">
        <f t="shared" si="13"/>
        <v>1</v>
      </c>
      <c r="AA33" s="39" t="str">
        <f t="shared" si="14"/>
        <v>PASS</v>
      </c>
      <c r="AB33" s="38" t="s">
        <v>368</v>
      </c>
    </row>
    <row r="34" spans="1:28">
      <c r="A34" s="38" t="str">
        <f t="shared" ref="A34:A65" si="15">"BASE_FIGURE_ICIO"</f>
        <v>BASE_FIGURE_ICIO</v>
      </c>
      <c r="B34" s="38" t="str">
        <f>ICIO_intensity!A34</f>
        <v>IND</v>
      </c>
      <c r="C34" s="38" t="str">
        <f>IF(COUNTIF(BOM_raw!$A$2:$A$1001,B34)&gt;0,B34,"OTHERS")</f>
        <v>OTHERS</v>
      </c>
      <c r="D34" s="38" t="str">
        <f t="shared" ref="D34:D65" si="16">IF(C34=B34,"EXACT","OTHERS_FALLBACK")</f>
        <v>OTHERS_FALLBACK</v>
      </c>
      <c r="E34" s="38" t="b">
        <f>ICIO_intensity!B34</f>
        <v>1</v>
      </c>
      <c r="F34" s="44">
        <f>ICIO_intensity!E34</f>
        <v>0.73945800744875145</v>
      </c>
      <c r="G34" s="44">
        <f>ICIO_intensity!H34</f>
        <v>0.26054199255124855</v>
      </c>
      <c r="H34" s="40">
        <f>SUMIFS(BOM_raw!$E$2:$E$1001,BOM_raw!$A$2:$A$1001,$C34,BOM_raw!$F$2:$F$1001,"T")</f>
        <v>0.29000000000000004</v>
      </c>
      <c r="I34" s="40">
        <f>SUMIFS(BOM_raw!$E$2:$E$1001,BOM_raw!$A$2:$A$1001,$C34,BOM_raw!$F$2:$F$1001,"M")</f>
        <v>3.5999999999999997E-2</v>
      </c>
      <c r="J34" s="40">
        <f>SUMIFS(BOM_raw!$E$2:$E$1001,BOM_raw!$A$2:$A$1001,$C34,BOM_raw!$F$2:$F$1001,"E")</f>
        <v>5.3000000000000005E-2</v>
      </c>
      <c r="K34" s="40">
        <f>SUMIFS(BOM_raw!$E$2:$E$1001,BOM_raw!$A$2:$A$1001,$C34,BOM_raw!$F$2:$F$1001,"I")</f>
        <v>5.8999999999999997E-2</v>
      </c>
      <c r="L34" s="40">
        <f>SUMIFS(BOM_raw!$E$2:$E$1001,BOM_raw!$A$2:$A$1001,$C34,BOM_raw!$F$2:$F$1001,"EE")</f>
        <v>0.10299999999999999</v>
      </c>
      <c r="M34" s="40">
        <f>SUMIFS(BOM_raw!$E$2:$E$1001,BOM_raw!$A$2:$A$1001,$C34,BOM_raw!$F$2:$F$1001,"HV")</f>
        <v>0.01</v>
      </c>
      <c r="N34" s="40">
        <f>SUMIFS(BOM_raw!$E$2:$E$1001,BOM_raw!$A$2:$A$1001,$C34,BOM_raw!$F$2:$F$1001,"SHARED")</f>
        <v>0.44900000000000001</v>
      </c>
      <c r="O34" s="40">
        <f t="shared" ref="O34:O65" si="17">SUM(H34:N34)</f>
        <v>1</v>
      </c>
      <c r="P34" s="40">
        <f t="shared" ref="P34:P65" si="18">IF(E34,F34,0)</f>
        <v>0.73945800744875145</v>
      </c>
      <c r="Q34" s="40">
        <f t="shared" ref="Q34:Q65" si="19">P34*H34</f>
        <v>0.21444282216013794</v>
      </c>
      <c r="R34" s="40">
        <f t="shared" ref="R34:R65" si="20">P34*I34</f>
        <v>2.6620488268155051E-2</v>
      </c>
      <c r="S34" s="40">
        <f t="shared" ref="S34:S65" si="21">P34*J34</f>
        <v>3.9191274394783829E-2</v>
      </c>
      <c r="T34" s="40">
        <f t="shared" ref="T34:T65" si="22">P34*K34</f>
        <v>4.3628022439476333E-2</v>
      </c>
      <c r="U34" s="40">
        <f t="shared" ref="U34:U65" si="23">P34*L34</f>
        <v>7.6164174767221399E-2</v>
      </c>
      <c r="V34" s="40">
        <f t="shared" ref="V34:V65" si="24">P34*M34</f>
        <v>7.3945800744875147E-3</v>
      </c>
      <c r="W34" s="40">
        <f t="shared" ref="W34:W65" si="25">P34*N34</f>
        <v>0.33201664534448944</v>
      </c>
      <c r="X34" s="40">
        <f t="shared" ref="X34:X65" si="26">SUM(Q34:W34)</f>
        <v>0.73945800744875145</v>
      </c>
      <c r="Y34" s="40">
        <f t="shared" ref="Y34:Y65" si="27">X34-F34</f>
        <v>0</v>
      </c>
      <c r="Z34" s="40">
        <f t="shared" ref="Z34:Z65" si="28">X34+G34</f>
        <v>1</v>
      </c>
      <c r="AA34" s="39" t="str">
        <f t="shared" ref="AA34:AA65" si="29">IF(E34,IF(AND(ABS(O34-1)&lt;0.0000001,ABS(Y34)&lt;0.0000001,ABS(Z34-1)&lt;0.0000001),"PASS","FAIL"),"INACTIVE")</f>
        <v>PASS</v>
      </c>
      <c r="AB34" s="38" t="s">
        <v>368</v>
      </c>
    </row>
    <row r="35" spans="1:28">
      <c r="A35" s="38" t="str">
        <f t="shared" si="15"/>
        <v>BASE_FIGURE_ICIO</v>
      </c>
      <c r="B35" s="38" t="str">
        <f>ICIO_intensity!A35</f>
        <v>IRL</v>
      </c>
      <c r="C35" s="38" t="str">
        <f>IF(COUNTIF(BOM_raw!$A$2:$A$1001,B35)&gt;0,B35,"OTHERS")</f>
        <v>OTHERS</v>
      </c>
      <c r="D35" s="38" t="str">
        <f t="shared" si="16"/>
        <v>OTHERS_FALLBACK</v>
      </c>
      <c r="E35" s="38" t="b">
        <f>ICIO_intensity!B35</f>
        <v>1</v>
      </c>
      <c r="F35" s="44">
        <f>ICIO_intensity!E35</f>
        <v>0.51026159733281651</v>
      </c>
      <c r="G35" s="44">
        <f>ICIO_intensity!H35</f>
        <v>0.48973840266718349</v>
      </c>
      <c r="H35" s="40">
        <f>SUMIFS(BOM_raw!$E$2:$E$1001,BOM_raw!$A$2:$A$1001,$C35,BOM_raw!$F$2:$F$1001,"T")</f>
        <v>0.29000000000000004</v>
      </c>
      <c r="I35" s="40">
        <f>SUMIFS(BOM_raw!$E$2:$E$1001,BOM_raw!$A$2:$A$1001,$C35,BOM_raw!$F$2:$F$1001,"M")</f>
        <v>3.5999999999999997E-2</v>
      </c>
      <c r="J35" s="40">
        <f>SUMIFS(BOM_raw!$E$2:$E$1001,BOM_raw!$A$2:$A$1001,$C35,BOM_raw!$F$2:$F$1001,"E")</f>
        <v>5.3000000000000005E-2</v>
      </c>
      <c r="K35" s="40">
        <f>SUMIFS(BOM_raw!$E$2:$E$1001,BOM_raw!$A$2:$A$1001,$C35,BOM_raw!$F$2:$F$1001,"I")</f>
        <v>5.8999999999999997E-2</v>
      </c>
      <c r="L35" s="40">
        <f>SUMIFS(BOM_raw!$E$2:$E$1001,BOM_raw!$A$2:$A$1001,$C35,BOM_raw!$F$2:$F$1001,"EE")</f>
        <v>0.10299999999999999</v>
      </c>
      <c r="M35" s="40">
        <f>SUMIFS(BOM_raw!$E$2:$E$1001,BOM_raw!$A$2:$A$1001,$C35,BOM_raw!$F$2:$F$1001,"HV")</f>
        <v>0.01</v>
      </c>
      <c r="N35" s="40">
        <f>SUMIFS(BOM_raw!$E$2:$E$1001,BOM_raw!$A$2:$A$1001,$C35,BOM_raw!$F$2:$F$1001,"SHARED")</f>
        <v>0.44900000000000001</v>
      </c>
      <c r="O35" s="40">
        <f t="shared" si="17"/>
        <v>1</v>
      </c>
      <c r="P35" s="40">
        <f t="shared" si="18"/>
        <v>0.51026159733281651</v>
      </c>
      <c r="Q35" s="40">
        <f t="shared" si="19"/>
        <v>0.14797586322651682</v>
      </c>
      <c r="R35" s="40">
        <f t="shared" si="20"/>
        <v>1.8369417503981394E-2</v>
      </c>
      <c r="S35" s="40">
        <f t="shared" si="21"/>
        <v>2.7043864658639279E-2</v>
      </c>
      <c r="T35" s="40">
        <f t="shared" si="22"/>
        <v>3.0105434242636172E-2</v>
      </c>
      <c r="U35" s="40">
        <f t="shared" si="23"/>
        <v>5.2556944525280098E-2</v>
      </c>
      <c r="V35" s="40">
        <f t="shared" si="24"/>
        <v>5.102615973328165E-3</v>
      </c>
      <c r="W35" s="40">
        <f t="shared" si="25"/>
        <v>0.22910745720243461</v>
      </c>
      <c r="X35" s="40">
        <f t="shared" si="26"/>
        <v>0.51026159733281651</v>
      </c>
      <c r="Y35" s="40">
        <f t="shared" si="27"/>
        <v>0</v>
      </c>
      <c r="Z35" s="40">
        <f t="shared" si="28"/>
        <v>1</v>
      </c>
      <c r="AA35" s="39" t="str">
        <f t="shared" si="29"/>
        <v>PASS</v>
      </c>
      <c r="AB35" s="38" t="s">
        <v>368</v>
      </c>
    </row>
    <row r="36" spans="1:28">
      <c r="A36" s="38" t="str">
        <f t="shared" si="15"/>
        <v>BASE_FIGURE_ICIO</v>
      </c>
      <c r="B36" s="38" t="str">
        <f>ICIO_intensity!A36</f>
        <v>ISL</v>
      </c>
      <c r="C36" s="38" t="str">
        <f>IF(COUNTIF(BOM_raw!$A$2:$A$1001,B36)&gt;0,B36,"OTHERS")</f>
        <v>OTHERS</v>
      </c>
      <c r="D36" s="38" t="str">
        <f t="shared" si="16"/>
        <v>OTHERS_FALLBACK</v>
      </c>
      <c r="E36" s="38" t="b">
        <f>ICIO_intensity!B36</f>
        <v>1</v>
      </c>
      <c r="F36" s="44">
        <f>ICIO_intensity!E36</f>
        <v>0.58886347015695029</v>
      </c>
      <c r="G36" s="44">
        <f>ICIO_intensity!H36</f>
        <v>0.41113652984304971</v>
      </c>
      <c r="H36" s="40">
        <f>SUMIFS(BOM_raw!$E$2:$E$1001,BOM_raw!$A$2:$A$1001,$C36,BOM_raw!$F$2:$F$1001,"T")</f>
        <v>0.29000000000000004</v>
      </c>
      <c r="I36" s="40">
        <f>SUMIFS(BOM_raw!$E$2:$E$1001,BOM_raw!$A$2:$A$1001,$C36,BOM_raw!$F$2:$F$1001,"M")</f>
        <v>3.5999999999999997E-2</v>
      </c>
      <c r="J36" s="40">
        <f>SUMIFS(BOM_raw!$E$2:$E$1001,BOM_raw!$A$2:$A$1001,$C36,BOM_raw!$F$2:$F$1001,"E")</f>
        <v>5.3000000000000005E-2</v>
      </c>
      <c r="K36" s="40">
        <f>SUMIFS(BOM_raw!$E$2:$E$1001,BOM_raw!$A$2:$A$1001,$C36,BOM_raw!$F$2:$F$1001,"I")</f>
        <v>5.8999999999999997E-2</v>
      </c>
      <c r="L36" s="40">
        <f>SUMIFS(BOM_raw!$E$2:$E$1001,BOM_raw!$A$2:$A$1001,$C36,BOM_raw!$F$2:$F$1001,"EE")</f>
        <v>0.10299999999999999</v>
      </c>
      <c r="M36" s="40">
        <f>SUMIFS(BOM_raw!$E$2:$E$1001,BOM_raw!$A$2:$A$1001,$C36,BOM_raw!$F$2:$F$1001,"HV")</f>
        <v>0.01</v>
      </c>
      <c r="N36" s="40">
        <f>SUMIFS(BOM_raw!$E$2:$E$1001,BOM_raw!$A$2:$A$1001,$C36,BOM_raw!$F$2:$F$1001,"SHARED")</f>
        <v>0.44900000000000001</v>
      </c>
      <c r="O36" s="40">
        <f t="shared" si="17"/>
        <v>1</v>
      </c>
      <c r="P36" s="40">
        <f t="shared" si="18"/>
        <v>0.58886347015695029</v>
      </c>
      <c r="Q36" s="40">
        <f t="shared" si="19"/>
        <v>0.1707704063455156</v>
      </c>
      <c r="R36" s="40">
        <f t="shared" si="20"/>
        <v>2.1199084925650209E-2</v>
      </c>
      <c r="S36" s="40">
        <f t="shared" si="21"/>
        <v>3.1209763918318367E-2</v>
      </c>
      <c r="T36" s="40">
        <f t="shared" si="22"/>
        <v>3.4742944739260068E-2</v>
      </c>
      <c r="U36" s="40">
        <f t="shared" si="23"/>
        <v>6.0652937426165877E-2</v>
      </c>
      <c r="V36" s="40">
        <f t="shared" si="24"/>
        <v>5.8886347015695032E-3</v>
      </c>
      <c r="W36" s="40">
        <f t="shared" si="25"/>
        <v>0.2643996981004707</v>
      </c>
      <c r="X36" s="40">
        <f t="shared" si="26"/>
        <v>0.5888634701569504</v>
      </c>
      <c r="Y36" s="40">
        <f t="shared" si="27"/>
        <v>0</v>
      </c>
      <c r="Z36" s="40">
        <f t="shared" si="28"/>
        <v>1</v>
      </c>
      <c r="AA36" s="39" t="str">
        <f t="shared" si="29"/>
        <v>PASS</v>
      </c>
      <c r="AB36" s="38" t="s">
        <v>368</v>
      </c>
    </row>
    <row r="37" spans="1:28">
      <c r="A37" s="38" t="str">
        <f t="shared" si="15"/>
        <v>BASE_FIGURE_ICIO</v>
      </c>
      <c r="B37" s="38" t="str">
        <f>ICIO_intensity!A37</f>
        <v>ISR</v>
      </c>
      <c r="C37" s="38" t="str">
        <f>IF(COUNTIF(BOM_raw!$A$2:$A$1001,B37)&gt;0,B37,"OTHERS")</f>
        <v>OTHERS</v>
      </c>
      <c r="D37" s="38" t="str">
        <f t="shared" si="16"/>
        <v>OTHERS_FALLBACK</v>
      </c>
      <c r="E37" s="38" t="b">
        <f>ICIO_intensity!B37</f>
        <v>1</v>
      </c>
      <c r="F37" s="44">
        <f>ICIO_intensity!E37</f>
        <v>0.69582775828263077</v>
      </c>
      <c r="G37" s="44">
        <f>ICIO_intensity!H37</f>
        <v>0.30417224171736923</v>
      </c>
      <c r="H37" s="40">
        <f>SUMIFS(BOM_raw!$E$2:$E$1001,BOM_raw!$A$2:$A$1001,$C37,BOM_raw!$F$2:$F$1001,"T")</f>
        <v>0.29000000000000004</v>
      </c>
      <c r="I37" s="40">
        <f>SUMIFS(BOM_raw!$E$2:$E$1001,BOM_raw!$A$2:$A$1001,$C37,BOM_raw!$F$2:$F$1001,"M")</f>
        <v>3.5999999999999997E-2</v>
      </c>
      <c r="J37" s="40">
        <f>SUMIFS(BOM_raw!$E$2:$E$1001,BOM_raw!$A$2:$A$1001,$C37,BOM_raw!$F$2:$F$1001,"E")</f>
        <v>5.3000000000000005E-2</v>
      </c>
      <c r="K37" s="40">
        <f>SUMIFS(BOM_raw!$E$2:$E$1001,BOM_raw!$A$2:$A$1001,$C37,BOM_raw!$F$2:$F$1001,"I")</f>
        <v>5.8999999999999997E-2</v>
      </c>
      <c r="L37" s="40">
        <f>SUMIFS(BOM_raw!$E$2:$E$1001,BOM_raw!$A$2:$A$1001,$C37,BOM_raw!$F$2:$F$1001,"EE")</f>
        <v>0.10299999999999999</v>
      </c>
      <c r="M37" s="40">
        <f>SUMIFS(BOM_raw!$E$2:$E$1001,BOM_raw!$A$2:$A$1001,$C37,BOM_raw!$F$2:$F$1001,"HV")</f>
        <v>0.01</v>
      </c>
      <c r="N37" s="40">
        <f>SUMIFS(BOM_raw!$E$2:$E$1001,BOM_raw!$A$2:$A$1001,$C37,BOM_raw!$F$2:$F$1001,"SHARED")</f>
        <v>0.44900000000000001</v>
      </c>
      <c r="O37" s="40">
        <f t="shared" si="17"/>
        <v>1</v>
      </c>
      <c r="P37" s="40">
        <f t="shared" si="18"/>
        <v>0.69582775828263077</v>
      </c>
      <c r="Q37" s="40">
        <f t="shared" si="19"/>
        <v>0.20179004990196295</v>
      </c>
      <c r="R37" s="40">
        <f t="shared" si="20"/>
        <v>2.5049799298174705E-2</v>
      </c>
      <c r="S37" s="40">
        <f t="shared" si="21"/>
        <v>3.6878871188979437E-2</v>
      </c>
      <c r="T37" s="40">
        <f t="shared" si="22"/>
        <v>4.1053837738675214E-2</v>
      </c>
      <c r="U37" s="40">
        <f t="shared" si="23"/>
        <v>7.1670259103110964E-2</v>
      </c>
      <c r="V37" s="40">
        <f t="shared" si="24"/>
        <v>6.9582775828263077E-3</v>
      </c>
      <c r="W37" s="40">
        <f t="shared" si="25"/>
        <v>0.31242666346890124</v>
      </c>
      <c r="X37" s="40">
        <f t="shared" si="26"/>
        <v>0.69582775828263088</v>
      </c>
      <c r="Y37" s="40">
        <f t="shared" si="27"/>
        <v>0</v>
      </c>
      <c r="Z37" s="40">
        <f t="shared" si="28"/>
        <v>1</v>
      </c>
      <c r="AA37" s="39" t="str">
        <f t="shared" si="29"/>
        <v>PASS</v>
      </c>
      <c r="AB37" s="38" t="s">
        <v>368</v>
      </c>
    </row>
    <row r="38" spans="1:28">
      <c r="A38" s="38" t="str">
        <f t="shared" si="15"/>
        <v>BASE_FIGURE_ICIO</v>
      </c>
      <c r="B38" s="38" t="str">
        <f>ICIO_intensity!A38</f>
        <v>ITA</v>
      </c>
      <c r="C38" s="38" t="str">
        <f>IF(COUNTIF(BOM_raw!$A$2:$A$1001,B38)&gt;0,B38,"OTHERS")</f>
        <v>OTHERS</v>
      </c>
      <c r="D38" s="38" t="str">
        <f t="shared" si="16"/>
        <v>OTHERS_FALLBACK</v>
      </c>
      <c r="E38" s="38" t="b">
        <f>ICIO_intensity!B38</f>
        <v>1</v>
      </c>
      <c r="F38" s="44">
        <f>ICIO_intensity!E38</f>
        <v>0.76307454335051972</v>
      </c>
      <c r="G38" s="44">
        <f>ICIO_intensity!H38</f>
        <v>0.23692545664948028</v>
      </c>
      <c r="H38" s="40">
        <f>SUMIFS(BOM_raw!$E$2:$E$1001,BOM_raw!$A$2:$A$1001,$C38,BOM_raw!$F$2:$F$1001,"T")</f>
        <v>0.29000000000000004</v>
      </c>
      <c r="I38" s="40">
        <f>SUMIFS(BOM_raw!$E$2:$E$1001,BOM_raw!$A$2:$A$1001,$C38,BOM_raw!$F$2:$F$1001,"M")</f>
        <v>3.5999999999999997E-2</v>
      </c>
      <c r="J38" s="40">
        <f>SUMIFS(BOM_raw!$E$2:$E$1001,BOM_raw!$A$2:$A$1001,$C38,BOM_raw!$F$2:$F$1001,"E")</f>
        <v>5.3000000000000005E-2</v>
      </c>
      <c r="K38" s="40">
        <f>SUMIFS(BOM_raw!$E$2:$E$1001,BOM_raw!$A$2:$A$1001,$C38,BOM_raw!$F$2:$F$1001,"I")</f>
        <v>5.8999999999999997E-2</v>
      </c>
      <c r="L38" s="40">
        <f>SUMIFS(BOM_raw!$E$2:$E$1001,BOM_raw!$A$2:$A$1001,$C38,BOM_raw!$F$2:$F$1001,"EE")</f>
        <v>0.10299999999999999</v>
      </c>
      <c r="M38" s="40">
        <f>SUMIFS(BOM_raw!$E$2:$E$1001,BOM_raw!$A$2:$A$1001,$C38,BOM_raw!$F$2:$F$1001,"HV")</f>
        <v>0.01</v>
      </c>
      <c r="N38" s="40">
        <f>SUMIFS(BOM_raw!$E$2:$E$1001,BOM_raw!$A$2:$A$1001,$C38,BOM_raw!$F$2:$F$1001,"SHARED")</f>
        <v>0.44900000000000001</v>
      </c>
      <c r="O38" s="40">
        <f t="shared" si="17"/>
        <v>1</v>
      </c>
      <c r="P38" s="40">
        <f t="shared" si="18"/>
        <v>0.76307454335051972</v>
      </c>
      <c r="Q38" s="40">
        <f t="shared" si="19"/>
        <v>0.22129161757165075</v>
      </c>
      <c r="R38" s="40">
        <f t="shared" si="20"/>
        <v>2.7470683560618707E-2</v>
      </c>
      <c r="S38" s="40">
        <f t="shared" si="21"/>
        <v>4.0442950797577551E-2</v>
      </c>
      <c r="T38" s="40">
        <f t="shared" si="22"/>
        <v>4.5021398057680663E-2</v>
      </c>
      <c r="U38" s="40">
        <f t="shared" si="23"/>
        <v>7.8596677965103529E-2</v>
      </c>
      <c r="V38" s="40">
        <f t="shared" si="24"/>
        <v>7.6307454335051974E-3</v>
      </c>
      <c r="W38" s="40">
        <f t="shared" si="25"/>
        <v>0.34262046996438333</v>
      </c>
      <c r="X38" s="40">
        <f t="shared" si="26"/>
        <v>0.76307454335051972</v>
      </c>
      <c r="Y38" s="40">
        <f t="shared" si="27"/>
        <v>0</v>
      </c>
      <c r="Z38" s="40">
        <f t="shared" si="28"/>
        <v>1</v>
      </c>
      <c r="AA38" s="39" t="str">
        <f t="shared" si="29"/>
        <v>PASS</v>
      </c>
      <c r="AB38" s="38" t="s">
        <v>368</v>
      </c>
    </row>
    <row r="39" spans="1:28">
      <c r="A39" s="38" t="str">
        <f t="shared" si="15"/>
        <v>BASE_FIGURE_ICIO</v>
      </c>
      <c r="B39" s="38" t="str">
        <f>ICIO_intensity!A39</f>
        <v>JOR</v>
      </c>
      <c r="C39" s="38" t="str">
        <f>IF(COUNTIF(BOM_raw!$A$2:$A$1001,B39)&gt;0,B39,"OTHERS")</f>
        <v>OTHERS</v>
      </c>
      <c r="D39" s="38" t="str">
        <f t="shared" si="16"/>
        <v>OTHERS_FALLBACK</v>
      </c>
      <c r="E39" s="38" t="b">
        <f>ICIO_intensity!B39</f>
        <v>1</v>
      </c>
      <c r="F39" s="44">
        <f>ICIO_intensity!E39</f>
        <v>0.62188939015845701</v>
      </c>
      <c r="G39" s="44">
        <f>ICIO_intensity!H39</f>
        <v>0.37811060984154299</v>
      </c>
      <c r="H39" s="40">
        <f>SUMIFS(BOM_raw!$E$2:$E$1001,BOM_raw!$A$2:$A$1001,$C39,BOM_raw!$F$2:$F$1001,"T")</f>
        <v>0.29000000000000004</v>
      </c>
      <c r="I39" s="40">
        <f>SUMIFS(BOM_raw!$E$2:$E$1001,BOM_raw!$A$2:$A$1001,$C39,BOM_raw!$F$2:$F$1001,"M")</f>
        <v>3.5999999999999997E-2</v>
      </c>
      <c r="J39" s="40">
        <f>SUMIFS(BOM_raw!$E$2:$E$1001,BOM_raw!$A$2:$A$1001,$C39,BOM_raw!$F$2:$F$1001,"E")</f>
        <v>5.3000000000000005E-2</v>
      </c>
      <c r="K39" s="40">
        <f>SUMIFS(BOM_raw!$E$2:$E$1001,BOM_raw!$A$2:$A$1001,$C39,BOM_raw!$F$2:$F$1001,"I")</f>
        <v>5.8999999999999997E-2</v>
      </c>
      <c r="L39" s="40">
        <f>SUMIFS(BOM_raw!$E$2:$E$1001,BOM_raw!$A$2:$A$1001,$C39,BOM_raw!$F$2:$F$1001,"EE")</f>
        <v>0.10299999999999999</v>
      </c>
      <c r="M39" s="40">
        <f>SUMIFS(BOM_raw!$E$2:$E$1001,BOM_raw!$A$2:$A$1001,$C39,BOM_raw!$F$2:$F$1001,"HV")</f>
        <v>0.01</v>
      </c>
      <c r="N39" s="40">
        <f>SUMIFS(BOM_raw!$E$2:$E$1001,BOM_raw!$A$2:$A$1001,$C39,BOM_raw!$F$2:$F$1001,"SHARED")</f>
        <v>0.44900000000000001</v>
      </c>
      <c r="O39" s="40">
        <f t="shared" si="17"/>
        <v>1</v>
      </c>
      <c r="P39" s="40">
        <f t="shared" si="18"/>
        <v>0.62188939015845701</v>
      </c>
      <c r="Q39" s="40">
        <f t="shared" si="19"/>
        <v>0.18034792314595255</v>
      </c>
      <c r="R39" s="40">
        <f t="shared" si="20"/>
        <v>2.238801804570445E-2</v>
      </c>
      <c r="S39" s="40">
        <f t="shared" si="21"/>
        <v>3.2960137678398227E-2</v>
      </c>
      <c r="T39" s="40">
        <f t="shared" si="22"/>
        <v>3.6691474019348962E-2</v>
      </c>
      <c r="U39" s="40">
        <f t="shared" si="23"/>
        <v>6.4054607186321069E-2</v>
      </c>
      <c r="V39" s="40">
        <f t="shared" si="24"/>
        <v>6.2188939015845705E-3</v>
      </c>
      <c r="W39" s="40">
        <f t="shared" si="25"/>
        <v>0.27922833618114723</v>
      </c>
      <c r="X39" s="40">
        <f t="shared" si="26"/>
        <v>0.62188939015845701</v>
      </c>
      <c r="Y39" s="40">
        <f t="shared" si="27"/>
        <v>0</v>
      </c>
      <c r="Z39" s="40">
        <f t="shared" si="28"/>
        <v>1</v>
      </c>
      <c r="AA39" s="39" t="str">
        <f t="shared" si="29"/>
        <v>PASS</v>
      </c>
      <c r="AB39" s="38" t="s">
        <v>368</v>
      </c>
    </row>
    <row r="40" spans="1:28">
      <c r="A40" s="38" t="str">
        <f t="shared" si="15"/>
        <v>BASE_FIGURE_ICIO</v>
      </c>
      <c r="B40" s="38" t="str">
        <f>ICIO_intensity!A40</f>
        <v>JPN</v>
      </c>
      <c r="C40" s="38" t="str">
        <f>IF(COUNTIF(BOM_raw!$A$2:$A$1001,B40)&gt;0,B40,"OTHERS")</f>
        <v>JPN</v>
      </c>
      <c r="D40" s="38" t="str">
        <f t="shared" si="16"/>
        <v>EXACT</v>
      </c>
      <c r="E40" s="38" t="b">
        <f>ICIO_intensity!B40</f>
        <v>1</v>
      </c>
      <c r="F40" s="44">
        <f>ICIO_intensity!E40</f>
        <v>0.73472785745340241</v>
      </c>
      <c r="G40" s="44">
        <f>ICIO_intensity!H40</f>
        <v>0.26527214254659759</v>
      </c>
      <c r="H40" s="40">
        <f>SUMIFS(BOM_raw!$E$2:$E$1001,BOM_raw!$A$2:$A$1001,$C40,BOM_raw!$F$2:$F$1001,"T")</f>
        <v>0.23335000000000003</v>
      </c>
      <c r="I40" s="40">
        <f>SUMIFS(BOM_raw!$E$2:$E$1001,BOM_raw!$A$2:$A$1001,$C40,BOM_raw!$F$2:$F$1001,"M")</f>
        <v>3.5999999999999997E-2</v>
      </c>
      <c r="J40" s="40">
        <f>SUMIFS(BOM_raw!$E$2:$E$1001,BOM_raw!$A$2:$A$1001,$C40,BOM_raw!$F$2:$F$1001,"E")</f>
        <v>5.3000000000000005E-2</v>
      </c>
      <c r="K40" s="40">
        <f>SUMIFS(BOM_raw!$E$2:$E$1001,BOM_raw!$A$2:$A$1001,$C40,BOM_raw!$F$2:$F$1001,"I")</f>
        <v>5.8999999999999997E-2</v>
      </c>
      <c r="L40" s="40">
        <f>SUMIFS(BOM_raw!$E$2:$E$1001,BOM_raw!$A$2:$A$1001,$C40,BOM_raw!$F$2:$F$1001,"EE")</f>
        <v>0.10299999999999999</v>
      </c>
      <c r="M40" s="40">
        <f>SUMIFS(BOM_raw!$E$2:$E$1001,BOM_raw!$A$2:$A$1001,$C40,BOM_raw!$F$2:$F$1001,"HV")</f>
        <v>0.01</v>
      </c>
      <c r="N40" s="40">
        <f>SUMIFS(BOM_raw!$E$2:$E$1001,BOM_raw!$A$2:$A$1001,$C40,BOM_raw!$F$2:$F$1001,"SHARED")</f>
        <v>0.50565000000000004</v>
      </c>
      <c r="O40" s="40">
        <f t="shared" si="17"/>
        <v>1</v>
      </c>
      <c r="P40" s="40">
        <f t="shared" si="18"/>
        <v>0.73472785745340241</v>
      </c>
      <c r="Q40" s="40">
        <f t="shared" si="19"/>
        <v>0.17144874553675146</v>
      </c>
      <c r="R40" s="40">
        <f t="shared" si="20"/>
        <v>2.6450202868322486E-2</v>
      </c>
      <c r="S40" s="40">
        <f t="shared" si="21"/>
        <v>3.894057644503033E-2</v>
      </c>
      <c r="T40" s="40">
        <f t="shared" si="22"/>
        <v>4.3348943589750742E-2</v>
      </c>
      <c r="U40" s="40">
        <f t="shared" si="23"/>
        <v>7.5676969317700446E-2</v>
      </c>
      <c r="V40" s="40">
        <f t="shared" si="24"/>
        <v>7.3472785745340241E-3</v>
      </c>
      <c r="W40" s="40">
        <f t="shared" si="25"/>
        <v>0.37151514112131295</v>
      </c>
      <c r="X40" s="40">
        <f t="shared" si="26"/>
        <v>0.73472785745340241</v>
      </c>
      <c r="Y40" s="40">
        <f t="shared" si="27"/>
        <v>0</v>
      </c>
      <c r="Z40" s="40">
        <f t="shared" si="28"/>
        <v>1</v>
      </c>
      <c r="AA40" s="39" t="str">
        <f t="shared" si="29"/>
        <v>PASS</v>
      </c>
      <c r="AB40" s="38" t="s">
        <v>368</v>
      </c>
    </row>
    <row r="41" spans="1:28">
      <c r="A41" s="38" t="str">
        <f t="shared" si="15"/>
        <v>BASE_FIGURE_ICIO</v>
      </c>
      <c r="B41" s="38" t="str">
        <f>ICIO_intensity!A41</f>
        <v>KAZ</v>
      </c>
      <c r="C41" s="38" t="str">
        <f>IF(COUNTIF(BOM_raw!$A$2:$A$1001,B41)&gt;0,B41,"OTHERS")</f>
        <v>OTHERS</v>
      </c>
      <c r="D41" s="38" t="str">
        <f t="shared" si="16"/>
        <v>OTHERS_FALLBACK</v>
      </c>
      <c r="E41" s="38" t="b">
        <f>ICIO_intensity!B41</f>
        <v>1</v>
      </c>
      <c r="F41" s="44">
        <f>ICIO_intensity!E41</f>
        <v>0.49118683601186686</v>
      </c>
      <c r="G41" s="44">
        <f>ICIO_intensity!H41</f>
        <v>0.50881316398813314</v>
      </c>
      <c r="H41" s="40">
        <f>SUMIFS(BOM_raw!$E$2:$E$1001,BOM_raw!$A$2:$A$1001,$C41,BOM_raw!$F$2:$F$1001,"T")</f>
        <v>0.29000000000000004</v>
      </c>
      <c r="I41" s="40">
        <f>SUMIFS(BOM_raw!$E$2:$E$1001,BOM_raw!$A$2:$A$1001,$C41,BOM_raw!$F$2:$F$1001,"M")</f>
        <v>3.5999999999999997E-2</v>
      </c>
      <c r="J41" s="40">
        <f>SUMIFS(BOM_raw!$E$2:$E$1001,BOM_raw!$A$2:$A$1001,$C41,BOM_raw!$F$2:$F$1001,"E")</f>
        <v>5.3000000000000005E-2</v>
      </c>
      <c r="K41" s="40">
        <f>SUMIFS(BOM_raw!$E$2:$E$1001,BOM_raw!$A$2:$A$1001,$C41,BOM_raw!$F$2:$F$1001,"I")</f>
        <v>5.8999999999999997E-2</v>
      </c>
      <c r="L41" s="40">
        <f>SUMIFS(BOM_raw!$E$2:$E$1001,BOM_raw!$A$2:$A$1001,$C41,BOM_raw!$F$2:$F$1001,"EE")</f>
        <v>0.10299999999999999</v>
      </c>
      <c r="M41" s="40">
        <f>SUMIFS(BOM_raw!$E$2:$E$1001,BOM_raw!$A$2:$A$1001,$C41,BOM_raw!$F$2:$F$1001,"HV")</f>
        <v>0.01</v>
      </c>
      <c r="N41" s="40">
        <f>SUMIFS(BOM_raw!$E$2:$E$1001,BOM_raw!$A$2:$A$1001,$C41,BOM_raw!$F$2:$F$1001,"SHARED")</f>
        <v>0.44900000000000001</v>
      </c>
      <c r="O41" s="40">
        <f t="shared" si="17"/>
        <v>1</v>
      </c>
      <c r="P41" s="40">
        <f t="shared" si="18"/>
        <v>0.49118683601186686</v>
      </c>
      <c r="Q41" s="40">
        <f t="shared" si="19"/>
        <v>0.1424441824434414</v>
      </c>
      <c r="R41" s="40">
        <f t="shared" si="20"/>
        <v>1.7682726096427206E-2</v>
      </c>
      <c r="S41" s="40">
        <f t="shared" si="21"/>
        <v>2.6032902308628945E-2</v>
      </c>
      <c r="T41" s="40">
        <f t="shared" si="22"/>
        <v>2.8980023324700142E-2</v>
      </c>
      <c r="U41" s="40">
        <f t="shared" si="23"/>
        <v>5.0592244109222285E-2</v>
      </c>
      <c r="V41" s="40">
        <f t="shared" si="24"/>
        <v>4.911868360118669E-3</v>
      </c>
      <c r="W41" s="40">
        <f t="shared" si="25"/>
        <v>0.22054288936932823</v>
      </c>
      <c r="X41" s="40">
        <f t="shared" si="26"/>
        <v>0.49118683601186686</v>
      </c>
      <c r="Y41" s="40">
        <f t="shared" si="27"/>
        <v>0</v>
      </c>
      <c r="Z41" s="40">
        <f t="shared" si="28"/>
        <v>1</v>
      </c>
      <c r="AA41" s="39" t="str">
        <f t="shared" si="29"/>
        <v>PASS</v>
      </c>
      <c r="AB41" s="38" t="s">
        <v>368</v>
      </c>
    </row>
    <row r="42" spans="1:28">
      <c r="A42" s="38" t="str">
        <f t="shared" si="15"/>
        <v>BASE_FIGURE_ICIO</v>
      </c>
      <c r="B42" s="38" t="str">
        <f>ICIO_intensity!A42</f>
        <v>KHM</v>
      </c>
      <c r="C42" s="38" t="str">
        <f>IF(COUNTIF(BOM_raw!$A$2:$A$1001,B42)&gt;0,B42,"OTHERS")</f>
        <v>OTHERS</v>
      </c>
      <c r="D42" s="38" t="str">
        <f t="shared" si="16"/>
        <v>OTHERS_FALLBACK</v>
      </c>
      <c r="E42" s="38" t="b">
        <f>ICIO_intensity!B42</f>
        <v>1</v>
      </c>
      <c r="F42" s="44">
        <f>ICIO_intensity!E42</f>
        <v>0.67186573754541212</v>
      </c>
      <c r="G42" s="44">
        <f>ICIO_intensity!H42</f>
        <v>0.32813426245458788</v>
      </c>
      <c r="H42" s="40">
        <f>SUMIFS(BOM_raw!$E$2:$E$1001,BOM_raw!$A$2:$A$1001,$C42,BOM_raw!$F$2:$F$1001,"T")</f>
        <v>0.29000000000000004</v>
      </c>
      <c r="I42" s="40">
        <f>SUMIFS(BOM_raw!$E$2:$E$1001,BOM_raw!$A$2:$A$1001,$C42,BOM_raw!$F$2:$F$1001,"M")</f>
        <v>3.5999999999999997E-2</v>
      </c>
      <c r="J42" s="40">
        <f>SUMIFS(BOM_raw!$E$2:$E$1001,BOM_raw!$A$2:$A$1001,$C42,BOM_raw!$F$2:$F$1001,"E")</f>
        <v>5.3000000000000005E-2</v>
      </c>
      <c r="K42" s="40">
        <f>SUMIFS(BOM_raw!$E$2:$E$1001,BOM_raw!$A$2:$A$1001,$C42,BOM_raw!$F$2:$F$1001,"I")</f>
        <v>5.8999999999999997E-2</v>
      </c>
      <c r="L42" s="40">
        <f>SUMIFS(BOM_raw!$E$2:$E$1001,BOM_raw!$A$2:$A$1001,$C42,BOM_raw!$F$2:$F$1001,"EE")</f>
        <v>0.10299999999999999</v>
      </c>
      <c r="M42" s="40">
        <f>SUMIFS(BOM_raw!$E$2:$E$1001,BOM_raw!$A$2:$A$1001,$C42,BOM_raw!$F$2:$F$1001,"HV")</f>
        <v>0.01</v>
      </c>
      <c r="N42" s="40">
        <f>SUMIFS(BOM_raw!$E$2:$E$1001,BOM_raw!$A$2:$A$1001,$C42,BOM_raw!$F$2:$F$1001,"SHARED")</f>
        <v>0.44900000000000001</v>
      </c>
      <c r="O42" s="40">
        <f t="shared" si="17"/>
        <v>1</v>
      </c>
      <c r="P42" s="40">
        <f t="shared" si="18"/>
        <v>0.67186573754541212</v>
      </c>
      <c r="Q42" s="40">
        <f t="shared" si="19"/>
        <v>0.19484106388816955</v>
      </c>
      <c r="R42" s="40">
        <f t="shared" si="20"/>
        <v>2.4187166551634835E-2</v>
      </c>
      <c r="S42" s="40">
        <f t="shared" si="21"/>
        <v>3.5608884089906846E-2</v>
      </c>
      <c r="T42" s="40">
        <f t="shared" si="22"/>
        <v>3.9640078515179311E-2</v>
      </c>
      <c r="U42" s="40">
        <f t="shared" si="23"/>
        <v>6.9202170967177443E-2</v>
      </c>
      <c r="V42" s="40">
        <f t="shared" si="24"/>
        <v>6.7186573754541212E-3</v>
      </c>
      <c r="W42" s="40">
        <f t="shared" si="25"/>
        <v>0.30166771615789006</v>
      </c>
      <c r="X42" s="40">
        <f t="shared" si="26"/>
        <v>0.67186573754541223</v>
      </c>
      <c r="Y42" s="40">
        <f t="shared" si="27"/>
        <v>0</v>
      </c>
      <c r="Z42" s="40">
        <f t="shared" si="28"/>
        <v>1</v>
      </c>
      <c r="AA42" s="39" t="str">
        <f t="shared" si="29"/>
        <v>PASS</v>
      </c>
      <c r="AB42" s="38" t="s">
        <v>368</v>
      </c>
    </row>
    <row r="43" spans="1:28">
      <c r="A43" s="38" t="str">
        <f t="shared" si="15"/>
        <v>BASE_FIGURE_ICIO</v>
      </c>
      <c r="B43" s="38" t="str">
        <f>ICIO_intensity!A43</f>
        <v>KOR</v>
      </c>
      <c r="C43" s="38" t="str">
        <f>IF(COUNTIF(BOM_raw!$A$2:$A$1001,B43)&gt;0,B43,"OTHERS")</f>
        <v>KOR</v>
      </c>
      <c r="D43" s="38" t="str">
        <f t="shared" si="16"/>
        <v>EXACT</v>
      </c>
      <c r="E43" s="38" t="b">
        <f>ICIO_intensity!B43</f>
        <v>1</v>
      </c>
      <c r="F43" s="44">
        <f>ICIO_intensity!E43</f>
        <v>0.79688722444536286</v>
      </c>
      <c r="G43" s="44">
        <f>ICIO_intensity!H43</f>
        <v>0.20311277555463714</v>
      </c>
      <c r="H43" s="40">
        <f>SUMIFS(BOM_raw!$E$2:$E$1001,BOM_raw!$A$2:$A$1001,$C43,BOM_raw!$F$2:$F$1001,"T")</f>
        <v>0.33160000000000001</v>
      </c>
      <c r="I43" s="40">
        <f>SUMIFS(BOM_raw!$E$2:$E$1001,BOM_raw!$A$2:$A$1001,$C43,BOM_raw!$F$2:$F$1001,"M")</f>
        <v>3.5999999999999997E-2</v>
      </c>
      <c r="J43" s="40">
        <f>SUMIFS(BOM_raw!$E$2:$E$1001,BOM_raw!$A$2:$A$1001,$C43,BOM_raw!$F$2:$F$1001,"E")</f>
        <v>5.3000000000000005E-2</v>
      </c>
      <c r="K43" s="40">
        <f>SUMIFS(BOM_raw!$E$2:$E$1001,BOM_raw!$A$2:$A$1001,$C43,BOM_raw!$F$2:$F$1001,"I")</f>
        <v>5.8999999999999997E-2</v>
      </c>
      <c r="L43" s="40">
        <f>SUMIFS(BOM_raw!$E$2:$E$1001,BOM_raw!$A$2:$A$1001,$C43,BOM_raw!$F$2:$F$1001,"EE")</f>
        <v>0.10299999999999999</v>
      </c>
      <c r="M43" s="40">
        <f>SUMIFS(BOM_raw!$E$2:$E$1001,BOM_raw!$A$2:$A$1001,$C43,BOM_raw!$F$2:$F$1001,"HV")</f>
        <v>0.01</v>
      </c>
      <c r="N43" s="40">
        <f>SUMIFS(BOM_raw!$E$2:$E$1001,BOM_raw!$A$2:$A$1001,$C43,BOM_raw!$F$2:$F$1001,"SHARED")</f>
        <v>0.40739999999999998</v>
      </c>
      <c r="O43" s="40">
        <f t="shared" si="17"/>
        <v>1</v>
      </c>
      <c r="P43" s="40">
        <f t="shared" si="18"/>
        <v>0.79688722444536286</v>
      </c>
      <c r="Q43" s="40">
        <f t="shared" si="19"/>
        <v>0.26424780362608236</v>
      </c>
      <c r="R43" s="40">
        <f t="shared" si="20"/>
        <v>2.8687940080033062E-2</v>
      </c>
      <c r="S43" s="40">
        <f t="shared" si="21"/>
        <v>4.2235022895604234E-2</v>
      </c>
      <c r="T43" s="40">
        <f t="shared" si="22"/>
        <v>4.7016346242276408E-2</v>
      </c>
      <c r="U43" s="40">
        <f t="shared" si="23"/>
        <v>8.207938411787237E-2</v>
      </c>
      <c r="V43" s="40">
        <f t="shared" si="24"/>
        <v>7.9688722444536293E-3</v>
      </c>
      <c r="W43" s="40">
        <f t="shared" si="25"/>
        <v>0.32465185523904083</v>
      </c>
      <c r="X43" s="40">
        <f t="shared" si="26"/>
        <v>0.79688722444536286</v>
      </c>
      <c r="Y43" s="40">
        <f t="shared" si="27"/>
        <v>0</v>
      </c>
      <c r="Z43" s="40">
        <f t="shared" si="28"/>
        <v>1</v>
      </c>
      <c r="AA43" s="39" t="str">
        <f t="shared" si="29"/>
        <v>PASS</v>
      </c>
      <c r="AB43" s="38" t="s">
        <v>368</v>
      </c>
    </row>
    <row r="44" spans="1:28">
      <c r="A44" s="38" t="str">
        <f t="shared" si="15"/>
        <v>BASE_FIGURE_ICIO</v>
      </c>
      <c r="B44" s="38" t="str">
        <f>ICIO_intensity!A44</f>
        <v>LAO</v>
      </c>
      <c r="C44" s="38" t="str">
        <f>IF(COUNTIF(BOM_raw!$A$2:$A$1001,B44)&gt;0,B44,"OTHERS")</f>
        <v>OTHERS</v>
      </c>
      <c r="D44" s="38" t="str">
        <f t="shared" si="16"/>
        <v>OTHERS_FALLBACK</v>
      </c>
      <c r="E44" s="38" t="b">
        <f>ICIO_intensity!B44</f>
        <v>1</v>
      </c>
      <c r="F44" s="44">
        <f>ICIO_intensity!E44</f>
        <v>0.70903253566345681</v>
      </c>
      <c r="G44" s="44">
        <f>ICIO_intensity!H44</f>
        <v>0.29096746433654319</v>
      </c>
      <c r="H44" s="40">
        <f>SUMIFS(BOM_raw!$E$2:$E$1001,BOM_raw!$A$2:$A$1001,$C44,BOM_raw!$F$2:$F$1001,"T")</f>
        <v>0.29000000000000004</v>
      </c>
      <c r="I44" s="40">
        <f>SUMIFS(BOM_raw!$E$2:$E$1001,BOM_raw!$A$2:$A$1001,$C44,BOM_raw!$F$2:$F$1001,"M")</f>
        <v>3.5999999999999997E-2</v>
      </c>
      <c r="J44" s="40">
        <f>SUMIFS(BOM_raw!$E$2:$E$1001,BOM_raw!$A$2:$A$1001,$C44,BOM_raw!$F$2:$F$1001,"E")</f>
        <v>5.3000000000000005E-2</v>
      </c>
      <c r="K44" s="40">
        <f>SUMIFS(BOM_raw!$E$2:$E$1001,BOM_raw!$A$2:$A$1001,$C44,BOM_raw!$F$2:$F$1001,"I")</f>
        <v>5.8999999999999997E-2</v>
      </c>
      <c r="L44" s="40">
        <f>SUMIFS(BOM_raw!$E$2:$E$1001,BOM_raw!$A$2:$A$1001,$C44,BOM_raw!$F$2:$F$1001,"EE")</f>
        <v>0.10299999999999999</v>
      </c>
      <c r="M44" s="40">
        <f>SUMIFS(BOM_raw!$E$2:$E$1001,BOM_raw!$A$2:$A$1001,$C44,BOM_raw!$F$2:$F$1001,"HV")</f>
        <v>0.01</v>
      </c>
      <c r="N44" s="40">
        <f>SUMIFS(BOM_raw!$E$2:$E$1001,BOM_raw!$A$2:$A$1001,$C44,BOM_raw!$F$2:$F$1001,"SHARED")</f>
        <v>0.44900000000000001</v>
      </c>
      <c r="O44" s="40">
        <f t="shared" si="17"/>
        <v>1</v>
      </c>
      <c r="P44" s="40">
        <f t="shared" si="18"/>
        <v>0.70903253566345681</v>
      </c>
      <c r="Q44" s="40">
        <f t="shared" si="19"/>
        <v>0.20561943534240251</v>
      </c>
      <c r="R44" s="40">
        <f t="shared" si="20"/>
        <v>2.5525171283884443E-2</v>
      </c>
      <c r="S44" s="40">
        <f t="shared" si="21"/>
        <v>3.7578724390163215E-2</v>
      </c>
      <c r="T44" s="40">
        <f t="shared" si="22"/>
        <v>4.1832919604143946E-2</v>
      </c>
      <c r="U44" s="40">
        <f t="shared" si="23"/>
        <v>7.3030351173336047E-2</v>
      </c>
      <c r="V44" s="40">
        <f t="shared" si="24"/>
        <v>7.090325356634568E-3</v>
      </c>
      <c r="W44" s="40">
        <f t="shared" si="25"/>
        <v>0.31835560851289213</v>
      </c>
      <c r="X44" s="40">
        <f t="shared" si="26"/>
        <v>0.70903253566345681</v>
      </c>
      <c r="Y44" s="40">
        <f t="shared" si="27"/>
        <v>0</v>
      </c>
      <c r="Z44" s="40">
        <f t="shared" si="28"/>
        <v>1</v>
      </c>
      <c r="AA44" s="39" t="str">
        <f t="shared" si="29"/>
        <v>PASS</v>
      </c>
      <c r="AB44" s="38" t="s">
        <v>368</v>
      </c>
    </row>
    <row r="45" spans="1:28">
      <c r="A45" s="38" t="str">
        <f t="shared" si="15"/>
        <v>BASE_FIGURE_ICIO</v>
      </c>
      <c r="B45" s="38" t="str">
        <f>ICIO_intensity!A45</f>
        <v>LTU</v>
      </c>
      <c r="C45" s="38" t="str">
        <f>IF(COUNTIF(BOM_raw!$A$2:$A$1001,B45)&gt;0,B45,"OTHERS")</f>
        <v>OTHERS</v>
      </c>
      <c r="D45" s="38" t="str">
        <f t="shared" si="16"/>
        <v>OTHERS_FALLBACK</v>
      </c>
      <c r="E45" s="38" t="b">
        <f>ICIO_intensity!B45</f>
        <v>1</v>
      </c>
      <c r="F45" s="44">
        <f>ICIO_intensity!E45</f>
        <v>0.64767384939752171</v>
      </c>
      <c r="G45" s="44">
        <f>ICIO_intensity!H45</f>
        <v>0.35232615060247829</v>
      </c>
      <c r="H45" s="40">
        <f>SUMIFS(BOM_raw!$E$2:$E$1001,BOM_raw!$A$2:$A$1001,$C45,BOM_raw!$F$2:$F$1001,"T")</f>
        <v>0.29000000000000004</v>
      </c>
      <c r="I45" s="40">
        <f>SUMIFS(BOM_raw!$E$2:$E$1001,BOM_raw!$A$2:$A$1001,$C45,BOM_raw!$F$2:$F$1001,"M")</f>
        <v>3.5999999999999997E-2</v>
      </c>
      <c r="J45" s="40">
        <f>SUMIFS(BOM_raw!$E$2:$E$1001,BOM_raw!$A$2:$A$1001,$C45,BOM_raw!$F$2:$F$1001,"E")</f>
        <v>5.3000000000000005E-2</v>
      </c>
      <c r="K45" s="40">
        <f>SUMIFS(BOM_raw!$E$2:$E$1001,BOM_raw!$A$2:$A$1001,$C45,BOM_raw!$F$2:$F$1001,"I")</f>
        <v>5.8999999999999997E-2</v>
      </c>
      <c r="L45" s="40">
        <f>SUMIFS(BOM_raw!$E$2:$E$1001,BOM_raw!$A$2:$A$1001,$C45,BOM_raw!$F$2:$F$1001,"EE")</f>
        <v>0.10299999999999999</v>
      </c>
      <c r="M45" s="40">
        <f>SUMIFS(BOM_raw!$E$2:$E$1001,BOM_raw!$A$2:$A$1001,$C45,BOM_raw!$F$2:$F$1001,"HV")</f>
        <v>0.01</v>
      </c>
      <c r="N45" s="40">
        <f>SUMIFS(BOM_raw!$E$2:$E$1001,BOM_raw!$A$2:$A$1001,$C45,BOM_raw!$F$2:$F$1001,"SHARED")</f>
        <v>0.44900000000000001</v>
      </c>
      <c r="O45" s="40">
        <f t="shared" si="17"/>
        <v>1</v>
      </c>
      <c r="P45" s="40">
        <f t="shared" si="18"/>
        <v>0.64767384939752171</v>
      </c>
      <c r="Q45" s="40">
        <f t="shared" si="19"/>
        <v>0.18782541632528132</v>
      </c>
      <c r="R45" s="40">
        <f t="shared" si="20"/>
        <v>2.3316258578310781E-2</v>
      </c>
      <c r="S45" s="40">
        <f t="shared" si="21"/>
        <v>3.4326714018068652E-2</v>
      </c>
      <c r="T45" s="40">
        <f t="shared" si="22"/>
        <v>3.821275711445378E-2</v>
      </c>
      <c r="U45" s="40">
        <f t="shared" si="23"/>
        <v>6.6710406487944726E-2</v>
      </c>
      <c r="V45" s="40">
        <f t="shared" si="24"/>
        <v>6.4767384939752176E-3</v>
      </c>
      <c r="W45" s="40">
        <f t="shared" si="25"/>
        <v>0.29080555837948724</v>
      </c>
      <c r="X45" s="40">
        <f t="shared" si="26"/>
        <v>0.64767384939752171</v>
      </c>
      <c r="Y45" s="40">
        <f t="shared" si="27"/>
        <v>0</v>
      </c>
      <c r="Z45" s="40">
        <f t="shared" si="28"/>
        <v>1</v>
      </c>
      <c r="AA45" s="39" t="str">
        <f t="shared" si="29"/>
        <v>PASS</v>
      </c>
      <c r="AB45" s="38" t="s">
        <v>368</v>
      </c>
    </row>
    <row r="46" spans="1:28">
      <c r="A46" s="38" t="str">
        <f t="shared" si="15"/>
        <v>BASE_FIGURE_ICIO</v>
      </c>
      <c r="B46" s="38" t="str">
        <f>ICIO_intensity!A46</f>
        <v>LUX</v>
      </c>
      <c r="C46" s="38" t="str">
        <f>IF(COUNTIF(BOM_raw!$A$2:$A$1001,B46)&gt;0,B46,"OTHERS")</f>
        <v>OTHERS</v>
      </c>
      <c r="D46" s="38" t="str">
        <f t="shared" si="16"/>
        <v>OTHERS_FALLBACK</v>
      </c>
      <c r="E46" s="38" t="b">
        <f>ICIO_intensity!B46</f>
        <v>1</v>
      </c>
      <c r="F46" s="44">
        <f>ICIO_intensity!E46</f>
        <v>0.80068097421503737</v>
      </c>
      <c r="G46" s="44">
        <f>ICIO_intensity!H46</f>
        <v>0.19931902578496263</v>
      </c>
      <c r="H46" s="40">
        <f>SUMIFS(BOM_raw!$E$2:$E$1001,BOM_raw!$A$2:$A$1001,$C46,BOM_raw!$F$2:$F$1001,"T")</f>
        <v>0.29000000000000004</v>
      </c>
      <c r="I46" s="40">
        <f>SUMIFS(BOM_raw!$E$2:$E$1001,BOM_raw!$A$2:$A$1001,$C46,BOM_raw!$F$2:$F$1001,"M")</f>
        <v>3.5999999999999997E-2</v>
      </c>
      <c r="J46" s="40">
        <f>SUMIFS(BOM_raw!$E$2:$E$1001,BOM_raw!$A$2:$A$1001,$C46,BOM_raw!$F$2:$F$1001,"E")</f>
        <v>5.3000000000000005E-2</v>
      </c>
      <c r="K46" s="40">
        <f>SUMIFS(BOM_raw!$E$2:$E$1001,BOM_raw!$A$2:$A$1001,$C46,BOM_raw!$F$2:$F$1001,"I")</f>
        <v>5.8999999999999997E-2</v>
      </c>
      <c r="L46" s="40">
        <f>SUMIFS(BOM_raw!$E$2:$E$1001,BOM_raw!$A$2:$A$1001,$C46,BOM_raw!$F$2:$F$1001,"EE")</f>
        <v>0.10299999999999999</v>
      </c>
      <c r="M46" s="40">
        <f>SUMIFS(BOM_raw!$E$2:$E$1001,BOM_raw!$A$2:$A$1001,$C46,BOM_raw!$F$2:$F$1001,"HV")</f>
        <v>0.01</v>
      </c>
      <c r="N46" s="40">
        <f>SUMIFS(BOM_raw!$E$2:$E$1001,BOM_raw!$A$2:$A$1001,$C46,BOM_raw!$F$2:$F$1001,"SHARED")</f>
        <v>0.44900000000000001</v>
      </c>
      <c r="O46" s="40">
        <f t="shared" si="17"/>
        <v>1</v>
      </c>
      <c r="P46" s="40">
        <f t="shared" si="18"/>
        <v>0.80068097421503737</v>
      </c>
      <c r="Q46" s="40">
        <f t="shared" si="19"/>
        <v>0.23219748252236086</v>
      </c>
      <c r="R46" s="40">
        <f t="shared" si="20"/>
        <v>2.8824515071741344E-2</v>
      </c>
      <c r="S46" s="40">
        <f t="shared" si="21"/>
        <v>4.2436091633396983E-2</v>
      </c>
      <c r="T46" s="40">
        <f t="shared" si="22"/>
        <v>4.7240177478687202E-2</v>
      </c>
      <c r="U46" s="40">
        <f t="shared" si="23"/>
        <v>8.2470140344148846E-2</v>
      </c>
      <c r="V46" s="40">
        <f t="shared" si="24"/>
        <v>8.0068097421503743E-3</v>
      </c>
      <c r="W46" s="40">
        <f t="shared" si="25"/>
        <v>0.35950575742255181</v>
      </c>
      <c r="X46" s="40">
        <f t="shared" si="26"/>
        <v>0.80068097421503737</v>
      </c>
      <c r="Y46" s="40">
        <f t="shared" si="27"/>
        <v>0</v>
      </c>
      <c r="Z46" s="40">
        <f t="shared" si="28"/>
        <v>1</v>
      </c>
      <c r="AA46" s="39" t="str">
        <f t="shared" si="29"/>
        <v>PASS</v>
      </c>
      <c r="AB46" s="38" t="s">
        <v>368</v>
      </c>
    </row>
    <row r="47" spans="1:28">
      <c r="A47" s="38" t="str">
        <f t="shared" si="15"/>
        <v>BASE_FIGURE_ICIO</v>
      </c>
      <c r="B47" s="38" t="str">
        <f>ICIO_intensity!A47</f>
        <v>LVA</v>
      </c>
      <c r="C47" s="38" t="str">
        <f>IF(COUNTIF(BOM_raw!$A$2:$A$1001,B47)&gt;0,B47,"OTHERS")</f>
        <v>OTHERS</v>
      </c>
      <c r="D47" s="38" t="str">
        <f t="shared" si="16"/>
        <v>OTHERS_FALLBACK</v>
      </c>
      <c r="E47" s="38" t="b">
        <f>ICIO_intensity!B47</f>
        <v>1</v>
      </c>
      <c r="F47" s="44">
        <f>ICIO_intensity!E47</f>
        <v>0.68399941722079471</v>
      </c>
      <c r="G47" s="44">
        <f>ICIO_intensity!H47</f>
        <v>0.31600058277920529</v>
      </c>
      <c r="H47" s="40">
        <f>SUMIFS(BOM_raw!$E$2:$E$1001,BOM_raw!$A$2:$A$1001,$C47,BOM_raw!$F$2:$F$1001,"T")</f>
        <v>0.29000000000000004</v>
      </c>
      <c r="I47" s="40">
        <f>SUMIFS(BOM_raw!$E$2:$E$1001,BOM_raw!$A$2:$A$1001,$C47,BOM_raw!$F$2:$F$1001,"M")</f>
        <v>3.5999999999999997E-2</v>
      </c>
      <c r="J47" s="40">
        <f>SUMIFS(BOM_raw!$E$2:$E$1001,BOM_raw!$A$2:$A$1001,$C47,BOM_raw!$F$2:$F$1001,"E")</f>
        <v>5.3000000000000005E-2</v>
      </c>
      <c r="K47" s="40">
        <f>SUMIFS(BOM_raw!$E$2:$E$1001,BOM_raw!$A$2:$A$1001,$C47,BOM_raw!$F$2:$F$1001,"I")</f>
        <v>5.8999999999999997E-2</v>
      </c>
      <c r="L47" s="40">
        <f>SUMIFS(BOM_raw!$E$2:$E$1001,BOM_raw!$A$2:$A$1001,$C47,BOM_raw!$F$2:$F$1001,"EE")</f>
        <v>0.10299999999999999</v>
      </c>
      <c r="M47" s="40">
        <f>SUMIFS(BOM_raw!$E$2:$E$1001,BOM_raw!$A$2:$A$1001,$C47,BOM_raw!$F$2:$F$1001,"HV")</f>
        <v>0.01</v>
      </c>
      <c r="N47" s="40">
        <f>SUMIFS(BOM_raw!$E$2:$E$1001,BOM_raw!$A$2:$A$1001,$C47,BOM_raw!$F$2:$F$1001,"SHARED")</f>
        <v>0.44900000000000001</v>
      </c>
      <c r="O47" s="40">
        <f t="shared" si="17"/>
        <v>1</v>
      </c>
      <c r="P47" s="40">
        <f t="shared" si="18"/>
        <v>0.68399941722079471</v>
      </c>
      <c r="Q47" s="40">
        <f t="shared" si="19"/>
        <v>0.19835983099403048</v>
      </c>
      <c r="R47" s="40">
        <f t="shared" si="20"/>
        <v>2.4623979019948609E-2</v>
      </c>
      <c r="S47" s="40">
        <f t="shared" si="21"/>
        <v>3.625196911270212E-2</v>
      </c>
      <c r="T47" s="40">
        <f t="shared" si="22"/>
        <v>4.0355965616026883E-2</v>
      </c>
      <c r="U47" s="40">
        <f t="shared" si="23"/>
        <v>7.0451939973741856E-2</v>
      </c>
      <c r="V47" s="40">
        <f t="shared" si="24"/>
        <v>6.839994172207947E-3</v>
      </c>
      <c r="W47" s="40">
        <f t="shared" si="25"/>
        <v>0.30711573833213685</v>
      </c>
      <c r="X47" s="40">
        <f t="shared" si="26"/>
        <v>0.68399941722079483</v>
      </c>
      <c r="Y47" s="40">
        <f t="shared" si="27"/>
        <v>0</v>
      </c>
      <c r="Z47" s="40">
        <f t="shared" si="28"/>
        <v>1</v>
      </c>
      <c r="AA47" s="39" t="str">
        <f t="shared" si="29"/>
        <v>PASS</v>
      </c>
      <c r="AB47" s="38" t="s">
        <v>368</v>
      </c>
    </row>
    <row r="48" spans="1:28">
      <c r="A48" s="38" t="str">
        <f t="shared" si="15"/>
        <v>BASE_FIGURE_ICIO</v>
      </c>
      <c r="B48" s="38" t="str">
        <f>ICIO_intensity!A48</f>
        <v>MAR</v>
      </c>
      <c r="C48" s="38" t="str">
        <f>IF(COUNTIF(BOM_raw!$A$2:$A$1001,B48)&gt;0,B48,"OTHERS")</f>
        <v>OTHERS</v>
      </c>
      <c r="D48" s="38" t="str">
        <f t="shared" si="16"/>
        <v>OTHERS_FALLBACK</v>
      </c>
      <c r="E48" s="38" t="b">
        <f>ICIO_intensity!B48</f>
        <v>1</v>
      </c>
      <c r="F48" s="44">
        <f>ICIO_intensity!E48</f>
        <v>0.81718177465055442</v>
      </c>
      <c r="G48" s="44">
        <f>ICIO_intensity!H48</f>
        <v>0.18281822534944558</v>
      </c>
      <c r="H48" s="40">
        <f>SUMIFS(BOM_raw!$E$2:$E$1001,BOM_raw!$A$2:$A$1001,$C48,BOM_raw!$F$2:$F$1001,"T")</f>
        <v>0.29000000000000004</v>
      </c>
      <c r="I48" s="40">
        <f>SUMIFS(BOM_raw!$E$2:$E$1001,BOM_raw!$A$2:$A$1001,$C48,BOM_raw!$F$2:$F$1001,"M")</f>
        <v>3.5999999999999997E-2</v>
      </c>
      <c r="J48" s="40">
        <f>SUMIFS(BOM_raw!$E$2:$E$1001,BOM_raw!$A$2:$A$1001,$C48,BOM_raw!$F$2:$F$1001,"E")</f>
        <v>5.3000000000000005E-2</v>
      </c>
      <c r="K48" s="40">
        <f>SUMIFS(BOM_raw!$E$2:$E$1001,BOM_raw!$A$2:$A$1001,$C48,BOM_raw!$F$2:$F$1001,"I")</f>
        <v>5.8999999999999997E-2</v>
      </c>
      <c r="L48" s="40">
        <f>SUMIFS(BOM_raw!$E$2:$E$1001,BOM_raw!$A$2:$A$1001,$C48,BOM_raw!$F$2:$F$1001,"EE")</f>
        <v>0.10299999999999999</v>
      </c>
      <c r="M48" s="40">
        <f>SUMIFS(BOM_raw!$E$2:$E$1001,BOM_raw!$A$2:$A$1001,$C48,BOM_raw!$F$2:$F$1001,"HV")</f>
        <v>0.01</v>
      </c>
      <c r="N48" s="40">
        <f>SUMIFS(BOM_raw!$E$2:$E$1001,BOM_raw!$A$2:$A$1001,$C48,BOM_raw!$F$2:$F$1001,"SHARED")</f>
        <v>0.44900000000000001</v>
      </c>
      <c r="O48" s="40">
        <f t="shared" si="17"/>
        <v>1</v>
      </c>
      <c r="P48" s="40">
        <f t="shared" si="18"/>
        <v>0.81718177465055442</v>
      </c>
      <c r="Q48" s="40">
        <f t="shared" si="19"/>
        <v>0.2369827146486608</v>
      </c>
      <c r="R48" s="40">
        <f t="shared" si="20"/>
        <v>2.9418543887419955E-2</v>
      </c>
      <c r="S48" s="40">
        <f t="shared" si="21"/>
        <v>4.3310634056479391E-2</v>
      </c>
      <c r="T48" s="40">
        <f t="shared" si="22"/>
        <v>4.8213724704382711E-2</v>
      </c>
      <c r="U48" s="40">
        <f t="shared" si="23"/>
        <v>8.4169722789007098E-2</v>
      </c>
      <c r="V48" s="40">
        <f t="shared" si="24"/>
        <v>8.1718177465055445E-3</v>
      </c>
      <c r="W48" s="40">
        <f t="shared" si="25"/>
        <v>0.36691461681809895</v>
      </c>
      <c r="X48" s="40">
        <f t="shared" si="26"/>
        <v>0.81718177465055453</v>
      </c>
      <c r="Y48" s="40">
        <f t="shared" si="27"/>
        <v>0</v>
      </c>
      <c r="Z48" s="40">
        <f t="shared" si="28"/>
        <v>1</v>
      </c>
      <c r="AA48" s="39" t="str">
        <f t="shared" si="29"/>
        <v>PASS</v>
      </c>
      <c r="AB48" s="38" t="s">
        <v>368</v>
      </c>
    </row>
    <row r="49" spans="1:28">
      <c r="A49" s="38" t="str">
        <f t="shared" si="15"/>
        <v>BASE_FIGURE_ICIO</v>
      </c>
      <c r="B49" s="38" t="str">
        <f>ICIO_intensity!A49</f>
        <v>MEX</v>
      </c>
      <c r="C49" s="38" t="str">
        <f>IF(COUNTIF(BOM_raw!$A$2:$A$1001,B49)&gt;0,B49,"OTHERS")</f>
        <v>MEX</v>
      </c>
      <c r="D49" s="38" t="str">
        <f t="shared" si="16"/>
        <v>EXACT</v>
      </c>
      <c r="E49" s="38" t="b">
        <f>ICIO_intensity!B49</f>
        <v>1</v>
      </c>
      <c r="F49" s="44">
        <f>ICIO_intensity!E49</f>
        <v>0.68617212616077361</v>
      </c>
      <c r="G49" s="44">
        <f>ICIO_intensity!H49</f>
        <v>0.31382787383922639</v>
      </c>
      <c r="H49" s="40">
        <f>SUMIFS(BOM_raw!$E$2:$E$1001,BOM_raw!$A$2:$A$1001,$C49,BOM_raw!$F$2:$F$1001,"T")</f>
        <v>0.29690000000000005</v>
      </c>
      <c r="I49" s="40">
        <f>SUMIFS(BOM_raw!$E$2:$E$1001,BOM_raw!$A$2:$A$1001,$C49,BOM_raw!$F$2:$F$1001,"M")</f>
        <v>3.5999999999999997E-2</v>
      </c>
      <c r="J49" s="40">
        <f>SUMIFS(BOM_raw!$E$2:$E$1001,BOM_raw!$A$2:$A$1001,$C49,BOM_raw!$F$2:$F$1001,"E")</f>
        <v>5.3000000000000005E-2</v>
      </c>
      <c r="K49" s="40">
        <f>SUMIFS(BOM_raw!$E$2:$E$1001,BOM_raw!$A$2:$A$1001,$C49,BOM_raw!$F$2:$F$1001,"I")</f>
        <v>5.8999999999999997E-2</v>
      </c>
      <c r="L49" s="40">
        <f>SUMIFS(BOM_raw!$E$2:$E$1001,BOM_raw!$A$2:$A$1001,$C49,BOM_raw!$F$2:$F$1001,"EE")</f>
        <v>0.10299999999999999</v>
      </c>
      <c r="M49" s="40">
        <f>SUMIFS(BOM_raw!$E$2:$E$1001,BOM_raw!$A$2:$A$1001,$C49,BOM_raw!$F$2:$F$1001,"HV")</f>
        <v>0.01</v>
      </c>
      <c r="N49" s="40">
        <f>SUMIFS(BOM_raw!$E$2:$E$1001,BOM_raw!$A$2:$A$1001,$C49,BOM_raw!$F$2:$F$1001,"SHARED")</f>
        <v>0.44210000000000005</v>
      </c>
      <c r="O49" s="40">
        <f t="shared" si="17"/>
        <v>1</v>
      </c>
      <c r="P49" s="40">
        <f t="shared" si="18"/>
        <v>0.68617212616077361</v>
      </c>
      <c r="Q49" s="40">
        <f t="shared" si="19"/>
        <v>0.20372450425713373</v>
      </c>
      <c r="R49" s="40">
        <f t="shared" si="20"/>
        <v>2.4702196541787846E-2</v>
      </c>
      <c r="S49" s="40">
        <f t="shared" si="21"/>
        <v>3.6367122686521008E-2</v>
      </c>
      <c r="T49" s="40">
        <f t="shared" si="22"/>
        <v>4.0484155443485638E-2</v>
      </c>
      <c r="U49" s="40">
        <f t="shared" si="23"/>
        <v>7.0675728994559678E-2</v>
      </c>
      <c r="V49" s="40">
        <f t="shared" si="24"/>
        <v>6.8617212616077367E-3</v>
      </c>
      <c r="W49" s="40">
        <f t="shared" si="25"/>
        <v>0.30335669697567802</v>
      </c>
      <c r="X49" s="40">
        <f t="shared" si="26"/>
        <v>0.68617212616077361</v>
      </c>
      <c r="Y49" s="40">
        <f t="shared" si="27"/>
        <v>0</v>
      </c>
      <c r="Z49" s="40">
        <f t="shared" si="28"/>
        <v>1</v>
      </c>
      <c r="AA49" s="39" t="str">
        <f t="shared" si="29"/>
        <v>PASS</v>
      </c>
      <c r="AB49" s="38" t="s">
        <v>368</v>
      </c>
    </row>
    <row r="50" spans="1:28">
      <c r="A50" s="38" t="str">
        <f t="shared" si="15"/>
        <v>BASE_FIGURE_ICIO</v>
      </c>
      <c r="B50" s="38" t="str">
        <f>ICIO_intensity!A50</f>
        <v>MLT</v>
      </c>
      <c r="C50" s="38" t="str">
        <f>IF(COUNTIF(BOM_raw!$A$2:$A$1001,B50)&gt;0,B50,"OTHERS")</f>
        <v>OTHERS</v>
      </c>
      <c r="D50" s="38" t="str">
        <f t="shared" si="16"/>
        <v>OTHERS_FALLBACK</v>
      </c>
      <c r="E50" s="38" t="b">
        <f>ICIO_intensity!B50</f>
        <v>1</v>
      </c>
      <c r="F50" s="44">
        <f>ICIO_intensity!E50</f>
        <v>0.60322778513734698</v>
      </c>
      <c r="G50" s="44">
        <f>ICIO_intensity!H50</f>
        <v>0.39677221486265302</v>
      </c>
      <c r="H50" s="40">
        <f>SUMIFS(BOM_raw!$E$2:$E$1001,BOM_raw!$A$2:$A$1001,$C50,BOM_raw!$F$2:$F$1001,"T")</f>
        <v>0.29000000000000004</v>
      </c>
      <c r="I50" s="40">
        <f>SUMIFS(BOM_raw!$E$2:$E$1001,BOM_raw!$A$2:$A$1001,$C50,BOM_raw!$F$2:$F$1001,"M")</f>
        <v>3.5999999999999997E-2</v>
      </c>
      <c r="J50" s="40">
        <f>SUMIFS(BOM_raw!$E$2:$E$1001,BOM_raw!$A$2:$A$1001,$C50,BOM_raw!$F$2:$F$1001,"E")</f>
        <v>5.3000000000000005E-2</v>
      </c>
      <c r="K50" s="40">
        <f>SUMIFS(BOM_raw!$E$2:$E$1001,BOM_raw!$A$2:$A$1001,$C50,BOM_raw!$F$2:$F$1001,"I")</f>
        <v>5.8999999999999997E-2</v>
      </c>
      <c r="L50" s="40">
        <f>SUMIFS(BOM_raw!$E$2:$E$1001,BOM_raw!$A$2:$A$1001,$C50,BOM_raw!$F$2:$F$1001,"EE")</f>
        <v>0.10299999999999999</v>
      </c>
      <c r="M50" s="40">
        <f>SUMIFS(BOM_raw!$E$2:$E$1001,BOM_raw!$A$2:$A$1001,$C50,BOM_raw!$F$2:$F$1001,"HV")</f>
        <v>0.01</v>
      </c>
      <c r="N50" s="40">
        <f>SUMIFS(BOM_raw!$E$2:$E$1001,BOM_raw!$A$2:$A$1001,$C50,BOM_raw!$F$2:$F$1001,"SHARED")</f>
        <v>0.44900000000000001</v>
      </c>
      <c r="O50" s="40">
        <f t="shared" si="17"/>
        <v>1</v>
      </c>
      <c r="P50" s="40">
        <f t="shared" si="18"/>
        <v>0.60322778513734698</v>
      </c>
      <c r="Q50" s="40">
        <f t="shared" si="19"/>
        <v>0.17493605768983064</v>
      </c>
      <c r="R50" s="40">
        <f t="shared" si="20"/>
        <v>2.1716200264944491E-2</v>
      </c>
      <c r="S50" s="40">
        <f t="shared" si="21"/>
        <v>3.197107261227939E-2</v>
      </c>
      <c r="T50" s="40">
        <f t="shared" si="22"/>
        <v>3.5590439323103469E-2</v>
      </c>
      <c r="U50" s="40">
        <f t="shared" si="23"/>
        <v>6.2132461869146734E-2</v>
      </c>
      <c r="V50" s="40">
        <f t="shared" si="24"/>
        <v>6.0322778513734699E-3</v>
      </c>
      <c r="W50" s="40">
        <f t="shared" si="25"/>
        <v>0.27084927552666882</v>
      </c>
      <c r="X50" s="40">
        <f t="shared" si="26"/>
        <v>0.60322778513734698</v>
      </c>
      <c r="Y50" s="40">
        <f t="shared" si="27"/>
        <v>0</v>
      </c>
      <c r="Z50" s="40">
        <f t="shared" si="28"/>
        <v>1</v>
      </c>
      <c r="AA50" s="39" t="str">
        <f t="shared" si="29"/>
        <v>PASS</v>
      </c>
      <c r="AB50" s="38" t="s">
        <v>368</v>
      </c>
    </row>
    <row r="51" spans="1:28">
      <c r="A51" s="38" t="str">
        <f t="shared" si="15"/>
        <v>BASE_FIGURE_ICIO</v>
      </c>
      <c r="B51" s="38" t="str">
        <f>ICIO_intensity!A51</f>
        <v>MMR</v>
      </c>
      <c r="C51" s="38" t="str">
        <f>IF(COUNTIF(BOM_raw!$A$2:$A$1001,B51)&gt;0,B51,"OTHERS")</f>
        <v>OTHERS</v>
      </c>
      <c r="D51" s="38" t="str">
        <f t="shared" si="16"/>
        <v>OTHERS_FALLBACK</v>
      </c>
      <c r="E51" s="38" t="b">
        <f>ICIO_intensity!B51</f>
        <v>1</v>
      </c>
      <c r="F51" s="44">
        <f>ICIO_intensity!E51</f>
        <v>0.67301661147671388</v>
      </c>
      <c r="G51" s="44">
        <f>ICIO_intensity!H51</f>
        <v>0.32698338852328612</v>
      </c>
      <c r="H51" s="40">
        <f>SUMIFS(BOM_raw!$E$2:$E$1001,BOM_raw!$A$2:$A$1001,$C51,BOM_raw!$F$2:$F$1001,"T")</f>
        <v>0.29000000000000004</v>
      </c>
      <c r="I51" s="40">
        <f>SUMIFS(BOM_raw!$E$2:$E$1001,BOM_raw!$A$2:$A$1001,$C51,BOM_raw!$F$2:$F$1001,"M")</f>
        <v>3.5999999999999997E-2</v>
      </c>
      <c r="J51" s="40">
        <f>SUMIFS(BOM_raw!$E$2:$E$1001,BOM_raw!$A$2:$A$1001,$C51,BOM_raw!$F$2:$F$1001,"E")</f>
        <v>5.3000000000000005E-2</v>
      </c>
      <c r="K51" s="40">
        <f>SUMIFS(BOM_raw!$E$2:$E$1001,BOM_raw!$A$2:$A$1001,$C51,BOM_raw!$F$2:$F$1001,"I")</f>
        <v>5.8999999999999997E-2</v>
      </c>
      <c r="L51" s="40">
        <f>SUMIFS(BOM_raw!$E$2:$E$1001,BOM_raw!$A$2:$A$1001,$C51,BOM_raw!$F$2:$F$1001,"EE")</f>
        <v>0.10299999999999999</v>
      </c>
      <c r="M51" s="40">
        <f>SUMIFS(BOM_raw!$E$2:$E$1001,BOM_raw!$A$2:$A$1001,$C51,BOM_raw!$F$2:$F$1001,"HV")</f>
        <v>0.01</v>
      </c>
      <c r="N51" s="40">
        <f>SUMIFS(BOM_raw!$E$2:$E$1001,BOM_raw!$A$2:$A$1001,$C51,BOM_raw!$F$2:$F$1001,"SHARED")</f>
        <v>0.44900000000000001</v>
      </c>
      <c r="O51" s="40">
        <f t="shared" si="17"/>
        <v>1</v>
      </c>
      <c r="P51" s="40">
        <f t="shared" si="18"/>
        <v>0.67301661147671388</v>
      </c>
      <c r="Q51" s="40">
        <f t="shared" si="19"/>
        <v>0.19517481732824704</v>
      </c>
      <c r="R51" s="40">
        <f t="shared" si="20"/>
        <v>2.4228598013161698E-2</v>
      </c>
      <c r="S51" s="40">
        <f t="shared" si="21"/>
        <v>3.5669880408265839E-2</v>
      </c>
      <c r="T51" s="40">
        <f t="shared" si="22"/>
        <v>3.9707980077126115E-2</v>
      </c>
      <c r="U51" s="40">
        <f t="shared" si="23"/>
        <v>6.9320710982101519E-2</v>
      </c>
      <c r="V51" s="40">
        <f t="shared" si="24"/>
        <v>6.7301661147671386E-3</v>
      </c>
      <c r="W51" s="40">
        <f t="shared" si="25"/>
        <v>0.30218445855304454</v>
      </c>
      <c r="X51" s="40">
        <f t="shared" si="26"/>
        <v>0.67301661147671388</v>
      </c>
      <c r="Y51" s="40">
        <f t="shared" si="27"/>
        <v>0</v>
      </c>
      <c r="Z51" s="40">
        <f t="shared" si="28"/>
        <v>1</v>
      </c>
      <c r="AA51" s="39" t="str">
        <f t="shared" si="29"/>
        <v>PASS</v>
      </c>
      <c r="AB51" s="38" t="s">
        <v>368</v>
      </c>
    </row>
    <row r="52" spans="1:28">
      <c r="A52" s="38" t="str">
        <f t="shared" si="15"/>
        <v>BASE_FIGURE_ICIO</v>
      </c>
      <c r="B52" s="38" t="str">
        <f>ICIO_intensity!A52</f>
        <v>MYS</v>
      </c>
      <c r="C52" s="38" t="str">
        <f>IF(COUNTIF(BOM_raw!$A$2:$A$1001,B52)&gt;0,B52,"OTHERS")</f>
        <v>OTHERS</v>
      </c>
      <c r="D52" s="38" t="str">
        <f t="shared" si="16"/>
        <v>OTHERS_FALLBACK</v>
      </c>
      <c r="E52" s="38" t="b">
        <f>ICIO_intensity!B52</f>
        <v>1</v>
      </c>
      <c r="F52" s="44">
        <f>ICIO_intensity!E52</f>
        <v>0.62167233793095644</v>
      </c>
      <c r="G52" s="44">
        <f>ICIO_intensity!H52</f>
        <v>0.37832766206904356</v>
      </c>
      <c r="H52" s="40">
        <f>SUMIFS(BOM_raw!$E$2:$E$1001,BOM_raw!$A$2:$A$1001,$C52,BOM_raw!$F$2:$F$1001,"T")</f>
        <v>0.29000000000000004</v>
      </c>
      <c r="I52" s="40">
        <f>SUMIFS(BOM_raw!$E$2:$E$1001,BOM_raw!$A$2:$A$1001,$C52,BOM_raw!$F$2:$F$1001,"M")</f>
        <v>3.5999999999999997E-2</v>
      </c>
      <c r="J52" s="40">
        <f>SUMIFS(BOM_raw!$E$2:$E$1001,BOM_raw!$A$2:$A$1001,$C52,BOM_raw!$F$2:$F$1001,"E")</f>
        <v>5.3000000000000005E-2</v>
      </c>
      <c r="K52" s="40">
        <f>SUMIFS(BOM_raw!$E$2:$E$1001,BOM_raw!$A$2:$A$1001,$C52,BOM_raw!$F$2:$F$1001,"I")</f>
        <v>5.8999999999999997E-2</v>
      </c>
      <c r="L52" s="40">
        <f>SUMIFS(BOM_raw!$E$2:$E$1001,BOM_raw!$A$2:$A$1001,$C52,BOM_raw!$F$2:$F$1001,"EE")</f>
        <v>0.10299999999999999</v>
      </c>
      <c r="M52" s="40">
        <f>SUMIFS(BOM_raw!$E$2:$E$1001,BOM_raw!$A$2:$A$1001,$C52,BOM_raw!$F$2:$F$1001,"HV")</f>
        <v>0.01</v>
      </c>
      <c r="N52" s="40">
        <f>SUMIFS(BOM_raw!$E$2:$E$1001,BOM_raw!$A$2:$A$1001,$C52,BOM_raw!$F$2:$F$1001,"SHARED")</f>
        <v>0.44900000000000001</v>
      </c>
      <c r="O52" s="40">
        <f t="shared" si="17"/>
        <v>1</v>
      </c>
      <c r="P52" s="40">
        <f t="shared" si="18"/>
        <v>0.62167233793095644</v>
      </c>
      <c r="Q52" s="40">
        <f t="shared" si="19"/>
        <v>0.18028497799997739</v>
      </c>
      <c r="R52" s="40">
        <f t="shared" si="20"/>
        <v>2.2380204165514429E-2</v>
      </c>
      <c r="S52" s="40">
        <f t="shared" si="21"/>
        <v>3.2948633910340697E-2</v>
      </c>
      <c r="T52" s="40">
        <f t="shared" si="22"/>
        <v>3.6678667937926429E-2</v>
      </c>
      <c r="U52" s="40">
        <f t="shared" si="23"/>
        <v>6.4032250806888513E-2</v>
      </c>
      <c r="V52" s="40">
        <f t="shared" si="24"/>
        <v>6.2167233793095642E-3</v>
      </c>
      <c r="W52" s="40">
        <f t="shared" si="25"/>
        <v>0.27913087973099943</v>
      </c>
      <c r="X52" s="40">
        <f t="shared" si="26"/>
        <v>0.62167233793095644</v>
      </c>
      <c r="Y52" s="40">
        <f t="shared" si="27"/>
        <v>0</v>
      </c>
      <c r="Z52" s="40">
        <f t="shared" si="28"/>
        <v>1</v>
      </c>
      <c r="AA52" s="39" t="str">
        <f t="shared" si="29"/>
        <v>PASS</v>
      </c>
      <c r="AB52" s="38" t="s">
        <v>368</v>
      </c>
    </row>
    <row r="53" spans="1:28">
      <c r="A53" s="38" t="str">
        <f t="shared" si="15"/>
        <v>BASE_FIGURE_ICIO</v>
      </c>
      <c r="B53" s="38" t="str">
        <f>ICIO_intensity!A53</f>
        <v>NGA</v>
      </c>
      <c r="C53" s="38" t="str">
        <f>IF(COUNTIF(BOM_raw!$A$2:$A$1001,B53)&gt;0,B53,"OTHERS")</f>
        <v>OTHERS</v>
      </c>
      <c r="D53" s="38" t="str">
        <f t="shared" si="16"/>
        <v>OTHERS_FALLBACK</v>
      </c>
      <c r="E53" s="38" t="b">
        <f>ICIO_intensity!B53</f>
        <v>1</v>
      </c>
      <c r="F53" s="44">
        <f>ICIO_intensity!E53</f>
        <v>0.72095141813136876</v>
      </c>
      <c r="G53" s="44">
        <f>ICIO_intensity!H53</f>
        <v>0.27904858186863124</v>
      </c>
      <c r="H53" s="40">
        <f>SUMIFS(BOM_raw!$E$2:$E$1001,BOM_raw!$A$2:$A$1001,$C53,BOM_raw!$F$2:$F$1001,"T")</f>
        <v>0.29000000000000004</v>
      </c>
      <c r="I53" s="40">
        <f>SUMIFS(BOM_raw!$E$2:$E$1001,BOM_raw!$A$2:$A$1001,$C53,BOM_raw!$F$2:$F$1001,"M")</f>
        <v>3.5999999999999997E-2</v>
      </c>
      <c r="J53" s="40">
        <f>SUMIFS(BOM_raw!$E$2:$E$1001,BOM_raw!$A$2:$A$1001,$C53,BOM_raw!$F$2:$F$1001,"E")</f>
        <v>5.3000000000000005E-2</v>
      </c>
      <c r="K53" s="40">
        <f>SUMIFS(BOM_raw!$E$2:$E$1001,BOM_raw!$A$2:$A$1001,$C53,BOM_raw!$F$2:$F$1001,"I")</f>
        <v>5.8999999999999997E-2</v>
      </c>
      <c r="L53" s="40">
        <f>SUMIFS(BOM_raw!$E$2:$E$1001,BOM_raw!$A$2:$A$1001,$C53,BOM_raw!$F$2:$F$1001,"EE")</f>
        <v>0.10299999999999999</v>
      </c>
      <c r="M53" s="40">
        <f>SUMIFS(BOM_raw!$E$2:$E$1001,BOM_raw!$A$2:$A$1001,$C53,BOM_raw!$F$2:$F$1001,"HV")</f>
        <v>0.01</v>
      </c>
      <c r="N53" s="40">
        <f>SUMIFS(BOM_raw!$E$2:$E$1001,BOM_raw!$A$2:$A$1001,$C53,BOM_raw!$F$2:$F$1001,"SHARED")</f>
        <v>0.44900000000000001</v>
      </c>
      <c r="O53" s="40">
        <f t="shared" si="17"/>
        <v>1</v>
      </c>
      <c r="P53" s="40">
        <f t="shared" si="18"/>
        <v>0.72095141813136876</v>
      </c>
      <c r="Q53" s="40">
        <f t="shared" si="19"/>
        <v>0.20907591125809696</v>
      </c>
      <c r="R53" s="40">
        <f t="shared" si="20"/>
        <v>2.5954251052729273E-2</v>
      </c>
      <c r="S53" s="40">
        <f t="shared" si="21"/>
        <v>3.8210425160962548E-2</v>
      </c>
      <c r="T53" s="40">
        <f t="shared" si="22"/>
        <v>4.2536133669750752E-2</v>
      </c>
      <c r="U53" s="40">
        <f t="shared" si="23"/>
        <v>7.4257996067530974E-2</v>
      </c>
      <c r="V53" s="40">
        <f t="shared" si="24"/>
        <v>7.2095141813136874E-3</v>
      </c>
      <c r="W53" s="40">
        <f t="shared" si="25"/>
        <v>0.32370718674098459</v>
      </c>
      <c r="X53" s="40">
        <f t="shared" si="26"/>
        <v>0.72095141813136876</v>
      </c>
      <c r="Y53" s="40">
        <f t="shared" si="27"/>
        <v>0</v>
      </c>
      <c r="Z53" s="40">
        <f t="shared" si="28"/>
        <v>1</v>
      </c>
      <c r="AA53" s="39" t="str">
        <f t="shared" si="29"/>
        <v>PASS</v>
      </c>
      <c r="AB53" s="38" t="s">
        <v>368</v>
      </c>
    </row>
    <row r="54" spans="1:28">
      <c r="A54" s="38" t="str">
        <f t="shared" si="15"/>
        <v>BASE_FIGURE_ICIO</v>
      </c>
      <c r="B54" s="38" t="str">
        <f>ICIO_intensity!A54</f>
        <v>NLD</v>
      </c>
      <c r="C54" s="38" t="str">
        <f>IF(COUNTIF(BOM_raw!$A$2:$A$1001,B54)&gt;0,B54,"OTHERS")</f>
        <v>OTHERS</v>
      </c>
      <c r="D54" s="38" t="str">
        <f t="shared" si="16"/>
        <v>OTHERS_FALLBACK</v>
      </c>
      <c r="E54" s="38" t="b">
        <f>ICIO_intensity!B54</f>
        <v>1</v>
      </c>
      <c r="F54" s="44">
        <f>ICIO_intensity!E54</f>
        <v>0.72186647436846896</v>
      </c>
      <c r="G54" s="44">
        <f>ICIO_intensity!H54</f>
        <v>0.27813352563153104</v>
      </c>
      <c r="H54" s="40">
        <f>SUMIFS(BOM_raw!$E$2:$E$1001,BOM_raw!$A$2:$A$1001,$C54,BOM_raw!$F$2:$F$1001,"T")</f>
        <v>0.29000000000000004</v>
      </c>
      <c r="I54" s="40">
        <f>SUMIFS(BOM_raw!$E$2:$E$1001,BOM_raw!$A$2:$A$1001,$C54,BOM_raw!$F$2:$F$1001,"M")</f>
        <v>3.5999999999999997E-2</v>
      </c>
      <c r="J54" s="40">
        <f>SUMIFS(BOM_raw!$E$2:$E$1001,BOM_raw!$A$2:$A$1001,$C54,BOM_raw!$F$2:$F$1001,"E")</f>
        <v>5.3000000000000005E-2</v>
      </c>
      <c r="K54" s="40">
        <f>SUMIFS(BOM_raw!$E$2:$E$1001,BOM_raw!$A$2:$A$1001,$C54,BOM_raw!$F$2:$F$1001,"I")</f>
        <v>5.8999999999999997E-2</v>
      </c>
      <c r="L54" s="40">
        <f>SUMIFS(BOM_raw!$E$2:$E$1001,BOM_raw!$A$2:$A$1001,$C54,BOM_raw!$F$2:$F$1001,"EE")</f>
        <v>0.10299999999999999</v>
      </c>
      <c r="M54" s="40">
        <f>SUMIFS(BOM_raw!$E$2:$E$1001,BOM_raw!$A$2:$A$1001,$C54,BOM_raw!$F$2:$F$1001,"HV")</f>
        <v>0.01</v>
      </c>
      <c r="N54" s="40">
        <f>SUMIFS(BOM_raw!$E$2:$E$1001,BOM_raw!$A$2:$A$1001,$C54,BOM_raw!$F$2:$F$1001,"SHARED")</f>
        <v>0.44900000000000001</v>
      </c>
      <c r="O54" s="40">
        <f t="shared" si="17"/>
        <v>1</v>
      </c>
      <c r="P54" s="40">
        <f t="shared" si="18"/>
        <v>0.72186647436846896</v>
      </c>
      <c r="Q54" s="40">
        <f t="shared" si="19"/>
        <v>0.20934127756685603</v>
      </c>
      <c r="R54" s="40">
        <f t="shared" si="20"/>
        <v>2.5987193077264881E-2</v>
      </c>
      <c r="S54" s="40">
        <f t="shared" si="21"/>
        <v>3.8258923141528858E-2</v>
      </c>
      <c r="T54" s="40">
        <f t="shared" si="22"/>
        <v>4.2590121987739669E-2</v>
      </c>
      <c r="U54" s="40">
        <f t="shared" si="23"/>
        <v>7.4352246859952301E-2</v>
      </c>
      <c r="V54" s="40">
        <f t="shared" si="24"/>
        <v>7.2186647436846899E-3</v>
      </c>
      <c r="W54" s="40">
        <f t="shared" si="25"/>
        <v>0.32411804699144259</v>
      </c>
      <c r="X54" s="40">
        <f t="shared" si="26"/>
        <v>0.72186647436846907</v>
      </c>
      <c r="Y54" s="40">
        <f t="shared" si="27"/>
        <v>0</v>
      </c>
      <c r="Z54" s="40">
        <f t="shared" si="28"/>
        <v>1</v>
      </c>
      <c r="AA54" s="39" t="str">
        <f t="shared" si="29"/>
        <v>PASS</v>
      </c>
      <c r="AB54" s="38" t="s">
        <v>368</v>
      </c>
    </row>
    <row r="55" spans="1:28">
      <c r="A55" s="38" t="str">
        <f t="shared" si="15"/>
        <v>BASE_FIGURE_ICIO</v>
      </c>
      <c r="B55" s="38" t="str">
        <f>ICIO_intensity!A55</f>
        <v>NOR</v>
      </c>
      <c r="C55" s="38" t="str">
        <f>IF(COUNTIF(BOM_raw!$A$2:$A$1001,B55)&gt;0,B55,"OTHERS")</f>
        <v>OTHERS</v>
      </c>
      <c r="D55" s="38" t="str">
        <f t="shared" si="16"/>
        <v>OTHERS_FALLBACK</v>
      </c>
      <c r="E55" s="38" t="b">
        <f>ICIO_intensity!B55</f>
        <v>1</v>
      </c>
      <c r="F55" s="44">
        <f>ICIO_intensity!E55</f>
        <v>0.65216988318257818</v>
      </c>
      <c r="G55" s="44">
        <f>ICIO_intensity!H55</f>
        <v>0.34783011681742182</v>
      </c>
      <c r="H55" s="40">
        <f>SUMIFS(BOM_raw!$E$2:$E$1001,BOM_raw!$A$2:$A$1001,$C55,BOM_raw!$F$2:$F$1001,"T")</f>
        <v>0.29000000000000004</v>
      </c>
      <c r="I55" s="40">
        <f>SUMIFS(BOM_raw!$E$2:$E$1001,BOM_raw!$A$2:$A$1001,$C55,BOM_raw!$F$2:$F$1001,"M")</f>
        <v>3.5999999999999997E-2</v>
      </c>
      <c r="J55" s="40">
        <f>SUMIFS(BOM_raw!$E$2:$E$1001,BOM_raw!$A$2:$A$1001,$C55,BOM_raw!$F$2:$F$1001,"E")</f>
        <v>5.3000000000000005E-2</v>
      </c>
      <c r="K55" s="40">
        <f>SUMIFS(BOM_raw!$E$2:$E$1001,BOM_raw!$A$2:$A$1001,$C55,BOM_raw!$F$2:$F$1001,"I")</f>
        <v>5.8999999999999997E-2</v>
      </c>
      <c r="L55" s="40">
        <f>SUMIFS(BOM_raw!$E$2:$E$1001,BOM_raw!$A$2:$A$1001,$C55,BOM_raw!$F$2:$F$1001,"EE")</f>
        <v>0.10299999999999999</v>
      </c>
      <c r="M55" s="40">
        <f>SUMIFS(BOM_raw!$E$2:$E$1001,BOM_raw!$A$2:$A$1001,$C55,BOM_raw!$F$2:$F$1001,"HV")</f>
        <v>0.01</v>
      </c>
      <c r="N55" s="40">
        <f>SUMIFS(BOM_raw!$E$2:$E$1001,BOM_raw!$A$2:$A$1001,$C55,BOM_raw!$F$2:$F$1001,"SHARED")</f>
        <v>0.44900000000000001</v>
      </c>
      <c r="O55" s="40">
        <f t="shared" si="17"/>
        <v>1</v>
      </c>
      <c r="P55" s="40">
        <f t="shared" si="18"/>
        <v>0.65216988318257818</v>
      </c>
      <c r="Q55" s="40">
        <f t="shared" si="19"/>
        <v>0.1891292661229477</v>
      </c>
      <c r="R55" s="40">
        <f t="shared" si="20"/>
        <v>2.3478115794572811E-2</v>
      </c>
      <c r="S55" s="40">
        <f t="shared" si="21"/>
        <v>3.456500380867665E-2</v>
      </c>
      <c r="T55" s="40">
        <f t="shared" si="22"/>
        <v>3.8478023107772111E-2</v>
      </c>
      <c r="U55" s="40">
        <f t="shared" si="23"/>
        <v>6.7173497967805543E-2</v>
      </c>
      <c r="V55" s="40">
        <f t="shared" si="24"/>
        <v>6.5216988318257821E-3</v>
      </c>
      <c r="W55" s="40">
        <f t="shared" si="25"/>
        <v>0.29282427754897761</v>
      </c>
      <c r="X55" s="40">
        <f t="shared" si="26"/>
        <v>0.65216988318257818</v>
      </c>
      <c r="Y55" s="40">
        <f t="shared" si="27"/>
        <v>0</v>
      </c>
      <c r="Z55" s="40">
        <f t="shared" si="28"/>
        <v>1</v>
      </c>
      <c r="AA55" s="39" t="str">
        <f t="shared" si="29"/>
        <v>PASS</v>
      </c>
      <c r="AB55" s="38" t="s">
        <v>368</v>
      </c>
    </row>
    <row r="56" spans="1:28">
      <c r="A56" s="38" t="str">
        <f t="shared" si="15"/>
        <v>BASE_FIGURE_ICIO</v>
      </c>
      <c r="B56" s="38" t="str">
        <f>ICIO_intensity!A56</f>
        <v>NZL</v>
      </c>
      <c r="C56" s="38" t="str">
        <f>IF(COUNTIF(BOM_raw!$A$2:$A$1001,B56)&gt;0,B56,"OTHERS")</f>
        <v>OTHERS</v>
      </c>
      <c r="D56" s="38" t="str">
        <f t="shared" si="16"/>
        <v>OTHERS_FALLBACK</v>
      </c>
      <c r="E56" s="38" t="b">
        <f>ICIO_intensity!B56</f>
        <v>1</v>
      </c>
      <c r="F56" s="44">
        <f>ICIO_intensity!E56</f>
        <v>0.68320947797166909</v>
      </c>
      <c r="G56" s="44">
        <f>ICIO_intensity!H56</f>
        <v>0.31679052202833091</v>
      </c>
      <c r="H56" s="40">
        <f>SUMIFS(BOM_raw!$E$2:$E$1001,BOM_raw!$A$2:$A$1001,$C56,BOM_raw!$F$2:$F$1001,"T")</f>
        <v>0.29000000000000004</v>
      </c>
      <c r="I56" s="40">
        <f>SUMIFS(BOM_raw!$E$2:$E$1001,BOM_raw!$A$2:$A$1001,$C56,BOM_raw!$F$2:$F$1001,"M")</f>
        <v>3.5999999999999997E-2</v>
      </c>
      <c r="J56" s="40">
        <f>SUMIFS(BOM_raw!$E$2:$E$1001,BOM_raw!$A$2:$A$1001,$C56,BOM_raw!$F$2:$F$1001,"E")</f>
        <v>5.3000000000000005E-2</v>
      </c>
      <c r="K56" s="40">
        <f>SUMIFS(BOM_raw!$E$2:$E$1001,BOM_raw!$A$2:$A$1001,$C56,BOM_raw!$F$2:$F$1001,"I")</f>
        <v>5.8999999999999997E-2</v>
      </c>
      <c r="L56" s="40">
        <f>SUMIFS(BOM_raw!$E$2:$E$1001,BOM_raw!$A$2:$A$1001,$C56,BOM_raw!$F$2:$F$1001,"EE")</f>
        <v>0.10299999999999999</v>
      </c>
      <c r="M56" s="40">
        <f>SUMIFS(BOM_raw!$E$2:$E$1001,BOM_raw!$A$2:$A$1001,$C56,BOM_raw!$F$2:$F$1001,"HV")</f>
        <v>0.01</v>
      </c>
      <c r="N56" s="40">
        <f>SUMIFS(BOM_raw!$E$2:$E$1001,BOM_raw!$A$2:$A$1001,$C56,BOM_raw!$F$2:$F$1001,"SHARED")</f>
        <v>0.44900000000000001</v>
      </c>
      <c r="O56" s="40">
        <f t="shared" si="17"/>
        <v>1</v>
      </c>
      <c r="P56" s="40">
        <f t="shared" si="18"/>
        <v>0.68320947797166909</v>
      </c>
      <c r="Q56" s="40">
        <f t="shared" si="19"/>
        <v>0.19813074861178406</v>
      </c>
      <c r="R56" s="40">
        <f t="shared" si="20"/>
        <v>2.4595541206980084E-2</v>
      </c>
      <c r="S56" s="40">
        <f t="shared" si="21"/>
        <v>3.6210102332498467E-2</v>
      </c>
      <c r="T56" s="40">
        <f t="shared" si="22"/>
        <v>4.0309359200328472E-2</v>
      </c>
      <c r="U56" s="40">
        <f t="shared" si="23"/>
        <v>7.0370576231081908E-2</v>
      </c>
      <c r="V56" s="40">
        <f t="shared" si="24"/>
        <v>6.8320947797166909E-3</v>
      </c>
      <c r="W56" s="40">
        <f t="shared" si="25"/>
        <v>0.30676105560927941</v>
      </c>
      <c r="X56" s="40">
        <f t="shared" si="26"/>
        <v>0.68320947797166909</v>
      </c>
      <c r="Y56" s="40">
        <f t="shared" si="27"/>
        <v>0</v>
      </c>
      <c r="Z56" s="40">
        <f t="shared" si="28"/>
        <v>1</v>
      </c>
      <c r="AA56" s="39" t="str">
        <f t="shared" si="29"/>
        <v>PASS</v>
      </c>
      <c r="AB56" s="38" t="s">
        <v>368</v>
      </c>
    </row>
    <row r="57" spans="1:28">
      <c r="A57" s="38" t="str">
        <f t="shared" si="15"/>
        <v>BASE_FIGURE_ICIO</v>
      </c>
      <c r="B57" s="38" t="str">
        <f>ICIO_intensity!A57</f>
        <v>PAK</v>
      </c>
      <c r="C57" s="38" t="str">
        <f>IF(COUNTIF(BOM_raw!$A$2:$A$1001,B57)&gt;0,B57,"OTHERS")</f>
        <v>OTHERS</v>
      </c>
      <c r="D57" s="38" t="str">
        <f t="shared" si="16"/>
        <v>OTHERS_FALLBACK</v>
      </c>
      <c r="E57" s="38" t="b">
        <f>ICIO_intensity!B57</f>
        <v>1</v>
      </c>
      <c r="F57" s="44">
        <f>ICIO_intensity!E57</f>
        <v>0.58211188481065756</v>
      </c>
      <c r="G57" s="44">
        <f>ICIO_intensity!H57</f>
        <v>0.41788811518934244</v>
      </c>
      <c r="H57" s="40">
        <f>SUMIFS(BOM_raw!$E$2:$E$1001,BOM_raw!$A$2:$A$1001,$C57,BOM_raw!$F$2:$F$1001,"T")</f>
        <v>0.29000000000000004</v>
      </c>
      <c r="I57" s="40">
        <f>SUMIFS(BOM_raw!$E$2:$E$1001,BOM_raw!$A$2:$A$1001,$C57,BOM_raw!$F$2:$F$1001,"M")</f>
        <v>3.5999999999999997E-2</v>
      </c>
      <c r="J57" s="40">
        <f>SUMIFS(BOM_raw!$E$2:$E$1001,BOM_raw!$A$2:$A$1001,$C57,BOM_raw!$F$2:$F$1001,"E")</f>
        <v>5.3000000000000005E-2</v>
      </c>
      <c r="K57" s="40">
        <f>SUMIFS(BOM_raw!$E$2:$E$1001,BOM_raw!$A$2:$A$1001,$C57,BOM_raw!$F$2:$F$1001,"I")</f>
        <v>5.8999999999999997E-2</v>
      </c>
      <c r="L57" s="40">
        <f>SUMIFS(BOM_raw!$E$2:$E$1001,BOM_raw!$A$2:$A$1001,$C57,BOM_raw!$F$2:$F$1001,"EE")</f>
        <v>0.10299999999999999</v>
      </c>
      <c r="M57" s="40">
        <f>SUMIFS(BOM_raw!$E$2:$E$1001,BOM_raw!$A$2:$A$1001,$C57,BOM_raw!$F$2:$F$1001,"HV")</f>
        <v>0.01</v>
      </c>
      <c r="N57" s="40">
        <f>SUMIFS(BOM_raw!$E$2:$E$1001,BOM_raw!$A$2:$A$1001,$C57,BOM_raw!$F$2:$F$1001,"SHARED")</f>
        <v>0.44900000000000001</v>
      </c>
      <c r="O57" s="40">
        <f t="shared" si="17"/>
        <v>1</v>
      </c>
      <c r="P57" s="40">
        <f t="shared" si="18"/>
        <v>0.58211188481065756</v>
      </c>
      <c r="Q57" s="40">
        <f t="shared" si="19"/>
        <v>0.1688124465950907</v>
      </c>
      <c r="R57" s="40">
        <f t="shared" si="20"/>
        <v>2.0956027853183672E-2</v>
      </c>
      <c r="S57" s="40">
        <f t="shared" si="21"/>
        <v>3.0851929894964852E-2</v>
      </c>
      <c r="T57" s="40">
        <f t="shared" si="22"/>
        <v>3.4344601203828796E-2</v>
      </c>
      <c r="U57" s="40">
        <f t="shared" si="23"/>
        <v>5.9957524135497729E-2</v>
      </c>
      <c r="V57" s="40">
        <f t="shared" si="24"/>
        <v>5.8211188481065755E-3</v>
      </c>
      <c r="W57" s="40">
        <f t="shared" si="25"/>
        <v>0.26136823627998523</v>
      </c>
      <c r="X57" s="40">
        <f t="shared" si="26"/>
        <v>0.58211188481065756</v>
      </c>
      <c r="Y57" s="40">
        <f t="shared" si="27"/>
        <v>0</v>
      </c>
      <c r="Z57" s="40">
        <f t="shared" si="28"/>
        <v>1</v>
      </c>
      <c r="AA57" s="39" t="str">
        <f t="shared" si="29"/>
        <v>PASS</v>
      </c>
      <c r="AB57" s="38" t="s">
        <v>368</v>
      </c>
    </row>
    <row r="58" spans="1:28">
      <c r="A58" s="38" t="str">
        <f t="shared" si="15"/>
        <v>BASE_FIGURE_ICIO</v>
      </c>
      <c r="B58" s="38" t="str">
        <f>ICIO_intensity!A58</f>
        <v>PER</v>
      </c>
      <c r="C58" s="38" t="str">
        <f>IF(COUNTIF(BOM_raw!$A$2:$A$1001,B58)&gt;0,B58,"OTHERS")</f>
        <v>OTHERS</v>
      </c>
      <c r="D58" s="38" t="str">
        <f t="shared" si="16"/>
        <v>OTHERS_FALLBACK</v>
      </c>
      <c r="E58" s="38" t="b">
        <f>ICIO_intensity!B58</f>
        <v>1</v>
      </c>
      <c r="F58" s="44">
        <f>ICIO_intensity!E58</f>
        <v>0.41641373949331006</v>
      </c>
      <c r="G58" s="44">
        <f>ICIO_intensity!H58</f>
        <v>0.58358626050668994</v>
      </c>
      <c r="H58" s="40">
        <f>SUMIFS(BOM_raw!$E$2:$E$1001,BOM_raw!$A$2:$A$1001,$C58,BOM_raw!$F$2:$F$1001,"T")</f>
        <v>0.29000000000000004</v>
      </c>
      <c r="I58" s="40">
        <f>SUMIFS(BOM_raw!$E$2:$E$1001,BOM_raw!$A$2:$A$1001,$C58,BOM_raw!$F$2:$F$1001,"M")</f>
        <v>3.5999999999999997E-2</v>
      </c>
      <c r="J58" s="40">
        <f>SUMIFS(BOM_raw!$E$2:$E$1001,BOM_raw!$A$2:$A$1001,$C58,BOM_raw!$F$2:$F$1001,"E")</f>
        <v>5.3000000000000005E-2</v>
      </c>
      <c r="K58" s="40">
        <f>SUMIFS(BOM_raw!$E$2:$E$1001,BOM_raw!$A$2:$A$1001,$C58,BOM_raw!$F$2:$F$1001,"I")</f>
        <v>5.8999999999999997E-2</v>
      </c>
      <c r="L58" s="40">
        <f>SUMIFS(BOM_raw!$E$2:$E$1001,BOM_raw!$A$2:$A$1001,$C58,BOM_raw!$F$2:$F$1001,"EE")</f>
        <v>0.10299999999999999</v>
      </c>
      <c r="M58" s="40">
        <f>SUMIFS(BOM_raw!$E$2:$E$1001,BOM_raw!$A$2:$A$1001,$C58,BOM_raw!$F$2:$F$1001,"HV")</f>
        <v>0.01</v>
      </c>
      <c r="N58" s="40">
        <f>SUMIFS(BOM_raw!$E$2:$E$1001,BOM_raw!$A$2:$A$1001,$C58,BOM_raw!$F$2:$F$1001,"SHARED")</f>
        <v>0.44900000000000001</v>
      </c>
      <c r="O58" s="40">
        <f t="shared" si="17"/>
        <v>1</v>
      </c>
      <c r="P58" s="40">
        <f t="shared" si="18"/>
        <v>0.41641373949331006</v>
      </c>
      <c r="Q58" s="40">
        <f t="shared" si="19"/>
        <v>0.12075998445305994</v>
      </c>
      <c r="R58" s="40">
        <f t="shared" si="20"/>
        <v>1.4990894621759161E-2</v>
      </c>
      <c r="S58" s="40">
        <f t="shared" si="21"/>
        <v>2.2069928193145436E-2</v>
      </c>
      <c r="T58" s="40">
        <f t="shared" si="22"/>
        <v>2.4568410630105293E-2</v>
      </c>
      <c r="U58" s="40">
        <f t="shared" si="23"/>
        <v>4.2890615167810932E-2</v>
      </c>
      <c r="V58" s="40">
        <f t="shared" si="24"/>
        <v>4.164137394933101E-3</v>
      </c>
      <c r="W58" s="40">
        <f t="shared" si="25"/>
        <v>0.18696976903249624</v>
      </c>
      <c r="X58" s="40">
        <f t="shared" si="26"/>
        <v>0.41641373949331006</v>
      </c>
      <c r="Y58" s="40">
        <f t="shared" si="27"/>
        <v>0</v>
      </c>
      <c r="Z58" s="40">
        <f t="shared" si="28"/>
        <v>1</v>
      </c>
      <c r="AA58" s="39" t="str">
        <f t="shared" si="29"/>
        <v>PASS</v>
      </c>
      <c r="AB58" s="38" t="s">
        <v>368</v>
      </c>
    </row>
    <row r="59" spans="1:28">
      <c r="A59" s="38" t="str">
        <f t="shared" si="15"/>
        <v>BASE_FIGURE_ICIO</v>
      </c>
      <c r="B59" s="38" t="str">
        <f>ICIO_intensity!A59</f>
        <v>PHL</v>
      </c>
      <c r="C59" s="38" t="str">
        <f>IF(COUNTIF(BOM_raw!$A$2:$A$1001,B59)&gt;0,B59,"OTHERS")</f>
        <v>OTHERS</v>
      </c>
      <c r="D59" s="38" t="str">
        <f t="shared" si="16"/>
        <v>OTHERS_FALLBACK</v>
      </c>
      <c r="E59" s="38" t="b">
        <f>ICIO_intensity!B59</f>
        <v>1</v>
      </c>
      <c r="F59" s="44">
        <f>ICIO_intensity!E59</f>
        <v>0.74537150020409337</v>
      </c>
      <c r="G59" s="44">
        <f>ICIO_intensity!H59</f>
        <v>0.25462849979590663</v>
      </c>
      <c r="H59" s="40">
        <f>SUMIFS(BOM_raw!$E$2:$E$1001,BOM_raw!$A$2:$A$1001,$C59,BOM_raw!$F$2:$F$1001,"T")</f>
        <v>0.29000000000000004</v>
      </c>
      <c r="I59" s="40">
        <f>SUMIFS(BOM_raw!$E$2:$E$1001,BOM_raw!$A$2:$A$1001,$C59,BOM_raw!$F$2:$F$1001,"M")</f>
        <v>3.5999999999999997E-2</v>
      </c>
      <c r="J59" s="40">
        <f>SUMIFS(BOM_raw!$E$2:$E$1001,BOM_raw!$A$2:$A$1001,$C59,BOM_raw!$F$2:$F$1001,"E")</f>
        <v>5.3000000000000005E-2</v>
      </c>
      <c r="K59" s="40">
        <f>SUMIFS(BOM_raw!$E$2:$E$1001,BOM_raw!$A$2:$A$1001,$C59,BOM_raw!$F$2:$F$1001,"I")</f>
        <v>5.8999999999999997E-2</v>
      </c>
      <c r="L59" s="40">
        <f>SUMIFS(BOM_raw!$E$2:$E$1001,BOM_raw!$A$2:$A$1001,$C59,BOM_raw!$F$2:$F$1001,"EE")</f>
        <v>0.10299999999999999</v>
      </c>
      <c r="M59" s="40">
        <f>SUMIFS(BOM_raw!$E$2:$E$1001,BOM_raw!$A$2:$A$1001,$C59,BOM_raw!$F$2:$F$1001,"HV")</f>
        <v>0.01</v>
      </c>
      <c r="N59" s="40">
        <f>SUMIFS(BOM_raw!$E$2:$E$1001,BOM_raw!$A$2:$A$1001,$C59,BOM_raw!$F$2:$F$1001,"SHARED")</f>
        <v>0.44900000000000001</v>
      </c>
      <c r="O59" s="40">
        <f t="shared" si="17"/>
        <v>1</v>
      </c>
      <c r="P59" s="40">
        <f t="shared" si="18"/>
        <v>0.74537150020409337</v>
      </c>
      <c r="Q59" s="40">
        <f t="shared" si="19"/>
        <v>0.21615773505918712</v>
      </c>
      <c r="R59" s="40">
        <f t="shared" si="20"/>
        <v>2.6833374007347359E-2</v>
      </c>
      <c r="S59" s="40">
        <f t="shared" si="21"/>
        <v>3.9504689510816954E-2</v>
      </c>
      <c r="T59" s="40">
        <f t="shared" si="22"/>
        <v>4.397691851204151E-2</v>
      </c>
      <c r="U59" s="40">
        <f t="shared" si="23"/>
        <v>7.6773264521021609E-2</v>
      </c>
      <c r="V59" s="40">
        <f t="shared" si="24"/>
        <v>7.4537150020409339E-3</v>
      </c>
      <c r="W59" s="40">
        <f t="shared" si="25"/>
        <v>0.33467180359163795</v>
      </c>
      <c r="X59" s="40">
        <f t="shared" si="26"/>
        <v>0.74537150020409348</v>
      </c>
      <c r="Y59" s="40">
        <f t="shared" si="27"/>
        <v>0</v>
      </c>
      <c r="Z59" s="40">
        <f t="shared" si="28"/>
        <v>1</v>
      </c>
      <c r="AA59" s="39" t="str">
        <f t="shared" si="29"/>
        <v>PASS</v>
      </c>
      <c r="AB59" s="38" t="s">
        <v>368</v>
      </c>
    </row>
    <row r="60" spans="1:28">
      <c r="A60" s="38" t="str">
        <f t="shared" si="15"/>
        <v>BASE_FIGURE_ICIO</v>
      </c>
      <c r="B60" s="38" t="str">
        <f>ICIO_intensity!A60</f>
        <v>POL</v>
      </c>
      <c r="C60" s="38" t="str">
        <f>IF(COUNTIF(BOM_raw!$A$2:$A$1001,B60)&gt;0,B60,"OTHERS")</f>
        <v>OTHERS</v>
      </c>
      <c r="D60" s="38" t="str">
        <f t="shared" si="16"/>
        <v>OTHERS_FALLBACK</v>
      </c>
      <c r="E60" s="38" t="b">
        <f>ICIO_intensity!B60</f>
        <v>1</v>
      </c>
      <c r="F60" s="44">
        <f>ICIO_intensity!E60</f>
        <v>0.78839662276559852</v>
      </c>
      <c r="G60" s="44">
        <f>ICIO_intensity!H60</f>
        <v>0.21160337723440148</v>
      </c>
      <c r="H60" s="40">
        <f>SUMIFS(BOM_raw!$E$2:$E$1001,BOM_raw!$A$2:$A$1001,$C60,BOM_raw!$F$2:$F$1001,"T")</f>
        <v>0.29000000000000004</v>
      </c>
      <c r="I60" s="40">
        <f>SUMIFS(BOM_raw!$E$2:$E$1001,BOM_raw!$A$2:$A$1001,$C60,BOM_raw!$F$2:$F$1001,"M")</f>
        <v>3.5999999999999997E-2</v>
      </c>
      <c r="J60" s="40">
        <f>SUMIFS(BOM_raw!$E$2:$E$1001,BOM_raw!$A$2:$A$1001,$C60,BOM_raw!$F$2:$F$1001,"E")</f>
        <v>5.3000000000000005E-2</v>
      </c>
      <c r="K60" s="40">
        <f>SUMIFS(BOM_raw!$E$2:$E$1001,BOM_raw!$A$2:$A$1001,$C60,BOM_raw!$F$2:$F$1001,"I")</f>
        <v>5.8999999999999997E-2</v>
      </c>
      <c r="L60" s="40">
        <f>SUMIFS(BOM_raw!$E$2:$E$1001,BOM_raw!$A$2:$A$1001,$C60,BOM_raw!$F$2:$F$1001,"EE")</f>
        <v>0.10299999999999999</v>
      </c>
      <c r="M60" s="40">
        <f>SUMIFS(BOM_raw!$E$2:$E$1001,BOM_raw!$A$2:$A$1001,$C60,BOM_raw!$F$2:$F$1001,"HV")</f>
        <v>0.01</v>
      </c>
      <c r="N60" s="40">
        <f>SUMIFS(BOM_raw!$E$2:$E$1001,BOM_raw!$A$2:$A$1001,$C60,BOM_raw!$F$2:$F$1001,"SHARED")</f>
        <v>0.44900000000000001</v>
      </c>
      <c r="O60" s="40">
        <f t="shared" si="17"/>
        <v>1</v>
      </c>
      <c r="P60" s="40">
        <f t="shared" si="18"/>
        <v>0.78839662276559852</v>
      </c>
      <c r="Q60" s="40">
        <f t="shared" si="19"/>
        <v>0.22863502060202359</v>
      </c>
      <c r="R60" s="40">
        <f t="shared" si="20"/>
        <v>2.8382278419561546E-2</v>
      </c>
      <c r="S60" s="40">
        <f t="shared" si="21"/>
        <v>4.1785021006576724E-2</v>
      </c>
      <c r="T60" s="40">
        <f t="shared" si="22"/>
        <v>4.6515400743170308E-2</v>
      </c>
      <c r="U60" s="40">
        <f t="shared" si="23"/>
        <v>8.1204852144856648E-2</v>
      </c>
      <c r="V60" s="40">
        <f t="shared" si="24"/>
        <v>7.8839662276559853E-3</v>
      </c>
      <c r="W60" s="40">
        <f t="shared" si="25"/>
        <v>0.35399008362175377</v>
      </c>
      <c r="X60" s="40">
        <f t="shared" si="26"/>
        <v>0.78839662276559852</v>
      </c>
      <c r="Y60" s="40">
        <f t="shared" si="27"/>
        <v>0</v>
      </c>
      <c r="Z60" s="40">
        <f t="shared" si="28"/>
        <v>1</v>
      </c>
      <c r="AA60" s="39" t="str">
        <f t="shared" si="29"/>
        <v>PASS</v>
      </c>
      <c r="AB60" s="38" t="s">
        <v>368</v>
      </c>
    </row>
    <row r="61" spans="1:28">
      <c r="A61" s="38" t="str">
        <f t="shared" si="15"/>
        <v>BASE_FIGURE_ICIO</v>
      </c>
      <c r="B61" s="38" t="str">
        <f>ICIO_intensity!A61</f>
        <v>PRT</v>
      </c>
      <c r="C61" s="38" t="str">
        <f>IF(COUNTIF(BOM_raw!$A$2:$A$1001,B61)&gt;0,B61,"OTHERS")</f>
        <v>OTHERS</v>
      </c>
      <c r="D61" s="38" t="str">
        <f t="shared" si="16"/>
        <v>OTHERS_FALLBACK</v>
      </c>
      <c r="E61" s="38" t="b">
        <f>ICIO_intensity!B61</f>
        <v>1</v>
      </c>
      <c r="F61" s="44">
        <f>ICIO_intensity!E61</f>
        <v>0.81628614215714468</v>
      </c>
      <c r="G61" s="44">
        <f>ICIO_intensity!H61</f>
        <v>0.18371385784285532</v>
      </c>
      <c r="H61" s="40">
        <f>SUMIFS(BOM_raw!$E$2:$E$1001,BOM_raw!$A$2:$A$1001,$C61,BOM_raw!$F$2:$F$1001,"T")</f>
        <v>0.29000000000000004</v>
      </c>
      <c r="I61" s="40">
        <f>SUMIFS(BOM_raw!$E$2:$E$1001,BOM_raw!$A$2:$A$1001,$C61,BOM_raw!$F$2:$F$1001,"M")</f>
        <v>3.5999999999999997E-2</v>
      </c>
      <c r="J61" s="40">
        <f>SUMIFS(BOM_raw!$E$2:$E$1001,BOM_raw!$A$2:$A$1001,$C61,BOM_raw!$F$2:$F$1001,"E")</f>
        <v>5.3000000000000005E-2</v>
      </c>
      <c r="K61" s="40">
        <f>SUMIFS(BOM_raw!$E$2:$E$1001,BOM_raw!$A$2:$A$1001,$C61,BOM_raw!$F$2:$F$1001,"I")</f>
        <v>5.8999999999999997E-2</v>
      </c>
      <c r="L61" s="40">
        <f>SUMIFS(BOM_raw!$E$2:$E$1001,BOM_raw!$A$2:$A$1001,$C61,BOM_raw!$F$2:$F$1001,"EE")</f>
        <v>0.10299999999999999</v>
      </c>
      <c r="M61" s="40">
        <f>SUMIFS(BOM_raw!$E$2:$E$1001,BOM_raw!$A$2:$A$1001,$C61,BOM_raw!$F$2:$F$1001,"HV")</f>
        <v>0.01</v>
      </c>
      <c r="N61" s="40">
        <f>SUMIFS(BOM_raw!$E$2:$E$1001,BOM_raw!$A$2:$A$1001,$C61,BOM_raw!$F$2:$F$1001,"SHARED")</f>
        <v>0.44900000000000001</v>
      </c>
      <c r="O61" s="40">
        <f t="shared" si="17"/>
        <v>1</v>
      </c>
      <c r="P61" s="40">
        <f t="shared" si="18"/>
        <v>0.81628614215714468</v>
      </c>
      <c r="Q61" s="40">
        <f t="shared" si="19"/>
        <v>0.23672298122557198</v>
      </c>
      <c r="R61" s="40">
        <f t="shared" si="20"/>
        <v>2.9386301117657207E-2</v>
      </c>
      <c r="S61" s="40">
        <f t="shared" si="21"/>
        <v>4.3263165534328671E-2</v>
      </c>
      <c r="T61" s="40">
        <f t="shared" si="22"/>
        <v>4.8160882387271536E-2</v>
      </c>
      <c r="U61" s="40">
        <f t="shared" si="23"/>
        <v>8.4077472642185902E-2</v>
      </c>
      <c r="V61" s="40">
        <f t="shared" si="24"/>
        <v>8.1628614215714466E-3</v>
      </c>
      <c r="W61" s="40">
        <f t="shared" si="25"/>
        <v>0.36651247782855795</v>
      </c>
      <c r="X61" s="40">
        <f t="shared" si="26"/>
        <v>0.81628614215714468</v>
      </c>
      <c r="Y61" s="40">
        <f t="shared" si="27"/>
        <v>0</v>
      </c>
      <c r="Z61" s="40">
        <f t="shared" si="28"/>
        <v>1</v>
      </c>
      <c r="AA61" s="39" t="str">
        <f t="shared" si="29"/>
        <v>PASS</v>
      </c>
      <c r="AB61" s="38" t="s">
        <v>368</v>
      </c>
    </row>
    <row r="62" spans="1:28">
      <c r="A62" s="38" t="str">
        <f t="shared" si="15"/>
        <v>BASE_FIGURE_ICIO</v>
      </c>
      <c r="B62" s="38" t="str">
        <f>ICIO_intensity!A62</f>
        <v>ROU</v>
      </c>
      <c r="C62" s="38" t="str">
        <f>IF(COUNTIF(BOM_raw!$A$2:$A$1001,B62)&gt;0,B62,"OTHERS")</f>
        <v>OTHERS</v>
      </c>
      <c r="D62" s="38" t="str">
        <f t="shared" si="16"/>
        <v>OTHERS_FALLBACK</v>
      </c>
      <c r="E62" s="38" t="b">
        <f>ICIO_intensity!B62</f>
        <v>1</v>
      </c>
      <c r="F62" s="44">
        <f>ICIO_intensity!E62</f>
        <v>0.78287786775100132</v>
      </c>
      <c r="G62" s="44">
        <f>ICIO_intensity!H62</f>
        <v>0.21712213224899868</v>
      </c>
      <c r="H62" s="40">
        <f>SUMIFS(BOM_raw!$E$2:$E$1001,BOM_raw!$A$2:$A$1001,$C62,BOM_raw!$F$2:$F$1001,"T")</f>
        <v>0.29000000000000004</v>
      </c>
      <c r="I62" s="40">
        <f>SUMIFS(BOM_raw!$E$2:$E$1001,BOM_raw!$A$2:$A$1001,$C62,BOM_raw!$F$2:$F$1001,"M")</f>
        <v>3.5999999999999997E-2</v>
      </c>
      <c r="J62" s="40">
        <f>SUMIFS(BOM_raw!$E$2:$E$1001,BOM_raw!$A$2:$A$1001,$C62,BOM_raw!$F$2:$F$1001,"E")</f>
        <v>5.3000000000000005E-2</v>
      </c>
      <c r="K62" s="40">
        <f>SUMIFS(BOM_raw!$E$2:$E$1001,BOM_raw!$A$2:$A$1001,$C62,BOM_raw!$F$2:$F$1001,"I")</f>
        <v>5.8999999999999997E-2</v>
      </c>
      <c r="L62" s="40">
        <f>SUMIFS(BOM_raw!$E$2:$E$1001,BOM_raw!$A$2:$A$1001,$C62,BOM_raw!$F$2:$F$1001,"EE")</f>
        <v>0.10299999999999999</v>
      </c>
      <c r="M62" s="40">
        <f>SUMIFS(BOM_raw!$E$2:$E$1001,BOM_raw!$A$2:$A$1001,$C62,BOM_raw!$F$2:$F$1001,"HV")</f>
        <v>0.01</v>
      </c>
      <c r="N62" s="40">
        <f>SUMIFS(BOM_raw!$E$2:$E$1001,BOM_raw!$A$2:$A$1001,$C62,BOM_raw!$F$2:$F$1001,"SHARED")</f>
        <v>0.44900000000000001</v>
      </c>
      <c r="O62" s="40">
        <f t="shared" si="17"/>
        <v>1</v>
      </c>
      <c r="P62" s="40">
        <f t="shared" si="18"/>
        <v>0.78287786775100132</v>
      </c>
      <c r="Q62" s="40">
        <f t="shared" si="19"/>
        <v>0.22703458164779042</v>
      </c>
      <c r="R62" s="40">
        <f t="shared" si="20"/>
        <v>2.8183603239036046E-2</v>
      </c>
      <c r="S62" s="40">
        <f t="shared" si="21"/>
        <v>4.1492526990803073E-2</v>
      </c>
      <c r="T62" s="40">
        <f t="shared" si="22"/>
        <v>4.6189794197309078E-2</v>
      </c>
      <c r="U62" s="40">
        <f t="shared" si="23"/>
        <v>8.0636420378353127E-2</v>
      </c>
      <c r="V62" s="40">
        <f t="shared" si="24"/>
        <v>7.8287786775100131E-3</v>
      </c>
      <c r="W62" s="40">
        <f t="shared" si="25"/>
        <v>0.35151216262019958</v>
      </c>
      <c r="X62" s="40">
        <f t="shared" si="26"/>
        <v>0.78287786775100132</v>
      </c>
      <c r="Y62" s="40">
        <f t="shared" si="27"/>
        <v>0</v>
      </c>
      <c r="Z62" s="40">
        <f t="shared" si="28"/>
        <v>1</v>
      </c>
      <c r="AA62" s="39" t="str">
        <f t="shared" si="29"/>
        <v>PASS</v>
      </c>
      <c r="AB62" s="38" t="s">
        <v>368</v>
      </c>
    </row>
    <row r="63" spans="1:28">
      <c r="A63" s="38" t="str">
        <f t="shared" si="15"/>
        <v>BASE_FIGURE_ICIO</v>
      </c>
      <c r="B63" s="38" t="str">
        <f>ICIO_intensity!A63</f>
        <v>RUS</v>
      </c>
      <c r="C63" s="38" t="str">
        <f>IF(COUNTIF(BOM_raw!$A$2:$A$1001,B63)&gt;0,B63,"OTHERS")</f>
        <v>OTHERS</v>
      </c>
      <c r="D63" s="38" t="str">
        <f t="shared" si="16"/>
        <v>OTHERS_FALLBACK</v>
      </c>
      <c r="E63" s="38" t="b">
        <f>ICIO_intensity!B63</f>
        <v>1</v>
      </c>
      <c r="F63" s="44">
        <f>ICIO_intensity!E63</f>
        <v>0.79523476300753748</v>
      </c>
      <c r="G63" s="44">
        <f>ICIO_intensity!H63</f>
        <v>0.20476523699246252</v>
      </c>
      <c r="H63" s="40">
        <f>SUMIFS(BOM_raw!$E$2:$E$1001,BOM_raw!$A$2:$A$1001,$C63,BOM_raw!$F$2:$F$1001,"T")</f>
        <v>0.29000000000000004</v>
      </c>
      <c r="I63" s="40">
        <f>SUMIFS(BOM_raw!$E$2:$E$1001,BOM_raw!$A$2:$A$1001,$C63,BOM_raw!$F$2:$F$1001,"M")</f>
        <v>3.5999999999999997E-2</v>
      </c>
      <c r="J63" s="40">
        <f>SUMIFS(BOM_raw!$E$2:$E$1001,BOM_raw!$A$2:$A$1001,$C63,BOM_raw!$F$2:$F$1001,"E")</f>
        <v>5.3000000000000005E-2</v>
      </c>
      <c r="K63" s="40">
        <f>SUMIFS(BOM_raw!$E$2:$E$1001,BOM_raw!$A$2:$A$1001,$C63,BOM_raw!$F$2:$F$1001,"I")</f>
        <v>5.8999999999999997E-2</v>
      </c>
      <c r="L63" s="40">
        <f>SUMIFS(BOM_raw!$E$2:$E$1001,BOM_raw!$A$2:$A$1001,$C63,BOM_raw!$F$2:$F$1001,"EE")</f>
        <v>0.10299999999999999</v>
      </c>
      <c r="M63" s="40">
        <f>SUMIFS(BOM_raw!$E$2:$E$1001,BOM_raw!$A$2:$A$1001,$C63,BOM_raw!$F$2:$F$1001,"HV")</f>
        <v>0.01</v>
      </c>
      <c r="N63" s="40">
        <f>SUMIFS(BOM_raw!$E$2:$E$1001,BOM_raw!$A$2:$A$1001,$C63,BOM_raw!$F$2:$F$1001,"SHARED")</f>
        <v>0.44900000000000001</v>
      </c>
      <c r="O63" s="40">
        <f t="shared" si="17"/>
        <v>1</v>
      </c>
      <c r="P63" s="40">
        <f t="shared" si="18"/>
        <v>0.79523476300753748</v>
      </c>
      <c r="Q63" s="40">
        <f t="shared" si="19"/>
        <v>0.23061808127218589</v>
      </c>
      <c r="R63" s="40">
        <f t="shared" si="20"/>
        <v>2.8628451468271348E-2</v>
      </c>
      <c r="S63" s="40">
        <f t="shared" si="21"/>
        <v>4.2147442439399489E-2</v>
      </c>
      <c r="T63" s="40">
        <f t="shared" si="22"/>
        <v>4.691885101744471E-2</v>
      </c>
      <c r="U63" s="40">
        <f t="shared" si="23"/>
        <v>8.1909180589776351E-2</v>
      </c>
      <c r="V63" s="40">
        <f t="shared" si="24"/>
        <v>7.9523476300753758E-3</v>
      </c>
      <c r="W63" s="40">
        <f t="shared" si="25"/>
        <v>0.35706040859038435</v>
      </c>
      <c r="X63" s="40">
        <f t="shared" si="26"/>
        <v>0.79523476300753748</v>
      </c>
      <c r="Y63" s="40">
        <f t="shared" si="27"/>
        <v>0</v>
      </c>
      <c r="Z63" s="40">
        <f t="shared" si="28"/>
        <v>1</v>
      </c>
      <c r="AA63" s="39" t="str">
        <f t="shared" si="29"/>
        <v>PASS</v>
      </c>
      <c r="AB63" s="38" t="s">
        <v>368</v>
      </c>
    </row>
    <row r="64" spans="1:28">
      <c r="A64" s="38" t="str">
        <f t="shared" si="15"/>
        <v>BASE_FIGURE_ICIO</v>
      </c>
      <c r="B64" s="38" t="str">
        <f>ICIO_intensity!A64</f>
        <v>SAU</v>
      </c>
      <c r="C64" s="38" t="str">
        <f>IF(COUNTIF(BOM_raw!$A$2:$A$1001,B64)&gt;0,B64,"OTHERS")</f>
        <v>OTHERS</v>
      </c>
      <c r="D64" s="38" t="str">
        <f t="shared" si="16"/>
        <v>OTHERS_FALLBACK</v>
      </c>
      <c r="E64" s="38" t="b">
        <f>ICIO_intensity!B64</f>
        <v>1</v>
      </c>
      <c r="F64" s="44">
        <f>ICIO_intensity!E64</f>
        <v>0.47133302654936277</v>
      </c>
      <c r="G64" s="44">
        <f>ICIO_intensity!H64</f>
        <v>0.52866697345063729</v>
      </c>
      <c r="H64" s="40">
        <f>SUMIFS(BOM_raw!$E$2:$E$1001,BOM_raw!$A$2:$A$1001,$C64,BOM_raw!$F$2:$F$1001,"T")</f>
        <v>0.29000000000000004</v>
      </c>
      <c r="I64" s="40">
        <f>SUMIFS(BOM_raw!$E$2:$E$1001,BOM_raw!$A$2:$A$1001,$C64,BOM_raw!$F$2:$F$1001,"M")</f>
        <v>3.5999999999999997E-2</v>
      </c>
      <c r="J64" s="40">
        <f>SUMIFS(BOM_raw!$E$2:$E$1001,BOM_raw!$A$2:$A$1001,$C64,BOM_raw!$F$2:$F$1001,"E")</f>
        <v>5.3000000000000005E-2</v>
      </c>
      <c r="K64" s="40">
        <f>SUMIFS(BOM_raw!$E$2:$E$1001,BOM_raw!$A$2:$A$1001,$C64,BOM_raw!$F$2:$F$1001,"I")</f>
        <v>5.8999999999999997E-2</v>
      </c>
      <c r="L64" s="40">
        <f>SUMIFS(BOM_raw!$E$2:$E$1001,BOM_raw!$A$2:$A$1001,$C64,BOM_raw!$F$2:$F$1001,"EE")</f>
        <v>0.10299999999999999</v>
      </c>
      <c r="M64" s="40">
        <f>SUMIFS(BOM_raw!$E$2:$E$1001,BOM_raw!$A$2:$A$1001,$C64,BOM_raw!$F$2:$F$1001,"HV")</f>
        <v>0.01</v>
      </c>
      <c r="N64" s="40">
        <f>SUMIFS(BOM_raw!$E$2:$E$1001,BOM_raw!$A$2:$A$1001,$C64,BOM_raw!$F$2:$F$1001,"SHARED")</f>
        <v>0.44900000000000001</v>
      </c>
      <c r="O64" s="40">
        <f t="shared" si="17"/>
        <v>1</v>
      </c>
      <c r="P64" s="40">
        <f t="shared" si="18"/>
        <v>0.47133302654936277</v>
      </c>
      <c r="Q64" s="40">
        <f t="shared" si="19"/>
        <v>0.13668657769931522</v>
      </c>
      <c r="R64" s="40">
        <f t="shared" si="20"/>
        <v>1.6967988955777058E-2</v>
      </c>
      <c r="S64" s="40">
        <f t="shared" si="21"/>
        <v>2.498065040711623E-2</v>
      </c>
      <c r="T64" s="40">
        <f t="shared" si="22"/>
        <v>2.7808648566412401E-2</v>
      </c>
      <c r="U64" s="40">
        <f t="shared" si="23"/>
        <v>4.854730173458436E-2</v>
      </c>
      <c r="V64" s="40">
        <f t="shared" si="24"/>
        <v>4.7133302654936279E-3</v>
      </c>
      <c r="W64" s="40">
        <f t="shared" si="25"/>
        <v>0.21162852892066389</v>
      </c>
      <c r="X64" s="40">
        <f t="shared" si="26"/>
        <v>0.47133302654936282</v>
      </c>
      <c r="Y64" s="40">
        <f t="shared" si="27"/>
        <v>0</v>
      </c>
      <c r="Z64" s="40">
        <f t="shared" si="28"/>
        <v>1</v>
      </c>
      <c r="AA64" s="39" t="str">
        <f t="shared" si="29"/>
        <v>PASS</v>
      </c>
      <c r="AB64" s="38" t="s">
        <v>368</v>
      </c>
    </row>
    <row r="65" spans="1:28">
      <c r="A65" s="38" t="str">
        <f t="shared" si="15"/>
        <v>BASE_FIGURE_ICIO</v>
      </c>
      <c r="B65" s="38" t="str">
        <f>ICIO_intensity!A65</f>
        <v>SEN</v>
      </c>
      <c r="C65" s="38" t="str">
        <f>IF(COUNTIF(BOM_raw!$A$2:$A$1001,B65)&gt;0,B65,"OTHERS")</f>
        <v>OTHERS</v>
      </c>
      <c r="D65" s="38" t="str">
        <f t="shared" si="16"/>
        <v>OTHERS_FALLBACK</v>
      </c>
      <c r="E65" s="38" t="b">
        <f>ICIO_intensity!B65</f>
        <v>1</v>
      </c>
      <c r="F65" s="44">
        <f>ICIO_intensity!E65</f>
        <v>0.41776863806747089</v>
      </c>
      <c r="G65" s="44">
        <f>ICIO_intensity!H65</f>
        <v>0.58223136193252911</v>
      </c>
      <c r="H65" s="40">
        <f>SUMIFS(BOM_raw!$E$2:$E$1001,BOM_raw!$A$2:$A$1001,$C65,BOM_raw!$F$2:$F$1001,"T")</f>
        <v>0.29000000000000004</v>
      </c>
      <c r="I65" s="40">
        <f>SUMIFS(BOM_raw!$E$2:$E$1001,BOM_raw!$A$2:$A$1001,$C65,BOM_raw!$F$2:$F$1001,"M")</f>
        <v>3.5999999999999997E-2</v>
      </c>
      <c r="J65" s="40">
        <f>SUMIFS(BOM_raw!$E$2:$E$1001,BOM_raw!$A$2:$A$1001,$C65,BOM_raw!$F$2:$F$1001,"E")</f>
        <v>5.3000000000000005E-2</v>
      </c>
      <c r="K65" s="40">
        <f>SUMIFS(BOM_raw!$E$2:$E$1001,BOM_raw!$A$2:$A$1001,$C65,BOM_raw!$F$2:$F$1001,"I")</f>
        <v>5.8999999999999997E-2</v>
      </c>
      <c r="L65" s="40">
        <f>SUMIFS(BOM_raw!$E$2:$E$1001,BOM_raw!$A$2:$A$1001,$C65,BOM_raw!$F$2:$F$1001,"EE")</f>
        <v>0.10299999999999999</v>
      </c>
      <c r="M65" s="40">
        <f>SUMIFS(BOM_raw!$E$2:$E$1001,BOM_raw!$A$2:$A$1001,$C65,BOM_raw!$F$2:$F$1001,"HV")</f>
        <v>0.01</v>
      </c>
      <c r="N65" s="40">
        <f>SUMIFS(BOM_raw!$E$2:$E$1001,BOM_raw!$A$2:$A$1001,$C65,BOM_raw!$F$2:$F$1001,"SHARED")</f>
        <v>0.44900000000000001</v>
      </c>
      <c r="O65" s="40">
        <f t="shared" si="17"/>
        <v>1</v>
      </c>
      <c r="P65" s="40">
        <f t="shared" si="18"/>
        <v>0.41776863806747089</v>
      </c>
      <c r="Q65" s="40">
        <f t="shared" si="19"/>
        <v>0.12115290503956658</v>
      </c>
      <c r="R65" s="40">
        <f t="shared" si="20"/>
        <v>1.5039670970428951E-2</v>
      </c>
      <c r="S65" s="40">
        <f t="shared" si="21"/>
        <v>2.214173781757596E-2</v>
      </c>
      <c r="T65" s="40">
        <f t="shared" si="22"/>
        <v>2.4648349645980783E-2</v>
      </c>
      <c r="U65" s="40">
        <f t="shared" si="23"/>
        <v>4.3030169720949502E-2</v>
      </c>
      <c r="V65" s="40">
        <f t="shared" si="24"/>
        <v>4.1776863806747087E-3</v>
      </c>
      <c r="W65" s="40">
        <f t="shared" si="25"/>
        <v>0.18757811849229444</v>
      </c>
      <c r="X65" s="40">
        <f t="shared" si="26"/>
        <v>0.41776863806747089</v>
      </c>
      <c r="Y65" s="40">
        <f t="shared" si="27"/>
        <v>0</v>
      </c>
      <c r="Z65" s="40">
        <f t="shared" si="28"/>
        <v>1</v>
      </c>
      <c r="AA65" s="39" t="str">
        <f t="shared" si="29"/>
        <v>PASS</v>
      </c>
      <c r="AB65" s="38" t="s">
        <v>368</v>
      </c>
    </row>
    <row r="66" spans="1:28">
      <c r="A66" s="38" t="str">
        <f t="shared" ref="A66:A78" si="30">"BASE_FIGURE_ICIO"</f>
        <v>BASE_FIGURE_ICIO</v>
      </c>
      <c r="B66" s="38" t="str">
        <f>ICIO_intensity!A66</f>
        <v>SGP</v>
      </c>
      <c r="C66" s="38" t="str">
        <f>IF(COUNTIF(BOM_raw!$A$2:$A$1001,B66)&gt;0,B66,"OTHERS")</f>
        <v>OTHERS</v>
      </c>
      <c r="D66" s="38" t="str">
        <f t="shared" ref="D66:D78" si="31">IF(C66=B66,"EXACT","OTHERS_FALLBACK")</f>
        <v>OTHERS_FALLBACK</v>
      </c>
      <c r="E66" s="38" t="b">
        <f>ICIO_intensity!B66</f>
        <v>1</v>
      </c>
      <c r="F66" s="44">
        <f>ICIO_intensity!E66</f>
        <v>0.70594504884930809</v>
      </c>
      <c r="G66" s="44">
        <f>ICIO_intensity!H66</f>
        <v>0.29405495115069191</v>
      </c>
      <c r="H66" s="40">
        <f>SUMIFS(BOM_raw!$E$2:$E$1001,BOM_raw!$A$2:$A$1001,$C66,BOM_raw!$F$2:$F$1001,"T")</f>
        <v>0.29000000000000004</v>
      </c>
      <c r="I66" s="40">
        <f>SUMIFS(BOM_raw!$E$2:$E$1001,BOM_raw!$A$2:$A$1001,$C66,BOM_raw!$F$2:$F$1001,"M")</f>
        <v>3.5999999999999997E-2</v>
      </c>
      <c r="J66" s="40">
        <f>SUMIFS(BOM_raw!$E$2:$E$1001,BOM_raw!$A$2:$A$1001,$C66,BOM_raw!$F$2:$F$1001,"E")</f>
        <v>5.3000000000000005E-2</v>
      </c>
      <c r="K66" s="40">
        <f>SUMIFS(BOM_raw!$E$2:$E$1001,BOM_raw!$A$2:$A$1001,$C66,BOM_raw!$F$2:$F$1001,"I")</f>
        <v>5.8999999999999997E-2</v>
      </c>
      <c r="L66" s="40">
        <f>SUMIFS(BOM_raw!$E$2:$E$1001,BOM_raw!$A$2:$A$1001,$C66,BOM_raw!$F$2:$F$1001,"EE")</f>
        <v>0.10299999999999999</v>
      </c>
      <c r="M66" s="40">
        <f>SUMIFS(BOM_raw!$E$2:$E$1001,BOM_raw!$A$2:$A$1001,$C66,BOM_raw!$F$2:$F$1001,"HV")</f>
        <v>0.01</v>
      </c>
      <c r="N66" s="40">
        <f>SUMIFS(BOM_raw!$E$2:$E$1001,BOM_raw!$A$2:$A$1001,$C66,BOM_raw!$F$2:$F$1001,"SHARED")</f>
        <v>0.44900000000000001</v>
      </c>
      <c r="O66" s="40">
        <f t="shared" ref="O66:O78" si="32">SUM(H66:N66)</f>
        <v>1</v>
      </c>
      <c r="P66" s="40">
        <f t="shared" ref="P66:P78" si="33">IF(E66,F66,0)</f>
        <v>0.70594504884930809</v>
      </c>
      <c r="Q66" s="40">
        <f t="shared" ref="Q66:Q78" si="34">P66*H66</f>
        <v>0.20472406416629937</v>
      </c>
      <c r="R66" s="40">
        <f t="shared" ref="R66:R78" si="35">P66*I66</f>
        <v>2.541402175857509E-2</v>
      </c>
      <c r="S66" s="40">
        <f t="shared" ref="S66:S78" si="36">P66*J66</f>
        <v>3.7415087589013331E-2</v>
      </c>
      <c r="T66" s="40">
        <f t="shared" ref="T66:T78" si="37">P66*K66</f>
        <v>4.1650757882109174E-2</v>
      </c>
      <c r="U66" s="40">
        <f t="shared" ref="U66:U78" si="38">P66*L66</f>
        <v>7.2712340031478723E-2</v>
      </c>
      <c r="V66" s="40">
        <f t="shared" ref="V66:V78" si="39">P66*M66</f>
        <v>7.0594504884930812E-3</v>
      </c>
      <c r="W66" s="40">
        <f t="shared" ref="W66:W78" si="40">P66*N66</f>
        <v>0.31696932693333935</v>
      </c>
      <c r="X66" s="40">
        <f t="shared" ref="X66:X78" si="41">SUM(Q66:W66)</f>
        <v>0.7059450488493082</v>
      </c>
      <c r="Y66" s="40">
        <f t="shared" ref="Y66:Y78" si="42">X66-F66</f>
        <v>0</v>
      </c>
      <c r="Z66" s="40">
        <f t="shared" ref="Z66:Z78" si="43">X66+G66</f>
        <v>1</v>
      </c>
      <c r="AA66" s="39" t="str">
        <f t="shared" ref="AA66:AA78" si="44">IF(E66,IF(AND(ABS(O66-1)&lt;0.0000001,ABS(Y66)&lt;0.0000001,ABS(Z66-1)&lt;0.0000001),"PASS","FAIL"),"INACTIVE")</f>
        <v>PASS</v>
      </c>
      <c r="AB66" s="38" t="s">
        <v>368</v>
      </c>
    </row>
    <row r="67" spans="1:28">
      <c r="A67" s="38" t="str">
        <f t="shared" si="30"/>
        <v>BASE_FIGURE_ICIO</v>
      </c>
      <c r="B67" s="38" t="str">
        <f>ICIO_intensity!A67</f>
        <v>SVK</v>
      </c>
      <c r="C67" s="38" t="str">
        <f>IF(COUNTIF(BOM_raw!$A$2:$A$1001,B67)&gt;0,B67,"OTHERS")</f>
        <v>OTHERS</v>
      </c>
      <c r="D67" s="38" t="str">
        <f t="shared" si="31"/>
        <v>OTHERS_FALLBACK</v>
      </c>
      <c r="E67" s="38" t="b">
        <f>ICIO_intensity!B67</f>
        <v>1</v>
      </c>
      <c r="F67" s="44">
        <f>ICIO_intensity!E67</f>
        <v>0.87029400383112399</v>
      </c>
      <c r="G67" s="44">
        <f>ICIO_intensity!H67</f>
        <v>0.12970599616887601</v>
      </c>
      <c r="H67" s="40">
        <f>SUMIFS(BOM_raw!$E$2:$E$1001,BOM_raw!$A$2:$A$1001,$C67,BOM_raw!$F$2:$F$1001,"T")</f>
        <v>0.29000000000000004</v>
      </c>
      <c r="I67" s="40">
        <f>SUMIFS(BOM_raw!$E$2:$E$1001,BOM_raw!$A$2:$A$1001,$C67,BOM_raw!$F$2:$F$1001,"M")</f>
        <v>3.5999999999999997E-2</v>
      </c>
      <c r="J67" s="40">
        <f>SUMIFS(BOM_raw!$E$2:$E$1001,BOM_raw!$A$2:$A$1001,$C67,BOM_raw!$F$2:$F$1001,"E")</f>
        <v>5.3000000000000005E-2</v>
      </c>
      <c r="K67" s="40">
        <f>SUMIFS(BOM_raw!$E$2:$E$1001,BOM_raw!$A$2:$A$1001,$C67,BOM_raw!$F$2:$F$1001,"I")</f>
        <v>5.8999999999999997E-2</v>
      </c>
      <c r="L67" s="40">
        <f>SUMIFS(BOM_raw!$E$2:$E$1001,BOM_raw!$A$2:$A$1001,$C67,BOM_raw!$F$2:$F$1001,"EE")</f>
        <v>0.10299999999999999</v>
      </c>
      <c r="M67" s="40">
        <f>SUMIFS(BOM_raw!$E$2:$E$1001,BOM_raw!$A$2:$A$1001,$C67,BOM_raw!$F$2:$F$1001,"HV")</f>
        <v>0.01</v>
      </c>
      <c r="N67" s="40">
        <f>SUMIFS(BOM_raw!$E$2:$E$1001,BOM_raw!$A$2:$A$1001,$C67,BOM_raw!$F$2:$F$1001,"SHARED")</f>
        <v>0.44900000000000001</v>
      </c>
      <c r="O67" s="40">
        <f t="shared" si="32"/>
        <v>1</v>
      </c>
      <c r="P67" s="40">
        <f t="shared" si="33"/>
        <v>0.87029400383112399</v>
      </c>
      <c r="Q67" s="40">
        <f t="shared" si="34"/>
        <v>0.25238526111102599</v>
      </c>
      <c r="R67" s="40">
        <f t="shared" si="35"/>
        <v>3.1330584137920461E-2</v>
      </c>
      <c r="S67" s="40">
        <f t="shared" si="36"/>
        <v>4.6125582203049575E-2</v>
      </c>
      <c r="T67" s="40">
        <f t="shared" si="37"/>
        <v>5.134734622603631E-2</v>
      </c>
      <c r="U67" s="40">
        <f t="shared" si="38"/>
        <v>8.9640282394605766E-2</v>
      </c>
      <c r="V67" s="40">
        <f t="shared" si="39"/>
        <v>8.7029400383112406E-3</v>
      </c>
      <c r="W67" s="40">
        <f t="shared" si="40"/>
        <v>0.39076200772017466</v>
      </c>
      <c r="X67" s="40">
        <f t="shared" si="41"/>
        <v>0.87029400383112399</v>
      </c>
      <c r="Y67" s="40">
        <f t="shared" si="42"/>
        <v>0</v>
      </c>
      <c r="Z67" s="40">
        <f t="shared" si="43"/>
        <v>1</v>
      </c>
      <c r="AA67" s="39" t="str">
        <f t="shared" si="44"/>
        <v>PASS</v>
      </c>
      <c r="AB67" s="38" t="s">
        <v>368</v>
      </c>
    </row>
    <row r="68" spans="1:28">
      <c r="A68" s="38" t="str">
        <f t="shared" si="30"/>
        <v>BASE_FIGURE_ICIO</v>
      </c>
      <c r="B68" s="38" t="str">
        <f>ICIO_intensity!A68</f>
        <v>SVN</v>
      </c>
      <c r="C68" s="38" t="str">
        <f>IF(COUNTIF(BOM_raw!$A$2:$A$1001,B68)&gt;0,B68,"OTHERS")</f>
        <v>OTHERS</v>
      </c>
      <c r="D68" s="38" t="str">
        <f t="shared" si="31"/>
        <v>OTHERS_FALLBACK</v>
      </c>
      <c r="E68" s="38" t="b">
        <f>ICIO_intensity!B68</f>
        <v>1</v>
      </c>
      <c r="F68" s="44">
        <f>ICIO_intensity!E68</f>
        <v>0.77202093274028916</v>
      </c>
      <c r="G68" s="44">
        <f>ICIO_intensity!H68</f>
        <v>0.22797906725971084</v>
      </c>
      <c r="H68" s="40">
        <f>SUMIFS(BOM_raw!$E$2:$E$1001,BOM_raw!$A$2:$A$1001,$C68,BOM_raw!$F$2:$F$1001,"T")</f>
        <v>0.29000000000000004</v>
      </c>
      <c r="I68" s="40">
        <f>SUMIFS(BOM_raw!$E$2:$E$1001,BOM_raw!$A$2:$A$1001,$C68,BOM_raw!$F$2:$F$1001,"M")</f>
        <v>3.5999999999999997E-2</v>
      </c>
      <c r="J68" s="40">
        <f>SUMIFS(BOM_raw!$E$2:$E$1001,BOM_raw!$A$2:$A$1001,$C68,BOM_raw!$F$2:$F$1001,"E")</f>
        <v>5.3000000000000005E-2</v>
      </c>
      <c r="K68" s="40">
        <f>SUMIFS(BOM_raw!$E$2:$E$1001,BOM_raw!$A$2:$A$1001,$C68,BOM_raw!$F$2:$F$1001,"I")</f>
        <v>5.8999999999999997E-2</v>
      </c>
      <c r="L68" s="40">
        <f>SUMIFS(BOM_raw!$E$2:$E$1001,BOM_raw!$A$2:$A$1001,$C68,BOM_raw!$F$2:$F$1001,"EE")</f>
        <v>0.10299999999999999</v>
      </c>
      <c r="M68" s="40">
        <f>SUMIFS(BOM_raw!$E$2:$E$1001,BOM_raw!$A$2:$A$1001,$C68,BOM_raw!$F$2:$F$1001,"HV")</f>
        <v>0.01</v>
      </c>
      <c r="N68" s="40">
        <f>SUMIFS(BOM_raw!$E$2:$E$1001,BOM_raw!$A$2:$A$1001,$C68,BOM_raw!$F$2:$F$1001,"SHARED")</f>
        <v>0.44900000000000001</v>
      </c>
      <c r="O68" s="40">
        <f t="shared" si="32"/>
        <v>1</v>
      </c>
      <c r="P68" s="40">
        <f t="shared" si="33"/>
        <v>0.77202093274028916</v>
      </c>
      <c r="Q68" s="40">
        <f t="shared" si="34"/>
        <v>0.22388607049468387</v>
      </c>
      <c r="R68" s="40">
        <f t="shared" si="35"/>
        <v>2.7792753578650409E-2</v>
      </c>
      <c r="S68" s="40">
        <f t="shared" si="36"/>
        <v>4.0917109435235327E-2</v>
      </c>
      <c r="T68" s="40">
        <f t="shared" si="37"/>
        <v>4.5549235031677057E-2</v>
      </c>
      <c r="U68" s="40">
        <f t="shared" si="38"/>
        <v>7.9518156072249782E-2</v>
      </c>
      <c r="V68" s="40">
        <f t="shared" si="39"/>
        <v>7.7202093274028917E-3</v>
      </c>
      <c r="W68" s="40">
        <f t="shared" si="40"/>
        <v>0.34663739880038985</v>
      </c>
      <c r="X68" s="40">
        <f t="shared" si="41"/>
        <v>0.77202093274028916</v>
      </c>
      <c r="Y68" s="40">
        <f t="shared" si="42"/>
        <v>0</v>
      </c>
      <c r="Z68" s="40">
        <f t="shared" si="43"/>
        <v>1</v>
      </c>
      <c r="AA68" s="39" t="str">
        <f t="shared" si="44"/>
        <v>PASS</v>
      </c>
      <c r="AB68" s="38" t="s">
        <v>368</v>
      </c>
    </row>
    <row r="69" spans="1:28">
      <c r="A69" s="38" t="str">
        <f t="shared" si="30"/>
        <v>BASE_FIGURE_ICIO</v>
      </c>
      <c r="B69" s="38" t="str">
        <f>ICIO_intensity!A69</f>
        <v>SWE</v>
      </c>
      <c r="C69" s="38" t="str">
        <f>IF(COUNTIF(BOM_raw!$A$2:$A$1001,B69)&gt;0,B69,"OTHERS")</f>
        <v>OTHERS</v>
      </c>
      <c r="D69" s="38" t="str">
        <f t="shared" si="31"/>
        <v>OTHERS_FALLBACK</v>
      </c>
      <c r="E69" s="38" t="b">
        <f>ICIO_intensity!B69</f>
        <v>1</v>
      </c>
      <c r="F69" s="44">
        <f>ICIO_intensity!E69</f>
        <v>0.68294709661239716</v>
      </c>
      <c r="G69" s="44">
        <f>ICIO_intensity!H69</f>
        <v>0.31705290338760284</v>
      </c>
      <c r="H69" s="40">
        <f>SUMIFS(BOM_raw!$E$2:$E$1001,BOM_raw!$A$2:$A$1001,$C69,BOM_raw!$F$2:$F$1001,"T")</f>
        <v>0.29000000000000004</v>
      </c>
      <c r="I69" s="40">
        <f>SUMIFS(BOM_raw!$E$2:$E$1001,BOM_raw!$A$2:$A$1001,$C69,BOM_raw!$F$2:$F$1001,"M")</f>
        <v>3.5999999999999997E-2</v>
      </c>
      <c r="J69" s="40">
        <f>SUMIFS(BOM_raw!$E$2:$E$1001,BOM_raw!$A$2:$A$1001,$C69,BOM_raw!$F$2:$F$1001,"E")</f>
        <v>5.3000000000000005E-2</v>
      </c>
      <c r="K69" s="40">
        <f>SUMIFS(BOM_raw!$E$2:$E$1001,BOM_raw!$A$2:$A$1001,$C69,BOM_raw!$F$2:$F$1001,"I")</f>
        <v>5.8999999999999997E-2</v>
      </c>
      <c r="L69" s="40">
        <f>SUMIFS(BOM_raw!$E$2:$E$1001,BOM_raw!$A$2:$A$1001,$C69,BOM_raw!$F$2:$F$1001,"EE")</f>
        <v>0.10299999999999999</v>
      </c>
      <c r="M69" s="40">
        <f>SUMIFS(BOM_raw!$E$2:$E$1001,BOM_raw!$A$2:$A$1001,$C69,BOM_raw!$F$2:$F$1001,"HV")</f>
        <v>0.01</v>
      </c>
      <c r="N69" s="40">
        <f>SUMIFS(BOM_raw!$E$2:$E$1001,BOM_raw!$A$2:$A$1001,$C69,BOM_raw!$F$2:$F$1001,"SHARED")</f>
        <v>0.44900000000000001</v>
      </c>
      <c r="O69" s="40">
        <f t="shared" si="32"/>
        <v>1</v>
      </c>
      <c r="P69" s="40">
        <f t="shared" si="33"/>
        <v>0.68294709661239716</v>
      </c>
      <c r="Q69" s="40">
        <f t="shared" si="34"/>
        <v>0.1980546580175952</v>
      </c>
      <c r="R69" s="40">
        <f t="shared" si="35"/>
        <v>2.4586095478046296E-2</v>
      </c>
      <c r="S69" s="40">
        <f t="shared" si="36"/>
        <v>3.6196196120457054E-2</v>
      </c>
      <c r="T69" s="40">
        <f t="shared" si="37"/>
        <v>4.029387870013143E-2</v>
      </c>
      <c r="U69" s="40">
        <f t="shared" si="38"/>
        <v>7.0343550951076902E-2</v>
      </c>
      <c r="V69" s="40">
        <f t="shared" si="39"/>
        <v>6.8294709661239714E-3</v>
      </c>
      <c r="W69" s="40">
        <f t="shared" si="40"/>
        <v>0.30664324637896634</v>
      </c>
      <c r="X69" s="40">
        <f t="shared" si="41"/>
        <v>0.68294709661239716</v>
      </c>
      <c r="Y69" s="40">
        <f t="shared" si="42"/>
        <v>0</v>
      </c>
      <c r="Z69" s="40">
        <f t="shared" si="43"/>
        <v>1</v>
      </c>
      <c r="AA69" s="39" t="str">
        <f t="shared" si="44"/>
        <v>PASS</v>
      </c>
      <c r="AB69" s="38" t="s">
        <v>368</v>
      </c>
    </row>
    <row r="70" spans="1:28">
      <c r="A70" s="38" t="str">
        <f t="shared" si="30"/>
        <v>BASE_FIGURE_ICIO</v>
      </c>
      <c r="B70" s="38" t="str">
        <f>ICIO_intensity!A70</f>
        <v>THA</v>
      </c>
      <c r="C70" s="38" t="str">
        <f>IF(COUNTIF(BOM_raw!$A$2:$A$1001,B70)&gt;0,B70,"OTHERS")</f>
        <v>OTHERS</v>
      </c>
      <c r="D70" s="38" t="str">
        <f t="shared" si="31"/>
        <v>OTHERS_FALLBACK</v>
      </c>
      <c r="E70" s="38" t="b">
        <f>ICIO_intensity!B70</f>
        <v>1</v>
      </c>
      <c r="F70" s="44">
        <f>ICIO_intensity!E70</f>
        <v>0.766297198314978</v>
      </c>
      <c r="G70" s="44">
        <f>ICIO_intensity!H70</f>
        <v>0.233702801685022</v>
      </c>
      <c r="H70" s="40">
        <f>SUMIFS(BOM_raw!$E$2:$E$1001,BOM_raw!$A$2:$A$1001,$C70,BOM_raw!$F$2:$F$1001,"T")</f>
        <v>0.29000000000000004</v>
      </c>
      <c r="I70" s="40">
        <f>SUMIFS(BOM_raw!$E$2:$E$1001,BOM_raw!$A$2:$A$1001,$C70,BOM_raw!$F$2:$F$1001,"M")</f>
        <v>3.5999999999999997E-2</v>
      </c>
      <c r="J70" s="40">
        <f>SUMIFS(BOM_raw!$E$2:$E$1001,BOM_raw!$A$2:$A$1001,$C70,BOM_raw!$F$2:$F$1001,"E")</f>
        <v>5.3000000000000005E-2</v>
      </c>
      <c r="K70" s="40">
        <f>SUMIFS(BOM_raw!$E$2:$E$1001,BOM_raw!$A$2:$A$1001,$C70,BOM_raw!$F$2:$F$1001,"I")</f>
        <v>5.8999999999999997E-2</v>
      </c>
      <c r="L70" s="40">
        <f>SUMIFS(BOM_raw!$E$2:$E$1001,BOM_raw!$A$2:$A$1001,$C70,BOM_raw!$F$2:$F$1001,"EE")</f>
        <v>0.10299999999999999</v>
      </c>
      <c r="M70" s="40">
        <f>SUMIFS(BOM_raw!$E$2:$E$1001,BOM_raw!$A$2:$A$1001,$C70,BOM_raw!$F$2:$F$1001,"HV")</f>
        <v>0.01</v>
      </c>
      <c r="N70" s="40">
        <f>SUMIFS(BOM_raw!$E$2:$E$1001,BOM_raw!$A$2:$A$1001,$C70,BOM_raw!$F$2:$F$1001,"SHARED")</f>
        <v>0.44900000000000001</v>
      </c>
      <c r="O70" s="40">
        <f t="shared" si="32"/>
        <v>1</v>
      </c>
      <c r="P70" s="40">
        <f t="shared" si="33"/>
        <v>0.766297198314978</v>
      </c>
      <c r="Q70" s="40">
        <f t="shared" si="34"/>
        <v>0.22222618751134365</v>
      </c>
      <c r="R70" s="40">
        <f t="shared" si="35"/>
        <v>2.7586699139339206E-2</v>
      </c>
      <c r="S70" s="40">
        <f t="shared" si="36"/>
        <v>4.0613751510693838E-2</v>
      </c>
      <c r="T70" s="40">
        <f t="shared" si="37"/>
        <v>4.52115347005837E-2</v>
      </c>
      <c r="U70" s="40">
        <f t="shared" si="38"/>
        <v>7.8928611426442724E-2</v>
      </c>
      <c r="V70" s="40">
        <f t="shared" si="39"/>
        <v>7.6629719831497805E-3</v>
      </c>
      <c r="W70" s="40">
        <f t="shared" si="40"/>
        <v>0.34406744204342515</v>
      </c>
      <c r="X70" s="40">
        <f t="shared" si="41"/>
        <v>0.766297198314978</v>
      </c>
      <c r="Y70" s="40">
        <f t="shared" si="42"/>
        <v>0</v>
      </c>
      <c r="Z70" s="40">
        <f t="shared" si="43"/>
        <v>1</v>
      </c>
      <c r="AA70" s="39" t="str">
        <f t="shared" si="44"/>
        <v>PASS</v>
      </c>
      <c r="AB70" s="38" t="s">
        <v>368</v>
      </c>
    </row>
    <row r="71" spans="1:28">
      <c r="A71" s="38" t="str">
        <f t="shared" si="30"/>
        <v>BASE_FIGURE_ICIO</v>
      </c>
      <c r="B71" s="38" t="str">
        <f>ICIO_intensity!A71</f>
        <v>TUN</v>
      </c>
      <c r="C71" s="38" t="str">
        <f>IF(COUNTIF(BOM_raw!$A$2:$A$1001,B71)&gt;0,B71,"OTHERS")</f>
        <v>OTHERS</v>
      </c>
      <c r="D71" s="38" t="str">
        <f t="shared" si="31"/>
        <v>OTHERS_FALLBACK</v>
      </c>
      <c r="E71" s="38" t="b">
        <f>ICIO_intensity!B71</f>
        <v>1</v>
      </c>
      <c r="F71" s="44">
        <f>ICIO_intensity!E71</f>
        <v>0.60087275460971046</v>
      </c>
      <c r="G71" s="44">
        <f>ICIO_intensity!H71</f>
        <v>0.39912724539028954</v>
      </c>
      <c r="H71" s="40">
        <f>SUMIFS(BOM_raw!$E$2:$E$1001,BOM_raw!$A$2:$A$1001,$C71,BOM_raw!$F$2:$F$1001,"T")</f>
        <v>0.29000000000000004</v>
      </c>
      <c r="I71" s="40">
        <f>SUMIFS(BOM_raw!$E$2:$E$1001,BOM_raw!$A$2:$A$1001,$C71,BOM_raw!$F$2:$F$1001,"M")</f>
        <v>3.5999999999999997E-2</v>
      </c>
      <c r="J71" s="40">
        <f>SUMIFS(BOM_raw!$E$2:$E$1001,BOM_raw!$A$2:$A$1001,$C71,BOM_raw!$F$2:$F$1001,"E")</f>
        <v>5.3000000000000005E-2</v>
      </c>
      <c r="K71" s="40">
        <f>SUMIFS(BOM_raw!$E$2:$E$1001,BOM_raw!$A$2:$A$1001,$C71,BOM_raw!$F$2:$F$1001,"I")</f>
        <v>5.8999999999999997E-2</v>
      </c>
      <c r="L71" s="40">
        <f>SUMIFS(BOM_raw!$E$2:$E$1001,BOM_raw!$A$2:$A$1001,$C71,BOM_raw!$F$2:$F$1001,"EE")</f>
        <v>0.10299999999999999</v>
      </c>
      <c r="M71" s="40">
        <f>SUMIFS(BOM_raw!$E$2:$E$1001,BOM_raw!$A$2:$A$1001,$C71,BOM_raw!$F$2:$F$1001,"HV")</f>
        <v>0.01</v>
      </c>
      <c r="N71" s="40">
        <f>SUMIFS(BOM_raw!$E$2:$E$1001,BOM_raw!$A$2:$A$1001,$C71,BOM_raw!$F$2:$F$1001,"SHARED")</f>
        <v>0.44900000000000001</v>
      </c>
      <c r="O71" s="40">
        <f t="shared" si="32"/>
        <v>1</v>
      </c>
      <c r="P71" s="40">
        <f t="shared" si="33"/>
        <v>0.60087275460971046</v>
      </c>
      <c r="Q71" s="40">
        <f t="shared" si="34"/>
        <v>0.17425309883681606</v>
      </c>
      <c r="R71" s="40">
        <f t="shared" si="35"/>
        <v>2.1631419165949576E-2</v>
      </c>
      <c r="S71" s="40">
        <f t="shared" si="36"/>
        <v>3.1846255994314655E-2</v>
      </c>
      <c r="T71" s="40">
        <f t="shared" si="37"/>
        <v>3.5451492521972917E-2</v>
      </c>
      <c r="U71" s="40">
        <f t="shared" si="38"/>
        <v>6.1889893724800173E-2</v>
      </c>
      <c r="V71" s="40">
        <f t="shared" si="39"/>
        <v>6.0087275460971043E-3</v>
      </c>
      <c r="W71" s="40">
        <f t="shared" si="40"/>
        <v>0.26979186681976003</v>
      </c>
      <c r="X71" s="40">
        <f t="shared" si="41"/>
        <v>0.60087275460971057</v>
      </c>
      <c r="Y71" s="40">
        <f t="shared" si="42"/>
        <v>0</v>
      </c>
      <c r="Z71" s="40">
        <f t="shared" si="43"/>
        <v>1</v>
      </c>
      <c r="AA71" s="39" t="str">
        <f t="shared" si="44"/>
        <v>PASS</v>
      </c>
      <c r="AB71" s="38" t="s">
        <v>368</v>
      </c>
    </row>
    <row r="72" spans="1:28">
      <c r="A72" s="38" t="str">
        <f t="shared" si="30"/>
        <v>BASE_FIGURE_ICIO</v>
      </c>
      <c r="B72" s="38" t="str">
        <f>ICIO_intensity!A72</f>
        <v>TUR</v>
      </c>
      <c r="C72" s="38" t="str">
        <f>IF(COUNTIF(BOM_raw!$A$2:$A$1001,B72)&gt;0,B72,"OTHERS")</f>
        <v>OTHERS</v>
      </c>
      <c r="D72" s="38" t="str">
        <f t="shared" si="31"/>
        <v>OTHERS_FALLBACK</v>
      </c>
      <c r="E72" s="38" t="b">
        <f>ICIO_intensity!B72</f>
        <v>1</v>
      </c>
      <c r="F72" s="44">
        <f>ICIO_intensity!E72</f>
        <v>0.743258961387118</v>
      </c>
      <c r="G72" s="44">
        <f>ICIO_intensity!H72</f>
        <v>0.256741038612882</v>
      </c>
      <c r="H72" s="40">
        <f>SUMIFS(BOM_raw!$E$2:$E$1001,BOM_raw!$A$2:$A$1001,$C72,BOM_raw!$F$2:$F$1001,"T")</f>
        <v>0.29000000000000004</v>
      </c>
      <c r="I72" s="40">
        <f>SUMIFS(BOM_raw!$E$2:$E$1001,BOM_raw!$A$2:$A$1001,$C72,BOM_raw!$F$2:$F$1001,"M")</f>
        <v>3.5999999999999997E-2</v>
      </c>
      <c r="J72" s="40">
        <f>SUMIFS(BOM_raw!$E$2:$E$1001,BOM_raw!$A$2:$A$1001,$C72,BOM_raw!$F$2:$F$1001,"E")</f>
        <v>5.3000000000000005E-2</v>
      </c>
      <c r="K72" s="40">
        <f>SUMIFS(BOM_raw!$E$2:$E$1001,BOM_raw!$A$2:$A$1001,$C72,BOM_raw!$F$2:$F$1001,"I")</f>
        <v>5.8999999999999997E-2</v>
      </c>
      <c r="L72" s="40">
        <f>SUMIFS(BOM_raw!$E$2:$E$1001,BOM_raw!$A$2:$A$1001,$C72,BOM_raw!$F$2:$F$1001,"EE")</f>
        <v>0.10299999999999999</v>
      </c>
      <c r="M72" s="40">
        <f>SUMIFS(BOM_raw!$E$2:$E$1001,BOM_raw!$A$2:$A$1001,$C72,BOM_raw!$F$2:$F$1001,"HV")</f>
        <v>0.01</v>
      </c>
      <c r="N72" s="40">
        <f>SUMIFS(BOM_raw!$E$2:$E$1001,BOM_raw!$A$2:$A$1001,$C72,BOM_raw!$F$2:$F$1001,"SHARED")</f>
        <v>0.44900000000000001</v>
      </c>
      <c r="O72" s="40">
        <f t="shared" si="32"/>
        <v>1</v>
      </c>
      <c r="P72" s="40">
        <f t="shared" si="33"/>
        <v>0.743258961387118</v>
      </c>
      <c r="Q72" s="40">
        <f t="shared" si="34"/>
        <v>0.21554509880226425</v>
      </c>
      <c r="R72" s="40">
        <f t="shared" si="35"/>
        <v>2.6757322609936247E-2</v>
      </c>
      <c r="S72" s="40">
        <f t="shared" si="36"/>
        <v>3.9392724953517255E-2</v>
      </c>
      <c r="T72" s="40">
        <f t="shared" si="37"/>
        <v>4.3852278721839957E-2</v>
      </c>
      <c r="U72" s="40">
        <f t="shared" si="38"/>
        <v>7.6555673022873152E-2</v>
      </c>
      <c r="V72" s="40">
        <f t="shared" si="39"/>
        <v>7.4325896138711803E-3</v>
      </c>
      <c r="W72" s="40">
        <f t="shared" si="40"/>
        <v>0.33372327366281601</v>
      </c>
      <c r="X72" s="40">
        <f t="shared" si="41"/>
        <v>0.743258961387118</v>
      </c>
      <c r="Y72" s="40">
        <f t="shared" si="42"/>
        <v>0</v>
      </c>
      <c r="Z72" s="40">
        <f t="shared" si="43"/>
        <v>1</v>
      </c>
      <c r="AA72" s="39" t="str">
        <f t="shared" si="44"/>
        <v>PASS</v>
      </c>
      <c r="AB72" s="38" t="s">
        <v>368</v>
      </c>
    </row>
    <row r="73" spans="1:28">
      <c r="A73" s="38" t="str">
        <f t="shared" si="30"/>
        <v>BASE_FIGURE_ICIO</v>
      </c>
      <c r="B73" s="38" t="str">
        <f>ICIO_intensity!A73</f>
        <v>TWN</v>
      </c>
      <c r="C73" s="38" t="str">
        <f>IF(COUNTIF(BOM_raw!$A$2:$A$1001,B73)&gt;0,B73,"OTHERS")</f>
        <v>OTHERS</v>
      </c>
      <c r="D73" s="38" t="str">
        <f t="shared" si="31"/>
        <v>OTHERS_FALLBACK</v>
      </c>
      <c r="E73" s="38" t="b">
        <f>ICIO_intensity!B73</f>
        <v>1</v>
      </c>
      <c r="F73" s="44">
        <f>ICIO_intensity!E73</f>
        <v>0.70465814449298103</v>
      </c>
      <c r="G73" s="44">
        <f>ICIO_intensity!H73</f>
        <v>0.29534185550701897</v>
      </c>
      <c r="H73" s="40">
        <f>SUMIFS(BOM_raw!$E$2:$E$1001,BOM_raw!$A$2:$A$1001,$C73,BOM_raw!$F$2:$F$1001,"T")</f>
        <v>0.29000000000000004</v>
      </c>
      <c r="I73" s="40">
        <f>SUMIFS(BOM_raw!$E$2:$E$1001,BOM_raw!$A$2:$A$1001,$C73,BOM_raw!$F$2:$F$1001,"M")</f>
        <v>3.5999999999999997E-2</v>
      </c>
      <c r="J73" s="40">
        <f>SUMIFS(BOM_raw!$E$2:$E$1001,BOM_raw!$A$2:$A$1001,$C73,BOM_raw!$F$2:$F$1001,"E")</f>
        <v>5.3000000000000005E-2</v>
      </c>
      <c r="K73" s="40">
        <f>SUMIFS(BOM_raw!$E$2:$E$1001,BOM_raw!$A$2:$A$1001,$C73,BOM_raw!$F$2:$F$1001,"I")</f>
        <v>5.8999999999999997E-2</v>
      </c>
      <c r="L73" s="40">
        <f>SUMIFS(BOM_raw!$E$2:$E$1001,BOM_raw!$A$2:$A$1001,$C73,BOM_raw!$F$2:$F$1001,"EE")</f>
        <v>0.10299999999999999</v>
      </c>
      <c r="M73" s="40">
        <f>SUMIFS(BOM_raw!$E$2:$E$1001,BOM_raw!$A$2:$A$1001,$C73,BOM_raw!$F$2:$F$1001,"HV")</f>
        <v>0.01</v>
      </c>
      <c r="N73" s="40">
        <f>SUMIFS(BOM_raw!$E$2:$E$1001,BOM_raw!$A$2:$A$1001,$C73,BOM_raw!$F$2:$F$1001,"SHARED")</f>
        <v>0.44900000000000001</v>
      </c>
      <c r="O73" s="40">
        <f t="shared" si="32"/>
        <v>1</v>
      </c>
      <c r="P73" s="40">
        <f t="shared" si="33"/>
        <v>0.70465814449298103</v>
      </c>
      <c r="Q73" s="40">
        <f t="shared" si="34"/>
        <v>0.20435086190296453</v>
      </c>
      <c r="R73" s="40">
        <f t="shared" si="35"/>
        <v>2.5367693201747313E-2</v>
      </c>
      <c r="S73" s="40">
        <f t="shared" si="36"/>
        <v>3.7346881658128002E-2</v>
      </c>
      <c r="T73" s="40">
        <f t="shared" si="37"/>
        <v>4.1574830525085878E-2</v>
      </c>
      <c r="U73" s="40">
        <f t="shared" si="38"/>
        <v>7.2579788882777038E-2</v>
      </c>
      <c r="V73" s="40">
        <f t="shared" si="39"/>
        <v>7.0465814449298106E-3</v>
      </c>
      <c r="W73" s="40">
        <f t="shared" si="40"/>
        <v>0.31639150687734852</v>
      </c>
      <c r="X73" s="40">
        <f t="shared" si="41"/>
        <v>0.70465814449298114</v>
      </c>
      <c r="Y73" s="40">
        <f t="shared" si="42"/>
        <v>0</v>
      </c>
      <c r="Z73" s="40">
        <f t="shared" si="43"/>
        <v>1</v>
      </c>
      <c r="AA73" s="39" t="str">
        <f t="shared" si="44"/>
        <v>PASS</v>
      </c>
      <c r="AB73" s="38" t="s">
        <v>368</v>
      </c>
    </row>
    <row r="74" spans="1:28">
      <c r="A74" s="38" t="str">
        <f t="shared" si="30"/>
        <v>BASE_FIGURE_ICIO</v>
      </c>
      <c r="B74" s="38" t="str">
        <f>ICIO_intensity!A74</f>
        <v>UKR</v>
      </c>
      <c r="C74" s="38" t="str">
        <f>IF(COUNTIF(BOM_raw!$A$2:$A$1001,B74)&gt;0,B74,"OTHERS")</f>
        <v>OTHERS</v>
      </c>
      <c r="D74" s="38" t="str">
        <f t="shared" si="31"/>
        <v>OTHERS_FALLBACK</v>
      </c>
      <c r="E74" s="38" t="b">
        <f>ICIO_intensity!B74</f>
        <v>1</v>
      </c>
      <c r="F74" s="44">
        <f>ICIO_intensity!E74</f>
        <v>0.7872145987793806</v>
      </c>
      <c r="G74" s="44">
        <f>ICIO_intensity!H74</f>
        <v>0.2127854012206194</v>
      </c>
      <c r="H74" s="40">
        <f>SUMIFS(BOM_raw!$E$2:$E$1001,BOM_raw!$A$2:$A$1001,$C74,BOM_raw!$F$2:$F$1001,"T")</f>
        <v>0.29000000000000004</v>
      </c>
      <c r="I74" s="40">
        <f>SUMIFS(BOM_raw!$E$2:$E$1001,BOM_raw!$A$2:$A$1001,$C74,BOM_raw!$F$2:$F$1001,"M")</f>
        <v>3.5999999999999997E-2</v>
      </c>
      <c r="J74" s="40">
        <f>SUMIFS(BOM_raw!$E$2:$E$1001,BOM_raw!$A$2:$A$1001,$C74,BOM_raw!$F$2:$F$1001,"E")</f>
        <v>5.3000000000000005E-2</v>
      </c>
      <c r="K74" s="40">
        <f>SUMIFS(BOM_raw!$E$2:$E$1001,BOM_raw!$A$2:$A$1001,$C74,BOM_raw!$F$2:$F$1001,"I")</f>
        <v>5.8999999999999997E-2</v>
      </c>
      <c r="L74" s="40">
        <f>SUMIFS(BOM_raw!$E$2:$E$1001,BOM_raw!$A$2:$A$1001,$C74,BOM_raw!$F$2:$F$1001,"EE")</f>
        <v>0.10299999999999999</v>
      </c>
      <c r="M74" s="40">
        <f>SUMIFS(BOM_raw!$E$2:$E$1001,BOM_raw!$A$2:$A$1001,$C74,BOM_raw!$F$2:$F$1001,"HV")</f>
        <v>0.01</v>
      </c>
      <c r="N74" s="40">
        <f>SUMIFS(BOM_raw!$E$2:$E$1001,BOM_raw!$A$2:$A$1001,$C74,BOM_raw!$F$2:$F$1001,"SHARED")</f>
        <v>0.44900000000000001</v>
      </c>
      <c r="O74" s="40">
        <f t="shared" si="32"/>
        <v>1</v>
      </c>
      <c r="P74" s="40">
        <f t="shared" si="33"/>
        <v>0.7872145987793806</v>
      </c>
      <c r="Q74" s="40">
        <f t="shared" si="34"/>
        <v>0.22829223364602041</v>
      </c>
      <c r="R74" s="40">
        <f t="shared" si="35"/>
        <v>2.83397255560577E-2</v>
      </c>
      <c r="S74" s="40">
        <f t="shared" si="36"/>
        <v>4.1722373735307176E-2</v>
      </c>
      <c r="T74" s="40">
        <f t="shared" si="37"/>
        <v>4.6445661327983452E-2</v>
      </c>
      <c r="U74" s="40">
        <f t="shared" si="38"/>
        <v>8.1083103674276194E-2</v>
      </c>
      <c r="V74" s="40">
        <f t="shared" si="39"/>
        <v>7.8721459877938056E-3</v>
      </c>
      <c r="W74" s="40">
        <f t="shared" si="40"/>
        <v>0.35345935485194191</v>
      </c>
      <c r="X74" s="40">
        <f t="shared" si="41"/>
        <v>0.7872145987793806</v>
      </c>
      <c r="Y74" s="40">
        <f t="shared" si="42"/>
        <v>0</v>
      </c>
      <c r="Z74" s="40">
        <f t="shared" si="43"/>
        <v>1</v>
      </c>
      <c r="AA74" s="39" t="str">
        <f t="shared" si="44"/>
        <v>PASS</v>
      </c>
      <c r="AB74" s="38" t="s">
        <v>368</v>
      </c>
    </row>
    <row r="75" spans="1:28">
      <c r="A75" s="38" t="str">
        <f t="shared" si="30"/>
        <v>BASE_FIGURE_ICIO</v>
      </c>
      <c r="B75" s="38" t="str">
        <f>ICIO_intensity!A75</f>
        <v>USA</v>
      </c>
      <c r="C75" s="38" t="str">
        <f>IF(COUNTIF(BOM_raw!$A$2:$A$1001,B75)&gt;0,B75,"OTHERS")</f>
        <v>USA</v>
      </c>
      <c r="D75" s="38" t="str">
        <f t="shared" si="31"/>
        <v>EXACT</v>
      </c>
      <c r="E75" s="38" t="b">
        <f>ICIO_intensity!B75</f>
        <v>1</v>
      </c>
      <c r="F75" s="44">
        <f>ICIO_intensity!E75</f>
        <v>0.7828251828517776</v>
      </c>
      <c r="G75" s="44">
        <f>ICIO_intensity!H75</f>
        <v>0.2171748171482224</v>
      </c>
      <c r="H75" s="40">
        <f>SUMIFS(BOM_raw!$E$2:$E$1001,BOM_raw!$A$2:$A$1001,$C75,BOM_raw!$F$2:$F$1001,"T")</f>
        <v>0.30750000000000005</v>
      </c>
      <c r="I75" s="40">
        <f>SUMIFS(BOM_raw!$E$2:$E$1001,BOM_raw!$A$2:$A$1001,$C75,BOM_raw!$F$2:$F$1001,"M")</f>
        <v>3.5999999999999997E-2</v>
      </c>
      <c r="J75" s="40">
        <f>SUMIFS(BOM_raw!$E$2:$E$1001,BOM_raw!$A$2:$A$1001,$C75,BOM_raw!$F$2:$F$1001,"E")</f>
        <v>5.3000000000000005E-2</v>
      </c>
      <c r="K75" s="40">
        <f>SUMIFS(BOM_raw!$E$2:$E$1001,BOM_raw!$A$2:$A$1001,$C75,BOM_raw!$F$2:$F$1001,"I")</f>
        <v>5.8999999999999997E-2</v>
      </c>
      <c r="L75" s="40">
        <f>SUMIFS(BOM_raw!$E$2:$E$1001,BOM_raw!$A$2:$A$1001,$C75,BOM_raw!$F$2:$F$1001,"EE")</f>
        <v>0.10299999999999999</v>
      </c>
      <c r="M75" s="40">
        <f>SUMIFS(BOM_raw!$E$2:$E$1001,BOM_raw!$A$2:$A$1001,$C75,BOM_raw!$F$2:$F$1001,"HV")</f>
        <v>0.01</v>
      </c>
      <c r="N75" s="40">
        <f>SUMIFS(BOM_raw!$E$2:$E$1001,BOM_raw!$A$2:$A$1001,$C75,BOM_raw!$F$2:$F$1001,"SHARED")</f>
        <v>0.43149999999999999</v>
      </c>
      <c r="O75" s="40">
        <f t="shared" si="32"/>
        <v>1</v>
      </c>
      <c r="P75" s="40">
        <f t="shared" si="33"/>
        <v>0.7828251828517776</v>
      </c>
      <c r="Q75" s="40">
        <f t="shared" si="34"/>
        <v>0.24071874372692165</v>
      </c>
      <c r="R75" s="40">
        <f t="shared" si="35"/>
        <v>2.8181706582663991E-2</v>
      </c>
      <c r="S75" s="40">
        <f t="shared" si="36"/>
        <v>4.1489734691144219E-2</v>
      </c>
      <c r="T75" s="40">
        <f t="shared" si="37"/>
        <v>4.6186685788254876E-2</v>
      </c>
      <c r="U75" s="40">
        <f t="shared" si="38"/>
        <v>8.0630993833733094E-2</v>
      </c>
      <c r="V75" s="40">
        <f t="shared" si="39"/>
        <v>7.8282518285177766E-3</v>
      </c>
      <c r="W75" s="40">
        <f t="shared" si="40"/>
        <v>0.33778906640054202</v>
      </c>
      <c r="X75" s="40">
        <f t="shared" si="41"/>
        <v>0.7828251828517776</v>
      </c>
      <c r="Y75" s="40">
        <f t="shared" si="42"/>
        <v>0</v>
      </c>
      <c r="Z75" s="40">
        <f t="shared" si="43"/>
        <v>1</v>
      </c>
      <c r="AA75" s="39" t="str">
        <f t="shared" si="44"/>
        <v>PASS</v>
      </c>
      <c r="AB75" s="38" t="s">
        <v>368</v>
      </c>
    </row>
    <row r="76" spans="1:28">
      <c r="A76" s="38" t="str">
        <f t="shared" si="30"/>
        <v>BASE_FIGURE_ICIO</v>
      </c>
      <c r="B76" s="38" t="str">
        <f>ICIO_intensity!A76</f>
        <v>VNM</v>
      </c>
      <c r="C76" s="38" t="str">
        <f>IF(COUNTIF(BOM_raw!$A$2:$A$1001,B76)&gt;0,B76,"OTHERS")</f>
        <v>OTHERS</v>
      </c>
      <c r="D76" s="38" t="str">
        <f t="shared" si="31"/>
        <v>OTHERS_FALLBACK</v>
      </c>
      <c r="E76" s="38" t="b">
        <f>ICIO_intensity!B76</f>
        <v>1</v>
      </c>
      <c r="F76" s="44">
        <f>ICIO_intensity!E76</f>
        <v>0.80114051144267284</v>
      </c>
      <c r="G76" s="44">
        <f>ICIO_intensity!H76</f>
        <v>0.19885948855732716</v>
      </c>
      <c r="H76" s="40">
        <f>SUMIFS(BOM_raw!$E$2:$E$1001,BOM_raw!$A$2:$A$1001,$C76,BOM_raw!$F$2:$F$1001,"T")</f>
        <v>0.29000000000000004</v>
      </c>
      <c r="I76" s="40">
        <f>SUMIFS(BOM_raw!$E$2:$E$1001,BOM_raw!$A$2:$A$1001,$C76,BOM_raw!$F$2:$F$1001,"M")</f>
        <v>3.5999999999999997E-2</v>
      </c>
      <c r="J76" s="40">
        <f>SUMIFS(BOM_raw!$E$2:$E$1001,BOM_raw!$A$2:$A$1001,$C76,BOM_raw!$F$2:$F$1001,"E")</f>
        <v>5.3000000000000005E-2</v>
      </c>
      <c r="K76" s="40">
        <f>SUMIFS(BOM_raw!$E$2:$E$1001,BOM_raw!$A$2:$A$1001,$C76,BOM_raw!$F$2:$F$1001,"I")</f>
        <v>5.8999999999999997E-2</v>
      </c>
      <c r="L76" s="40">
        <f>SUMIFS(BOM_raw!$E$2:$E$1001,BOM_raw!$A$2:$A$1001,$C76,BOM_raw!$F$2:$F$1001,"EE")</f>
        <v>0.10299999999999999</v>
      </c>
      <c r="M76" s="40">
        <f>SUMIFS(BOM_raw!$E$2:$E$1001,BOM_raw!$A$2:$A$1001,$C76,BOM_raw!$F$2:$F$1001,"HV")</f>
        <v>0.01</v>
      </c>
      <c r="N76" s="40">
        <f>SUMIFS(BOM_raw!$E$2:$E$1001,BOM_raw!$A$2:$A$1001,$C76,BOM_raw!$F$2:$F$1001,"SHARED")</f>
        <v>0.44900000000000001</v>
      </c>
      <c r="O76" s="40">
        <f t="shared" si="32"/>
        <v>1</v>
      </c>
      <c r="P76" s="40">
        <f t="shared" si="33"/>
        <v>0.80114051144267284</v>
      </c>
      <c r="Q76" s="40">
        <f t="shared" si="34"/>
        <v>0.23233074831837516</v>
      </c>
      <c r="R76" s="40">
        <f t="shared" si="35"/>
        <v>2.8841058411936221E-2</v>
      </c>
      <c r="S76" s="40">
        <f t="shared" si="36"/>
        <v>4.2460447106461664E-2</v>
      </c>
      <c r="T76" s="40">
        <f t="shared" si="37"/>
        <v>4.7267290175117695E-2</v>
      </c>
      <c r="U76" s="40">
        <f t="shared" si="38"/>
        <v>8.2517472678595299E-2</v>
      </c>
      <c r="V76" s="40">
        <f t="shared" si="39"/>
        <v>8.0114051144267277E-3</v>
      </c>
      <c r="W76" s="40">
        <f t="shared" si="40"/>
        <v>0.35971208963776014</v>
      </c>
      <c r="X76" s="40">
        <f t="shared" si="41"/>
        <v>0.80114051144267284</v>
      </c>
      <c r="Y76" s="40">
        <f t="shared" si="42"/>
        <v>0</v>
      </c>
      <c r="Z76" s="40">
        <f t="shared" si="43"/>
        <v>1</v>
      </c>
      <c r="AA76" s="39" t="str">
        <f t="shared" si="44"/>
        <v>PASS</v>
      </c>
      <c r="AB76" s="38" t="s">
        <v>368</v>
      </c>
    </row>
    <row r="77" spans="1:28">
      <c r="A77" s="38" t="str">
        <f t="shared" si="30"/>
        <v>BASE_FIGURE_ICIO</v>
      </c>
      <c r="B77" s="38" t="str">
        <f>ICIO_intensity!A77</f>
        <v>ZAF</v>
      </c>
      <c r="C77" s="38" t="str">
        <f>IF(COUNTIF(BOM_raw!$A$2:$A$1001,B77)&gt;0,B77,"OTHERS")</f>
        <v>OTHERS</v>
      </c>
      <c r="D77" s="38" t="str">
        <f t="shared" si="31"/>
        <v>OTHERS_FALLBACK</v>
      </c>
      <c r="E77" s="38" t="b">
        <f>ICIO_intensity!B77</f>
        <v>1</v>
      </c>
      <c r="F77" s="44">
        <f>ICIO_intensity!E77</f>
        <v>0.77009581162474117</v>
      </c>
      <c r="G77" s="44">
        <f>ICIO_intensity!H77</f>
        <v>0.22990418837525883</v>
      </c>
      <c r="H77" s="40">
        <f>SUMIFS(BOM_raw!$E$2:$E$1001,BOM_raw!$A$2:$A$1001,$C77,BOM_raw!$F$2:$F$1001,"T")</f>
        <v>0.29000000000000004</v>
      </c>
      <c r="I77" s="40">
        <f>SUMIFS(BOM_raw!$E$2:$E$1001,BOM_raw!$A$2:$A$1001,$C77,BOM_raw!$F$2:$F$1001,"M")</f>
        <v>3.5999999999999997E-2</v>
      </c>
      <c r="J77" s="40">
        <f>SUMIFS(BOM_raw!$E$2:$E$1001,BOM_raw!$A$2:$A$1001,$C77,BOM_raw!$F$2:$F$1001,"E")</f>
        <v>5.3000000000000005E-2</v>
      </c>
      <c r="K77" s="40">
        <f>SUMIFS(BOM_raw!$E$2:$E$1001,BOM_raw!$A$2:$A$1001,$C77,BOM_raw!$F$2:$F$1001,"I")</f>
        <v>5.8999999999999997E-2</v>
      </c>
      <c r="L77" s="40">
        <f>SUMIFS(BOM_raw!$E$2:$E$1001,BOM_raw!$A$2:$A$1001,$C77,BOM_raw!$F$2:$F$1001,"EE")</f>
        <v>0.10299999999999999</v>
      </c>
      <c r="M77" s="40">
        <f>SUMIFS(BOM_raw!$E$2:$E$1001,BOM_raw!$A$2:$A$1001,$C77,BOM_raw!$F$2:$F$1001,"HV")</f>
        <v>0.01</v>
      </c>
      <c r="N77" s="40">
        <f>SUMIFS(BOM_raw!$E$2:$E$1001,BOM_raw!$A$2:$A$1001,$C77,BOM_raw!$F$2:$F$1001,"SHARED")</f>
        <v>0.44900000000000001</v>
      </c>
      <c r="O77" s="40">
        <f t="shared" si="32"/>
        <v>1</v>
      </c>
      <c r="P77" s="40">
        <f t="shared" si="33"/>
        <v>0.77009581162474117</v>
      </c>
      <c r="Q77" s="40">
        <f t="shared" si="34"/>
        <v>0.22332778537117495</v>
      </c>
      <c r="R77" s="40">
        <f t="shared" si="35"/>
        <v>2.7723449218490681E-2</v>
      </c>
      <c r="S77" s="40">
        <f t="shared" si="36"/>
        <v>4.0815078016111284E-2</v>
      </c>
      <c r="T77" s="40">
        <f t="shared" si="37"/>
        <v>4.5435652885859726E-2</v>
      </c>
      <c r="U77" s="40">
        <f t="shared" si="38"/>
        <v>7.9319868597348339E-2</v>
      </c>
      <c r="V77" s="40">
        <f t="shared" si="39"/>
        <v>7.7009581162474118E-3</v>
      </c>
      <c r="W77" s="40">
        <f t="shared" si="40"/>
        <v>0.34577301941950878</v>
      </c>
      <c r="X77" s="40">
        <f t="shared" si="41"/>
        <v>0.77009581162474117</v>
      </c>
      <c r="Y77" s="40">
        <f t="shared" si="42"/>
        <v>0</v>
      </c>
      <c r="Z77" s="40">
        <f t="shared" si="43"/>
        <v>1</v>
      </c>
      <c r="AA77" s="39" t="str">
        <f t="shared" si="44"/>
        <v>PASS</v>
      </c>
      <c r="AB77" s="38" t="s">
        <v>368</v>
      </c>
    </row>
    <row r="78" spans="1:28">
      <c r="A78" s="38" t="str">
        <f t="shared" si="30"/>
        <v>BASE_FIGURE_ICIO</v>
      </c>
      <c r="B78" s="38" t="str">
        <f>ICIO_intensity!A78</f>
        <v>ROW</v>
      </c>
      <c r="C78" s="38" t="str">
        <f>IF(COUNTIF(BOM_raw!$A$2:$A$1001,B78)&gt;0,B78,"OTHERS")</f>
        <v>OTHERS</v>
      </c>
      <c r="D78" s="38" t="str">
        <f t="shared" si="31"/>
        <v>OTHERS_FALLBACK</v>
      </c>
      <c r="E78" s="38" t="b">
        <f>ICIO_intensity!B78</f>
        <v>1</v>
      </c>
      <c r="F78" s="44">
        <f>ICIO_intensity!E78</f>
        <v>0.66297193141780963</v>
      </c>
      <c r="G78" s="44">
        <f>ICIO_intensity!H78</f>
        <v>0.33702806858219037</v>
      </c>
      <c r="H78" s="40">
        <f>SUMIFS(BOM_raw!$E$2:$E$1001,BOM_raw!$A$2:$A$1001,$C78,BOM_raw!$F$2:$F$1001,"T")</f>
        <v>0.29000000000000004</v>
      </c>
      <c r="I78" s="40">
        <f>SUMIFS(BOM_raw!$E$2:$E$1001,BOM_raw!$A$2:$A$1001,$C78,BOM_raw!$F$2:$F$1001,"M")</f>
        <v>3.5999999999999997E-2</v>
      </c>
      <c r="J78" s="40">
        <f>SUMIFS(BOM_raw!$E$2:$E$1001,BOM_raw!$A$2:$A$1001,$C78,BOM_raw!$F$2:$F$1001,"E")</f>
        <v>5.3000000000000005E-2</v>
      </c>
      <c r="K78" s="40">
        <f>SUMIFS(BOM_raw!$E$2:$E$1001,BOM_raw!$A$2:$A$1001,$C78,BOM_raw!$F$2:$F$1001,"I")</f>
        <v>5.8999999999999997E-2</v>
      </c>
      <c r="L78" s="40">
        <f>SUMIFS(BOM_raw!$E$2:$E$1001,BOM_raw!$A$2:$A$1001,$C78,BOM_raw!$F$2:$F$1001,"EE")</f>
        <v>0.10299999999999999</v>
      </c>
      <c r="M78" s="40">
        <f>SUMIFS(BOM_raw!$E$2:$E$1001,BOM_raw!$A$2:$A$1001,$C78,BOM_raw!$F$2:$F$1001,"HV")</f>
        <v>0.01</v>
      </c>
      <c r="N78" s="40">
        <f>SUMIFS(BOM_raw!$E$2:$E$1001,BOM_raw!$A$2:$A$1001,$C78,BOM_raw!$F$2:$F$1001,"SHARED")</f>
        <v>0.44900000000000001</v>
      </c>
      <c r="O78" s="40">
        <f t="shared" si="32"/>
        <v>1</v>
      </c>
      <c r="P78" s="40">
        <f t="shared" si="33"/>
        <v>0.66297193141780963</v>
      </c>
      <c r="Q78" s="40">
        <f t="shared" si="34"/>
        <v>0.19226186011116481</v>
      </c>
      <c r="R78" s="40">
        <f t="shared" si="35"/>
        <v>2.3866989531041147E-2</v>
      </c>
      <c r="S78" s="40">
        <f t="shared" si="36"/>
        <v>3.5137512365143911E-2</v>
      </c>
      <c r="T78" s="40">
        <f t="shared" si="37"/>
        <v>3.9115343953650766E-2</v>
      </c>
      <c r="U78" s="40">
        <f t="shared" si="38"/>
        <v>6.8286108936034387E-2</v>
      </c>
      <c r="V78" s="40">
        <f t="shared" si="39"/>
        <v>6.6297193141780968E-3</v>
      </c>
      <c r="W78" s="40">
        <f t="shared" si="40"/>
        <v>0.29767439720659655</v>
      </c>
      <c r="X78" s="40">
        <f t="shared" si="41"/>
        <v>0.66297193141780975</v>
      </c>
      <c r="Y78" s="40">
        <f t="shared" si="42"/>
        <v>0</v>
      </c>
      <c r="Z78" s="40">
        <f t="shared" si="43"/>
        <v>1</v>
      </c>
      <c r="AA78" s="39" t="str">
        <f t="shared" si="44"/>
        <v>PASS</v>
      </c>
      <c r="AB78" s="38" t="s">
        <v>368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8"/>
  <sheetViews>
    <sheetView showGridLines="0" workbookViewId="0">
      <selection activeCell="B21" sqref="B21"/>
    </sheetView>
  </sheetViews>
  <sheetFormatPr defaultRowHeight="13.8"/>
  <cols>
    <col min="1" max="1" width="10" customWidth="1"/>
    <col min="2" max="4" width="14" customWidth="1"/>
    <col min="5" max="6" width="20" customWidth="1"/>
    <col min="7" max="8" width="16" customWidth="1"/>
    <col min="9" max="9" width="68" customWidth="1"/>
    <col min="10" max="10" width="18" customWidth="1"/>
  </cols>
  <sheetData>
    <row r="1" spans="1:10">
      <c r="A1" s="1" t="s">
        <v>62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374</v>
      </c>
      <c r="H1" s="2" t="s">
        <v>375</v>
      </c>
      <c r="I1" s="2" t="s">
        <v>376</v>
      </c>
      <c r="J1" s="3" t="s">
        <v>67</v>
      </c>
    </row>
    <row r="2" spans="1:10">
      <c r="A2" s="4" t="s">
        <v>68</v>
      </c>
      <c r="B2" s="7">
        <v>0.6032854062838463</v>
      </c>
      <c r="C2" s="7">
        <v>0.6032854062838463</v>
      </c>
      <c r="D2" s="7">
        <v>0.4881302387787807</v>
      </c>
      <c r="E2" s="7">
        <v>305.33210000000003</v>
      </c>
      <c r="F2" s="7">
        <v>112.75290000000004</v>
      </c>
      <c r="G2" s="4" t="s">
        <v>386</v>
      </c>
      <c r="H2" s="4" t="s">
        <v>386</v>
      </c>
      <c r="I2" s="4" t="s">
        <v>620</v>
      </c>
      <c r="J2" s="4" t="s">
        <v>461</v>
      </c>
    </row>
    <row r="3" spans="1:10">
      <c r="A3" s="4" t="s">
        <v>72</v>
      </c>
      <c r="B3" s="7">
        <v>0.21234521724304542</v>
      </c>
      <c r="C3" s="7">
        <v>0.21234521724304542</v>
      </c>
      <c r="D3" s="7">
        <v>0.17542894168681403</v>
      </c>
      <c r="E3" s="7">
        <v>169.50370000000001</v>
      </c>
      <c r="F3" s="7">
        <v>160.81440000000009</v>
      </c>
      <c r="G3" s="4" t="s">
        <v>386</v>
      </c>
      <c r="H3" s="4" t="s">
        <v>386</v>
      </c>
      <c r="I3" s="4" t="s">
        <v>620</v>
      </c>
      <c r="J3" s="4" t="s">
        <v>461</v>
      </c>
    </row>
    <row r="4" spans="1:10">
      <c r="A4" s="4" t="s">
        <v>74</v>
      </c>
      <c r="B4" s="7">
        <v>0.21218298341049044</v>
      </c>
      <c r="C4" s="7">
        <v>0.21218298341049044</v>
      </c>
      <c r="D4" s="7">
        <v>0.28434447805427893</v>
      </c>
      <c r="E4" s="7">
        <v>390.93380000000008</v>
      </c>
      <c r="F4" s="7">
        <v>189.49480000000008</v>
      </c>
      <c r="G4" s="4" t="s">
        <v>386</v>
      </c>
      <c r="H4" s="4" t="s">
        <v>386</v>
      </c>
      <c r="I4" s="4" t="s">
        <v>620</v>
      </c>
      <c r="J4" s="4" t="s">
        <v>461</v>
      </c>
    </row>
    <row r="5" spans="1:10">
      <c r="A5" s="4" t="s">
        <v>77</v>
      </c>
      <c r="B5" s="7">
        <v>0.12459073116930869</v>
      </c>
      <c r="C5" s="7">
        <v>0.12459073116930869</v>
      </c>
      <c r="D5" s="7">
        <v>0.16335881297493093</v>
      </c>
      <c r="E5" s="7">
        <v>300.56649999999985</v>
      </c>
      <c r="F5" s="7">
        <v>88.894500000000008</v>
      </c>
      <c r="G5" s="4" t="s">
        <v>386</v>
      </c>
      <c r="H5" s="4" t="s">
        <v>386</v>
      </c>
      <c r="I5" s="4" t="s">
        <v>620</v>
      </c>
      <c r="J5" s="4" t="s">
        <v>461</v>
      </c>
    </row>
    <row r="6" spans="1:10">
      <c r="A6" s="4" t="s">
        <v>79</v>
      </c>
      <c r="B6" s="7">
        <v>0.56120228488530233</v>
      </c>
      <c r="C6" s="7">
        <v>0.56120228488530233</v>
      </c>
      <c r="D6" s="7">
        <v>0.38800406641816332</v>
      </c>
      <c r="E6" s="7">
        <v>2.2058000000000004</v>
      </c>
      <c r="F6" s="7">
        <v>0.29510000000000003</v>
      </c>
      <c r="G6" s="4" t="s">
        <v>386</v>
      </c>
      <c r="H6" s="4" t="s">
        <v>386</v>
      </c>
      <c r="I6" s="4" t="s">
        <v>620</v>
      </c>
      <c r="J6" s="4" t="s">
        <v>461</v>
      </c>
    </row>
    <row r="7" spans="1:10">
      <c r="A7" s="4" t="s">
        <v>81</v>
      </c>
      <c r="B7" s="7">
        <v>0.10552855834917953</v>
      </c>
      <c r="C7" s="7">
        <v>0.10552855834917953</v>
      </c>
      <c r="D7" s="7">
        <v>0.10564444049529322</v>
      </c>
      <c r="E7" s="7">
        <v>28.397999999999996</v>
      </c>
      <c r="F7" s="7">
        <v>19.132100000000005</v>
      </c>
      <c r="G7" s="4" t="s">
        <v>386</v>
      </c>
      <c r="H7" s="4" t="s">
        <v>386</v>
      </c>
      <c r="I7" s="4" t="s">
        <v>620</v>
      </c>
      <c r="J7" s="4" t="s">
        <v>461</v>
      </c>
    </row>
    <row r="8" spans="1:10">
      <c r="A8" s="4" t="s">
        <v>83</v>
      </c>
      <c r="B8" s="7">
        <v>9.3639274438001102E-2</v>
      </c>
      <c r="C8" s="7">
        <v>9.3639274438001102E-2</v>
      </c>
      <c r="D8" s="7">
        <v>0.38171738884489215</v>
      </c>
      <c r="E8" s="7">
        <v>53.905799999999999</v>
      </c>
      <c r="F8" s="7">
        <v>21.213599999999989</v>
      </c>
      <c r="G8" s="4" t="s">
        <v>386</v>
      </c>
      <c r="H8" s="4" t="s">
        <v>386</v>
      </c>
      <c r="I8" s="4" t="s">
        <v>620</v>
      </c>
      <c r="J8" s="4" t="s">
        <v>461</v>
      </c>
    </row>
    <row r="9" spans="1:10">
      <c r="A9" s="4" t="s">
        <v>85</v>
      </c>
      <c r="B9" s="7">
        <v>0.72914965390717901</v>
      </c>
      <c r="C9" s="7">
        <v>0.72914965390717901</v>
      </c>
      <c r="D9" s="7">
        <v>0.58319662539150674</v>
      </c>
      <c r="E9" s="7">
        <v>1829.5092000000002</v>
      </c>
      <c r="F9" s="7">
        <v>733.19319999999982</v>
      </c>
      <c r="G9" s="4" t="s">
        <v>386</v>
      </c>
      <c r="H9" s="4" t="s">
        <v>386</v>
      </c>
      <c r="I9" s="4" t="s">
        <v>620</v>
      </c>
      <c r="J9" s="4" t="s">
        <v>461</v>
      </c>
    </row>
    <row r="10" spans="1:10">
      <c r="A10" s="4" t="s">
        <v>87</v>
      </c>
      <c r="B10" s="7"/>
      <c r="C10" s="7"/>
      <c r="D10" s="7"/>
      <c r="E10" s="7">
        <v>0</v>
      </c>
      <c r="F10" s="7">
        <v>0</v>
      </c>
      <c r="G10" s="4" t="s">
        <v>388</v>
      </c>
      <c r="H10" s="4" t="s">
        <v>388</v>
      </c>
      <c r="I10" s="4" t="s">
        <v>620</v>
      </c>
      <c r="J10" s="4" t="s">
        <v>461</v>
      </c>
    </row>
    <row r="11" spans="1:10">
      <c r="A11" s="4" t="s">
        <v>89</v>
      </c>
      <c r="B11" s="7">
        <v>0.22535585453444473</v>
      </c>
      <c r="C11" s="7">
        <v>0.22535585453444473</v>
      </c>
      <c r="D11" s="7">
        <v>0.14471843919214203</v>
      </c>
      <c r="E11" s="7">
        <v>870.62259999999981</v>
      </c>
      <c r="F11" s="7">
        <v>335.68769999999989</v>
      </c>
      <c r="G11" s="4" t="s">
        <v>386</v>
      </c>
      <c r="H11" s="4" t="s">
        <v>386</v>
      </c>
      <c r="I11" s="4" t="s">
        <v>620</v>
      </c>
      <c r="J11" s="4" t="s">
        <v>461</v>
      </c>
    </row>
    <row r="12" spans="1:10">
      <c r="A12" s="4" t="s">
        <v>91</v>
      </c>
      <c r="B12" s="7">
        <v>0.57276349190745746</v>
      </c>
      <c r="C12" s="7">
        <v>0.57276349190745746</v>
      </c>
      <c r="D12" s="7">
        <v>0.75891325554962219</v>
      </c>
      <c r="E12" s="7">
        <v>51.881100000000011</v>
      </c>
      <c r="F12" s="7">
        <v>33.520299999999999</v>
      </c>
      <c r="G12" s="4" t="s">
        <v>386</v>
      </c>
      <c r="H12" s="4" t="s">
        <v>386</v>
      </c>
      <c r="I12" s="4" t="s">
        <v>620</v>
      </c>
      <c r="J12" s="4" t="s">
        <v>461</v>
      </c>
    </row>
    <row r="13" spans="1:10">
      <c r="A13" s="4" t="s">
        <v>93</v>
      </c>
      <c r="B13" s="7"/>
      <c r="C13" s="7"/>
      <c r="D13" s="7"/>
      <c r="E13" s="7">
        <v>0</v>
      </c>
      <c r="F13" s="7">
        <v>0</v>
      </c>
      <c r="G13" s="4" t="s">
        <v>388</v>
      </c>
      <c r="H13" s="4" t="s">
        <v>388</v>
      </c>
      <c r="I13" s="4" t="s">
        <v>620</v>
      </c>
      <c r="J13" s="4" t="s">
        <v>461</v>
      </c>
    </row>
    <row r="14" spans="1:10">
      <c r="A14" s="4" t="s">
        <v>95</v>
      </c>
      <c r="B14" s="7">
        <v>0.9428824925427205</v>
      </c>
      <c r="C14" s="7">
        <v>0.9428824925427205</v>
      </c>
      <c r="D14" s="7">
        <v>0.76806451439435064</v>
      </c>
      <c r="E14" s="7">
        <v>38080.945700000011</v>
      </c>
      <c r="F14" s="7">
        <v>20250.996899999998</v>
      </c>
      <c r="G14" s="4" t="s">
        <v>386</v>
      </c>
      <c r="H14" s="4" t="s">
        <v>386</v>
      </c>
      <c r="I14" s="4" t="s">
        <v>620</v>
      </c>
      <c r="J14" s="4" t="s">
        <v>461</v>
      </c>
    </row>
    <row r="15" spans="1:10">
      <c r="A15" s="4" t="s">
        <v>97</v>
      </c>
      <c r="B15" s="7">
        <v>5.7648660916931466E-2</v>
      </c>
      <c r="C15" s="7">
        <v>5.7648660916931466E-2</v>
      </c>
      <c r="D15" s="7">
        <v>0</v>
      </c>
      <c r="E15" s="7">
        <v>0.88119999999999987</v>
      </c>
      <c r="F15" s="7">
        <v>0.32169999999999987</v>
      </c>
      <c r="G15" s="4" t="s">
        <v>386</v>
      </c>
      <c r="H15" s="4" t="s">
        <v>386</v>
      </c>
      <c r="I15" s="4" t="s">
        <v>620</v>
      </c>
      <c r="J15" s="4" t="s">
        <v>461</v>
      </c>
    </row>
    <row r="16" spans="1:10">
      <c r="A16" s="4" t="s">
        <v>99</v>
      </c>
      <c r="B16" s="7">
        <v>5.185185185185183E-2</v>
      </c>
      <c r="C16" s="7">
        <v>5.185185185185183E-2</v>
      </c>
      <c r="D16" s="7">
        <v>0.63636363636363646</v>
      </c>
      <c r="E16" s="7">
        <v>6.7500000000000032E-2</v>
      </c>
      <c r="F16" s="7">
        <v>4.3999999999999994E-3</v>
      </c>
      <c r="G16" s="4" t="s">
        <v>386</v>
      </c>
      <c r="H16" s="4" t="s">
        <v>386</v>
      </c>
      <c r="I16" s="4" t="s">
        <v>620</v>
      </c>
      <c r="J16" s="4" t="s">
        <v>461</v>
      </c>
    </row>
    <row r="17" spans="1:10">
      <c r="A17" s="4" t="s">
        <v>101</v>
      </c>
      <c r="B17" s="7">
        <v>0.44872024230707963</v>
      </c>
      <c r="C17" s="7">
        <v>0.44872024230707963</v>
      </c>
      <c r="D17" s="7">
        <v>0.22348158537366777</v>
      </c>
      <c r="E17" s="7">
        <v>112.35329999999998</v>
      </c>
      <c r="F17" s="7">
        <v>28.091799999999996</v>
      </c>
      <c r="G17" s="4" t="s">
        <v>386</v>
      </c>
      <c r="H17" s="4" t="s">
        <v>386</v>
      </c>
      <c r="I17" s="4" t="s">
        <v>620</v>
      </c>
      <c r="J17" s="4" t="s">
        <v>461</v>
      </c>
    </row>
    <row r="18" spans="1:10">
      <c r="A18" s="4" t="s">
        <v>103</v>
      </c>
      <c r="B18" s="7">
        <v>0.5928057553956837</v>
      </c>
      <c r="C18" s="7">
        <v>0.5928057553956837</v>
      </c>
      <c r="D18" s="7">
        <v>0.30449826989619366</v>
      </c>
      <c r="E18" s="7">
        <v>0.20849999999999991</v>
      </c>
      <c r="F18" s="7">
        <v>0.11560000000000005</v>
      </c>
      <c r="G18" s="4" t="s">
        <v>386</v>
      </c>
      <c r="H18" s="4" t="s">
        <v>386</v>
      </c>
      <c r="I18" s="4" t="s">
        <v>620</v>
      </c>
      <c r="J18" s="4" t="s">
        <v>461</v>
      </c>
    </row>
    <row r="19" spans="1:10">
      <c r="A19" s="4" t="s">
        <v>105</v>
      </c>
      <c r="B19" s="7">
        <v>0.14793213149522805</v>
      </c>
      <c r="C19" s="7">
        <v>0.14793213149522805</v>
      </c>
      <c r="D19" s="7">
        <v>0.17331812998859744</v>
      </c>
      <c r="E19" s="7">
        <v>0.18859999999999993</v>
      </c>
      <c r="F19" s="7">
        <v>8.7700000000000028E-2</v>
      </c>
      <c r="G19" s="4" t="s">
        <v>386</v>
      </c>
      <c r="H19" s="4" t="s">
        <v>386</v>
      </c>
      <c r="I19" s="4" t="s">
        <v>620</v>
      </c>
      <c r="J19" s="4" t="s">
        <v>461</v>
      </c>
    </row>
    <row r="20" spans="1:10">
      <c r="A20" s="4" t="s">
        <v>107</v>
      </c>
      <c r="B20" s="7">
        <v>0.30871802291769501</v>
      </c>
      <c r="C20" s="7">
        <v>0.30871802291769457</v>
      </c>
      <c r="D20" s="7">
        <v>0.45488313374296552</v>
      </c>
      <c r="E20" s="7">
        <v>2956.6761000000006</v>
      </c>
      <c r="F20" s="7">
        <v>290.86240000000015</v>
      </c>
      <c r="G20" s="4" t="s">
        <v>386</v>
      </c>
      <c r="H20" s="4" t="s">
        <v>386</v>
      </c>
      <c r="I20" s="4" t="s">
        <v>620</v>
      </c>
      <c r="J20" s="4" t="s">
        <v>461</v>
      </c>
    </row>
    <row r="21" spans="1:10">
      <c r="A21" s="4" t="s">
        <v>109</v>
      </c>
      <c r="B21" s="7">
        <f>0.386971230093986+0.11</f>
        <v>0.49697123009398597</v>
      </c>
      <c r="C21" s="7">
        <v>0.38697123009398621</v>
      </c>
      <c r="D21" s="7">
        <v>0.25647471823158019</v>
      </c>
      <c r="E21" s="7">
        <v>11703.6114</v>
      </c>
      <c r="F21" s="7">
        <v>4252.8453</v>
      </c>
      <c r="G21" s="4" t="s">
        <v>386</v>
      </c>
      <c r="H21" s="4" t="s">
        <v>386</v>
      </c>
      <c r="I21" s="4" t="s">
        <v>620</v>
      </c>
      <c r="J21" s="4" t="s">
        <v>461</v>
      </c>
    </row>
    <row r="22" spans="1:10">
      <c r="A22" s="4" t="s">
        <v>111</v>
      </c>
      <c r="B22" s="7">
        <v>0.15751542967374169</v>
      </c>
      <c r="C22" s="7">
        <v>0.15751542967374169</v>
      </c>
      <c r="D22" s="7">
        <v>0.20720280858385076</v>
      </c>
      <c r="E22" s="7">
        <v>18.454699999999995</v>
      </c>
      <c r="F22" s="7">
        <v>8.6021999999999945</v>
      </c>
      <c r="G22" s="4" t="s">
        <v>386</v>
      </c>
      <c r="H22" s="4" t="s">
        <v>386</v>
      </c>
      <c r="I22" s="4" t="s">
        <v>620</v>
      </c>
      <c r="J22" s="4" t="s">
        <v>461</v>
      </c>
    </row>
    <row r="23" spans="1:10">
      <c r="A23" s="4" t="s">
        <v>113</v>
      </c>
      <c r="B23" s="7">
        <v>0.76338146731280943</v>
      </c>
      <c r="C23" s="7">
        <v>0.76338146731280943</v>
      </c>
      <c r="D23" s="7">
        <v>0.24637550652859064</v>
      </c>
      <c r="E23" s="7">
        <v>34.687899999999999</v>
      </c>
      <c r="F23" s="7">
        <v>4.4420000000000019</v>
      </c>
      <c r="G23" s="4" t="s">
        <v>386</v>
      </c>
      <c r="H23" s="4" t="s">
        <v>386</v>
      </c>
      <c r="I23" s="4" t="s">
        <v>620</v>
      </c>
      <c r="J23" s="4" t="s">
        <v>461</v>
      </c>
    </row>
    <row r="24" spans="1:10">
      <c r="A24" s="4" t="s">
        <v>115</v>
      </c>
      <c r="B24" s="7">
        <v>0.27840598265536731</v>
      </c>
      <c r="C24" s="7">
        <v>0.27840598265536731</v>
      </c>
      <c r="D24" s="7">
        <v>0.14216684584520967</v>
      </c>
      <c r="E24" s="7">
        <v>1827.9775999999999</v>
      </c>
      <c r="F24" s="7">
        <v>644.4223999999997</v>
      </c>
      <c r="G24" s="4" t="s">
        <v>386</v>
      </c>
      <c r="H24" s="4" t="s">
        <v>386</v>
      </c>
      <c r="I24" s="4" t="s">
        <v>620</v>
      </c>
      <c r="J24" s="4" t="s">
        <v>461</v>
      </c>
    </row>
    <row r="25" spans="1:10">
      <c r="A25" s="4" t="s">
        <v>117</v>
      </c>
      <c r="B25" s="7">
        <v>0.16506747049046394</v>
      </c>
      <c r="C25" s="7">
        <v>0.16506747049046394</v>
      </c>
      <c r="D25" s="7">
        <v>0.34065286754479257</v>
      </c>
      <c r="E25" s="7">
        <v>17.748500000000003</v>
      </c>
      <c r="F25" s="7">
        <v>6.1115000000000013</v>
      </c>
      <c r="G25" s="4" t="s">
        <v>386</v>
      </c>
      <c r="H25" s="4" t="s">
        <v>386</v>
      </c>
      <c r="I25" s="4" t="s">
        <v>620</v>
      </c>
      <c r="J25" s="4" t="s">
        <v>461</v>
      </c>
    </row>
    <row r="26" spans="1:10">
      <c r="A26" s="4" t="s">
        <v>119</v>
      </c>
      <c r="B26" s="7">
        <v>0.41504784817303503</v>
      </c>
      <c r="C26" s="7">
        <v>0.41504784817303503</v>
      </c>
      <c r="D26" s="7">
        <v>0.6012224427008428</v>
      </c>
      <c r="E26" s="7">
        <v>65.258499999999984</v>
      </c>
      <c r="F26" s="7">
        <v>43.944800000000008</v>
      </c>
      <c r="G26" s="4" t="s">
        <v>386</v>
      </c>
      <c r="H26" s="4" t="s">
        <v>386</v>
      </c>
      <c r="I26" s="4" t="s">
        <v>620</v>
      </c>
      <c r="J26" s="4" t="s">
        <v>461</v>
      </c>
    </row>
    <row r="27" spans="1:10">
      <c r="A27" s="4" t="s">
        <v>121</v>
      </c>
      <c r="B27" s="7">
        <v>0.16066553052811258</v>
      </c>
      <c r="C27" s="7">
        <v>0.16066553052811258</v>
      </c>
      <c r="D27" s="7">
        <v>0.17756812827370869</v>
      </c>
      <c r="E27" s="7">
        <v>1647.0409</v>
      </c>
      <c r="F27" s="7">
        <v>749.97129999999959</v>
      </c>
      <c r="G27" s="4" t="s">
        <v>386</v>
      </c>
      <c r="H27" s="4" t="s">
        <v>386</v>
      </c>
      <c r="I27" s="4" t="s">
        <v>620</v>
      </c>
      <c r="J27" s="4" t="s">
        <v>461</v>
      </c>
    </row>
    <row r="28" spans="1:10">
      <c r="A28" s="4" t="s">
        <v>123</v>
      </c>
      <c r="B28" s="7">
        <v>0.37806621093141113</v>
      </c>
      <c r="C28" s="7">
        <v>0.37806621093141113</v>
      </c>
      <c r="D28" s="7">
        <v>0.42405742778720168</v>
      </c>
      <c r="E28" s="7">
        <v>461.90559999999994</v>
      </c>
      <c r="F28" s="7">
        <v>984.08109999999999</v>
      </c>
      <c r="G28" s="4" t="s">
        <v>386</v>
      </c>
      <c r="H28" s="4" t="s">
        <v>386</v>
      </c>
      <c r="I28" s="4" t="s">
        <v>620</v>
      </c>
      <c r="J28" s="4" t="s">
        <v>461</v>
      </c>
    </row>
    <row r="29" spans="1:10">
      <c r="A29" s="4" t="s">
        <v>125</v>
      </c>
      <c r="B29" s="7">
        <v>0.45041015749199803</v>
      </c>
      <c r="C29" s="7">
        <v>0.45041015749199803</v>
      </c>
      <c r="D29" s="7">
        <v>0.91167785234899346</v>
      </c>
      <c r="E29" s="7">
        <v>4.7177000000000016</v>
      </c>
      <c r="F29" s="7">
        <v>1.8624999999999996</v>
      </c>
      <c r="G29" s="4" t="s">
        <v>386</v>
      </c>
      <c r="H29" s="4" t="s">
        <v>386</v>
      </c>
      <c r="I29" s="4" t="s">
        <v>620</v>
      </c>
      <c r="J29" s="4" t="s">
        <v>461</v>
      </c>
    </row>
    <row r="30" spans="1:10">
      <c r="A30" s="4" t="s">
        <v>127</v>
      </c>
      <c r="B30" s="7">
        <v>0.81157212568743342</v>
      </c>
      <c r="C30" s="7">
        <v>0.81157212568743342</v>
      </c>
      <c r="D30" s="7">
        <v>0.8727978557406757</v>
      </c>
      <c r="E30" s="7">
        <v>46.477200000000025</v>
      </c>
      <c r="F30" s="7">
        <v>15.893599999999996</v>
      </c>
      <c r="G30" s="4" t="s">
        <v>386</v>
      </c>
      <c r="H30" s="4" t="s">
        <v>386</v>
      </c>
      <c r="I30" s="4" t="s">
        <v>620</v>
      </c>
      <c r="J30" s="4" t="s">
        <v>461</v>
      </c>
    </row>
    <row r="31" spans="1:10">
      <c r="A31" s="4" t="s">
        <v>129</v>
      </c>
      <c r="B31" s="7">
        <v>0.19254276379012111</v>
      </c>
      <c r="C31" s="7">
        <v>0.19254276379012111</v>
      </c>
      <c r="D31" s="7">
        <v>0.12968591691995948</v>
      </c>
      <c r="E31" s="7">
        <v>5.2029999999999994</v>
      </c>
      <c r="F31" s="7">
        <v>1.6778999999999999</v>
      </c>
      <c r="G31" s="4" t="s">
        <v>386</v>
      </c>
      <c r="H31" s="4" t="s">
        <v>386</v>
      </c>
      <c r="I31" s="4" t="s">
        <v>620</v>
      </c>
      <c r="J31" s="4" t="s">
        <v>461</v>
      </c>
    </row>
    <row r="32" spans="1:10">
      <c r="A32" s="4" t="s">
        <v>131</v>
      </c>
      <c r="B32" s="7">
        <v>0.28894834576336775</v>
      </c>
      <c r="C32" s="7">
        <v>0.28894834576336775</v>
      </c>
      <c r="D32" s="7">
        <v>0.37281151597243606</v>
      </c>
      <c r="E32" s="7">
        <v>2561.2962000000002</v>
      </c>
      <c r="F32" s="7">
        <v>594.7496000000001</v>
      </c>
      <c r="G32" s="4" t="s">
        <v>386</v>
      </c>
      <c r="H32" s="4" t="s">
        <v>386</v>
      </c>
      <c r="I32" s="4" t="s">
        <v>620</v>
      </c>
      <c r="J32" s="4" t="s">
        <v>461</v>
      </c>
    </row>
    <row r="33" spans="1:10">
      <c r="A33" s="4" t="s">
        <v>133</v>
      </c>
      <c r="B33" s="7">
        <v>0.74493321081230657</v>
      </c>
      <c r="C33" s="7">
        <v>0.74493321081230657</v>
      </c>
      <c r="D33" s="7">
        <v>0.56862882581200691</v>
      </c>
      <c r="E33" s="7">
        <v>1744.5713000000003</v>
      </c>
      <c r="F33" s="7">
        <v>366.53329999999988</v>
      </c>
      <c r="G33" s="4" t="s">
        <v>386</v>
      </c>
      <c r="H33" s="4" t="s">
        <v>386</v>
      </c>
      <c r="I33" s="4" t="s">
        <v>620</v>
      </c>
      <c r="J33" s="4" t="s">
        <v>461</v>
      </c>
    </row>
    <row r="34" spans="1:10">
      <c r="A34" s="4" t="s">
        <v>135</v>
      </c>
      <c r="B34" s="7">
        <v>0.81472768753250557</v>
      </c>
      <c r="C34" s="7">
        <v>0.81472768753250557</v>
      </c>
      <c r="D34" s="7">
        <v>5.3448904120915942E-2</v>
      </c>
      <c r="E34" s="7">
        <v>2691.2521000000006</v>
      </c>
      <c r="F34" s="7">
        <v>876.8075</v>
      </c>
      <c r="G34" s="4" t="s">
        <v>386</v>
      </c>
      <c r="H34" s="4" t="s">
        <v>386</v>
      </c>
      <c r="I34" s="4" t="s">
        <v>620</v>
      </c>
      <c r="J34" s="4" t="s">
        <v>461</v>
      </c>
    </row>
    <row r="35" spans="1:10">
      <c r="A35" s="4" t="s">
        <v>137</v>
      </c>
      <c r="B35" s="7">
        <v>0.13093594214431153</v>
      </c>
      <c r="C35" s="7">
        <v>0.13093594214431153</v>
      </c>
      <c r="D35" s="7">
        <v>0.24054201078087134</v>
      </c>
      <c r="E35" s="7">
        <v>8.5454000000000025</v>
      </c>
      <c r="F35" s="7">
        <v>6.0663000000000009</v>
      </c>
      <c r="G35" s="4" t="s">
        <v>386</v>
      </c>
      <c r="H35" s="4" t="s">
        <v>386</v>
      </c>
      <c r="I35" s="4" t="s">
        <v>620</v>
      </c>
      <c r="J35" s="4" t="s">
        <v>461</v>
      </c>
    </row>
    <row r="36" spans="1:10">
      <c r="A36" s="4" t="s">
        <v>139</v>
      </c>
      <c r="B36" s="7">
        <v>0.15553869499241268</v>
      </c>
      <c r="C36" s="7">
        <v>0.15553869499241268</v>
      </c>
      <c r="D36" s="7">
        <v>0.3339416058394159</v>
      </c>
      <c r="E36" s="7">
        <v>0.13180000000000006</v>
      </c>
      <c r="F36" s="7">
        <v>5.4800000000000029E-2</v>
      </c>
      <c r="G36" s="4" t="s">
        <v>386</v>
      </c>
      <c r="H36" s="4" t="s">
        <v>386</v>
      </c>
      <c r="I36" s="4" t="s">
        <v>620</v>
      </c>
      <c r="J36" s="4" t="s">
        <v>461</v>
      </c>
    </row>
    <row r="37" spans="1:10">
      <c r="A37" s="4" t="s">
        <v>141</v>
      </c>
      <c r="B37" s="7">
        <v>0.29463558631921827</v>
      </c>
      <c r="C37" s="7">
        <v>0.29463558631921827</v>
      </c>
      <c r="D37" s="7">
        <v>0.81082113811233159</v>
      </c>
      <c r="E37" s="7">
        <v>37.331199999999995</v>
      </c>
      <c r="F37" s="7">
        <v>90.288099999999986</v>
      </c>
      <c r="G37" s="4" t="s">
        <v>386</v>
      </c>
      <c r="H37" s="4" t="s">
        <v>386</v>
      </c>
      <c r="I37" s="4" t="s">
        <v>620</v>
      </c>
      <c r="J37" s="4" t="s">
        <v>461</v>
      </c>
    </row>
    <row r="38" spans="1:10">
      <c r="A38" s="4" t="s">
        <v>143</v>
      </c>
      <c r="B38" s="7">
        <v>0.5373452846966883</v>
      </c>
      <c r="C38" s="7">
        <v>0.5373452846966883</v>
      </c>
      <c r="D38" s="7">
        <v>0.45913924027441283</v>
      </c>
      <c r="E38" s="7">
        <v>2299.0292000000009</v>
      </c>
      <c r="F38" s="7">
        <v>480.3128999999999</v>
      </c>
      <c r="G38" s="4" t="s">
        <v>386</v>
      </c>
      <c r="H38" s="4" t="s">
        <v>386</v>
      </c>
      <c r="I38" s="4" t="s">
        <v>620</v>
      </c>
      <c r="J38" s="4" t="s">
        <v>461</v>
      </c>
    </row>
    <row r="39" spans="1:10">
      <c r="A39" s="4" t="s">
        <v>145</v>
      </c>
      <c r="B39" s="7">
        <v>0.55939654820678109</v>
      </c>
      <c r="C39" s="7">
        <v>0.55939654820678109</v>
      </c>
      <c r="D39" s="7">
        <v>0.15153048317733367</v>
      </c>
      <c r="E39" s="7">
        <v>9.8036000000000012</v>
      </c>
      <c r="F39" s="7">
        <v>0.79059999999999997</v>
      </c>
      <c r="G39" s="4" t="s">
        <v>386</v>
      </c>
      <c r="H39" s="4" t="s">
        <v>386</v>
      </c>
      <c r="I39" s="4" t="s">
        <v>620</v>
      </c>
      <c r="J39" s="4" t="s">
        <v>461</v>
      </c>
    </row>
    <row r="40" spans="1:10">
      <c r="A40" s="4" t="s">
        <v>147</v>
      </c>
      <c r="B40" s="7">
        <v>0.74665065461766578</v>
      </c>
      <c r="C40" s="7">
        <v>0.74665065461766578</v>
      </c>
      <c r="D40" s="7">
        <v>0.48871593053092283</v>
      </c>
      <c r="E40" s="7">
        <v>15008.447700000001</v>
      </c>
      <c r="F40" s="7">
        <v>7574.8869000000059</v>
      </c>
      <c r="G40" s="4" t="s">
        <v>386</v>
      </c>
      <c r="H40" s="4" t="s">
        <v>386</v>
      </c>
      <c r="I40" s="4" t="s">
        <v>620</v>
      </c>
      <c r="J40" s="4" t="s">
        <v>461</v>
      </c>
    </row>
    <row r="41" spans="1:10">
      <c r="A41" s="4" t="s">
        <v>149</v>
      </c>
      <c r="B41" s="7">
        <v>0.14420370491588663</v>
      </c>
      <c r="C41" s="7">
        <v>0.14420370491588663</v>
      </c>
      <c r="D41" s="7">
        <v>4.8379735280693753E-2</v>
      </c>
      <c r="E41" s="7">
        <v>1.5276999999999998</v>
      </c>
      <c r="F41" s="7">
        <v>0.21909999999999996</v>
      </c>
      <c r="G41" s="4" t="s">
        <v>386</v>
      </c>
      <c r="H41" s="4" t="s">
        <v>386</v>
      </c>
      <c r="I41" s="4" t="s">
        <v>620</v>
      </c>
      <c r="J41" s="4" t="s">
        <v>461</v>
      </c>
    </row>
    <row r="42" spans="1:10">
      <c r="A42" s="4" t="s">
        <v>151</v>
      </c>
      <c r="B42" s="7">
        <v>4.1273584905660368E-3</v>
      </c>
      <c r="C42" s="7">
        <v>4.1273584905660368E-3</v>
      </c>
      <c r="D42" s="7">
        <v>1.5267175572519087E-2</v>
      </c>
      <c r="E42" s="7">
        <v>0.16960000000000003</v>
      </c>
      <c r="F42" s="7">
        <v>2.6199999999999998E-2</v>
      </c>
      <c r="G42" s="4" t="s">
        <v>386</v>
      </c>
      <c r="H42" s="4" t="s">
        <v>386</v>
      </c>
      <c r="I42" s="4" t="s">
        <v>620</v>
      </c>
      <c r="J42" s="4" t="s">
        <v>461</v>
      </c>
    </row>
    <row r="43" spans="1:10">
      <c r="A43" s="4" t="s">
        <v>153</v>
      </c>
      <c r="B43" s="7">
        <v>0.76540610308511003</v>
      </c>
      <c r="C43" s="7">
        <v>0.76540610308511003</v>
      </c>
      <c r="D43" s="7">
        <v>0.68701492231184857</v>
      </c>
      <c r="E43" s="7">
        <v>10962.98</v>
      </c>
      <c r="F43" s="7">
        <v>5553.2212999999956</v>
      </c>
      <c r="G43" s="4" t="s">
        <v>386</v>
      </c>
      <c r="H43" s="4" t="s">
        <v>386</v>
      </c>
      <c r="I43" s="4" t="s">
        <v>620</v>
      </c>
      <c r="J43" s="4" t="s">
        <v>461</v>
      </c>
    </row>
    <row r="44" spans="1:10">
      <c r="A44" s="4" t="s">
        <v>155</v>
      </c>
      <c r="B44" s="7">
        <v>1.7064846416382246E-2</v>
      </c>
      <c r="C44" s="7">
        <v>1.7064846416382246E-2</v>
      </c>
      <c r="D44" s="7">
        <v>8.6419753086419762E-2</v>
      </c>
      <c r="E44" s="7">
        <v>5.8600000000000027E-2</v>
      </c>
      <c r="F44" s="7">
        <v>8.0999999999999996E-3</v>
      </c>
      <c r="G44" s="4" t="s">
        <v>386</v>
      </c>
      <c r="H44" s="4" t="s">
        <v>386</v>
      </c>
      <c r="I44" s="4" t="s">
        <v>620</v>
      </c>
      <c r="J44" s="4" t="s">
        <v>461</v>
      </c>
    </row>
    <row r="45" spans="1:10">
      <c r="A45" s="4" t="s">
        <v>157</v>
      </c>
      <c r="B45" s="7">
        <v>0.21324686692533648</v>
      </c>
      <c r="C45" s="7">
        <v>0.21324686692533648</v>
      </c>
      <c r="D45" s="7">
        <v>0.25137779184136277</v>
      </c>
      <c r="E45" s="7">
        <v>23.762599999999999</v>
      </c>
      <c r="F45" s="7">
        <v>3.7923</v>
      </c>
      <c r="G45" s="4" t="s">
        <v>386</v>
      </c>
      <c r="H45" s="4" t="s">
        <v>386</v>
      </c>
      <c r="I45" s="4" t="s">
        <v>620</v>
      </c>
      <c r="J45" s="4" t="s">
        <v>461</v>
      </c>
    </row>
    <row r="46" spans="1:10">
      <c r="A46" s="4" t="s">
        <v>159</v>
      </c>
      <c r="B46" s="7">
        <v>0.1995756086665178</v>
      </c>
      <c r="C46" s="7">
        <v>0.1995756086665178</v>
      </c>
      <c r="D46" s="7">
        <v>0.17724084177708513</v>
      </c>
      <c r="E46" s="7">
        <v>1.7907999999999995</v>
      </c>
      <c r="F46" s="7">
        <v>0.6414999999999994</v>
      </c>
      <c r="G46" s="4" t="s">
        <v>386</v>
      </c>
      <c r="H46" s="4" t="s">
        <v>386</v>
      </c>
      <c r="I46" s="4" t="s">
        <v>620</v>
      </c>
      <c r="J46" s="4" t="s">
        <v>461</v>
      </c>
    </row>
    <row r="47" spans="1:10">
      <c r="A47" s="4" t="s">
        <v>161</v>
      </c>
      <c r="B47" s="7">
        <v>0.16007340075961246</v>
      </c>
      <c r="C47" s="7">
        <v>0.16007340075961246</v>
      </c>
      <c r="D47" s="7">
        <v>0.13907546424338207</v>
      </c>
      <c r="E47" s="7">
        <v>4.6866000000000012</v>
      </c>
      <c r="F47" s="7">
        <v>1.7717000000000001</v>
      </c>
      <c r="G47" s="4" t="s">
        <v>386</v>
      </c>
      <c r="H47" s="4" t="s">
        <v>386</v>
      </c>
      <c r="I47" s="4" t="s">
        <v>620</v>
      </c>
      <c r="J47" s="4" t="s">
        <v>461</v>
      </c>
    </row>
    <row r="48" spans="1:10">
      <c r="A48" s="4" t="s">
        <v>163</v>
      </c>
      <c r="B48" s="7">
        <v>0.23799968778032288</v>
      </c>
      <c r="C48" s="7">
        <v>0.23799968778032288</v>
      </c>
      <c r="D48" s="7">
        <v>1.2748298642083199E-2</v>
      </c>
      <c r="E48" s="7">
        <v>376.01730000000003</v>
      </c>
      <c r="F48" s="7">
        <v>44.170599999999993</v>
      </c>
      <c r="G48" s="4" t="s">
        <v>386</v>
      </c>
      <c r="H48" s="4" t="s">
        <v>386</v>
      </c>
      <c r="I48" s="4" t="s">
        <v>620</v>
      </c>
      <c r="J48" s="4" t="s">
        <v>461</v>
      </c>
    </row>
    <row r="49" spans="1:10">
      <c r="A49" s="4" t="s">
        <v>165</v>
      </c>
      <c r="B49" s="7">
        <v>0.12981199435589003</v>
      </c>
      <c r="C49" s="7">
        <v>0.12981199435589003</v>
      </c>
      <c r="D49" s="7">
        <v>0.34730008848009858</v>
      </c>
      <c r="E49" s="7">
        <v>7376.9647000000014</v>
      </c>
      <c r="F49" s="7">
        <v>7094.9288000000006</v>
      </c>
      <c r="G49" s="4" t="s">
        <v>386</v>
      </c>
      <c r="H49" s="4" t="s">
        <v>386</v>
      </c>
      <c r="I49" s="4" t="s">
        <v>620</v>
      </c>
      <c r="J49" s="4" t="s">
        <v>461</v>
      </c>
    </row>
    <row r="50" spans="1:10">
      <c r="A50" s="4" t="s">
        <v>167</v>
      </c>
      <c r="B50" s="7">
        <v>5.2214338145338872E-2</v>
      </c>
      <c r="C50" s="7">
        <v>5.2214338145338872E-2</v>
      </c>
      <c r="D50" s="7">
        <v>0.88520591064090237</v>
      </c>
      <c r="E50" s="7">
        <v>2.0435000000000003</v>
      </c>
      <c r="F50" s="7">
        <v>11.436999999999999</v>
      </c>
      <c r="G50" s="4" t="s">
        <v>386</v>
      </c>
      <c r="H50" s="4" t="s">
        <v>386</v>
      </c>
      <c r="I50" s="4" t="s">
        <v>620</v>
      </c>
      <c r="J50" s="4" t="s">
        <v>461</v>
      </c>
    </row>
    <row r="51" spans="1:10">
      <c r="A51" s="4" t="s">
        <v>169</v>
      </c>
      <c r="B51" s="7">
        <v>0.40688288023130498</v>
      </c>
      <c r="C51" s="7">
        <v>0.40688288023130498</v>
      </c>
      <c r="D51" s="7">
        <v>0.66119471044231659</v>
      </c>
      <c r="E51" s="7">
        <v>46.207399999999993</v>
      </c>
      <c r="F51" s="7">
        <v>4.8245999999999993</v>
      </c>
      <c r="G51" s="4" t="s">
        <v>386</v>
      </c>
      <c r="H51" s="4" t="s">
        <v>386</v>
      </c>
      <c r="I51" s="4" t="s">
        <v>620</v>
      </c>
      <c r="J51" s="4" t="s">
        <v>461</v>
      </c>
    </row>
    <row r="52" spans="1:10">
      <c r="A52" s="4" t="s">
        <v>171</v>
      </c>
      <c r="B52" s="7">
        <v>0.24723078963307524</v>
      </c>
      <c r="C52" s="7">
        <v>0.24723078963307524</v>
      </c>
      <c r="D52" s="7">
        <v>0.50214944228002623</v>
      </c>
      <c r="E52" s="7">
        <v>128.94470000000001</v>
      </c>
      <c r="F52" s="7">
        <v>70.483400000000003</v>
      </c>
      <c r="G52" s="4" t="s">
        <v>386</v>
      </c>
      <c r="H52" s="4" t="s">
        <v>386</v>
      </c>
      <c r="I52" s="4" t="s">
        <v>620</v>
      </c>
      <c r="J52" s="4" t="s">
        <v>461</v>
      </c>
    </row>
    <row r="53" spans="1:10">
      <c r="A53" s="4" t="s">
        <v>173</v>
      </c>
      <c r="B53" s="7">
        <v>1.1353414591196164E-2</v>
      </c>
      <c r="C53" s="7">
        <v>1.1353414591196164E-2</v>
      </c>
      <c r="D53" s="7">
        <v>0.20927355369678069</v>
      </c>
      <c r="E53" s="7">
        <v>42.022600000000011</v>
      </c>
      <c r="F53" s="7">
        <v>11.154299999999996</v>
      </c>
      <c r="G53" s="4" t="s">
        <v>386</v>
      </c>
      <c r="H53" s="4" t="s">
        <v>386</v>
      </c>
      <c r="I53" s="4" t="s">
        <v>620</v>
      </c>
      <c r="J53" s="4" t="s">
        <v>461</v>
      </c>
    </row>
    <row r="54" spans="1:10">
      <c r="A54" s="4" t="s">
        <v>175</v>
      </c>
      <c r="B54" s="7">
        <v>0.28935467843398127</v>
      </c>
      <c r="C54" s="7">
        <v>0.28935467843398127</v>
      </c>
      <c r="D54" s="7">
        <v>0.46613966027036791</v>
      </c>
      <c r="E54" s="7">
        <v>47.498800000000031</v>
      </c>
      <c r="F54" s="7">
        <v>27.969299999999997</v>
      </c>
      <c r="G54" s="4" t="s">
        <v>386</v>
      </c>
      <c r="H54" s="4" t="s">
        <v>386</v>
      </c>
      <c r="I54" s="4" t="s">
        <v>620</v>
      </c>
      <c r="J54" s="4" t="s">
        <v>461</v>
      </c>
    </row>
    <row r="55" spans="1:10">
      <c r="A55" s="4" t="s">
        <v>177</v>
      </c>
      <c r="B55" s="7">
        <v>0.20187163753157628</v>
      </c>
      <c r="C55" s="7">
        <v>0.20187163753157628</v>
      </c>
      <c r="D55" s="7">
        <v>0.20300690586824116</v>
      </c>
      <c r="E55" s="7">
        <v>19.832900000000006</v>
      </c>
      <c r="F55" s="7">
        <v>8.5869</v>
      </c>
      <c r="G55" s="4" t="s">
        <v>386</v>
      </c>
      <c r="H55" s="4" t="s">
        <v>386</v>
      </c>
      <c r="I55" s="4" t="s">
        <v>620</v>
      </c>
      <c r="J55" s="4" t="s">
        <v>461</v>
      </c>
    </row>
    <row r="56" spans="1:10">
      <c r="A56" s="4" t="s">
        <v>179</v>
      </c>
      <c r="B56" s="7">
        <v>0.38305125531402912</v>
      </c>
      <c r="C56" s="7">
        <v>0.38305125531402912</v>
      </c>
      <c r="D56" s="7">
        <v>0.19441125103410231</v>
      </c>
      <c r="E56" s="7">
        <v>12.466999999999997</v>
      </c>
      <c r="F56" s="7">
        <v>5.4395000000000033</v>
      </c>
      <c r="G56" s="4" t="s">
        <v>386</v>
      </c>
      <c r="H56" s="4" t="s">
        <v>386</v>
      </c>
      <c r="I56" s="4" t="s">
        <v>620</v>
      </c>
      <c r="J56" s="4" t="s">
        <v>461</v>
      </c>
    </row>
    <row r="57" spans="1:10">
      <c r="A57" s="4" t="s">
        <v>181</v>
      </c>
      <c r="B57" s="7">
        <v>0.77817403839302535</v>
      </c>
      <c r="C57" s="7">
        <v>0.77817403839302535</v>
      </c>
      <c r="D57" s="7">
        <v>0.70612326156821503</v>
      </c>
      <c r="E57" s="7">
        <v>54.733899999999991</v>
      </c>
      <c r="F57" s="7">
        <v>17.580499999999994</v>
      </c>
      <c r="G57" s="4" t="s">
        <v>386</v>
      </c>
      <c r="H57" s="4" t="s">
        <v>386</v>
      </c>
      <c r="I57" s="4" t="s">
        <v>620</v>
      </c>
      <c r="J57" s="4" t="s">
        <v>461</v>
      </c>
    </row>
    <row r="58" spans="1:10">
      <c r="A58" s="4" t="s">
        <v>183</v>
      </c>
      <c r="B58" s="7">
        <v>0.31403278603346146</v>
      </c>
      <c r="C58" s="7">
        <v>0.31403278603346146</v>
      </c>
      <c r="D58" s="7">
        <v>5.9401567848073329E-2</v>
      </c>
      <c r="E58" s="7">
        <v>30.793600000000001</v>
      </c>
      <c r="F58" s="7">
        <v>0.90569999999999973</v>
      </c>
      <c r="G58" s="4" t="s">
        <v>386</v>
      </c>
      <c r="H58" s="4" t="s">
        <v>386</v>
      </c>
      <c r="I58" s="4" t="s">
        <v>620</v>
      </c>
      <c r="J58" s="4" t="s">
        <v>461</v>
      </c>
    </row>
    <row r="59" spans="1:10">
      <c r="A59" s="4" t="s">
        <v>185</v>
      </c>
      <c r="B59" s="7">
        <v>2.3679920675887138E-2</v>
      </c>
      <c r="C59" s="7">
        <v>2.3679920675887138E-2</v>
      </c>
      <c r="D59" s="7">
        <v>0.11448855429596884</v>
      </c>
      <c r="E59" s="7">
        <v>98.028200000000012</v>
      </c>
      <c r="F59" s="7">
        <v>114.235</v>
      </c>
      <c r="G59" s="4" t="s">
        <v>386</v>
      </c>
      <c r="H59" s="4" t="s">
        <v>386</v>
      </c>
      <c r="I59" s="4" t="s">
        <v>620</v>
      </c>
      <c r="J59" s="4" t="s">
        <v>461</v>
      </c>
    </row>
    <row r="60" spans="1:10">
      <c r="A60" s="4" t="s">
        <v>187</v>
      </c>
      <c r="B60" s="7">
        <v>0.38959957497318626</v>
      </c>
      <c r="C60" s="7">
        <v>0.38959957497318626</v>
      </c>
      <c r="D60" s="7">
        <v>0.29777282469099547</v>
      </c>
      <c r="E60" s="7">
        <v>1863.0354</v>
      </c>
      <c r="F60" s="7">
        <v>390.95710000000003</v>
      </c>
      <c r="G60" s="4" t="s">
        <v>386</v>
      </c>
      <c r="H60" s="4" t="s">
        <v>386</v>
      </c>
      <c r="I60" s="4" t="s">
        <v>620</v>
      </c>
      <c r="J60" s="4" t="s">
        <v>461</v>
      </c>
    </row>
    <row r="61" spans="1:10">
      <c r="A61" s="4" t="s">
        <v>189</v>
      </c>
      <c r="B61" s="7">
        <v>0.27366446576462933</v>
      </c>
      <c r="C61" s="7">
        <v>0.27366446576462933</v>
      </c>
      <c r="D61" s="7">
        <v>0.1152275648703532</v>
      </c>
      <c r="E61" s="7">
        <v>345.9944999999999</v>
      </c>
      <c r="F61" s="7">
        <v>127.73940000000003</v>
      </c>
      <c r="G61" s="4" t="s">
        <v>386</v>
      </c>
      <c r="H61" s="4" t="s">
        <v>386</v>
      </c>
      <c r="I61" s="4" t="s">
        <v>620</v>
      </c>
      <c r="J61" s="4" t="s">
        <v>461</v>
      </c>
    </row>
    <row r="62" spans="1:10">
      <c r="A62" s="4" t="s">
        <v>191</v>
      </c>
      <c r="B62" s="7">
        <v>0.37458420057612063</v>
      </c>
      <c r="C62" s="7">
        <v>0.37458420057612063</v>
      </c>
      <c r="D62" s="7">
        <v>0.17798807732271585</v>
      </c>
      <c r="E62" s="7">
        <v>686.41870000000006</v>
      </c>
      <c r="F62" s="7">
        <v>309.12520000000001</v>
      </c>
      <c r="G62" s="4" t="s">
        <v>386</v>
      </c>
      <c r="H62" s="4" t="s">
        <v>386</v>
      </c>
      <c r="I62" s="4" t="s">
        <v>620</v>
      </c>
      <c r="J62" s="4" t="s">
        <v>461</v>
      </c>
    </row>
    <row r="63" spans="1:10">
      <c r="A63" s="4" t="s">
        <v>193</v>
      </c>
      <c r="B63" s="7">
        <v>0.54848507574621264</v>
      </c>
      <c r="C63" s="7">
        <v>0.54848507574621264</v>
      </c>
      <c r="D63" s="7">
        <v>0.5464175095873034</v>
      </c>
      <c r="E63" s="7">
        <v>976.04880000000014</v>
      </c>
      <c r="F63" s="7">
        <v>477.21969999999988</v>
      </c>
      <c r="G63" s="4" t="s">
        <v>386</v>
      </c>
      <c r="H63" s="4" t="s">
        <v>386</v>
      </c>
      <c r="I63" s="4" t="s">
        <v>620</v>
      </c>
      <c r="J63" s="4" t="s">
        <v>461</v>
      </c>
    </row>
    <row r="64" spans="1:10">
      <c r="A64" s="4" t="s">
        <v>195</v>
      </c>
      <c r="B64" s="7">
        <v>0.59793239693788225</v>
      </c>
      <c r="C64" s="7">
        <v>0.59793239693788225</v>
      </c>
      <c r="D64" s="7">
        <v>3.5785338021296027E-2</v>
      </c>
      <c r="E64" s="7">
        <v>26.726599999999994</v>
      </c>
      <c r="F64" s="7">
        <v>7.9920999999999998</v>
      </c>
      <c r="G64" s="4" t="s">
        <v>386</v>
      </c>
      <c r="H64" s="4" t="s">
        <v>386</v>
      </c>
      <c r="I64" s="4" t="s">
        <v>620</v>
      </c>
      <c r="J64" s="4" t="s">
        <v>461</v>
      </c>
    </row>
    <row r="65" spans="1:10">
      <c r="A65" s="4" t="s">
        <v>197</v>
      </c>
      <c r="B65" s="7">
        <v>0.34782608695652184</v>
      </c>
      <c r="C65" s="7">
        <v>0.34782608695652184</v>
      </c>
      <c r="D65" s="7">
        <v>0</v>
      </c>
      <c r="E65" s="7">
        <v>2.2999999999999995E-3</v>
      </c>
      <c r="F65" s="7">
        <v>1E-4</v>
      </c>
      <c r="G65" s="4" t="s">
        <v>386</v>
      </c>
      <c r="H65" s="4" t="s">
        <v>386</v>
      </c>
      <c r="I65" s="4" t="s">
        <v>620</v>
      </c>
      <c r="J65" s="4" t="s">
        <v>461</v>
      </c>
    </row>
    <row r="66" spans="1:10">
      <c r="A66" s="4" t="s">
        <v>199</v>
      </c>
      <c r="B66" s="7">
        <v>4.2142499844703758E-2</v>
      </c>
      <c r="C66" s="7">
        <v>4.2142499844703758E-2</v>
      </c>
      <c r="D66" s="7">
        <v>0.35257306844466174</v>
      </c>
      <c r="E66" s="7">
        <v>30.58669999999999</v>
      </c>
      <c r="F66" s="7">
        <v>44.184599999999996</v>
      </c>
      <c r="G66" s="4" t="s">
        <v>386</v>
      </c>
      <c r="H66" s="4" t="s">
        <v>386</v>
      </c>
      <c r="I66" s="4" t="s">
        <v>620</v>
      </c>
      <c r="J66" s="4" t="s">
        <v>461</v>
      </c>
    </row>
    <row r="67" spans="1:10">
      <c r="A67" s="4" t="s">
        <v>201</v>
      </c>
      <c r="B67" s="7">
        <v>0.13375454469853687</v>
      </c>
      <c r="C67" s="7">
        <v>0.13375454469853687</v>
      </c>
      <c r="D67" s="7">
        <v>0.28148878239700797</v>
      </c>
      <c r="E67" s="7">
        <v>1697.9123999999997</v>
      </c>
      <c r="F67" s="7">
        <v>489.03049999999996</v>
      </c>
      <c r="G67" s="4" t="s">
        <v>386</v>
      </c>
      <c r="H67" s="4" t="s">
        <v>386</v>
      </c>
      <c r="I67" s="4" t="s">
        <v>620</v>
      </c>
      <c r="J67" s="4" t="s">
        <v>461</v>
      </c>
    </row>
    <row r="68" spans="1:10">
      <c r="A68" s="4" t="s">
        <v>203</v>
      </c>
      <c r="B68" s="7">
        <v>0.41456521364898924</v>
      </c>
      <c r="C68" s="7">
        <v>0.41456521364898924</v>
      </c>
      <c r="D68" s="7">
        <v>0.13649480632251068</v>
      </c>
      <c r="E68" s="7">
        <v>98.753100000000003</v>
      </c>
      <c r="F68" s="7">
        <v>30.633400000000009</v>
      </c>
      <c r="G68" s="4" t="s">
        <v>386</v>
      </c>
      <c r="H68" s="4" t="s">
        <v>386</v>
      </c>
      <c r="I68" s="4" t="s">
        <v>620</v>
      </c>
      <c r="J68" s="4" t="s">
        <v>461</v>
      </c>
    </row>
    <row r="69" spans="1:10">
      <c r="A69" s="4" t="s">
        <v>205</v>
      </c>
      <c r="B69" s="7">
        <v>0.30476785949178603</v>
      </c>
      <c r="C69" s="7">
        <v>0.30476785949178603</v>
      </c>
      <c r="D69" s="7">
        <v>0.32431235624410698</v>
      </c>
      <c r="E69" s="7">
        <v>868.93709999999987</v>
      </c>
      <c r="F69" s="7">
        <v>319.76950000000011</v>
      </c>
      <c r="G69" s="4" t="s">
        <v>386</v>
      </c>
      <c r="H69" s="4" t="s">
        <v>386</v>
      </c>
      <c r="I69" s="4" t="s">
        <v>620</v>
      </c>
      <c r="J69" s="4" t="s">
        <v>461</v>
      </c>
    </row>
    <row r="70" spans="1:10">
      <c r="A70" s="4" t="s">
        <v>207</v>
      </c>
      <c r="B70" s="7">
        <v>8.0541418789957839E-2</v>
      </c>
      <c r="C70" s="7">
        <v>8.0541418789957839E-2</v>
      </c>
      <c r="D70" s="7">
        <v>0.52749615960756868</v>
      </c>
      <c r="E70" s="7">
        <v>1314.716099999999</v>
      </c>
      <c r="F70" s="7">
        <v>628.45140000000004</v>
      </c>
      <c r="G70" s="4" t="s">
        <v>386</v>
      </c>
      <c r="H70" s="4" t="s">
        <v>386</v>
      </c>
      <c r="I70" s="4" t="s">
        <v>620</v>
      </c>
      <c r="J70" s="4" t="s">
        <v>461</v>
      </c>
    </row>
    <row r="71" spans="1:10">
      <c r="A71" s="4" t="s">
        <v>209</v>
      </c>
      <c r="B71" s="7">
        <v>6.8874286702403614E-2</v>
      </c>
      <c r="C71" s="7">
        <v>6.8874286702403614E-2</v>
      </c>
      <c r="D71" s="7">
        <v>2.4879340537308319E-2</v>
      </c>
      <c r="E71" s="7">
        <v>11.565999999999997</v>
      </c>
      <c r="F71" s="7">
        <v>4.6826000000000025</v>
      </c>
      <c r="G71" s="4" t="s">
        <v>386</v>
      </c>
      <c r="H71" s="4" t="s">
        <v>386</v>
      </c>
      <c r="I71" s="4" t="s">
        <v>620</v>
      </c>
      <c r="J71" s="4" t="s">
        <v>461</v>
      </c>
    </row>
    <row r="72" spans="1:10">
      <c r="A72" s="4" t="s">
        <v>211</v>
      </c>
      <c r="B72" s="7">
        <v>0.42094024929353263</v>
      </c>
      <c r="C72" s="7">
        <v>0.42094024929353263</v>
      </c>
      <c r="D72" s="7">
        <v>0.28236809046873484</v>
      </c>
      <c r="E72" s="7">
        <v>687.22199999999987</v>
      </c>
      <c r="F72" s="7">
        <v>190.6515</v>
      </c>
      <c r="G72" s="4" t="s">
        <v>386</v>
      </c>
      <c r="H72" s="4" t="s">
        <v>386</v>
      </c>
      <c r="I72" s="4" t="s">
        <v>620</v>
      </c>
      <c r="J72" s="4" t="s">
        <v>461</v>
      </c>
    </row>
    <row r="73" spans="1:10">
      <c r="A73" s="4" t="s">
        <v>213</v>
      </c>
      <c r="B73" s="7">
        <v>0.49906216102205619</v>
      </c>
      <c r="C73" s="7">
        <v>0.49906216102205619</v>
      </c>
      <c r="D73" s="7">
        <v>0.86362218527414714</v>
      </c>
      <c r="E73" s="7">
        <v>238.95359999999999</v>
      </c>
      <c r="F73" s="7">
        <v>322.19389999999999</v>
      </c>
      <c r="G73" s="4" t="s">
        <v>386</v>
      </c>
      <c r="H73" s="4" t="s">
        <v>386</v>
      </c>
      <c r="I73" s="4" t="s">
        <v>620</v>
      </c>
      <c r="J73" s="4" t="s">
        <v>461</v>
      </c>
    </row>
    <row r="74" spans="1:10">
      <c r="A74" s="4" t="s">
        <v>215</v>
      </c>
      <c r="B74" s="7">
        <v>0.27475314742285067</v>
      </c>
      <c r="C74" s="7">
        <v>0.27475314742285067</v>
      </c>
      <c r="D74" s="7">
        <v>0.15472224002050361</v>
      </c>
      <c r="E74" s="7">
        <v>35.719700000000003</v>
      </c>
      <c r="F74" s="7">
        <v>6.2427999999999999</v>
      </c>
      <c r="G74" s="4" t="s">
        <v>386</v>
      </c>
      <c r="H74" s="4" t="s">
        <v>386</v>
      </c>
      <c r="I74" s="4" t="s">
        <v>620</v>
      </c>
      <c r="J74" s="4" t="s">
        <v>461</v>
      </c>
    </row>
    <row r="75" spans="1:10">
      <c r="A75" s="4" t="s">
        <v>217</v>
      </c>
      <c r="B75" s="7">
        <v>0.46782654412886282</v>
      </c>
      <c r="C75" s="7">
        <v>0.46782654412886282</v>
      </c>
      <c r="D75" s="7">
        <v>0.52241352207374558</v>
      </c>
      <c r="E75" s="7">
        <v>14651.881099999997</v>
      </c>
      <c r="F75" s="7">
        <v>8624.1978999999992</v>
      </c>
      <c r="G75" s="4" t="s">
        <v>386</v>
      </c>
      <c r="H75" s="4" t="s">
        <v>386</v>
      </c>
      <c r="I75" s="4" t="s">
        <v>620</v>
      </c>
      <c r="J75" s="4" t="s">
        <v>461</v>
      </c>
    </row>
    <row r="76" spans="1:10">
      <c r="A76" s="4" t="s">
        <v>219</v>
      </c>
      <c r="B76" s="7">
        <v>0.29673045898488515</v>
      </c>
      <c r="C76" s="7">
        <v>0.29673045898488515</v>
      </c>
      <c r="D76" s="7">
        <v>0.46231778594878004</v>
      </c>
      <c r="E76" s="7">
        <v>505.30640000000005</v>
      </c>
      <c r="F76" s="7">
        <v>753.74950000000001</v>
      </c>
      <c r="G76" s="4" t="s">
        <v>386</v>
      </c>
      <c r="H76" s="4" t="s">
        <v>386</v>
      </c>
      <c r="I76" s="4" t="s">
        <v>620</v>
      </c>
      <c r="J76" s="4" t="s">
        <v>461</v>
      </c>
    </row>
    <row r="77" spans="1:10">
      <c r="A77" s="4" t="s">
        <v>221</v>
      </c>
      <c r="B77" s="7">
        <v>0.34437033351089541</v>
      </c>
      <c r="C77" s="7">
        <v>0.34437033351089541</v>
      </c>
      <c r="D77" s="7">
        <v>0.23194793783225912</v>
      </c>
      <c r="E77" s="7">
        <v>855.09950000000015</v>
      </c>
      <c r="F77" s="7">
        <v>161.37630000000001</v>
      </c>
      <c r="G77" s="4" t="s">
        <v>386</v>
      </c>
      <c r="H77" s="4" t="s">
        <v>386</v>
      </c>
      <c r="I77" s="4" t="s">
        <v>620</v>
      </c>
      <c r="J77" s="4" t="s">
        <v>461</v>
      </c>
    </row>
    <row r="78" spans="1:10">
      <c r="A78" s="4" t="s">
        <v>223</v>
      </c>
      <c r="B78" s="7">
        <v>0.48572540518541218</v>
      </c>
      <c r="C78" s="7">
        <v>0.48572540518541218</v>
      </c>
      <c r="D78" s="7">
        <v>0.29810490844632137</v>
      </c>
      <c r="E78" s="7">
        <v>1769.0975000000005</v>
      </c>
      <c r="F78" s="7">
        <v>1179.6685999999997</v>
      </c>
      <c r="G78" s="4" t="s">
        <v>386</v>
      </c>
      <c r="H78" s="4" t="s">
        <v>386</v>
      </c>
      <c r="I78" s="4" t="s">
        <v>620</v>
      </c>
      <c r="J78" s="4" t="s">
        <v>461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5"/>
  <sheetViews>
    <sheetView showGridLines="0" workbookViewId="0">
      <selection activeCell="J36" sqref="J36"/>
    </sheetView>
  </sheetViews>
  <sheetFormatPr defaultRowHeight="13.8"/>
  <cols>
    <col min="1" max="1" width="10" customWidth="1"/>
    <col min="2" max="2" width="12" customWidth="1"/>
    <col min="3" max="9" width="14" customWidth="1"/>
    <col min="10" max="10" width="10" customWidth="1"/>
    <col min="11" max="11" width="28" customWidth="1"/>
    <col min="12" max="12" width="22" customWidth="1"/>
  </cols>
  <sheetData>
    <row r="1" spans="1:12">
      <c r="A1" s="1" t="s">
        <v>62</v>
      </c>
      <c r="B1" s="2" t="s">
        <v>377</v>
      </c>
      <c r="C1" s="2" t="s">
        <v>378</v>
      </c>
      <c r="D1" s="2" t="s">
        <v>379</v>
      </c>
      <c r="E1" s="2" t="s">
        <v>380</v>
      </c>
      <c r="F1" s="2" t="s">
        <v>381</v>
      </c>
      <c r="G1" s="2" t="s">
        <v>382</v>
      </c>
      <c r="H1" s="2" t="s">
        <v>383</v>
      </c>
      <c r="I1" s="2" t="s">
        <v>384</v>
      </c>
      <c r="J1" s="2" t="s">
        <v>385</v>
      </c>
      <c r="K1" s="2" t="s">
        <v>12</v>
      </c>
      <c r="L1" s="3" t="s">
        <v>67</v>
      </c>
    </row>
    <row r="2" spans="1:12">
      <c r="A2" s="4" t="s">
        <v>68</v>
      </c>
      <c r="B2" s="4" t="s">
        <v>327</v>
      </c>
      <c r="C2" s="7">
        <v>0.70734057761762603</v>
      </c>
      <c r="D2" s="7">
        <v>0.63874988394159515</v>
      </c>
      <c r="E2" s="7">
        <v>0.60849590460917247</v>
      </c>
      <c r="F2" s="7">
        <v>0.68834716291833353</v>
      </c>
      <c r="G2" s="7">
        <v>0.66073338227168177</v>
      </c>
      <c r="H2" s="7">
        <v>0.60849590460917247</v>
      </c>
      <c r="I2" s="7">
        <v>0.70734057761762603</v>
      </c>
      <c r="J2" s="4">
        <v>4</v>
      </c>
      <c r="K2" s="4" t="s">
        <v>386</v>
      </c>
      <c r="L2" s="4" t="s">
        <v>387</v>
      </c>
    </row>
    <row r="3" spans="1:12">
      <c r="A3" s="4" t="s">
        <v>68</v>
      </c>
      <c r="B3" s="4" t="s">
        <v>331</v>
      </c>
      <c r="C3" s="7">
        <v>0.55188837727104634</v>
      </c>
      <c r="D3" s="7">
        <v>0.45418905247382368</v>
      </c>
      <c r="E3" s="7">
        <v>0.39729165961479873</v>
      </c>
      <c r="F3" s="7">
        <v>0.40860480298205487</v>
      </c>
      <c r="G3" s="7">
        <v>0.45299347308543092</v>
      </c>
      <c r="H3" s="7">
        <v>0.39729165961479873</v>
      </c>
      <c r="I3" s="7">
        <v>0.55188837727104634</v>
      </c>
      <c r="J3" s="4">
        <v>4</v>
      </c>
      <c r="K3" s="4" t="s">
        <v>386</v>
      </c>
      <c r="L3" s="4" t="s">
        <v>387</v>
      </c>
    </row>
    <row r="4" spans="1:12">
      <c r="A4" s="4" t="s">
        <v>72</v>
      </c>
      <c r="B4" s="4" t="s">
        <v>327</v>
      </c>
      <c r="C4" s="7">
        <v>0.34271504495900429</v>
      </c>
      <c r="D4" s="7">
        <v>0.31724356242437368</v>
      </c>
      <c r="E4" s="7">
        <v>0.3330254889905484</v>
      </c>
      <c r="F4" s="7">
        <v>0.32528851183167456</v>
      </c>
      <c r="G4" s="7">
        <v>0.32956815205140022</v>
      </c>
      <c r="H4" s="7">
        <v>0.31724356242437368</v>
      </c>
      <c r="I4" s="7">
        <v>0.34271504495900429</v>
      </c>
      <c r="J4" s="4">
        <v>4</v>
      </c>
      <c r="K4" s="4" t="s">
        <v>386</v>
      </c>
      <c r="L4" s="4" t="s">
        <v>387</v>
      </c>
    </row>
    <row r="5" spans="1:12">
      <c r="A5" s="4" t="s">
        <v>72</v>
      </c>
      <c r="B5" s="4" t="s">
        <v>331</v>
      </c>
      <c r="C5" s="7">
        <v>0.12974863961328348</v>
      </c>
      <c r="D5" s="7">
        <v>0.15575140165510987</v>
      </c>
      <c r="E5" s="7">
        <v>0.15866032727046478</v>
      </c>
      <c r="F5" s="7">
        <v>0.15981648256558997</v>
      </c>
      <c r="G5" s="7">
        <v>0.15099421277611202</v>
      </c>
      <c r="H5" s="7">
        <v>0.12974863961328348</v>
      </c>
      <c r="I5" s="7">
        <v>0.15981648256558997</v>
      </c>
      <c r="J5" s="4">
        <v>4</v>
      </c>
      <c r="K5" s="4" t="s">
        <v>386</v>
      </c>
      <c r="L5" s="4" t="s">
        <v>387</v>
      </c>
    </row>
    <row r="6" spans="1:12">
      <c r="A6" s="4" t="s">
        <v>74</v>
      </c>
      <c r="B6" s="4" t="s">
        <v>327</v>
      </c>
      <c r="C6" s="7">
        <v>0.46353082166557519</v>
      </c>
      <c r="D6" s="7">
        <v>0.4720490688206252</v>
      </c>
      <c r="E6" s="7">
        <v>0.41625740917294246</v>
      </c>
      <c r="F6" s="7">
        <v>0.39856181464296897</v>
      </c>
      <c r="G6" s="7">
        <v>0.43759977857552795</v>
      </c>
      <c r="H6" s="7">
        <v>0.39856181464296897</v>
      </c>
      <c r="I6" s="7">
        <v>0.4720490688206252</v>
      </c>
      <c r="J6" s="4">
        <v>4</v>
      </c>
      <c r="K6" s="4" t="s">
        <v>386</v>
      </c>
      <c r="L6" s="4" t="s">
        <v>387</v>
      </c>
    </row>
    <row r="7" spans="1:12">
      <c r="A7" s="4" t="s">
        <v>74</v>
      </c>
      <c r="B7" s="4" t="s">
        <v>331</v>
      </c>
      <c r="C7" s="7">
        <v>0.2884485470106769</v>
      </c>
      <c r="D7" s="7">
        <v>0.37327491910037991</v>
      </c>
      <c r="E7" s="7">
        <v>0.29119977749800047</v>
      </c>
      <c r="F7" s="7">
        <v>0.31854806020782139</v>
      </c>
      <c r="G7" s="7">
        <v>0.3178678259542197</v>
      </c>
      <c r="H7" s="7">
        <v>0.2884485470106769</v>
      </c>
      <c r="I7" s="7">
        <v>0.37327491910037991</v>
      </c>
      <c r="J7" s="4">
        <v>4</v>
      </c>
      <c r="K7" s="4" t="s">
        <v>386</v>
      </c>
      <c r="L7" s="4" t="s">
        <v>387</v>
      </c>
    </row>
    <row r="8" spans="1:12">
      <c r="A8" s="4" t="s">
        <v>77</v>
      </c>
      <c r="B8" s="4" t="s">
        <v>327</v>
      </c>
      <c r="C8" s="7">
        <v>0.3411945316291265</v>
      </c>
      <c r="D8" s="7">
        <v>0.33213301906861137</v>
      </c>
      <c r="E8" s="7">
        <v>0.3109772269357774</v>
      </c>
      <c r="F8" s="7">
        <v>0.31369817039470838</v>
      </c>
      <c r="G8" s="7">
        <v>0.32450073700705589</v>
      </c>
      <c r="H8" s="7">
        <v>0.3109772269357774</v>
      </c>
      <c r="I8" s="7">
        <v>0.3411945316291265</v>
      </c>
      <c r="J8" s="4">
        <v>4</v>
      </c>
      <c r="K8" s="4" t="s">
        <v>386</v>
      </c>
      <c r="L8" s="4" t="s">
        <v>387</v>
      </c>
    </row>
    <row r="9" spans="1:12">
      <c r="A9" s="4" t="s">
        <v>77</v>
      </c>
      <c r="B9" s="4" t="s">
        <v>331</v>
      </c>
      <c r="C9" s="7">
        <v>0.29596776345844994</v>
      </c>
      <c r="D9" s="7">
        <v>0.29675653329831397</v>
      </c>
      <c r="E9" s="7">
        <v>0.29408097661358584</v>
      </c>
      <c r="F9" s="7">
        <v>0.30620385190915905</v>
      </c>
      <c r="G9" s="7">
        <v>0.29825228131987719</v>
      </c>
      <c r="H9" s="7">
        <v>0.29408097661358584</v>
      </c>
      <c r="I9" s="7">
        <v>0.30620385190915905</v>
      </c>
      <c r="J9" s="4">
        <v>4</v>
      </c>
      <c r="K9" s="4" t="s">
        <v>386</v>
      </c>
      <c r="L9" s="4" t="s">
        <v>387</v>
      </c>
    </row>
    <row r="10" spans="1:12">
      <c r="A10" s="4" t="s">
        <v>79</v>
      </c>
      <c r="B10" s="4" t="s">
        <v>327</v>
      </c>
      <c r="C10" s="7">
        <v>0.67604588602702453</v>
      </c>
      <c r="D10" s="7">
        <v>0.67505293601198157</v>
      </c>
      <c r="E10" s="7">
        <v>0.75571110255414653</v>
      </c>
      <c r="F10" s="7">
        <v>0.73742260537625837</v>
      </c>
      <c r="G10" s="7">
        <v>0.71105813249235272</v>
      </c>
      <c r="H10" s="7">
        <v>0.67505293601198157</v>
      </c>
      <c r="I10" s="7">
        <v>0.75571110255414653</v>
      </c>
      <c r="J10" s="4">
        <v>4</v>
      </c>
      <c r="K10" s="4" t="s">
        <v>386</v>
      </c>
      <c r="L10" s="4" t="s">
        <v>387</v>
      </c>
    </row>
    <row r="11" spans="1:12">
      <c r="A11" s="4" t="s">
        <v>79</v>
      </c>
      <c r="B11" s="4" t="s">
        <v>331</v>
      </c>
      <c r="C11" s="7">
        <v>0.60987311891413398</v>
      </c>
      <c r="D11" s="7">
        <v>0.6669961458596726</v>
      </c>
      <c r="E11" s="7">
        <v>0.70482102551432824</v>
      </c>
      <c r="F11" s="7">
        <v>0.68063482962569577</v>
      </c>
      <c r="G11" s="7">
        <v>0.66558127997845762</v>
      </c>
      <c r="H11" s="7">
        <v>0.60987311891413398</v>
      </c>
      <c r="I11" s="7">
        <v>0.70482102551432824</v>
      </c>
      <c r="J11" s="4">
        <v>4</v>
      </c>
      <c r="K11" s="4" t="s">
        <v>386</v>
      </c>
      <c r="L11" s="4" t="s">
        <v>387</v>
      </c>
    </row>
    <row r="12" spans="1:12">
      <c r="A12" s="4" t="s">
        <v>81</v>
      </c>
      <c r="B12" s="4" t="s">
        <v>327</v>
      </c>
      <c r="C12" s="7">
        <v>0.40178418756442763</v>
      </c>
      <c r="D12" s="7">
        <v>0.44961098465164279</v>
      </c>
      <c r="E12" s="7">
        <v>0.45414018707966319</v>
      </c>
      <c r="F12" s="7">
        <v>0.43170760595883528</v>
      </c>
      <c r="G12" s="7">
        <v>0.43431074131364222</v>
      </c>
      <c r="H12" s="7">
        <v>0.40178418756442763</v>
      </c>
      <c r="I12" s="7">
        <v>0.45414018707966319</v>
      </c>
      <c r="J12" s="4">
        <v>4</v>
      </c>
      <c r="K12" s="4" t="s">
        <v>386</v>
      </c>
      <c r="L12" s="4" t="s">
        <v>387</v>
      </c>
    </row>
    <row r="13" spans="1:12">
      <c r="A13" s="4" t="s">
        <v>81</v>
      </c>
      <c r="B13" s="4" t="s">
        <v>331</v>
      </c>
      <c r="C13" s="7">
        <v>0.19762187657521421</v>
      </c>
      <c r="D13" s="7">
        <v>0.20493338921546503</v>
      </c>
      <c r="E13" s="7">
        <v>0.20351796696029836</v>
      </c>
      <c r="F13" s="7">
        <v>0.2181573862527772</v>
      </c>
      <c r="G13" s="7">
        <v>0.20605765475093871</v>
      </c>
      <c r="H13" s="7">
        <v>0.19762187657521421</v>
      </c>
      <c r="I13" s="7">
        <v>0.2181573862527772</v>
      </c>
      <c r="J13" s="4">
        <v>4</v>
      </c>
      <c r="K13" s="4" t="s">
        <v>386</v>
      </c>
      <c r="L13" s="4" t="s">
        <v>387</v>
      </c>
    </row>
    <row r="14" spans="1:12">
      <c r="A14" s="4" t="s">
        <v>83</v>
      </c>
      <c r="B14" s="4" t="s">
        <v>327</v>
      </c>
      <c r="C14" s="7">
        <v>0.28579807375699706</v>
      </c>
      <c r="D14" s="7">
        <v>0.26739992401663076</v>
      </c>
      <c r="E14" s="7">
        <v>0.2944544278632879</v>
      </c>
      <c r="F14" s="7">
        <v>0.23028590318114825</v>
      </c>
      <c r="G14" s="7">
        <v>0.26948458220451599</v>
      </c>
      <c r="H14" s="7">
        <v>0.23028590318114825</v>
      </c>
      <c r="I14" s="7">
        <v>0.2944544278632879</v>
      </c>
      <c r="J14" s="4">
        <v>4</v>
      </c>
      <c r="K14" s="4" t="s">
        <v>386</v>
      </c>
      <c r="L14" s="4" t="s">
        <v>387</v>
      </c>
    </row>
    <row r="15" spans="1:12">
      <c r="A15" s="4" t="s">
        <v>83</v>
      </c>
      <c r="B15" s="4" t="s">
        <v>331</v>
      </c>
      <c r="C15" s="7">
        <v>0.4046929078430222</v>
      </c>
      <c r="D15" s="7">
        <v>0.34570799792872947</v>
      </c>
      <c r="E15" s="7">
        <v>0.34562041088778461</v>
      </c>
      <c r="F15" s="7">
        <v>0.30598060418111833</v>
      </c>
      <c r="G15" s="7">
        <v>0.35050048021016367</v>
      </c>
      <c r="H15" s="7">
        <v>0.30598060418111833</v>
      </c>
      <c r="I15" s="7">
        <v>0.4046929078430222</v>
      </c>
      <c r="J15" s="4">
        <v>4</v>
      </c>
      <c r="K15" s="4" t="s">
        <v>386</v>
      </c>
      <c r="L15" s="4" t="s">
        <v>387</v>
      </c>
    </row>
    <row r="16" spans="1:12">
      <c r="A16" s="4" t="s">
        <v>85</v>
      </c>
      <c r="B16" s="4" t="s">
        <v>327</v>
      </c>
      <c r="C16" s="7">
        <v>0.80459205433934167</v>
      </c>
      <c r="D16" s="7">
        <v>0.80037787708341335</v>
      </c>
      <c r="E16" s="7">
        <v>0.76976086601936056</v>
      </c>
      <c r="F16" s="7">
        <v>0.7309326608961314</v>
      </c>
      <c r="G16" s="7">
        <v>0.7764158645845618</v>
      </c>
      <c r="H16" s="7">
        <v>0.7309326608961314</v>
      </c>
      <c r="I16" s="7">
        <v>0.80459205433934167</v>
      </c>
      <c r="J16" s="4">
        <v>4</v>
      </c>
      <c r="K16" s="4" t="s">
        <v>386</v>
      </c>
      <c r="L16" s="4" t="s">
        <v>387</v>
      </c>
    </row>
    <row r="17" spans="1:12">
      <c r="A17" s="4" t="s">
        <v>85</v>
      </c>
      <c r="B17" s="4" t="s">
        <v>331</v>
      </c>
      <c r="C17" s="7">
        <v>0.64934301602538469</v>
      </c>
      <c r="D17" s="7">
        <v>0.65121766645940593</v>
      </c>
      <c r="E17" s="7">
        <v>0.63543820722584676</v>
      </c>
      <c r="F17" s="7">
        <v>0.60126205588228987</v>
      </c>
      <c r="G17" s="7">
        <v>0.63431523639823184</v>
      </c>
      <c r="H17" s="7">
        <v>0.60126205588228987</v>
      </c>
      <c r="I17" s="7">
        <v>0.65121766645940593</v>
      </c>
      <c r="J17" s="4">
        <v>4</v>
      </c>
      <c r="K17" s="4" t="s">
        <v>386</v>
      </c>
      <c r="L17" s="4" t="s">
        <v>387</v>
      </c>
    </row>
    <row r="18" spans="1:12">
      <c r="A18" s="4" t="s">
        <v>87</v>
      </c>
      <c r="B18" s="4" t="s">
        <v>327</v>
      </c>
      <c r="C18" s="7"/>
      <c r="D18" s="7"/>
      <c r="E18" s="7"/>
      <c r="F18" s="7"/>
      <c r="G18" s="7"/>
      <c r="H18" s="7"/>
      <c r="I18" s="7"/>
      <c r="J18" s="4">
        <v>0</v>
      </c>
      <c r="K18" s="4" t="s">
        <v>388</v>
      </c>
      <c r="L18" s="4" t="s">
        <v>387</v>
      </c>
    </row>
    <row r="19" spans="1:12">
      <c r="A19" s="4" t="s">
        <v>87</v>
      </c>
      <c r="B19" s="4" t="s">
        <v>331</v>
      </c>
      <c r="C19" s="7"/>
      <c r="D19" s="7"/>
      <c r="E19" s="7"/>
      <c r="F19" s="7"/>
      <c r="G19" s="7"/>
      <c r="H19" s="7"/>
      <c r="I19" s="7"/>
      <c r="J19" s="4">
        <v>0</v>
      </c>
      <c r="K19" s="4" t="s">
        <v>388</v>
      </c>
      <c r="L19" s="4" t="s">
        <v>387</v>
      </c>
    </row>
    <row r="20" spans="1:12">
      <c r="A20" s="4" t="s">
        <v>89</v>
      </c>
      <c r="B20" s="4" t="s">
        <v>327</v>
      </c>
      <c r="C20" s="7">
        <v>0.33903055458683851</v>
      </c>
      <c r="D20" s="7">
        <v>0.32107103907467027</v>
      </c>
      <c r="E20" s="7">
        <v>0.32170908569179085</v>
      </c>
      <c r="F20" s="7">
        <v>0.32621398657649192</v>
      </c>
      <c r="G20" s="7">
        <v>0.3270061664824479</v>
      </c>
      <c r="H20" s="7">
        <v>0.32107103907467027</v>
      </c>
      <c r="I20" s="7">
        <v>0.33903055458683851</v>
      </c>
      <c r="J20" s="4">
        <v>4</v>
      </c>
      <c r="K20" s="4" t="s">
        <v>386</v>
      </c>
      <c r="L20" s="4" t="s">
        <v>387</v>
      </c>
    </row>
    <row r="21" spans="1:12">
      <c r="A21" s="4" t="s">
        <v>89</v>
      </c>
      <c r="B21" s="4" t="s">
        <v>331</v>
      </c>
      <c r="C21" s="7">
        <v>0.17277388858514073</v>
      </c>
      <c r="D21" s="7">
        <v>0.1751732300620342</v>
      </c>
      <c r="E21" s="7">
        <v>0.18208759311398659</v>
      </c>
      <c r="F21" s="7">
        <v>0.24896164483211949</v>
      </c>
      <c r="G21" s="7">
        <v>0.19474908914832026</v>
      </c>
      <c r="H21" s="7">
        <v>0.17277388858514073</v>
      </c>
      <c r="I21" s="7">
        <v>0.24896164483211949</v>
      </c>
      <c r="J21" s="4">
        <v>4</v>
      </c>
      <c r="K21" s="4" t="s">
        <v>386</v>
      </c>
      <c r="L21" s="4" t="s">
        <v>387</v>
      </c>
    </row>
    <row r="22" spans="1:12">
      <c r="A22" s="4" t="s">
        <v>91</v>
      </c>
      <c r="B22" s="4" t="s">
        <v>327</v>
      </c>
      <c r="C22" s="7">
        <v>0.60123956368205478</v>
      </c>
      <c r="D22" s="7">
        <v>0.5616096802622067</v>
      </c>
      <c r="E22" s="7">
        <v>0.57463578170077756</v>
      </c>
      <c r="F22" s="7">
        <v>0.57393503562761794</v>
      </c>
      <c r="G22" s="7">
        <v>0.5778550153181643</v>
      </c>
      <c r="H22" s="7">
        <v>0.5616096802622067</v>
      </c>
      <c r="I22" s="7">
        <v>0.60123956368205478</v>
      </c>
      <c r="J22" s="4">
        <v>4</v>
      </c>
      <c r="K22" s="4" t="s">
        <v>386</v>
      </c>
      <c r="L22" s="4" t="s">
        <v>387</v>
      </c>
    </row>
    <row r="23" spans="1:12">
      <c r="A23" s="4" t="s">
        <v>91</v>
      </c>
      <c r="B23" s="4" t="s">
        <v>331</v>
      </c>
      <c r="C23" s="7">
        <v>0.67142694249314983</v>
      </c>
      <c r="D23" s="7">
        <v>0.65132141052256531</v>
      </c>
      <c r="E23" s="7">
        <v>0.65457124023730096</v>
      </c>
      <c r="F23" s="7">
        <v>0.66985334880808522</v>
      </c>
      <c r="G23" s="7">
        <v>0.66179323551527536</v>
      </c>
      <c r="H23" s="7">
        <v>0.65132141052256531</v>
      </c>
      <c r="I23" s="7">
        <v>0.67142694249314983</v>
      </c>
      <c r="J23" s="4">
        <v>4</v>
      </c>
      <c r="K23" s="4" t="s">
        <v>386</v>
      </c>
      <c r="L23" s="4" t="s">
        <v>387</v>
      </c>
    </row>
    <row r="24" spans="1:12">
      <c r="A24" s="4" t="s">
        <v>93</v>
      </c>
      <c r="B24" s="4" t="s">
        <v>327</v>
      </c>
      <c r="C24" s="7"/>
      <c r="D24" s="7"/>
      <c r="E24" s="7"/>
      <c r="F24" s="7"/>
      <c r="G24" s="7"/>
      <c r="H24" s="7"/>
      <c r="I24" s="7"/>
      <c r="J24" s="4">
        <v>0</v>
      </c>
      <c r="K24" s="4" t="s">
        <v>388</v>
      </c>
      <c r="L24" s="4" t="s">
        <v>387</v>
      </c>
    </row>
    <row r="25" spans="1:12">
      <c r="A25" s="4" t="s">
        <v>93</v>
      </c>
      <c r="B25" s="4" t="s">
        <v>331</v>
      </c>
      <c r="C25" s="7"/>
      <c r="D25" s="7"/>
      <c r="E25" s="7"/>
      <c r="F25" s="7"/>
      <c r="G25" s="7"/>
      <c r="H25" s="7"/>
      <c r="I25" s="7"/>
      <c r="J25" s="4">
        <v>0</v>
      </c>
      <c r="K25" s="4" t="s">
        <v>388</v>
      </c>
      <c r="L25" s="4" t="s">
        <v>387</v>
      </c>
    </row>
    <row r="26" spans="1:12">
      <c r="A26" s="4" t="s">
        <v>95</v>
      </c>
      <c r="B26" s="4" t="s">
        <v>327</v>
      </c>
      <c r="C26" s="7">
        <v>0.94453851961251201</v>
      </c>
      <c r="D26" s="7">
        <v>0.94349532810231385</v>
      </c>
      <c r="E26" s="7">
        <v>0.94701199804239911</v>
      </c>
      <c r="F26" s="7">
        <v>0.94323217388447755</v>
      </c>
      <c r="G26" s="7">
        <v>0.94456950491042568</v>
      </c>
      <c r="H26" s="7">
        <v>0.94323217388447755</v>
      </c>
      <c r="I26" s="7">
        <v>0.94701199804239911</v>
      </c>
      <c r="J26" s="4">
        <v>4</v>
      </c>
      <c r="K26" s="4" t="s">
        <v>386</v>
      </c>
      <c r="L26" s="4" t="s">
        <v>387</v>
      </c>
    </row>
    <row r="27" spans="1:12">
      <c r="A27" s="4" t="s">
        <v>95</v>
      </c>
      <c r="B27" s="4" t="s">
        <v>331</v>
      </c>
      <c r="C27" s="7">
        <v>0.75814717498174888</v>
      </c>
      <c r="D27" s="7">
        <v>0.77458766733620177</v>
      </c>
      <c r="E27" s="7">
        <v>0.78762784312163903</v>
      </c>
      <c r="F27" s="7">
        <v>0.77559259069979036</v>
      </c>
      <c r="G27" s="7">
        <v>0.77398881903484495</v>
      </c>
      <c r="H27" s="7">
        <v>0.75814717498174888</v>
      </c>
      <c r="I27" s="7">
        <v>0.78762784312163903</v>
      </c>
      <c r="J27" s="4">
        <v>4</v>
      </c>
      <c r="K27" s="4" t="s">
        <v>386</v>
      </c>
      <c r="L27" s="4" t="s">
        <v>387</v>
      </c>
    </row>
    <row r="28" spans="1:12">
      <c r="A28" s="4" t="s">
        <v>97</v>
      </c>
      <c r="B28" s="4" t="s">
        <v>327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4">
        <v>4</v>
      </c>
      <c r="K28" s="4" t="s">
        <v>386</v>
      </c>
      <c r="L28" s="4" t="s">
        <v>387</v>
      </c>
    </row>
    <row r="29" spans="1:12">
      <c r="A29" s="4" t="s">
        <v>97</v>
      </c>
      <c r="B29" s="4" t="s">
        <v>331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4">
        <v>4</v>
      </c>
      <c r="K29" s="4" t="s">
        <v>386</v>
      </c>
      <c r="L29" s="4" t="s">
        <v>387</v>
      </c>
    </row>
    <row r="30" spans="1:12">
      <c r="A30" s="4" t="s">
        <v>99</v>
      </c>
      <c r="B30" s="4" t="s">
        <v>327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4">
        <v>4</v>
      </c>
      <c r="K30" s="4" t="s">
        <v>386</v>
      </c>
      <c r="L30" s="4" t="s">
        <v>387</v>
      </c>
    </row>
    <row r="31" spans="1:12">
      <c r="A31" s="4" t="s">
        <v>99</v>
      </c>
      <c r="B31" s="4" t="s">
        <v>331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4">
        <v>4</v>
      </c>
      <c r="K31" s="4" t="s">
        <v>386</v>
      </c>
      <c r="L31" s="4" t="s">
        <v>387</v>
      </c>
    </row>
    <row r="32" spans="1:12">
      <c r="A32" s="4" t="s">
        <v>101</v>
      </c>
      <c r="B32" s="4" t="s">
        <v>327</v>
      </c>
      <c r="C32" s="7">
        <v>0.55483765234060733</v>
      </c>
      <c r="D32" s="7">
        <v>0.54545135486100427</v>
      </c>
      <c r="E32" s="7">
        <v>0.53613524017481151</v>
      </c>
      <c r="F32" s="7">
        <v>0.55405634824480854</v>
      </c>
      <c r="G32" s="7">
        <v>0.54762014890530786</v>
      </c>
      <c r="H32" s="7">
        <v>0.53613524017481151</v>
      </c>
      <c r="I32" s="7">
        <v>0.55483765234060733</v>
      </c>
      <c r="J32" s="4">
        <v>4</v>
      </c>
      <c r="K32" s="4" t="s">
        <v>386</v>
      </c>
      <c r="L32" s="4" t="s">
        <v>387</v>
      </c>
    </row>
    <row r="33" spans="1:12">
      <c r="A33" s="4" t="s">
        <v>101</v>
      </c>
      <c r="B33" s="4" t="s">
        <v>331</v>
      </c>
      <c r="C33" s="7">
        <v>7.7062252898210818E-3</v>
      </c>
      <c r="D33" s="7">
        <v>7.5643416635583745E-3</v>
      </c>
      <c r="E33" s="7">
        <v>6.3225785953708556E-3</v>
      </c>
      <c r="F33" s="7">
        <v>6.250404120956096E-3</v>
      </c>
      <c r="G33" s="7">
        <v>6.9608874174266018E-3</v>
      </c>
      <c r="H33" s="7">
        <v>6.250404120956096E-3</v>
      </c>
      <c r="I33" s="7">
        <v>7.7062252898210818E-3</v>
      </c>
      <c r="J33" s="4">
        <v>4</v>
      </c>
      <c r="K33" s="4" t="s">
        <v>386</v>
      </c>
      <c r="L33" s="4" t="s">
        <v>387</v>
      </c>
    </row>
    <row r="34" spans="1:12">
      <c r="A34" s="4" t="s">
        <v>103</v>
      </c>
      <c r="B34" s="4" t="s">
        <v>327</v>
      </c>
      <c r="C34" s="7">
        <v>0.56306760847628656</v>
      </c>
      <c r="D34" s="7">
        <v>0.61993957703927483</v>
      </c>
      <c r="E34" s="7">
        <v>0.63386727688787192</v>
      </c>
      <c r="F34" s="7">
        <v>0.66964818127608827</v>
      </c>
      <c r="G34" s="7">
        <v>0.6216306609198804</v>
      </c>
      <c r="H34" s="7">
        <v>0.56306760847628656</v>
      </c>
      <c r="I34" s="7">
        <v>0.66964818127608827</v>
      </c>
      <c r="J34" s="4">
        <v>4</v>
      </c>
      <c r="K34" s="4" t="s">
        <v>386</v>
      </c>
      <c r="L34" s="4" t="s">
        <v>387</v>
      </c>
    </row>
    <row r="35" spans="1:12">
      <c r="A35" s="4" t="s">
        <v>103</v>
      </c>
      <c r="B35" s="4" t="s">
        <v>331</v>
      </c>
      <c r="C35" s="7">
        <v>0.18473074301295159</v>
      </c>
      <c r="D35" s="7">
        <v>0.13988095238095238</v>
      </c>
      <c r="E35" s="7">
        <v>0.18236472945891785</v>
      </c>
      <c r="F35" s="7">
        <v>0.25994513031550071</v>
      </c>
      <c r="G35" s="7">
        <v>0.19173038879208062</v>
      </c>
      <c r="H35" s="7">
        <v>0.13988095238095238</v>
      </c>
      <c r="I35" s="7">
        <v>0.25994513031550071</v>
      </c>
      <c r="J35" s="4">
        <v>4</v>
      </c>
      <c r="K35" s="4" t="s">
        <v>386</v>
      </c>
      <c r="L35" s="4" t="s">
        <v>387</v>
      </c>
    </row>
    <row r="36" spans="1:12">
      <c r="A36" s="4" t="s">
        <v>105</v>
      </c>
      <c r="B36" s="4" t="s">
        <v>327</v>
      </c>
      <c r="C36" s="7">
        <v>0.19061032863849764</v>
      </c>
      <c r="D36" s="7">
        <v>0.18445364765848996</v>
      </c>
      <c r="E36" s="7">
        <v>0.18312236286919834</v>
      </c>
      <c r="F36" s="7">
        <v>0.25130434782608696</v>
      </c>
      <c r="G36" s="7">
        <v>0.20237267174806822</v>
      </c>
      <c r="H36" s="7">
        <v>0.18312236286919834</v>
      </c>
      <c r="I36" s="7">
        <v>0.25130434782608696</v>
      </c>
      <c r="J36" s="4">
        <v>4</v>
      </c>
      <c r="K36" s="4" t="s">
        <v>386</v>
      </c>
      <c r="L36" s="4" t="s">
        <v>387</v>
      </c>
    </row>
    <row r="37" spans="1:12">
      <c r="A37" s="4" t="s">
        <v>105</v>
      </c>
      <c r="B37" s="4" t="s">
        <v>331</v>
      </c>
      <c r="C37" s="7">
        <v>0.20089285714285712</v>
      </c>
      <c r="D37" s="7">
        <v>0.27001862197392928</v>
      </c>
      <c r="E37" s="7">
        <v>0.20024875621890548</v>
      </c>
      <c r="F37" s="7">
        <v>0.32240437158469942</v>
      </c>
      <c r="G37" s="7">
        <v>0.24839115173009782</v>
      </c>
      <c r="H37" s="7">
        <v>0.20024875621890548</v>
      </c>
      <c r="I37" s="7">
        <v>0.32240437158469942</v>
      </c>
      <c r="J37" s="4">
        <v>4</v>
      </c>
      <c r="K37" s="4" t="s">
        <v>386</v>
      </c>
      <c r="L37" s="4" t="s">
        <v>387</v>
      </c>
    </row>
    <row r="38" spans="1:12">
      <c r="A38" s="4" t="s">
        <v>107</v>
      </c>
      <c r="B38" s="4" t="s">
        <v>327</v>
      </c>
      <c r="C38" s="7">
        <v>0.46412536715127312</v>
      </c>
      <c r="D38" s="7">
        <v>0.46528611703052358</v>
      </c>
      <c r="E38" s="7">
        <v>0.50825437294895981</v>
      </c>
      <c r="F38" s="7">
        <v>0.45446340115407513</v>
      </c>
      <c r="G38" s="7">
        <v>0.47303231457120792</v>
      </c>
      <c r="H38" s="7">
        <v>0.45446340115407513</v>
      </c>
      <c r="I38" s="7">
        <v>0.50825437294895981</v>
      </c>
      <c r="J38" s="4">
        <v>4</v>
      </c>
      <c r="K38" s="4" t="s">
        <v>386</v>
      </c>
      <c r="L38" s="4" t="s">
        <v>387</v>
      </c>
    </row>
    <row r="39" spans="1:12">
      <c r="A39" s="4" t="s">
        <v>107</v>
      </c>
      <c r="B39" s="4" t="s">
        <v>331</v>
      </c>
      <c r="C39" s="7">
        <v>0.58403846385314762</v>
      </c>
      <c r="D39" s="7">
        <v>0.56499725259089995</v>
      </c>
      <c r="E39" s="7">
        <v>0.48712486232590074</v>
      </c>
      <c r="F39" s="7">
        <v>0.41159060990444374</v>
      </c>
      <c r="G39" s="7">
        <v>0.511937797168598</v>
      </c>
      <c r="H39" s="7">
        <v>0.41159060990444374</v>
      </c>
      <c r="I39" s="7">
        <v>0.58403846385314762</v>
      </c>
      <c r="J39" s="4">
        <v>4</v>
      </c>
      <c r="K39" s="4" t="s">
        <v>386</v>
      </c>
      <c r="L39" s="4" t="s">
        <v>387</v>
      </c>
    </row>
    <row r="40" spans="1:12">
      <c r="A40" s="4" t="s">
        <v>109</v>
      </c>
      <c r="B40" s="4" t="s">
        <v>327</v>
      </c>
      <c r="C40" s="7">
        <v>0.66659278063825167</v>
      </c>
      <c r="D40" s="7">
        <v>0.65954271880498472</v>
      </c>
      <c r="E40" s="7">
        <v>0.64371729544101175</v>
      </c>
      <c r="F40" s="7">
        <v>0.66066599064107689</v>
      </c>
      <c r="G40" s="7">
        <v>0.65762969638133129</v>
      </c>
      <c r="H40" s="7">
        <v>0.64371729544101175</v>
      </c>
      <c r="I40" s="7">
        <v>0.66659278063825167</v>
      </c>
      <c r="J40" s="4">
        <v>4</v>
      </c>
      <c r="K40" s="4" t="s">
        <v>386</v>
      </c>
      <c r="L40" s="4" t="s">
        <v>387</v>
      </c>
    </row>
    <row r="41" spans="1:12">
      <c r="A41" s="4" t="s">
        <v>109</v>
      </c>
      <c r="B41" s="4" t="s">
        <v>331</v>
      </c>
      <c r="C41" s="7">
        <v>0.45064819493658015</v>
      </c>
      <c r="D41" s="7">
        <v>0.46873684825406009</v>
      </c>
      <c r="E41" s="7">
        <v>0.46489845428615451</v>
      </c>
      <c r="F41" s="7">
        <v>0.45626117312164127</v>
      </c>
      <c r="G41" s="7">
        <v>0.46013616764960902</v>
      </c>
      <c r="H41" s="7">
        <v>0.45064819493658015</v>
      </c>
      <c r="I41" s="7">
        <v>0.46873684825406009</v>
      </c>
      <c r="J41" s="4">
        <v>4</v>
      </c>
      <c r="K41" s="4" t="s">
        <v>386</v>
      </c>
      <c r="L41" s="4" t="s">
        <v>387</v>
      </c>
    </row>
    <row r="42" spans="1:12">
      <c r="A42" s="4" t="s">
        <v>111</v>
      </c>
      <c r="B42" s="4" t="s">
        <v>327</v>
      </c>
      <c r="C42" s="7">
        <v>0.36190335123125345</v>
      </c>
      <c r="D42" s="7">
        <v>0.36932906148705302</v>
      </c>
      <c r="E42" s="7">
        <v>0.34599791122037926</v>
      </c>
      <c r="F42" s="7">
        <v>0.34259874983375449</v>
      </c>
      <c r="G42" s="7">
        <v>0.35495726844311004</v>
      </c>
      <c r="H42" s="7">
        <v>0.34259874983375449</v>
      </c>
      <c r="I42" s="7">
        <v>0.36932906148705302</v>
      </c>
      <c r="J42" s="4">
        <v>4</v>
      </c>
      <c r="K42" s="4" t="s">
        <v>386</v>
      </c>
      <c r="L42" s="4" t="s">
        <v>387</v>
      </c>
    </row>
    <row r="43" spans="1:12">
      <c r="A43" s="4" t="s">
        <v>111</v>
      </c>
      <c r="B43" s="4" t="s">
        <v>331</v>
      </c>
      <c r="C43" s="7">
        <v>0.48399092970521546</v>
      </c>
      <c r="D43" s="7">
        <v>0.51090135369420175</v>
      </c>
      <c r="E43" s="7">
        <v>0.52834550823748838</v>
      </c>
      <c r="F43" s="7">
        <v>0.51202681388012616</v>
      </c>
      <c r="G43" s="7">
        <v>0.50881615137925795</v>
      </c>
      <c r="H43" s="7">
        <v>0.48399092970521546</v>
      </c>
      <c r="I43" s="7">
        <v>0.52834550823748838</v>
      </c>
      <c r="J43" s="4">
        <v>4</v>
      </c>
      <c r="K43" s="4" t="s">
        <v>386</v>
      </c>
      <c r="L43" s="4" t="s">
        <v>387</v>
      </c>
    </row>
    <row r="44" spans="1:12">
      <c r="A44" s="4" t="s">
        <v>113</v>
      </c>
      <c r="B44" s="4" t="s">
        <v>327</v>
      </c>
      <c r="C44" s="7">
        <v>0.77878455243987632</v>
      </c>
      <c r="D44" s="7">
        <v>0.76989622554871895</v>
      </c>
      <c r="E44" s="7">
        <v>0.79163600085046526</v>
      </c>
      <c r="F44" s="7">
        <v>0.81329251766527921</v>
      </c>
      <c r="G44" s="7">
        <v>0.78840232412608491</v>
      </c>
      <c r="H44" s="7">
        <v>0.76989622554871895</v>
      </c>
      <c r="I44" s="7">
        <v>0.81329251766527921</v>
      </c>
      <c r="J44" s="4">
        <v>4</v>
      </c>
      <c r="K44" s="4" t="s">
        <v>386</v>
      </c>
      <c r="L44" s="4" t="s">
        <v>387</v>
      </c>
    </row>
    <row r="45" spans="1:12">
      <c r="A45" s="4" t="s">
        <v>113</v>
      </c>
      <c r="B45" s="4" t="s">
        <v>331</v>
      </c>
      <c r="C45" s="7">
        <v>0.16065907813378302</v>
      </c>
      <c r="D45" s="7">
        <v>0.15111765493240531</v>
      </c>
      <c r="E45" s="7">
        <v>0.16255248759384147</v>
      </c>
      <c r="F45" s="7">
        <v>0.19862568483610366</v>
      </c>
      <c r="G45" s="7">
        <v>0.16823872637403336</v>
      </c>
      <c r="H45" s="7">
        <v>0.15111765493240531</v>
      </c>
      <c r="I45" s="7">
        <v>0.19862568483610366</v>
      </c>
      <c r="J45" s="4">
        <v>4</v>
      </c>
      <c r="K45" s="4" t="s">
        <v>386</v>
      </c>
      <c r="L45" s="4" t="s">
        <v>387</v>
      </c>
    </row>
    <row r="46" spans="1:12">
      <c r="A46" s="4" t="s">
        <v>115</v>
      </c>
      <c r="B46" s="4" t="s">
        <v>327</v>
      </c>
      <c r="C46" s="7">
        <v>0.51032578372815196</v>
      </c>
      <c r="D46" s="7">
        <v>0.52012390922503893</v>
      </c>
      <c r="E46" s="7">
        <v>0.49760620558417246</v>
      </c>
      <c r="F46" s="7">
        <v>0.49673693951067227</v>
      </c>
      <c r="G46" s="7">
        <v>0.50619820951200889</v>
      </c>
      <c r="H46" s="7">
        <v>0.49673693951067227</v>
      </c>
      <c r="I46" s="7">
        <v>0.52012390922503893</v>
      </c>
      <c r="J46" s="4">
        <v>4</v>
      </c>
      <c r="K46" s="4" t="s">
        <v>386</v>
      </c>
      <c r="L46" s="4" t="s">
        <v>387</v>
      </c>
    </row>
    <row r="47" spans="1:12">
      <c r="A47" s="4" t="s">
        <v>115</v>
      </c>
      <c r="B47" s="4" t="s">
        <v>331</v>
      </c>
      <c r="C47" s="7">
        <v>0.1872078910884338</v>
      </c>
      <c r="D47" s="7">
        <v>0.18559053882136875</v>
      </c>
      <c r="E47" s="7">
        <v>0.20573741845703156</v>
      </c>
      <c r="F47" s="7">
        <v>0.20764147281694031</v>
      </c>
      <c r="G47" s="7">
        <v>0.19654433029594359</v>
      </c>
      <c r="H47" s="7">
        <v>0.18559053882136875</v>
      </c>
      <c r="I47" s="7">
        <v>0.20764147281694031</v>
      </c>
      <c r="J47" s="4">
        <v>4</v>
      </c>
      <c r="K47" s="4" t="s">
        <v>386</v>
      </c>
      <c r="L47" s="4" t="s">
        <v>387</v>
      </c>
    </row>
    <row r="48" spans="1:12">
      <c r="A48" s="4" t="s">
        <v>117</v>
      </c>
      <c r="B48" s="4" t="s">
        <v>327</v>
      </c>
      <c r="C48" s="7">
        <v>0.20846183947841426</v>
      </c>
      <c r="D48" s="7">
        <v>0.26785210273779281</v>
      </c>
      <c r="E48" s="7">
        <v>0.26902594056004125</v>
      </c>
      <c r="F48" s="7">
        <v>0.30594419603506579</v>
      </c>
      <c r="G48" s="7">
        <v>0.26282101970282851</v>
      </c>
      <c r="H48" s="7">
        <v>0.20846183947841426</v>
      </c>
      <c r="I48" s="7">
        <v>0.30594419603506579</v>
      </c>
      <c r="J48" s="4">
        <v>4</v>
      </c>
      <c r="K48" s="4" t="s">
        <v>386</v>
      </c>
      <c r="L48" s="4" t="s">
        <v>387</v>
      </c>
    </row>
    <row r="49" spans="1:12">
      <c r="A49" s="4" t="s">
        <v>117</v>
      </c>
      <c r="B49" s="4" t="s">
        <v>331</v>
      </c>
      <c r="C49" s="7">
        <v>0.32476323504581806</v>
      </c>
      <c r="D49" s="7">
        <v>0.60224873795318956</v>
      </c>
      <c r="E49" s="7">
        <v>0.5433482810164425</v>
      </c>
      <c r="F49" s="7">
        <v>0.60775953954380724</v>
      </c>
      <c r="G49" s="7">
        <v>0.51952994838981437</v>
      </c>
      <c r="H49" s="7">
        <v>0.32476323504581806</v>
      </c>
      <c r="I49" s="7">
        <v>0.60775953954380724</v>
      </c>
      <c r="J49" s="4">
        <v>4</v>
      </c>
      <c r="K49" s="4" t="s">
        <v>386</v>
      </c>
      <c r="L49" s="4" t="s">
        <v>387</v>
      </c>
    </row>
    <row r="50" spans="1:12">
      <c r="A50" s="4" t="s">
        <v>119</v>
      </c>
      <c r="B50" s="4" t="s">
        <v>327</v>
      </c>
      <c r="C50" s="7">
        <v>0.5637711700564535</v>
      </c>
      <c r="D50" s="7">
        <v>0.55126010390461022</v>
      </c>
      <c r="E50" s="7">
        <v>0.464473472152237</v>
      </c>
      <c r="F50" s="7">
        <v>0.48129139565848078</v>
      </c>
      <c r="G50" s="7">
        <v>0.51519903544294543</v>
      </c>
      <c r="H50" s="7">
        <v>0.464473472152237</v>
      </c>
      <c r="I50" s="7">
        <v>0.5637711700564535</v>
      </c>
      <c r="J50" s="4">
        <v>4</v>
      </c>
      <c r="K50" s="4" t="s">
        <v>386</v>
      </c>
      <c r="L50" s="4" t="s">
        <v>387</v>
      </c>
    </row>
    <row r="51" spans="1:12">
      <c r="A51" s="4" t="s">
        <v>119</v>
      </c>
      <c r="B51" s="4" t="s">
        <v>331</v>
      </c>
      <c r="C51" s="7">
        <v>0.70650236941800759</v>
      </c>
      <c r="D51" s="7">
        <v>0.66796764957461963</v>
      </c>
      <c r="E51" s="7">
        <v>0.51890099580694027</v>
      </c>
      <c r="F51" s="7">
        <v>0.56540360877442986</v>
      </c>
      <c r="G51" s="7">
        <v>0.61469365589349934</v>
      </c>
      <c r="H51" s="7">
        <v>0.51890099580694027</v>
      </c>
      <c r="I51" s="7">
        <v>0.70650236941800759</v>
      </c>
      <c r="J51" s="4">
        <v>4</v>
      </c>
      <c r="K51" s="4" t="s">
        <v>386</v>
      </c>
      <c r="L51" s="4" t="s">
        <v>387</v>
      </c>
    </row>
    <row r="52" spans="1:12">
      <c r="A52" s="4" t="s">
        <v>121</v>
      </c>
      <c r="B52" s="4" t="s">
        <v>327</v>
      </c>
      <c r="C52" s="7">
        <v>0.32958160444336621</v>
      </c>
      <c r="D52" s="7">
        <v>0.31115964353706116</v>
      </c>
      <c r="E52" s="7">
        <v>0.29674889269431137</v>
      </c>
      <c r="F52" s="7">
        <v>0.31034311727143044</v>
      </c>
      <c r="G52" s="7">
        <v>0.31195831448654232</v>
      </c>
      <c r="H52" s="7">
        <v>0.29674889269431137</v>
      </c>
      <c r="I52" s="7">
        <v>0.32958160444336621</v>
      </c>
      <c r="J52" s="4">
        <v>4</v>
      </c>
      <c r="K52" s="4" t="s">
        <v>386</v>
      </c>
      <c r="L52" s="4" t="s">
        <v>387</v>
      </c>
    </row>
    <row r="53" spans="1:12">
      <c r="A53" s="4" t="s">
        <v>121</v>
      </c>
      <c r="B53" s="4" t="s">
        <v>331</v>
      </c>
      <c r="C53" s="7">
        <v>0.29594278116218681</v>
      </c>
      <c r="D53" s="7">
        <v>0.30315307889224646</v>
      </c>
      <c r="E53" s="7">
        <v>0.30481914568533586</v>
      </c>
      <c r="F53" s="7">
        <v>0.31866268665369868</v>
      </c>
      <c r="G53" s="7">
        <v>0.30564442309836692</v>
      </c>
      <c r="H53" s="7">
        <v>0.29594278116218681</v>
      </c>
      <c r="I53" s="7">
        <v>0.31866268665369868</v>
      </c>
      <c r="J53" s="4">
        <v>4</v>
      </c>
      <c r="K53" s="4" t="s">
        <v>386</v>
      </c>
      <c r="L53" s="4" t="s">
        <v>387</v>
      </c>
    </row>
    <row r="54" spans="1:12">
      <c r="A54" s="4" t="s">
        <v>123</v>
      </c>
      <c r="B54" s="4" t="s">
        <v>327</v>
      </c>
      <c r="C54" s="7">
        <v>0.50720713305373344</v>
      </c>
      <c r="D54" s="7">
        <v>0.50687442948367856</v>
      </c>
      <c r="E54" s="7">
        <v>0.52041571254761743</v>
      </c>
      <c r="F54" s="7">
        <v>0.50138751363121448</v>
      </c>
      <c r="G54" s="7">
        <v>0.50897119717906092</v>
      </c>
      <c r="H54" s="7">
        <v>0.50138751363121448</v>
      </c>
      <c r="I54" s="7">
        <v>0.52041571254761743</v>
      </c>
      <c r="J54" s="4">
        <v>4</v>
      </c>
      <c r="K54" s="4" t="s">
        <v>386</v>
      </c>
      <c r="L54" s="4" t="s">
        <v>387</v>
      </c>
    </row>
    <row r="55" spans="1:12">
      <c r="A55" s="4" t="s">
        <v>123</v>
      </c>
      <c r="B55" s="4" t="s">
        <v>331</v>
      </c>
      <c r="C55" s="7">
        <v>0.3658488759899835</v>
      </c>
      <c r="D55" s="7">
        <v>0.35875292480962018</v>
      </c>
      <c r="E55" s="7">
        <v>0.46980710259688568</v>
      </c>
      <c r="F55" s="7">
        <v>0.37409056514935507</v>
      </c>
      <c r="G55" s="7">
        <v>0.39212486713646111</v>
      </c>
      <c r="H55" s="7">
        <v>0.35875292480962018</v>
      </c>
      <c r="I55" s="7">
        <v>0.46980710259688568</v>
      </c>
      <c r="J55" s="4">
        <v>4</v>
      </c>
      <c r="K55" s="4" t="s">
        <v>386</v>
      </c>
      <c r="L55" s="4" t="s">
        <v>387</v>
      </c>
    </row>
    <row r="56" spans="1:12">
      <c r="A56" s="4" t="s">
        <v>125</v>
      </c>
      <c r="B56" s="4" t="s">
        <v>327</v>
      </c>
      <c r="C56" s="7">
        <v>0.48235714285714287</v>
      </c>
      <c r="D56" s="7">
        <v>0.42157146999130185</v>
      </c>
      <c r="E56" s="7">
        <v>0.45999863359978138</v>
      </c>
      <c r="F56" s="7">
        <v>0.45059959052354487</v>
      </c>
      <c r="G56" s="7">
        <v>0.45363170924294272</v>
      </c>
      <c r="H56" s="7">
        <v>0.42157146999130185</v>
      </c>
      <c r="I56" s="7">
        <v>0.48235714285714287</v>
      </c>
      <c r="J56" s="4">
        <v>4</v>
      </c>
      <c r="K56" s="4" t="s">
        <v>386</v>
      </c>
      <c r="L56" s="4" t="s">
        <v>387</v>
      </c>
    </row>
    <row r="57" spans="1:12">
      <c r="A57" s="4" t="s">
        <v>125</v>
      </c>
      <c r="B57" s="4" t="s">
        <v>331</v>
      </c>
      <c r="C57" s="7">
        <v>0.56306446589847392</v>
      </c>
      <c r="D57" s="7">
        <v>0.64759083112427884</v>
      </c>
      <c r="E57" s="7">
        <v>0.69073515921897521</v>
      </c>
      <c r="F57" s="7">
        <v>0.67358865953742852</v>
      </c>
      <c r="G57" s="7">
        <v>0.6437447789447891</v>
      </c>
      <c r="H57" s="7">
        <v>0.56306446589847392</v>
      </c>
      <c r="I57" s="7">
        <v>0.69073515921897521</v>
      </c>
      <c r="J57" s="4">
        <v>4</v>
      </c>
      <c r="K57" s="4" t="s">
        <v>386</v>
      </c>
      <c r="L57" s="4" t="s">
        <v>387</v>
      </c>
    </row>
    <row r="58" spans="1:12">
      <c r="A58" s="4" t="s">
        <v>127</v>
      </c>
      <c r="B58" s="4" t="s">
        <v>327</v>
      </c>
      <c r="C58" s="7">
        <v>0.10538215173125948</v>
      </c>
      <c r="D58" s="7">
        <v>9.7013511346907833E-2</v>
      </c>
      <c r="E58" s="7">
        <v>0.12004548280846944</v>
      </c>
      <c r="F58" s="7">
        <v>0.12522352519131194</v>
      </c>
      <c r="G58" s="7">
        <v>0.11191616776948718</v>
      </c>
      <c r="H58" s="7">
        <v>9.7013511346907833E-2</v>
      </c>
      <c r="I58" s="7">
        <v>0.12522352519131194</v>
      </c>
      <c r="J58" s="4">
        <v>4</v>
      </c>
      <c r="K58" s="4" t="s">
        <v>386</v>
      </c>
      <c r="L58" s="4" t="s">
        <v>387</v>
      </c>
    </row>
    <row r="59" spans="1:12">
      <c r="A59" s="4" t="s">
        <v>127</v>
      </c>
      <c r="B59" s="4" t="s">
        <v>331</v>
      </c>
      <c r="C59" s="7">
        <v>0.1908574085251464</v>
      </c>
      <c r="D59" s="7">
        <v>9.1425894777183978E-2</v>
      </c>
      <c r="E59" s="7">
        <v>0.13957247324504043</v>
      </c>
      <c r="F59" s="7">
        <v>0.29701009765908482</v>
      </c>
      <c r="G59" s="7">
        <v>0.17971646855161391</v>
      </c>
      <c r="H59" s="7">
        <v>9.1425894777183978E-2</v>
      </c>
      <c r="I59" s="7">
        <v>0.29701009765908482</v>
      </c>
      <c r="J59" s="4">
        <v>4</v>
      </c>
      <c r="K59" s="4" t="s">
        <v>386</v>
      </c>
      <c r="L59" s="4" t="s">
        <v>387</v>
      </c>
    </row>
    <row r="60" spans="1:12">
      <c r="A60" s="4" t="s">
        <v>129</v>
      </c>
      <c r="B60" s="4" t="s">
        <v>327</v>
      </c>
      <c r="C60" s="7">
        <v>0.75653293284702861</v>
      </c>
      <c r="D60" s="7">
        <v>0.54849741686676856</v>
      </c>
      <c r="E60" s="7">
        <v>0.53228335719642739</v>
      </c>
      <c r="F60" s="7">
        <v>0.53317492231767505</v>
      </c>
      <c r="G60" s="7">
        <v>0.59262215730697487</v>
      </c>
      <c r="H60" s="7">
        <v>0.53228335719642739</v>
      </c>
      <c r="I60" s="7">
        <v>0.75653293284702861</v>
      </c>
      <c r="J60" s="4">
        <v>4</v>
      </c>
      <c r="K60" s="4" t="s">
        <v>386</v>
      </c>
      <c r="L60" s="4" t="s">
        <v>387</v>
      </c>
    </row>
    <row r="61" spans="1:12">
      <c r="A61" s="4" t="s">
        <v>129</v>
      </c>
      <c r="B61" s="4" t="s">
        <v>331</v>
      </c>
      <c r="C61" s="7">
        <v>0.25951651717348501</v>
      </c>
      <c r="D61" s="7">
        <v>0.32673895794763291</v>
      </c>
      <c r="E61" s="7">
        <v>0.23920301561658588</v>
      </c>
      <c r="F61" s="7">
        <v>0.24871794871794869</v>
      </c>
      <c r="G61" s="7">
        <v>0.26854410986391314</v>
      </c>
      <c r="H61" s="7">
        <v>0.23920301561658588</v>
      </c>
      <c r="I61" s="7">
        <v>0.32673895794763291</v>
      </c>
      <c r="J61" s="4">
        <v>4</v>
      </c>
      <c r="K61" s="4" t="s">
        <v>386</v>
      </c>
      <c r="L61" s="4" t="s">
        <v>387</v>
      </c>
    </row>
    <row r="62" spans="1:12">
      <c r="A62" s="4" t="s">
        <v>131</v>
      </c>
      <c r="B62" s="4" t="s">
        <v>327</v>
      </c>
      <c r="C62" s="7">
        <v>0.14346893158531207</v>
      </c>
      <c r="D62" s="7">
        <v>0.13891343028244393</v>
      </c>
      <c r="E62" s="7">
        <v>0.14669204724003904</v>
      </c>
      <c r="F62" s="7">
        <v>0.12573321590517858</v>
      </c>
      <c r="G62" s="7">
        <v>0.13870190625324341</v>
      </c>
      <c r="H62" s="7">
        <v>0.12573321590517858</v>
      </c>
      <c r="I62" s="7">
        <v>0.14669204724003904</v>
      </c>
      <c r="J62" s="4">
        <v>4</v>
      </c>
      <c r="K62" s="4" t="s">
        <v>386</v>
      </c>
      <c r="L62" s="4" t="s">
        <v>387</v>
      </c>
    </row>
    <row r="63" spans="1:12">
      <c r="A63" s="4" t="s">
        <v>131</v>
      </c>
      <c r="B63" s="4" t="s">
        <v>331</v>
      </c>
      <c r="C63" s="7">
        <v>0.25545715162884264</v>
      </c>
      <c r="D63" s="7">
        <v>0.24988062921541329</v>
      </c>
      <c r="E63" s="7">
        <v>0.23728722098207886</v>
      </c>
      <c r="F63" s="7">
        <v>0.24153040146103297</v>
      </c>
      <c r="G63" s="7">
        <v>0.24603885082184193</v>
      </c>
      <c r="H63" s="7">
        <v>0.23728722098207886</v>
      </c>
      <c r="I63" s="7">
        <v>0.25545715162884264</v>
      </c>
      <c r="J63" s="4">
        <v>4</v>
      </c>
      <c r="K63" s="4" t="s">
        <v>386</v>
      </c>
      <c r="L63" s="4" t="s">
        <v>387</v>
      </c>
    </row>
    <row r="64" spans="1:12">
      <c r="A64" s="4" t="s">
        <v>133</v>
      </c>
      <c r="B64" s="4" t="s">
        <v>327</v>
      </c>
      <c r="C64" s="7">
        <v>0.8028685221763443</v>
      </c>
      <c r="D64" s="7">
        <v>0.77322972551051539</v>
      </c>
      <c r="E64" s="7">
        <v>0.80380120983856629</v>
      </c>
      <c r="F64" s="7">
        <v>0.82057456246820082</v>
      </c>
      <c r="G64" s="7">
        <v>0.80011850499840675</v>
      </c>
      <c r="H64" s="7">
        <v>0.77322972551051539</v>
      </c>
      <c r="I64" s="7">
        <v>0.82057456246820082</v>
      </c>
      <c r="J64" s="4">
        <v>4</v>
      </c>
      <c r="K64" s="4" t="s">
        <v>386</v>
      </c>
      <c r="L64" s="4" t="s">
        <v>387</v>
      </c>
    </row>
    <row r="65" spans="1:12">
      <c r="A65" s="4" t="s">
        <v>133</v>
      </c>
      <c r="B65" s="4" t="s">
        <v>331</v>
      </c>
      <c r="C65" s="7">
        <v>0.47758747759834502</v>
      </c>
      <c r="D65" s="7">
        <v>0.44096626594952193</v>
      </c>
      <c r="E65" s="7">
        <v>0.49691720049566585</v>
      </c>
      <c r="F65" s="7">
        <v>0.55141600847227656</v>
      </c>
      <c r="G65" s="7">
        <v>0.49172173812895237</v>
      </c>
      <c r="H65" s="7">
        <v>0.44096626594952193</v>
      </c>
      <c r="I65" s="7">
        <v>0.55141600847227656</v>
      </c>
      <c r="J65" s="4">
        <v>4</v>
      </c>
      <c r="K65" s="4" t="s">
        <v>386</v>
      </c>
      <c r="L65" s="4" t="s">
        <v>387</v>
      </c>
    </row>
    <row r="66" spans="1:12">
      <c r="A66" s="4" t="s">
        <v>135</v>
      </c>
      <c r="B66" s="4" t="s">
        <v>327</v>
      </c>
      <c r="C66" s="7">
        <v>0.75363608278018168</v>
      </c>
      <c r="D66" s="7">
        <v>0.73694079691941494</v>
      </c>
      <c r="E66" s="7">
        <v>0.73859714765943707</v>
      </c>
      <c r="F66" s="7">
        <v>0.75038309842727258</v>
      </c>
      <c r="G66" s="7">
        <v>0.74488928144657662</v>
      </c>
      <c r="H66" s="7">
        <v>0.73694079691941494</v>
      </c>
      <c r="I66" s="7">
        <v>0.75363608278018168</v>
      </c>
      <c r="J66" s="4">
        <v>4</v>
      </c>
      <c r="K66" s="4" t="s">
        <v>386</v>
      </c>
      <c r="L66" s="4" t="s">
        <v>387</v>
      </c>
    </row>
    <row r="67" spans="1:12">
      <c r="A67" s="4" t="s">
        <v>135</v>
      </c>
      <c r="B67" s="4" t="s">
        <v>331</v>
      </c>
      <c r="C67" s="7">
        <v>0.76257382395352302</v>
      </c>
      <c r="D67" s="7">
        <v>0.75854928591749504</v>
      </c>
      <c r="E67" s="7">
        <v>0.77457455902684236</v>
      </c>
      <c r="F67" s="7">
        <v>0.78958726679835656</v>
      </c>
      <c r="G67" s="7">
        <v>0.77132123392405427</v>
      </c>
      <c r="H67" s="7">
        <v>0.75854928591749504</v>
      </c>
      <c r="I67" s="7">
        <v>0.78958726679835656</v>
      </c>
      <c r="J67" s="4">
        <v>4</v>
      </c>
      <c r="K67" s="4" t="s">
        <v>386</v>
      </c>
      <c r="L67" s="4" t="s">
        <v>387</v>
      </c>
    </row>
    <row r="68" spans="1:12">
      <c r="A68" s="4" t="s">
        <v>137</v>
      </c>
      <c r="B68" s="4" t="s">
        <v>327</v>
      </c>
      <c r="C68" s="7">
        <v>0.34487286454842636</v>
      </c>
      <c r="D68" s="7">
        <v>0.26688559673818796</v>
      </c>
      <c r="E68" s="7">
        <v>0.35391497010994521</v>
      </c>
      <c r="F68" s="7">
        <v>0.2996025362958043</v>
      </c>
      <c r="G68" s="7">
        <v>0.31631899192309099</v>
      </c>
      <c r="H68" s="7">
        <v>0.26688559673818796</v>
      </c>
      <c r="I68" s="7">
        <v>0.35391497010994521</v>
      </c>
      <c r="J68" s="4">
        <v>4</v>
      </c>
      <c r="K68" s="4" t="s">
        <v>386</v>
      </c>
      <c r="L68" s="4" t="s">
        <v>387</v>
      </c>
    </row>
    <row r="69" spans="1:12">
      <c r="A69" s="4" t="s">
        <v>137</v>
      </c>
      <c r="B69" s="4" t="s">
        <v>331</v>
      </c>
      <c r="C69" s="7">
        <v>0.91403767871326447</v>
      </c>
      <c r="D69" s="7">
        <v>0.97422779686181404</v>
      </c>
      <c r="E69" s="7">
        <v>0.92925108661378375</v>
      </c>
      <c r="F69" s="7">
        <v>0.97585974841682055</v>
      </c>
      <c r="G69" s="7">
        <v>0.9483440776514207</v>
      </c>
      <c r="H69" s="7">
        <v>0.91403767871326447</v>
      </c>
      <c r="I69" s="7">
        <v>0.97585974841682055</v>
      </c>
      <c r="J69" s="4">
        <v>4</v>
      </c>
      <c r="K69" s="4" t="s">
        <v>386</v>
      </c>
      <c r="L69" s="4" t="s">
        <v>387</v>
      </c>
    </row>
    <row r="70" spans="1:12">
      <c r="A70" s="4" t="s">
        <v>139</v>
      </c>
      <c r="B70" s="4" t="s">
        <v>327</v>
      </c>
      <c r="C70" s="7">
        <v>0.27886977886977887</v>
      </c>
      <c r="D70" s="7">
        <v>0.26256983240223464</v>
      </c>
      <c r="E70" s="7">
        <v>0.24767225325884543</v>
      </c>
      <c r="F70" s="7">
        <v>0.30327868852459017</v>
      </c>
      <c r="G70" s="7">
        <v>0.2730976382638623</v>
      </c>
      <c r="H70" s="7">
        <v>0.24767225325884543</v>
      </c>
      <c r="I70" s="7">
        <v>0.30327868852459017</v>
      </c>
      <c r="J70" s="4">
        <v>4</v>
      </c>
      <c r="K70" s="4" t="s">
        <v>386</v>
      </c>
      <c r="L70" s="4" t="s">
        <v>387</v>
      </c>
    </row>
    <row r="71" spans="1:12">
      <c r="A71" s="4" t="s">
        <v>139</v>
      </c>
      <c r="B71" s="4" t="s">
        <v>331</v>
      </c>
      <c r="C71" s="7">
        <v>5.6179775280898875E-2</v>
      </c>
      <c r="D71" s="7">
        <v>5.2742616033755275E-2</v>
      </c>
      <c r="E71" s="7">
        <v>7.6190476190476183E-2</v>
      </c>
      <c r="F71" s="7">
        <v>5.3797468354430368E-2</v>
      </c>
      <c r="G71" s="7">
        <v>5.9727583964890175E-2</v>
      </c>
      <c r="H71" s="7">
        <v>5.2742616033755275E-2</v>
      </c>
      <c r="I71" s="7">
        <v>7.6190476190476183E-2</v>
      </c>
      <c r="J71" s="4">
        <v>4</v>
      </c>
      <c r="K71" s="4" t="s">
        <v>386</v>
      </c>
      <c r="L71" s="4" t="s">
        <v>387</v>
      </c>
    </row>
    <row r="72" spans="1:12">
      <c r="A72" s="4" t="s">
        <v>141</v>
      </c>
      <c r="B72" s="4" t="s">
        <v>327</v>
      </c>
      <c r="C72" s="7">
        <v>0.33923597616271539</v>
      </c>
      <c r="D72" s="7">
        <v>0.3227533655807448</v>
      </c>
      <c r="E72" s="7">
        <v>0.34105280790652875</v>
      </c>
      <c r="F72" s="7">
        <v>0.36776447463755119</v>
      </c>
      <c r="G72" s="7">
        <v>0.34270165607188502</v>
      </c>
      <c r="H72" s="7">
        <v>0.3227533655807448</v>
      </c>
      <c r="I72" s="7">
        <v>0.36776447463755119</v>
      </c>
      <c r="J72" s="4">
        <v>4</v>
      </c>
      <c r="K72" s="4" t="s">
        <v>386</v>
      </c>
      <c r="L72" s="4" t="s">
        <v>387</v>
      </c>
    </row>
    <row r="73" spans="1:12">
      <c r="A73" s="4" t="s">
        <v>141</v>
      </c>
      <c r="B73" s="4" t="s">
        <v>331</v>
      </c>
      <c r="C73" s="7">
        <v>0.84153360990768944</v>
      </c>
      <c r="D73" s="7">
        <v>0.81805071477276248</v>
      </c>
      <c r="E73" s="7">
        <v>0.84048143011519494</v>
      </c>
      <c r="F73" s="7">
        <v>0.86721939375285872</v>
      </c>
      <c r="G73" s="7">
        <v>0.84182128713712645</v>
      </c>
      <c r="H73" s="7">
        <v>0.81805071477276248</v>
      </c>
      <c r="I73" s="7">
        <v>0.86721939375285872</v>
      </c>
      <c r="J73" s="4">
        <v>4</v>
      </c>
      <c r="K73" s="4" t="s">
        <v>386</v>
      </c>
      <c r="L73" s="4" t="s">
        <v>387</v>
      </c>
    </row>
    <row r="74" spans="1:12">
      <c r="A74" s="4" t="s">
        <v>143</v>
      </c>
      <c r="B74" s="4" t="s">
        <v>327</v>
      </c>
      <c r="C74" s="7">
        <v>0.6395976469880883</v>
      </c>
      <c r="D74" s="7">
        <v>0.61668138771211145</v>
      </c>
      <c r="E74" s="7">
        <v>0.60343386643622754</v>
      </c>
      <c r="F74" s="7">
        <v>0.60518341943864729</v>
      </c>
      <c r="G74" s="7">
        <v>0.61622408014376862</v>
      </c>
      <c r="H74" s="7">
        <v>0.60343386643622754</v>
      </c>
      <c r="I74" s="7">
        <v>0.6395976469880883</v>
      </c>
      <c r="J74" s="4">
        <v>4</v>
      </c>
      <c r="K74" s="4" t="s">
        <v>386</v>
      </c>
      <c r="L74" s="4" t="s">
        <v>387</v>
      </c>
    </row>
    <row r="75" spans="1:12">
      <c r="A75" s="4" t="s">
        <v>143</v>
      </c>
      <c r="B75" s="4" t="s">
        <v>331</v>
      </c>
      <c r="C75" s="7">
        <v>0.43442579377484342</v>
      </c>
      <c r="D75" s="7">
        <v>0.43137787178854281</v>
      </c>
      <c r="E75" s="7">
        <v>0.44528453874220247</v>
      </c>
      <c r="F75" s="7">
        <v>0.44052481704965785</v>
      </c>
      <c r="G75" s="7">
        <v>0.43790325533881164</v>
      </c>
      <c r="H75" s="7">
        <v>0.43137787178854281</v>
      </c>
      <c r="I75" s="7">
        <v>0.44528453874220247</v>
      </c>
      <c r="J75" s="4">
        <v>4</v>
      </c>
      <c r="K75" s="4" t="s">
        <v>386</v>
      </c>
      <c r="L75" s="4" t="s">
        <v>387</v>
      </c>
    </row>
    <row r="76" spans="1:12">
      <c r="A76" s="4" t="s">
        <v>145</v>
      </c>
      <c r="B76" s="4" t="s">
        <v>327</v>
      </c>
      <c r="C76" s="7">
        <v>0.56222773379121749</v>
      </c>
      <c r="D76" s="7">
        <v>0.61239055370575901</v>
      </c>
      <c r="E76" s="7">
        <v>0.6440002950070064</v>
      </c>
      <c r="F76" s="7">
        <v>0.59310878235945341</v>
      </c>
      <c r="G76" s="7">
        <v>0.60293184121585908</v>
      </c>
      <c r="H76" s="7">
        <v>0.56222773379121749</v>
      </c>
      <c r="I76" s="7">
        <v>0.6440002950070064</v>
      </c>
      <c r="J76" s="4">
        <v>4</v>
      </c>
      <c r="K76" s="4" t="s">
        <v>386</v>
      </c>
      <c r="L76" s="4" t="s">
        <v>387</v>
      </c>
    </row>
    <row r="77" spans="1:12">
      <c r="A77" s="4" t="s">
        <v>145</v>
      </c>
      <c r="B77" s="4" t="s">
        <v>331</v>
      </c>
      <c r="C77" s="7">
        <v>3.7100456621004564E-3</v>
      </c>
      <c r="D77" s="7">
        <v>7.4043603455368158E-3</v>
      </c>
      <c r="E77" s="7">
        <v>8.0816673755848573E-3</v>
      </c>
      <c r="F77" s="7">
        <v>7.5414781297134239E-3</v>
      </c>
      <c r="G77" s="7">
        <v>6.6843878782338884E-3</v>
      </c>
      <c r="H77" s="7">
        <v>3.7100456621004564E-3</v>
      </c>
      <c r="I77" s="7">
        <v>8.0816673755848573E-3</v>
      </c>
      <c r="J77" s="4">
        <v>4</v>
      </c>
      <c r="K77" s="4" t="s">
        <v>386</v>
      </c>
      <c r="L77" s="4" t="s">
        <v>387</v>
      </c>
    </row>
    <row r="78" spans="1:12">
      <c r="A78" s="4" t="s">
        <v>147</v>
      </c>
      <c r="B78" s="4" t="s">
        <v>327</v>
      </c>
      <c r="C78" s="7">
        <v>0.83143887305294983</v>
      </c>
      <c r="D78" s="7">
        <v>0.83804617055275954</v>
      </c>
      <c r="E78" s="7">
        <v>0.83464775072217201</v>
      </c>
      <c r="F78" s="7">
        <v>0.82249861738439523</v>
      </c>
      <c r="G78" s="7">
        <v>0.83165785292806915</v>
      </c>
      <c r="H78" s="7">
        <v>0.82249861738439523</v>
      </c>
      <c r="I78" s="7">
        <v>0.83804617055275954</v>
      </c>
      <c r="J78" s="4">
        <v>4</v>
      </c>
      <c r="K78" s="4" t="s">
        <v>386</v>
      </c>
      <c r="L78" s="4" t="s">
        <v>387</v>
      </c>
    </row>
    <row r="79" spans="1:12">
      <c r="A79" s="4" t="s">
        <v>147</v>
      </c>
      <c r="B79" s="4" t="s">
        <v>331</v>
      </c>
      <c r="C79" s="7">
        <v>0.53970773804804706</v>
      </c>
      <c r="D79" s="7">
        <v>0.54804483981188079</v>
      </c>
      <c r="E79" s="7">
        <v>0.52986249493345638</v>
      </c>
      <c r="F79" s="7">
        <v>0.50386224595861062</v>
      </c>
      <c r="G79" s="7">
        <v>0.53036932968799877</v>
      </c>
      <c r="H79" s="7">
        <v>0.50386224595861062</v>
      </c>
      <c r="I79" s="7">
        <v>0.54804483981188079</v>
      </c>
      <c r="J79" s="4">
        <v>4</v>
      </c>
      <c r="K79" s="4" t="s">
        <v>386</v>
      </c>
      <c r="L79" s="4" t="s">
        <v>387</v>
      </c>
    </row>
    <row r="80" spans="1:12">
      <c r="A80" s="4" t="s">
        <v>149</v>
      </c>
      <c r="B80" s="4" t="s">
        <v>327</v>
      </c>
      <c r="C80" s="7">
        <v>1.9837052780729721E-2</v>
      </c>
      <c r="D80" s="7">
        <v>4.7682709447415331E-2</v>
      </c>
      <c r="E80" s="7">
        <v>4.3346337234503686E-2</v>
      </c>
      <c r="F80" s="7">
        <v>4.5706371191135742E-2</v>
      </c>
      <c r="G80" s="7">
        <v>3.9143117663446123E-2</v>
      </c>
      <c r="H80" s="7">
        <v>1.9837052780729721E-2</v>
      </c>
      <c r="I80" s="7">
        <v>4.7682709447415331E-2</v>
      </c>
      <c r="J80" s="4">
        <v>4</v>
      </c>
      <c r="K80" s="4" t="s">
        <v>386</v>
      </c>
      <c r="L80" s="4" t="s">
        <v>387</v>
      </c>
    </row>
    <row r="81" spans="1:12">
      <c r="A81" s="4" t="s">
        <v>149</v>
      </c>
      <c r="B81" s="4" t="s">
        <v>331</v>
      </c>
      <c r="C81" s="7">
        <v>8.980454305335446E-2</v>
      </c>
      <c r="D81" s="7">
        <v>6.1354019746121299E-2</v>
      </c>
      <c r="E81" s="7">
        <v>5.6582633053221289E-2</v>
      </c>
      <c r="F81" s="7">
        <v>6.1693861693861693E-2</v>
      </c>
      <c r="G81" s="7">
        <v>6.735876438663968E-2</v>
      </c>
      <c r="H81" s="7">
        <v>5.6582633053221289E-2</v>
      </c>
      <c r="I81" s="7">
        <v>8.980454305335446E-2</v>
      </c>
      <c r="J81" s="4">
        <v>4</v>
      </c>
      <c r="K81" s="4" t="s">
        <v>386</v>
      </c>
      <c r="L81" s="4" t="s">
        <v>387</v>
      </c>
    </row>
    <row r="82" spans="1:12">
      <c r="A82" s="4" t="s">
        <v>151</v>
      </c>
      <c r="B82" s="4" t="s">
        <v>327</v>
      </c>
      <c r="C82" s="7">
        <v>1.4553392759687101E-3</v>
      </c>
      <c r="D82" s="7">
        <v>1.4223132502702396E-3</v>
      </c>
      <c r="E82" s="7">
        <v>1.4122156655066325E-3</v>
      </c>
      <c r="F82" s="7">
        <v>1.3026304731490041E-3</v>
      </c>
      <c r="G82" s="7">
        <v>1.3981246662236465E-3</v>
      </c>
      <c r="H82" s="7">
        <v>1.3026304731490041E-3</v>
      </c>
      <c r="I82" s="7">
        <v>1.4553392759687101E-3</v>
      </c>
      <c r="J82" s="4">
        <v>4</v>
      </c>
      <c r="K82" s="4" t="s">
        <v>386</v>
      </c>
      <c r="L82" s="4" t="s">
        <v>387</v>
      </c>
    </row>
    <row r="83" spans="1:12">
      <c r="A83" s="4" t="s">
        <v>151</v>
      </c>
      <c r="B83" s="4" t="s">
        <v>331</v>
      </c>
      <c r="C83" s="7">
        <v>5.8347312376923644E-4</v>
      </c>
      <c r="D83" s="7">
        <v>5.5359490692685623E-4</v>
      </c>
      <c r="E83" s="7">
        <v>5.7885258554154877E-4</v>
      </c>
      <c r="F83" s="7">
        <v>5.2366987850858819E-4</v>
      </c>
      <c r="G83" s="7">
        <v>5.5989762368655743E-4</v>
      </c>
      <c r="H83" s="7">
        <v>5.2366987850858819E-4</v>
      </c>
      <c r="I83" s="7">
        <v>5.8347312376923644E-4</v>
      </c>
      <c r="J83" s="4">
        <v>4</v>
      </c>
      <c r="K83" s="4" t="s">
        <v>386</v>
      </c>
      <c r="L83" s="4" t="s">
        <v>387</v>
      </c>
    </row>
    <row r="84" spans="1:12">
      <c r="A84" s="4" t="s">
        <v>153</v>
      </c>
      <c r="B84" s="4" t="s">
        <v>327</v>
      </c>
      <c r="C84" s="7">
        <v>0.79030053895748287</v>
      </c>
      <c r="D84" s="7">
        <v>0.79784973871696296</v>
      </c>
      <c r="E84" s="7">
        <v>0.81950130125745202</v>
      </c>
      <c r="F84" s="7">
        <v>0.81665247529459084</v>
      </c>
      <c r="G84" s="7">
        <v>0.80607601355662217</v>
      </c>
      <c r="H84" s="7">
        <v>0.79030053895748287</v>
      </c>
      <c r="I84" s="7">
        <v>0.81950130125745202</v>
      </c>
      <c r="J84" s="4">
        <v>4</v>
      </c>
      <c r="K84" s="4" t="s">
        <v>386</v>
      </c>
      <c r="L84" s="4" t="s">
        <v>387</v>
      </c>
    </row>
    <row r="85" spans="1:12">
      <c r="A85" s="4" t="s">
        <v>153</v>
      </c>
      <c r="B85" s="4" t="s">
        <v>331</v>
      </c>
      <c r="C85" s="7">
        <v>0.76131927206064898</v>
      </c>
      <c r="D85" s="7">
        <v>0.74173592486795248</v>
      </c>
      <c r="E85" s="7">
        <v>0.72852347750934399</v>
      </c>
      <c r="F85" s="7">
        <v>0.70410967062623209</v>
      </c>
      <c r="G85" s="7">
        <v>0.73392208626604438</v>
      </c>
      <c r="H85" s="7">
        <v>0.70410967062623209</v>
      </c>
      <c r="I85" s="7">
        <v>0.76131927206064898</v>
      </c>
      <c r="J85" s="4">
        <v>4</v>
      </c>
      <c r="K85" s="4" t="s">
        <v>386</v>
      </c>
      <c r="L85" s="4" t="s">
        <v>387</v>
      </c>
    </row>
    <row r="86" spans="1:12">
      <c r="A86" s="4" t="s">
        <v>155</v>
      </c>
      <c r="B86" s="4" t="s">
        <v>327</v>
      </c>
      <c r="C86" s="7">
        <v>5.3521126760563371E-2</v>
      </c>
      <c r="D86" s="7">
        <v>5.6038983640793592E-2</v>
      </c>
      <c r="E86" s="7">
        <v>6.1090610906109059E-2</v>
      </c>
      <c r="F86" s="7">
        <v>6.3233376792698831E-2</v>
      </c>
      <c r="G86" s="7">
        <v>5.8471024525041215E-2</v>
      </c>
      <c r="H86" s="7">
        <v>5.3521126760563371E-2</v>
      </c>
      <c r="I86" s="7">
        <v>6.3233376792698831E-2</v>
      </c>
      <c r="J86" s="4">
        <v>4</v>
      </c>
      <c r="K86" s="4" t="s">
        <v>386</v>
      </c>
      <c r="L86" s="4" t="s">
        <v>387</v>
      </c>
    </row>
    <row r="87" spans="1:12">
      <c r="A87" s="4" t="s">
        <v>155</v>
      </c>
      <c r="B87" s="4" t="s">
        <v>331</v>
      </c>
      <c r="C87" s="7">
        <v>4.3550624133148405E-2</v>
      </c>
      <c r="D87" s="7">
        <v>4.1205253669842908E-2</v>
      </c>
      <c r="E87" s="7">
        <v>6.5868263473053898E-2</v>
      </c>
      <c r="F87" s="7">
        <v>6.4516129032258049E-2</v>
      </c>
      <c r="G87" s="7">
        <v>5.3785067577075817E-2</v>
      </c>
      <c r="H87" s="7">
        <v>4.1205253669842908E-2</v>
      </c>
      <c r="I87" s="7">
        <v>6.5868263473053898E-2</v>
      </c>
      <c r="J87" s="4">
        <v>4</v>
      </c>
      <c r="K87" s="4" t="s">
        <v>386</v>
      </c>
      <c r="L87" s="4" t="s">
        <v>387</v>
      </c>
    </row>
    <row r="88" spans="1:12">
      <c r="A88" s="4" t="s">
        <v>157</v>
      </c>
      <c r="B88" s="4" t="s">
        <v>327</v>
      </c>
      <c r="C88" s="7">
        <v>0.27916867073386831</v>
      </c>
      <c r="D88" s="7">
        <v>0.29229211757313411</v>
      </c>
      <c r="E88" s="7">
        <v>0.59306842966194107</v>
      </c>
      <c r="F88" s="7">
        <v>0.59574799360217412</v>
      </c>
      <c r="G88" s="7">
        <v>0.4400693028927794</v>
      </c>
      <c r="H88" s="7">
        <v>0.27916867073386831</v>
      </c>
      <c r="I88" s="7">
        <v>0.59574799360217412</v>
      </c>
      <c r="J88" s="4">
        <v>4</v>
      </c>
      <c r="K88" s="4" t="s">
        <v>386</v>
      </c>
      <c r="L88" s="4" t="s">
        <v>387</v>
      </c>
    </row>
    <row r="89" spans="1:12">
      <c r="A89" s="4" t="s">
        <v>157</v>
      </c>
      <c r="B89" s="4" t="s">
        <v>331</v>
      </c>
      <c r="C89" s="7">
        <v>0.17165310905832071</v>
      </c>
      <c r="D89" s="7">
        <v>0.22137173934938059</v>
      </c>
      <c r="E89" s="7">
        <v>0.32320075757575756</v>
      </c>
      <c r="F89" s="7">
        <v>0.34585971548392402</v>
      </c>
      <c r="G89" s="7">
        <v>0.26552133036684572</v>
      </c>
      <c r="H89" s="7">
        <v>0.17165310905832071</v>
      </c>
      <c r="I89" s="7">
        <v>0.34585971548392402</v>
      </c>
      <c r="J89" s="4">
        <v>4</v>
      </c>
      <c r="K89" s="4" t="s">
        <v>386</v>
      </c>
      <c r="L89" s="4" t="s">
        <v>387</v>
      </c>
    </row>
    <row r="90" spans="1:12">
      <c r="A90" s="4" t="s">
        <v>159</v>
      </c>
      <c r="B90" s="4" t="s">
        <v>327</v>
      </c>
      <c r="C90" s="7">
        <v>0.36935224448018716</v>
      </c>
      <c r="D90" s="7">
        <v>0.33764237080731702</v>
      </c>
      <c r="E90" s="7">
        <v>0.3366069709223955</v>
      </c>
      <c r="F90" s="7">
        <v>0.34305763620594498</v>
      </c>
      <c r="G90" s="7">
        <v>0.34666480560396118</v>
      </c>
      <c r="H90" s="7">
        <v>0.3366069709223955</v>
      </c>
      <c r="I90" s="7">
        <v>0.36935224448018716</v>
      </c>
      <c r="J90" s="4">
        <v>4</v>
      </c>
      <c r="K90" s="4" t="s">
        <v>386</v>
      </c>
      <c r="L90" s="4" t="s">
        <v>387</v>
      </c>
    </row>
    <row r="91" spans="1:12">
      <c r="A91" s="4" t="s">
        <v>159</v>
      </c>
      <c r="B91" s="4" t="s">
        <v>331</v>
      </c>
      <c r="C91" s="7">
        <v>0.63819669012744906</v>
      </c>
      <c r="D91" s="7">
        <v>0.53181552831290124</v>
      </c>
      <c r="E91" s="7">
        <v>0.4719437115215479</v>
      </c>
      <c r="F91" s="7">
        <v>0.36349714603925937</v>
      </c>
      <c r="G91" s="7">
        <v>0.50136326900028938</v>
      </c>
      <c r="H91" s="7">
        <v>0.36349714603925937</v>
      </c>
      <c r="I91" s="7">
        <v>0.63819669012744906</v>
      </c>
      <c r="J91" s="4">
        <v>4</v>
      </c>
      <c r="K91" s="4" t="s">
        <v>386</v>
      </c>
      <c r="L91" s="4" t="s">
        <v>387</v>
      </c>
    </row>
    <row r="92" spans="1:12">
      <c r="A92" s="4" t="s">
        <v>161</v>
      </c>
      <c r="B92" s="4" t="s">
        <v>327</v>
      </c>
      <c r="C92" s="7">
        <v>0.20177165354330712</v>
      </c>
      <c r="D92" s="7">
        <v>0.1940494011976048</v>
      </c>
      <c r="E92" s="7">
        <v>0.2768255884127942</v>
      </c>
      <c r="F92" s="7">
        <v>0.33574842767295598</v>
      </c>
      <c r="G92" s="7">
        <v>0.25209876770666551</v>
      </c>
      <c r="H92" s="7">
        <v>0.1940494011976048</v>
      </c>
      <c r="I92" s="7">
        <v>0.33574842767295598</v>
      </c>
      <c r="J92" s="4">
        <v>4</v>
      </c>
      <c r="K92" s="4" t="s">
        <v>386</v>
      </c>
      <c r="L92" s="4" t="s">
        <v>387</v>
      </c>
    </row>
    <row r="93" spans="1:12">
      <c r="A93" s="4" t="s">
        <v>161</v>
      </c>
      <c r="B93" s="4" t="s">
        <v>331</v>
      </c>
      <c r="C93" s="7">
        <v>0.27900636170857318</v>
      </c>
      <c r="D93" s="7">
        <v>0.23332395159020547</v>
      </c>
      <c r="E93" s="7">
        <v>0.15492464072905715</v>
      </c>
      <c r="F93" s="7">
        <v>0.27376425855513309</v>
      </c>
      <c r="G93" s="7">
        <v>0.23525480314574221</v>
      </c>
      <c r="H93" s="7">
        <v>0.15492464072905715</v>
      </c>
      <c r="I93" s="7">
        <v>0.27900636170857318</v>
      </c>
      <c r="J93" s="4">
        <v>4</v>
      </c>
      <c r="K93" s="4" t="s">
        <v>386</v>
      </c>
      <c r="L93" s="4" t="s">
        <v>387</v>
      </c>
    </row>
    <row r="94" spans="1:12">
      <c r="A94" s="4" t="s">
        <v>163</v>
      </c>
      <c r="B94" s="4" t="s">
        <v>327</v>
      </c>
      <c r="C94" s="7">
        <v>0.21343934839522932</v>
      </c>
      <c r="D94" s="7">
        <v>0.22772531396562964</v>
      </c>
      <c r="E94" s="7">
        <v>0.23178011583772568</v>
      </c>
      <c r="F94" s="7">
        <v>0.22849312844676828</v>
      </c>
      <c r="G94" s="7">
        <v>0.22535947666133824</v>
      </c>
      <c r="H94" s="7">
        <v>0.21343934839522932</v>
      </c>
      <c r="I94" s="7">
        <v>0.23178011583772568</v>
      </c>
      <c r="J94" s="4">
        <v>4</v>
      </c>
      <c r="K94" s="4" t="s">
        <v>386</v>
      </c>
      <c r="L94" s="4" t="s">
        <v>387</v>
      </c>
    </row>
    <row r="95" spans="1:12">
      <c r="A95" s="4" t="s">
        <v>163</v>
      </c>
      <c r="B95" s="4" t="s">
        <v>331</v>
      </c>
      <c r="C95" s="7">
        <v>0.26253778977555953</v>
      </c>
      <c r="D95" s="7">
        <v>0.27493281881189846</v>
      </c>
      <c r="E95" s="7">
        <v>0.26700110888386575</v>
      </c>
      <c r="F95" s="7">
        <v>0.24671201244917423</v>
      </c>
      <c r="G95" s="7">
        <v>0.26279593248012451</v>
      </c>
      <c r="H95" s="7">
        <v>0.24671201244917423</v>
      </c>
      <c r="I95" s="7">
        <v>0.27493281881189846</v>
      </c>
      <c r="J95" s="4">
        <v>4</v>
      </c>
      <c r="K95" s="4" t="s">
        <v>386</v>
      </c>
      <c r="L95" s="4" t="s">
        <v>387</v>
      </c>
    </row>
    <row r="96" spans="1:12">
      <c r="A96" s="4" t="s">
        <v>165</v>
      </c>
      <c r="B96" s="4" t="s">
        <v>327</v>
      </c>
      <c r="C96" s="7">
        <v>0.35782944279600898</v>
      </c>
      <c r="D96" s="7">
        <v>0.32545027549718214</v>
      </c>
      <c r="E96" s="7">
        <v>0.32793004884755644</v>
      </c>
      <c r="F96" s="7">
        <v>0.35069215659537661</v>
      </c>
      <c r="G96" s="7">
        <v>0.34047548093403102</v>
      </c>
      <c r="H96" s="7">
        <v>0.32545027549718214</v>
      </c>
      <c r="I96" s="7">
        <v>0.35782944279600898</v>
      </c>
      <c r="J96" s="4">
        <v>4</v>
      </c>
      <c r="K96" s="4" t="s">
        <v>386</v>
      </c>
      <c r="L96" s="4" t="s">
        <v>387</v>
      </c>
    </row>
    <row r="97" spans="1:12">
      <c r="A97" s="4" t="s">
        <v>165</v>
      </c>
      <c r="B97" s="4" t="s">
        <v>331</v>
      </c>
      <c r="C97" s="7">
        <v>0.55436403055527272</v>
      </c>
      <c r="D97" s="7">
        <v>0.49652589822772131</v>
      </c>
      <c r="E97" s="7">
        <v>0.53255058706853853</v>
      </c>
      <c r="F97" s="7">
        <v>0.60579594959259686</v>
      </c>
      <c r="G97" s="7">
        <v>0.54730911636103241</v>
      </c>
      <c r="H97" s="7">
        <v>0.49652589822772131</v>
      </c>
      <c r="I97" s="7">
        <v>0.60579594959259686</v>
      </c>
      <c r="J97" s="4">
        <v>4</v>
      </c>
      <c r="K97" s="4" t="s">
        <v>386</v>
      </c>
      <c r="L97" s="4" t="s">
        <v>387</v>
      </c>
    </row>
    <row r="98" spans="1:12">
      <c r="A98" s="4" t="s">
        <v>167</v>
      </c>
      <c r="B98" s="4" t="s">
        <v>327</v>
      </c>
      <c r="C98" s="7">
        <v>0.29012345679012347</v>
      </c>
      <c r="D98" s="7">
        <v>0.26666666666666666</v>
      </c>
      <c r="E98" s="7">
        <v>0.1630901287553648</v>
      </c>
      <c r="F98" s="7">
        <v>0.25126903553299496</v>
      </c>
      <c r="G98" s="7">
        <v>0.24278732193628746</v>
      </c>
      <c r="H98" s="7">
        <v>0.1630901287553648</v>
      </c>
      <c r="I98" s="7">
        <v>0.29012345679012347</v>
      </c>
      <c r="J98" s="4">
        <v>4</v>
      </c>
      <c r="K98" s="4" t="s">
        <v>386</v>
      </c>
      <c r="L98" s="4" t="s">
        <v>387</v>
      </c>
    </row>
    <row r="99" spans="1:12">
      <c r="A99" s="4" t="s">
        <v>167</v>
      </c>
      <c r="B99" s="4" t="s">
        <v>331</v>
      </c>
      <c r="C99" s="7">
        <v>0.43715846994535518</v>
      </c>
      <c r="D99" s="7">
        <v>0.42076502732240439</v>
      </c>
      <c r="E99" s="7">
        <v>0.32</v>
      </c>
      <c r="F99" s="7">
        <v>0.55799373040752354</v>
      </c>
      <c r="G99" s="7">
        <v>0.43397930691882081</v>
      </c>
      <c r="H99" s="7">
        <v>0.32</v>
      </c>
      <c r="I99" s="7">
        <v>0.55799373040752354</v>
      </c>
      <c r="J99" s="4">
        <v>4</v>
      </c>
      <c r="K99" s="4" t="s">
        <v>386</v>
      </c>
      <c r="L99" s="4" t="s">
        <v>387</v>
      </c>
    </row>
    <row r="100" spans="1:12">
      <c r="A100" s="4" t="s">
        <v>169</v>
      </c>
      <c r="B100" s="4" t="s">
        <v>327</v>
      </c>
      <c r="C100" s="7">
        <v>0.53198813931645828</v>
      </c>
      <c r="D100" s="7">
        <v>0.56140381727445055</v>
      </c>
      <c r="E100" s="7">
        <v>0.58597163664239171</v>
      </c>
      <c r="F100" s="7">
        <v>0.49564673897666855</v>
      </c>
      <c r="G100" s="7">
        <v>0.5437525830524923</v>
      </c>
      <c r="H100" s="7">
        <v>0.49564673897666855</v>
      </c>
      <c r="I100" s="7">
        <v>0.58597163664239171</v>
      </c>
      <c r="J100" s="4">
        <v>4</v>
      </c>
      <c r="K100" s="4" t="s">
        <v>386</v>
      </c>
      <c r="L100" s="4" t="s">
        <v>387</v>
      </c>
    </row>
    <row r="101" spans="1:12">
      <c r="A101" s="4" t="s">
        <v>169</v>
      </c>
      <c r="B101" s="4" t="s">
        <v>331</v>
      </c>
      <c r="C101" s="7">
        <v>0.58651905860842624</v>
      </c>
      <c r="D101" s="7">
        <v>0.65941586607974811</v>
      </c>
      <c r="E101" s="7">
        <v>0.70348002055088965</v>
      </c>
      <c r="F101" s="7">
        <v>0.66922351165204264</v>
      </c>
      <c r="G101" s="7">
        <v>0.65465961422277663</v>
      </c>
      <c r="H101" s="7">
        <v>0.58651905860842624</v>
      </c>
      <c r="I101" s="7">
        <v>0.70348002055088965</v>
      </c>
      <c r="J101" s="4">
        <v>4</v>
      </c>
      <c r="K101" s="4" t="s">
        <v>386</v>
      </c>
      <c r="L101" s="4" t="s">
        <v>387</v>
      </c>
    </row>
    <row r="102" spans="1:12">
      <c r="A102" s="4" t="s">
        <v>171</v>
      </c>
      <c r="B102" s="4" t="s">
        <v>327</v>
      </c>
      <c r="C102" s="7">
        <v>0.53998709269299461</v>
      </c>
      <c r="D102" s="7">
        <v>0.4734641785027362</v>
      </c>
      <c r="E102" s="7">
        <v>0.51506932304817921</v>
      </c>
      <c r="F102" s="7">
        <v>0.5064670990375516</v>
      </c>
      <c r="G102" s="7">
        <v>0.50874692332036542</v>
      </c>
      <c r="H102" s="7">
        <v>0.4734641785027362</v>
      </c>
      <c r="I102" s="7">
        <v>0.53998709269299461</v>
      </c>
      <c r="J102" s="4">
        <v>4</v>
      </c>
      <c r="K102" s="4" t="s">
        <v>386</v>
      </c>
      <c r="L102" s="4" t="s">
        <v>387</v>
      </c>
    </row>
    <row r="103" spans="1:12">
      <c r="A103" s="4" t="s">
        <v>171</v>
      </c>
      <c r="B103" s="4" t="s">
        <v>331</v>
      </c>
      <c r="C103" s="7">
        <v>0.55639260570761462</v>
      </c>
      <c r="D103" s="7">
        <v>0.46080383729161595</v>
      </c>
      <c r="E103" s="7">
        <v>0.52671982393790528</v>
      </c>
      <c r="F103" s="7">
        <v>0.4946990450909397</v>
      </c>
      <c r="G103" s="7">
        <v>0.50965382800701886</v>
      </c>
      <c r="H103" s="7">
        <v>0.46080383729161595</v>
      </c>
      <c r="I103" s="7">
        <v>0.55639260570761462</v>
      </c>
      <c r="J103" s="4">
        <v>4</v>
      </c>
      <c r="K103" s="4" t="s">
        <v>386</v>
      </c>
      <c r="L103" s="4" t="s">
        <v>387</v>
      </c>
    </row>
    <row r="104" spans="1:12">
      <c r="A104" s="4" t="s">
        <v>173</v>
      </c>
      <c r="B104" s="4" t="s">
        <v>327</v>
      </c>
      <c r="C104" s="7">
        <v>1.1850501367365542E-2</v>
      </c>
      <c r="D104" s="7">
        <v>1.0395646058827127E-2</v>
      </c>
      <c r="E104" s="7">
        <v>7.4237327456211583E-3</v>
      </c>
      <c r="F104" s="7">
        <v>6.0105184072126224E-3</v>
      </c>
      <c r="G104" s="7">
        <v>8.9200996447566117E-3</v>
      </c>
      <c r="H104" s="7">
        <v>6.0105184072126224E-3</v>
      </c>
      <c r="I104" s="7">
        <v>1.1850501367365542E-2</v>
      </c>
      <c r="J104" s="4">
        <v>4</v>
      </c>
      <c r="K104" s="4" t="s">
        <v>386</v>
      </c>
      <c r="L104" s="4" t="s">
        <v>387</v>
      </c>
    </row>
    <row r="105" spans="1:12">
      <c r="A105" s="4" t="s">
        <v>173</v>
      </c>
      <c r="B105" s="4" t="s">
        <v>331</v>
      </c>
      <c r="C105" s="7">
        <v>1.2058098109070979E-2</v>
      </c>
      <c r="D105" s="7">
        <v>9.4637223974763408E-3</v>
      </c>
      <c r="E105" s="7">
        <v>7.8636959370904317E-3</v>
      </c>
      <c r="F105" s="7">
        <v>7.9113924050632899E-3</v>
      </c>
      <c r="G105" s="7">
        <v>9.3242272121752609E-3</v>
      </c>
      <c r="H105" s="7">
        <v>7.8636959370904317E-3</v>
      </c>
      <c r="I105" s="7">
        <v>1.2058098109070979E-2</v>
      </c>
      <c r="J105" s="4">
        <v>4</v>
      </c>
      <c r="K105" s="4" t="s">
        <v>386</v>
      </c>
      <c r="L105" s="4" t="s">
        <v>387</v>
      </c>
    </row>
    <row r="106" spans="1:12">
      <c r="A106" s="4" t="s">
        <v>175</v>
      </c>
      <c r="B106" s="4" t="s">
        <v>327</v>
      </c>
      <c r="C106" s="7">
        <v>0.36751269976639844</v>
      </c>
      <c r="D106" s="7">
        <v>0.36291333422760347</v>
      </c>
      <c r="E106" s="7">
        <v>0.38776157720078736</v>
      </c>
      <c r="F106" s="7">
        <v>0.41419098835691537</v>
      </c>
      <c r="G106" s="7">
        <v>0.38309464988792619</v>
      </c>
      <c r="H106" s="7">
        <v>0.36291333422760347</v>
      </c>
      <c r="I106" s="7">
        <v>0.41419098835691537</v>
      </c>
      <c r="J106" s="4">
        <v>4</v>
      </c>
      <c r="K106" s="4" t="s">
        <v>386</v>
      </c>
      <c r="L106" s="4" t="s">
        <v>387</v>
      </c>
    </row>
    <row r="107" spans="1:12">
      <c r="A107" s="4" t="s">
        <v>175</v>
      </c>
      <c r="B107" s="4" t="s">
        <v>331</v>
      </c>
      <c r="C107" s="7">
        <v>0.8771428777175283</v>
      </c>
      <c r="D107" s="7">
        <v>0.7921266061630986</v>
      </c>
      <c r="E107" s="7">
        <v>0.55629949771164655</v>
      </c>
      <c r="F107" s="7">
        <v>0.55692186775683372</v>
      </c>
      <c r="G107" s="7">
        <v>0.69562271233727679</v>
      </c>
      <c r="H107" s="7">
        <v>0.55629949771164655</v>
      </c>
      <c r="I107" s="7">
        <v>0.8771428777175283</v>
      </c>
      <c r="J107" s="4">
        <v>4</v>
      </c>
      <c r="K107" s="4" t="s">
        <v>386</v>
      </c>
      <c r="L107" s="4" t="s">
        <v>387</v>
      </c>
    </row>
    <row r="108" spans="1:12">
      <c r="A108" s="4" t="s">
        <v>177</v>
      </c>
      <c r="B108" s="4" t="s">
        <v>327</v>
      </c>
      <c r="C108" s="7">
        <v>0.38191183476248808</v>
      </c>
      <c r="D108" s="7">
        <v>0.36759784664629713</v>
      </c>
      <c r="E108" s="7">
        <v>0.39223523598978888</v>
      </c>
      <c r="F108" s="7">
        <v>0.3788520871474314</v>
      </c>
      <c r="G108" s="7">
        <v>0.38014925113650139</v>
      </c>
      <c r="H108" s="7">
        <v>0.36759784664629713</v>
      </c>
      <c r="I108" s="7">
        <v>0.39223523598978888</v>
      </c>
      <c r="J108" s="4">
        <v>4</v>
      </c>
      <c r="K108" s="4" t="s">
        <v>386</v>
      </c>
      <c r="L108" s="4" t="s">
        <v>387</v>
      </c>
    </row>
    <row r="109" spans="1:12">
      <c r="A109" s="4" t="s">
        <v>177</v>
      </c>
      <c r="B109" s="4" t="s">
        <v>331</v>
      </c>
      <c r="C109" s="7">
        <v>0.27196231014438405</v>
      </c>
      <c r="D109" s="7">
        <v>0.28791811911295706</v>
      </c>
      <c r="E109" s="7">
        <v>0.29715232026496746</v>
      </c>
      <c r="F109" s="7">
        <v>0.303796655174629</v>
      </c>
      <c r="G109" s="7">
        <v>0.29020735117423441</v>
      </c>
      <c r="H109" s="7">
        <v>0.27196231014438405</v>
      </c>
      <c r="I109" s="7">
        <v>0.303796655174629</v>
      </c>
      <c r="J109" s="4">
        <v>4</v>
      </c>
      <c r="K109" s="4" t="s">
        <v>386</v>
      </c>
      <c r="L109" s="4" t="s">
        <v>387</v>
      </c>
    </row>
    <row r="110" spans="1:12">
      <c r="A110" s="4" t="s">
        <v>179</v>
      </c>
      <c r="B110" s="4" t="s">
        <v>327</v>
      </c>
      <c r="C110" s="7">
        <v>0.43065439625396967</v>
      </c>
      <c r="D110" s="7">
        <v>0.40917421652606811</v>
      </c>
      <c r="E110" s="7">
        <v>0.53556865250107466</v>
      </c>
      <c r="F110" s="7">
        <v>0.55161549014259947</v>
      </c>
      <c r="G110" s="7">
        <v>0.48175318885592799</v>
      </c>
      <c r="H110" s="7">
        <v>0.40917421652606811</v>
      </c>
      <c r="I110" s="7">
        <v>0.55161549014259947</v>
      </c>
      <c r="J110" s="4">
        <v>4</v>
      </c>
      <c r="K110" s="4" t="s">
        <v>386</v>
      </c>
      <c r="L110" s="4" t="s">
        <v>387</v>
      </c>
    </row>
    <row r="111" spans="1:12">
      <c r="A111" s="4" t="s">
        <v>179</v>
      </c>
      <c r="B111" s="4" t="s">
        <v>331</v>
      </c>
      <c r="C111" s="7">
        <v>7.4617169373549896E-2</v>
      </c>
      <c r="D111" s="7">
        <v>8.8967032967032969E-2</v>
      </c>
      <c r="E111" s="7">
        <v>0.11035230079129077</v>
      </c>
      <c r="F111" s="7">
        <v>0.12472574777126669</v>
      </c>
      <c r="G111" s="7">
        <v>9.9665562725785084E-2</v>
      </c>
      <c r="H111" s="7">
        <v>7.4617169373549896E-2</v>
      </c>
      <c r="I111" s="7">
        <v>0.12472574777126669</v>
      </c>
      <c r="J111" s="4">
        <v>4</v>
      </c>
      <c r="K111" s="4" t="s">
        <v>386</v>
      </c>
      <c r="L111" s="4" t="s">
        <v>387</v>
      </c>
    </row>
    <row r="112" spans="1:12">
      <c r="A112" s="4" t="s">
        <v>181</v>
      </c>
      <c r="B112" s="4" t="s">
        <v>327</v>
      </c>
      <c r="C112" s="7">
        <v>0.60258815377135</v>
      </c>
      <c r="D112" s="7">
        <v>0.63825897412394195</v>
      </c>
      <c r="E112" s="7">
        <v>0.61846994418058399</v>
      </c>
      <c r="F112" s="7">
        <v>0.62725740592903212</v>
      </c>
      <c r="G112" s="7">
        <v>0.62164361950122704</v>
      </c>
      <c r="H112" s="7">
        <v>0.60258815377135</v>
      </c>
      <c r="I112" s="7">
        <v>0.63825897412394195</v>
      </c>
      <c r="J112" s="4">
        <v>4</v>
      </c>
      <c r="K112" s="4" t="s">
        <v>386</v>
      </c>
      <c r="L112" s="4" t="s">
        <v>387</v>
      </c>
    </row>
    <row r="113" spans="1:12">
      <c r="A113" s="4" t="s">
        <v>181</v>
      </c>
      <c r="B113" s="4" t="s">
        <v>331</v>
      </c>
      <c r="C113" s="7">
        <v>0.65262725674617938</v>
      </c>
      <c r="D113" s="7">
        <v>0.67307955382510787</v>
      </c>
      <c r="E113" s="7">
        <v>0.65084505952446747</v>
      </c>
      <c r="F113" s="7">
        <v>0.59114027891714516</v>
      </c>
      <c r="G113" s="7">
        <v>0.64192303725322497</v>
      </c>
      <c r="H113" s="7">
        <v>0.59114027891714516</v>
      </c>
      <c r="I113" s="7">
        <v>0.67307955382510787</v>
      </c>
      <c r="J113" s="4">
        <v>4</v>
      </c>
      <c r="K113" s="4" t="s">
        <v>386</v>
      </c>
      <c r="L113" s="4" t="s">
        <v>387</v>
      </c>
    </row>
    <row r="114" spans="1:12">
      <c r="A114" s="4" t="s">
        <v>183</v>
      </c>
      <c r="B114" s="4" t="s">
        <v>327</v>
      </c>
      <c r="C114" s="7">
        <v>0.44395727640868921</v>
      </c>
      <c r="D114" s="7">
        <v>0.51646167808969423</v>
      </c>
      <c r="E114" s="7">
        <v>0.46342615214589528</v>
      </c>
      <c r="F114" s="7">
        <v>0.47127669452181992</v>
      </c>
      <c r="G114" s="7">
        <v>0.47378045029152466</v>
      </c>
      <c r="H114" s="7">
        <v>0.44395727640868921</v>
      </c>
      <c r="I114" s="7">
        <v>0.51646167808969423</v>
      </c>
      <c r="J114" s="4">
        <v>4</v>
      </c>
      <c r="K114" s="4" t="s">
        <v>386</v>
      </c>
      <c r="L114" s="4" t="s">
        <v>387</v>
      </c>
    </row>
    <row r="115" spans="1:12">
      <c r="A115" s="4" t="s">
        <v>183</v>
      </c>
      <c r="B115" s="4" t="s">
        <v>331</v>
      </c>
      <c r="C115" s="7">
        <v>0.12979872361315661</v>
      </c>
      <c r="D115" s="7">
        <v>0.14375645964483696</v>
      </c>
      <c r="E115" s="7">
        <v>0.1470477975632615</v>
      </c>
      <c r="F115" s="7">
        <v>0.19734937075398151</v>
      </c>
      <c r="G115" s="7">
        <v>0.15448808789380913</v>
      </c>
      <c r="H115" s="7">
        <v>0.12979872361315661</v>
      </c>
      <c r="I115" s="7">
        <v>0.19734937075398151</v>
      </c>
      <c r="J115" s="4">
        <v>4</v>
      </c>
      <c r="K115" s="4" t="s">
        <v>386</v>
      </c>
      <c r="L115" s="4" t="s">
        <v>387</v>
      </c>
    </row>
    <row r="116" spans="1:12">
      <c r="A116" s="4" t="s">
        <v>185</v>
      </c>
      <c r="B116" s="4" t="s">
        <v>327</v>
      </c>
      <c r="C116" s="7">
        <v>0.48335073102600618</v>
      </c>
      <c r="D116" s="7">
        <v>0.45010886603886674</v>
      </c>
      <c r="E116" s="7">
        <v>0.44477003626384803</v>
      </c>
      <c r="F116" s="7">
        <v>0.48170197188139147</v>
      </c>
      <c r="G116" s="7">
        <v>0.46498290130252812</v>
      </c>
      <c r="H116" s="7">
        <v>0.44477003626384803</v>
      </c>
      <c r="I116" s="7">
        <v>0.48335073102600618</v>
      </c>
      <c r="J116" s="4">
        <v>4</v>
      </c>
      <c r="K116" s="4" t="s">
        <v>386</v>
      </c>
      <c r="L116" s="4" t="s">
        <v>387</v>
      </c>
    </row>
    <row r="117" spans="1:12">
      <c r="A117" s="4" t="s">
        <v>185</v>
      </c>
      <c r="B117" s="4" t="s">
        <v>331</v>
      </c>
      <c r="C117" s="7">
        <v>0.42756615429196132</v>
      </c>
      <c r="D117" s="7">
        <v>0.37527075851941638</v>
      </c>
      <c r="E117" s="7">
        <v>0.43919034132546614</v>
      </c>
      <c r="F117" s="7">
        <v>0.47774947203812906</v>
      </c>
      <c r="G117" s="7">
        <v>0.42994418154374325</v>
      </c>
      <c r="H117" s="7">
        <v>0.37527075851941638</v>
      </c>
      <c r="I117" s="7">
        <v>0.47774947203812906</v>
      </c>
      <c r="J117" s="4">
        <v>4</v>
      </c>
      <c r="K117" s="4" t="s">
        <v>386</v>
      </c>
      <c r="L117" s="4" t="s">
        <v>387</v>
      </c>
    </row>
    <row r="118" spans="1:12">
      <c r="A118" s="4" t="s">
        <v>187</v>
      </c>
      <c r="B118" s="4" t="s">
        <v>327</v>
      </c>
      <c r="C118" s="7">
        <v>0.44576334742945334</v>
      </c>
      <c r="D118" s="7">
        <v>0.43634991513290006</v>
      </c>
      <c r="E118" s="7">
        <v>0.41105486617359904</v>
      </c>
      <c r="F118" s="7">
        <v>0.45193123385008194</v>
      </c>
      <c r="G118" s="7">
        <v>0.43627484064650857</v>
      </c>
      <c r="H118" s="7">
        <v>0.41105486617359904</v>
      </c>
      <c r="I118" s="7">
        <v>0.45193123385008194</v>
      </c>
      <c r="J118" s="4">
        <v>4</v>
      </c>
      <c r="K118" s="4" t="s">
        <v>386</v>
      </c>
      <c r="L118" s="4" t="s">
        <v>387</v>
      </c>
    </row>
    <row r="119" spans="1:12">
      <c r="A119" s="4" t="s">
        <v>187</v>
      </c>
      <c r="B119" s="4" t="s">
        <v>331</v>
      </c>
      <c r="C119" s="7">
        <v>0.30331153166585212</v>
      </c>
      <c r="D119" s="7">
        <v>0.30560594265202734</v>
      </c>
      <c r="E119" s="7">
        <v>0.32165544206787539</v>
      </c>
      <c r="F119" s="7">
        <v>0.33896711687010778</v>
      </c>
      <c r="G119" s="7">
        <v>0.31738500831396566</v>
      </c>
      <c r="H119" s="7">
        <v>0.30331153166585212</v>
      </c>
      <c r="I119" s="7">
        <v>0.33896711687010778</v>
      </c>
      <c r="J119" s="4">
        <v>4</v>
      </c>
      <c r="K119" s="4" t="s">
        <v>386</v>
      </c>
      <c r="L119" s="4" t="s">
        <v>387</v>
      </c>
    </row>
    <row r="120" spans="1:12">
      <c r="A120" s="4" t="s">
        <v>189</v>
      </c>
      <c r="B120" s="4" t="s">
        <v>327</v>
      </c>
      <c r="C120" s="7">
        <v>0.36979887359359082</v>
      </c>
      <c r="D120" s="7">
        <v>0.34746322993309586</v>
      </c>
      <c r="E120" s="7">
        <v>0.3470165394791519</v>
      </c>
      <c r="F120" s="7">
        <v>0.34710507890343079</v>
      </c>
      <c r="G120" s="7">
        <v>0.35284593047731733</v>
      </c>
      <c r="H120" s="7">
        <v>0.3470165394791519</v>
      </c>
      <c r="I120" s="7">
        <v>0.36979887359359082</v>
      </c>
      <c r="J120" s="4">
        <v>4</v>
      </c>
      <c r="K120" s="4" t="s">
        <v>386</v>
      </c>
      <c r="L120" s="4" t="s">
        <v>387</v>
      </c>
    </row>
    <row r="121" spans="1:12">
      <c r="A121" s="4" t="s">
        <v>189</v>
      </c>
      <c r="B121" s="4" t="s">
        <v>331</v>
      </c>
      <c r="C121" s="7">
        <v>0.25260018448601984</v>
      </c>
      <c r="D121" s="7">
        <v>0.25272515580221722</v>
      </c>
      <c r="E121" s="7">
        <v>0.24596191996996591</v>
      </c>
      <c r="F121" s="7">
        <v>0.25263746237809714</v>
      </c>
      <c r="G121" s="7">
        <v>0.25098118065907504</v>
      </c>
      <c r="H121" s="7">
        <v>0.24596191996996591</v>
      </c>
      <c r="I121" s="7">
        <v>0.25272515580221722</v>
      </c>
      <c r="J121" s="4">
        <v>4</v>
      </c>
      <c r="K121" s="4" t="s">
        <v>386</v>
      </c>
      <c r="L121" s="4" t="s">
        <v>387</v>
      </c>
    </row>
    <row r="122" spans="1:12">
      <c r="A122" s="4" t="s">
        <v>191</v>
      </c>
      <c r="B122" s="4" t="s">
        <v>327</v>
      </c>
      <c r="C122" s="7">
        <v>0.51711548199119928</v>
      </c>
      <c r="D122" s="7">
        <v>0.39276753260382186</v>
      </c>
      <c r="E122" s="7">
        <v>0.40308351870254694</v>
      </c>
      <c r="F122" s="7">
        <v>0.47459935381173818</v>
      </c>
      <c r="G122" s="7">
        <v>0.44689147177732658</v>
      </c>
      <c r="H122" s="7">
        <v>0.39276753260382186</v>
      </c>
      <c r="I122" s="7">
        <v>0.51711548199119928</v>
      </c>
      <c r="J122" s="4">
        <v>4</v>
      </c>
      <c r="K122" s="4" t="s">
        <v>386</v>
      </c>
      <c r="L122" s="4" t="s">
        <v>387</v>
      </c>
    </row>
    <row r="123" spans="1:12">
      <c r="A123" s="4" t="s">
        <v>191</v>
      </c>
      <c r="B123" s="4" t="s">
        <v>331</v>
      </c>
      <c r="C123" s="7">
        <v>0.20501746126445017</v>
      </c>
      <c r="D123" s="7">
        <v>0.2091128665684738</v>
      </c>
      <c r="E123" s="7">
        <v>0.21920389644275651</v>
      </c>
      <c r="F123" s="7">
        <v>0.25308006389108056</v>
      </c>
      <c r="G123" s="7">
        <v>0.22160357204169026</v>
      </c>
      <c r="H123" s="7">
        <v>0.20501746126445017</v>
      </c>
      <c r="I123" s="7">
        <v>0.25308006389108056</v>
      </c>
      <c r="J123" s="4">
        <v>4</v>
      </c>
      <c r="K123" s="4" t="s">
        <v>386</v>
      </c>
      <c r="L123" s="4" t="s">
        <v>387</v>
      </c>
    </row>
    <row r="124" spans="1:12">
      <c r="A124" s="4" t="s">
        <v>193</v>
      </c>
      <c r="B124" s="4" t="s">
        <v>327</v>
      </c>
      <c r="C124" s="7">
        <v>0.54473731023845662</v>
      </c>
      <c r="D124" s="7">
        <v>0.49785260347556221</v>
      </c>
      <c r="E124" s="7">
        <v>0.49238078385579181</v>
      </c>
      <c r="F124" s="7">
        <v>0.48295831706050146</v>
      </c>
      <c r="G124" s="7">
        <v>0.50448225365757804</v>
      </c>
      <c r="H124" s="7">
        <v>0.48295831706050146</v>
      </c>
      <c r="I124" s="7">
        <v>0.54473731023845662</v>
      </c>
      <c r="J124" s="4">
        <v>4</v>
      </c>
      <c r="K124" s="4" t="s">
        <v>386</v>
      </c>
      <c r="L124" s="4" t="s">
        <v>387</v>
      </c>
    </row>
    <row r="125" spans="1:12">
      <c r="A125" s="4" t="s">
        <v>193</v>
      </c>
      <c r="B125" s="4" t="s">
        <v>331</v>
      </c>
      <c r="C125" s="7">
        <v>0.46318541368366917</v>
      </c>
      <c r="D125" s="7">
        <v>0.42480507626155306</v>
      </c>
      <c r="E125" s="7">
        <v>0.44437523970724813</v>
      </c>
      <c r="F125" s="7">
        <v>0.41178898447825862</v>
      </c>
      <c r="G125" s="7">
        <v>0.43603867853268224</v>
      </c>
      <c r="H125" s="7">
        <v>0.41178898447825862</v>
      </c>
      <c r="I125" s="7">
        <v>0.46318541368366917</v>
      </c>
      <c r="J125" s="4">
        <v>4</v>
      </c>
      <c r="K125" s="4" t="s">
        <v>386</v>
      </c>
      <c r="L125" s="4" t="s">
        <v>387</v>
      </c>
    </row>
    <row r="126" spans="1:12">
      <c r="A126" s="4" t="s">
        <v>195</v>
      </c>
      <c r="B126" s="4" t="s">
        <v>327</v>
      </c>
      <c r="C126" s="7">
        <v>0.74527162642725675</v>
      </c>
      <c r="D126" s="7">
        <v>0.78580980281515944</v>
      </c>
      <c r="E126" s="7">
        <v>0.78459485488803749</v>
      </c>
      <c r="F126" s="7">
        <v>0.77205915203502662</v>
      </c>
      <c r="G126" s="7">
        <v>0.77193385904137002</v>
      </c>
      <c r="H126" s="7">
        <v>0.74527162642725675</v>
      </c>
      <c r="I126" s="7">
        <v>0.78580980281515944</v>
      </c>
      <c r="J126" s="4">
        <v>4</v>
      </c>
      <c r="K126" s="4" t="s">
        <v>386</v>
      </c>
      <c r="L126" s="4" t="s">
        <v>387</v>
      </c>
    </row>
    <row r="127" spans="1:12">
      <c r="A127" s="4" t="s">
        <v>195</v>
      </c>
      <c r="B127" s="4" t="s">
        <v>331</v>
      </c>
      <c r="C127" s="7">
        <v>8.4139967377457103E-2</v>
      </c>
      <c r="D127" s="7">
        <v>9.008134409570262E-2</v>
      </c>
      <c r="E127" s="7">
        <v>8.6881284589601676E-2</v>
      </c>
      <c r="F127" s="7">
        <v>8.7373627256348757E-2</v>
      </c>
      <c r="G127" s="7">
        <v>8.7119055829777539E-2</v>
      </c>
      <c r="H127" s="7">
        <v>8.4139967377457103E-2</v>
      </c>
      <c r="I127" s="7">
        <v>9.008134409570262E-2</v>
      </c>
      <c r="J127" s="4">
        <v>4</v>
      </c>
      <c r="K127" s="4" t="s">
        <v>386</v>
      </c>
      <c r="L127" s="4" t="s">
        <v>387</v>
      </c>
    </row>
    <row r="128" spans="1:12">
      <c r="A128" s="4" t="s">
        <v>197</v>
      </c>
      <c r="B128" s="4" t="s">
        <v>327</v>
      </c>
      <c r="C128" s="7">
        <v>0.27380952380952384</v>
      </c>
      <c r="D128" s="7">
        <v>0.25</v>
      </c>
      <c r="E128" s="7">
        <v>0.22410147991543339</v>
      </c>
      <c r="F128" s="7">
        <v>0.19634703196347034</v>
      </c>
      <c r="G128" s="7">
        <v>0.2360645089221069</v>
      </c>
      <c r="H128" s="7">
        <v>0.19634703196347034</v>
      </c>
      <c r="I128" s="7">
        <v>0.27380952380952384</v>
      </c>
      <c r="J128" s="4">
        <v>4</v>
      </c>
      <c r="K128" s="4" t="s">
        <v>386</v>
      </c>
      <c r="L128" s="4" t="s">
        <v>387</v>
      </c>
    </row>
    <row r="129" spans="1:12">
      <c r="A129" s="4" t="s">
        <v>197</v>
      </c>
      <c r="B129" s="4" t="s">
        <v>331</v>
      </c>
      <c r="C129" s="7">
        <v>1.8518518518518517E-2</v>
      </c>
      <c r="D129" s="7">
        <v>0</v>
      </c>
      <c r="E129" s="7">
        <v>1.5873015873015872E-2</v>
      </c>
      <c r="F129" s="7">
        <v>1.2658227848101266E-2</v>
      </c>
      <c r="G129" s="7">
        <v>1.1762440559908913E-2</v>
      </c>
      <c r="H129" s="7">
        <v>0</v>
      </c>
      <c r="I129" s="7">
        <v>1.8518518518518517E-2</v>
      </c>
      <c r="J129" s="4">
        <v>4</v>
      </c>
      <c r="K129" s="4" t="s">
        <v>386</v>
      </c>
      <c r="L129" s="4" t="s">
        <v>387</v>
      </c>
    </row>
    <row r="130" spans="1:12">
      <c r="A130" s="4" t="s">
        <v>199</v>
      </c>
      <c r="B130" s="4" t="s">
        <v>327</v>
      </c>
      <c r="C130" s="7">
        <v>0.42844302676839696</v>
      </c>
      <c r="D130" s="7">
        <v>0.3917248355313957</v>
      </c>
      <c r="E130" s="7">
        <v>0.53878284560718215</v>
      </c>
      <c r="F130" s="7">
        <v>0.37974676838313198</v>
      </c>
      <c r="G130" s="7">
        <v>0.43467436907252671</v>
      </c>
      <c r="H130" s="7">
        <v>0.37974676838313198</v>
      </c>
      <c r="I130" s="7">
        <v>0.53878284560718215</v>
      </c>
      <c r="J130" s="4">
        <v>4</v>
      </c>
      <c r="K130" s="4" t="s">
        <v>386</v>
      </c>
      <c r="L130" s="4" t="s">
        <v>387</v>
      </c>
    </row>
    <row r="131" spans="1:12">
      <c r="A131" s="4" t="s">
        <v>199</v>
      </c>
      <c r="B131" s="4" t="s">
        <v>331</v>
      </c>
      <c r="C131" s="7">
        <v>0.980174331057167</v>
      </c>
      <c r="D131" s="7">
        <v>0.98411748476884109</v>
      </c>
      <c r="E131" s="7">
        <v>0.97784027127702966</v>
      </c>
      <c r="F131" s="7">
        <v>0.98057826104170498</v>
      </c>
      <c r="G131" s="7">
        <v>0.98067758703618568</v>
      </c>
      <c r="H131" s="7">
        <v>0.97784027127702966</v>
      </c>
      <c r="I131" s="7">
        <v>0.98411748476884109</v>
      </c>
      <c r="J131" s="4">
        <v>4</v>
      </c>
      <c r="K131" s="4" t="s">
        <v>386</v>
      </c>
      <c r="L131" s="4" t="s">
        <v>387</v>
      </c>
    </row>
    <row r="132" spans="1:12">
      <c r="A132" s="4" t="s">
        <v>201</v>
      </c>
      <c r="B132" s="4" t="s">
        <v>327</v>
      </c>
      <c r="C132" s="7">
        <v>0.28730031940275669</v>
      </c>
      <c r="D132" s="7">
        <v>0.29431676927857825</v>
      </c>
      <c r="E132" s="7">
        <v>0.28784496974781226</v>
      </c>
      <c r="F132" s="7">
        <v>0.26307380106116018</v>
      </c>
      <c r="G132" s="7">
        <v>0.28313396487257686</v>
      </c>
      <c r="H132" s="7">
        <v>0.26307380106116018</v>
      </c>
      <c r="I132" s="7">
        <v>0.29431676927857825</v>
      </c>
      <c r="J132" s="4">
        <v>4</v>
      </c>
      <c r="K132" s="4" t="s">
        <v>386</v>
      </c>
      <c r="L132" s="4" t="s">
        <v>387</v>
      </c>
    </row>
    <row r="133" spans="1:12">
      <c r="A133" s="4" t="s">
        <v>201</v>
      </c>
      <c r="B133" s="4" t="s">
        <v>331</v>
      </c>
      <c r="C133" s="7">
        <v>0.16414113828243265</v>
      </c>
      <c r="D133" s="7">
        <v>0.35445429609991164</v>
      </c>
      <c r="E133" s="7">
        <v>0.29667984286059307</v>
      </c>
      <c r="F133" s="7">
        <v>0.25537199419283363</v>
      </c>
      <c r="G133" s="7">
        <v>0.26766181785894272</v>
      </c>
      <c r="H133" s="7">
        <v>0.16414113828243265</v>
      </c>
      <c r="I133" s="7">
        <v>0.35445429609991164</v>
      </c>
      <c r="J133" s="4">
        <v>4</v>
      </c>
      <c r="K133" s="4" t="s">
        <v>386</v>
      </c>
      <c r="L133" s="4" t="s">
        <v>387</v>
      </c>
    </row>
    <row r="134" spans="1:12">
      <c r="A134" s="4" t="s">
        <v>203</v>
      </c>
      <c r="B134" s="4" t="s">
        <v>327</v>
      </c>
      <c r="C134" s="7">
        <v>0.35378354875182116</v>
      </c>
      <c r="D134" s="7">
        <v>0.35404647922556437</v>
      </c>
      <c r="E134" s="7">
        <v>0.34885730713609514</v>
      </c>
      <c r="F134" s="7">
        <v>0.3520112362870253</v>
      </c>
      <c r="G134" s="7">
        <v>0.35217464285012651</v>
      </c>
      <c r="H134" s="7">
        <v>0.34885730713609514</v>
      </c>
      <c r="I134" s="7">
        <v>0.35404647922556437</v>
      </c>
      <c r="J134" s="4">
        <v>4</v>
      </c>
      <c r="K134" s="4" t="s">
        <v>386</v>
      </c>
      <c r="L134" s="4" t="s">
        <v>387</v>
      </c>
    </row>
    <row r="135" spans="1:12">
      <c r="A135" s="4" t="s">
        <v>203</v>
      </c>
      <c r="B135" s="4" t="s">
        <v>331</v>
      </c>
      <c r="C135" s="7">
        <v>0.26750997129039095</v>
      </c>
      <c r="D135" s="7">
        <v>0.27851111795755634</v>
      </c>
      <c r="E135" s="7">
        <v>0.29810410722657338</v>
      </c>
      <c r="F135" s="7">
        <v>0.31461303984178179</v>
      </c>
      <c r="G135" s="7">
        <v>0.28968455907907564</v>
      </c>
      <c r="H135" s="7">
        <v>0.26750997129039095</v>
      </c>
      <c r="I135" s="7">
        <v>0.31461303984178179</v>
      </c>
      <c r="J135" s="4">
        <v>4</v>
      </c>
      <c r="K135" s="4" t="s">
        <v>386</v>
      </c>
      <c r="L135" s="4" t="s">
        <v>387</v>
      </c>
    </row>
    <row r="136" spans="1:12">
      <c r="A136" s="4" t="s">
        <v>205</v>
      </c>
      <c r="B136" s="4" t="s">
        <v>327</v>
      </c>
      <c r="C136" s="7">
        <v>0.37262184028975948</v>
      </c>
      <c r="D136" s="7">
        <v>0.3890855893345464</v>
      </c>
      <c r="E136" s="7">
        <v>0.40887058086478029</v>
      </c>
      <c r="F136" s="7">
        <v>0.35913505829975262</v>
      </c>
      <c r="G136" s="7">
        <v>0.38242826719720968</v>
      </c>
      <c r="H136" s="7">
        <v>0.35913505829975262</v>
      </c>
      <c r="I136" s="7">
        <v>0.40887058086478029</v>
      </c>
      <c r="J136" s="4">
        <v>4</v>
      </c>
      <c r="K136" s="4" t="s">
        <v>386</v>
      </c>
      <c r="L136" s="4" t="s">
        <v>387</v>
      </c>
    </row>
    <row r="137" spans="1:12">
      <c r="A137" s="4" t="s">
        <v>205</v>
      </c>
      <c r="B137" s="4" t="s">
        <v>331</v>
      </c>
      <c r="C137" s="7">
        <v>0.33370361458602277</v>
      </c>
      <c r="D137" s="7">
        <v>0.31400278081728739</v>
      </c>
      <c r="E137" s="7">
        <v>0.37617309303597801</v>
      </c>
      <c r="F137" s="7">
        <v>0.36811650390156597</v>
      </c>
      <c r="G137" s="7">
        <v>0.34799899808521351</v>
      </c>
      <c r="H137" s="7">
        <v>0.31400278081728739</v>
      </c>
      <c r="I137" s="7">
        <v>0.37617309303597801</v>
      </c>
      <c r="J137" s="4">
        <v>4</v>
      </c>
      <c r="K137" s="4" t="s">
        <v>386</v>
      </c>
      <c r="L137" s="4" t="s">
        <v>387</v>
      </c>
    </row>
    <row r="138" spans="1:12">
      <c r="A138" s="4" t="s">
        <v>207</v>
      </c>
      <c r="B138" s="4" t="s">
        <v>327</v>
      </c>
      <c r="C138" s="7">
        <v>0.35985479603070109</v>
      </c>
      <c r="D138" s="7">
        <v>0.33902746332394573</v>
      </c>
      <c r="E138" s="7">
        <v>0.36852293054507712</v>
      </c>
      <c r="F138" s="7">
        <v>0.3746827692557293</v>
      </c>
      <c r="G138" s="7">
        <v>0.3605219897888633</v>
      </c>
      <c r="H138" s="7">
        <v>0.33902746332394573</v>
      </c>
      <c r="I138" s="7">
        <v>0.3746827692557293</v>
      </c>
      <c r="J138" s="4">
        <v>4</v>
      </c>
      <c r="K138" s="4" t="s">
        <v>386</v>
      </c>
      <c r="L138" s="4" t="s">
        <v>387</v>
      </c>
    </row>
    <row r="139" spans="1:12">
      <c r="A139" s="4" t="s">
        <v>207</v>
      </c>
      <c r="B139" s="4" t="s">
        <v>331</v>
      </c>
      <c r="C139" s="7">
        <v>0.64288938966297959</v>
      </c>
      <c r="D139" s="7">
        <v>0.65590340043375928</v>
      </c>
      <c r="E139" s="7">
        <v>0.69707854123557889</v>
      </c>
      <c r="F139" s="7">
        <v>0.67361675724826686</v>
      </c>
      <c r="G139" s="7">
        <v>0.66737202214514613</v>
      </c>
      <c r="H139" s="7">
        <v>0.64288938966297959</v>
      </c>
      <c r="I139" s="7">
        <v>0.69707854123557889</v>
      </c>
      <c r="J139" s="4">
        <v>4</v>
      </c>
      <c r="K139" s="4" t="s">
        <v>386</v>
      </c>
      <c r="L139" s="4" t="s">
        <v>387</v>
      </c>
    </row>
    <row r="140" spans="1:12">
      <c r="A140" s="4" t="s">
        <v>209</v>
      </c>
      <c r="B140" s="4" t="s">
        <v>327</v>
      </c>
      <c r="C140" s="7">
        <v>0.55868588163655863</v>
      </c>
      <c r="D140" s="7">
        <v>0.58915136252030775</v>
      </c>
      <c r="E140" s="7">
        <v>0.61601785697251821</v>
      </c>
      <c r="F140" s="7">
        <v>0.60867207245155852</v>
      </c>
      <c r="G140" s="7">
        <v>0.59313179339523581</v>
      </c>
      <c r="H140" s="7">
        <v>0.55868588163655863</v>
      </c>
      <c r="I140" s="7">
        <v>0.61601785697251821</v>
      </c>
      <c r="J140" s="4">
        <v>4</v>
      </c>
      <c r="K140" s="4" t="s">
        <v>386</v>
      </c>
      <c r="L140" s="4" t="s">
        <v>387</v>
      </c>
    </row>
    <row r="141" spans="1:12">
      <c r="A141" s="4" t="s">
        <v>209</v>
      </c>
      <c r="B141" s="4" t="s">
        <v>331</v>
      </c>
      <c r="C141" s="7">
        <v>0.35082711430140107</v>
      </c>
      <c r="D141" s="7">
        <v>0.33290763533986856</v>
      </c>
      <c r="E141" s="7">
        <v>0.34427029835776346</v>
      </c>
      <c r="F141" s="7">
        <v>0.31189660072515568</v>
      </c>
      <c r="G141" s="7">
        <v>0.33497541218104721</v>
      </c>
      <c r="H141" s="7">
        <v>0.31189660072515568</v>
      </c>
      <c r="I141" s="7">
        <v>0.35082711430140107</v>
      </c>
      <c r="J141" s="4">
        <v>4</v>
      </c>
      <c r="K141" s="4" t="s">
        <v>386</v>
      </c>
      <c r="L141" s="4" t="s">
        <v>387</v>
      </c>
    </row>
    <row r="142" spans="1:12">
      <c r="A142" s="4" t="s">
        <v>211</v>
      </c>
      <c r="B142" s="4" t="s">
        <v>327</v>
      </c>
      <c r="C142" s="7">
        <v>0.6888669468803833</v>
      </c>
      <c r="D142" s="7">
        <v>0.679487494982151</v>
      </c>
      <c r="E142" s="7">
        <v>0.69774995186724853</v>
      </c>
      <c r="F142" s="7">
        <v>0.67146017181111783</v>
      </c>
      <c r="G142" s="7">
        <v>0.68439114138522517</v>
      </c>
      <c r="H142" s="7">
        <v>0.67146017181111783</v>
      </c>
      <c r="I142" s="7">
        <v>0.69774995186724853</v>
      </c>
      <c r="J142" s="4">
        <v>4</v>
      </c>
      <c r="K142" s="4" t="s">
        <v>386</v>
      </c>
      <c r="L142" s="4" t="s">
        <v>387</v>
      </c>
    </row>
    <row r="143" spans="1:12">
      <c r="A143" s="4" t="s">
        <v>211</v>
      </c>
      <c r="B143" s="4" t="s">
        <v>331</v>
      </c>
      <c r="C143" s="7">
        <v>0.2792953022493414</v>
      </c>
      <c r="D143" s="7">
        <v>0.37080394347211615</v>
      </c>
      <c r="E143" s="7">
        <v>0.40166540612134266</v>
      </c>
      <c r="F143" s="7">
        <v>0.33829076523768087</v>
      </c>
      <c r="G143" s="7">
        <v>0.34751385427012027</v>
      </c>
      <c r="H143" s="7">
        <v>0.2792953022493414</v>
      </c>
      <c r="I143" s="7">
        <v>0.40166540612134266</v>
      </c>
      <c r="J143" s="4">
        <v>4</v>
      </c>
      <c r="K143" s="4" t="s">
        <v>386</v>
      </c>
      <c r="L143" s="4" t="s">
        <v>387</v>
      </c>
    </row>
    <row r="144" spans="1:12">
      <c r="A144" s="4" t="s">
        <v>213</v>
      </c>
      <c r="B144" s="4" t="s">
        <v>327</v>
      </c>
      <c r="C144" s="7">
        <v>0.63683546648482425</v>
      </c>
      <c r="D144" s="7">
        <v>0.6313728470257407</v>
      </c>
      <c r="E144" s="7">
        <v>0.6357340152237243</v>
      </c>
      <c r="F144" s="7">
        <v>0.66424980250925669</v>
      </c>
      <c r="G144" s="7">
        <v>0.64204803281088652</v>
      </c>
      <c r="H144" s="7">
        <v>0.6313728470257407</v>
      </c>
      <c r="I144" s="7">
        <v>0.66424980250925669</v>
      </c>
      <c r="J144" s="4">
        <v>4</v>
      </c>
      <c r="K144" s="4" t="s">
        <v>386</v>
      </c>
      <c r="L144" s="4" t="s">
        <v>387</v>
      </c>
    </row>
    <row r="145" spans="1:12">
      <c r="A145" s="4" t="s">
        <v>213</v>
      </c>
      <c r="B145" s="4" t="s">
        <v>331</v>
      </c>
      <c r="C145" s="7">
        <v>0.7889647423282985</v>
      </c>
      <c r="D145" s="7">
        <v>0.78382816605359951</v>
      </c>
      <c r="E145" s="7">
        <v>0.8099015668986641</v>
      </c>
      <c r="F145" s="7">
        <v>0.83146331834567799</v>
      </c>
      <c r="G145" s="7">
        <v>0.80353944840656</v>
      </c>
      <c r="H145" s="7">
        <v>0.78382816605359951</v>
      </c>
      <c r="I145" s="7">
        <v>0.83146331834567799</v>
      </c>
      <c r="J145" s="4">
        <v>4</v>
      </c>
      <c r="K145" s="4" t="s">
        <v>386</v>
      </c>
      <c r="L145" s="4" t="s">
        <v>387</v>
      </c>
    </row>
    <row r="146" spans="1:12">
      <c r="A146" s="4" t="s">
        <v>215</v>
      </c>
      <c r="B146" s="4" t="s">
        <v>327</v>
      </c>
      <c r="C146" s="7">
        <v>0.40233059037941132</v>
      </c>
      <c r="D146" s="7">
        <v>0.46512318195310182</v>
      </c>
      <c r="E146" s="7">
        <v>0.40738730180271876</v>
      </c>
      <c r="F146" s="7">
        <v>0.40272643705137984</v>
      </c>
      <c r="G146" s="7">
        <v>0.41939187779665293</v>
      </c>
      <c r="H146" s="7">
        <v>0.40233059037941132</v>
      </c>
      <c r="I146" s="7">
        <v>0.46512318195310182</v>
      </c>
      <c r="J146" s="4">
        <v>4</v>
      </c>
      <c r="K146" s="4" t="s">
        <v>386</v>
      </c>
      <c r="L146" s="4" t="s">
        <v>387</v>
      </c>
    </row>
    <row r="147" spans="1:12">
      <c r="A147" s="4" t="s">
        <v>215</v>
      </c>
      <c r="B147" s="4" t="s">
        <v>331</v>
      </c>
      <c r="C147" s="7">
        <v>0.15142697764175547</v>
      </c>
      <c r="D147" s="7">
        <v>0.15112264906514955</v>
      </c>
      <c r="E147" s="7">
        <v>0.19250482696587395</v>
      </c>
      <c r="F147" s="7">
        <v>0.20819680014288755</v>
      </c>
      <c r="G147" s="7">
        <v>0.17581281345391664</v>
      </c>
      <c r="H147" s="7">
        <v>0.15112264906514955</v>
      </c>
      <c r="I147" s="7">
        <v>0.20819680014288755</v>
      </c>
      <c r="J147" s="4">
        <v>4</v>
      </c>
      <c r="K147" s="4" t="s">
        <v>386</v>
      </c>
      <c r="L147" s="4" t="s">
        <v>387</v>
      </c>
    </row>
    <row r="148" spans="1:12">
      <c r="A148" s="4" t="s">
        <v>217</v>
      </c>
      <c r="B148" s="4" t="s">
        <v>327</v>
      </c>
      <c r="C148" s="7">
        <v>0.5729577431333992</v>
      </c>
      <c r="D148" s="7">
        <v>0.56043330397597646</v>
      </c>
      <c r="E148" s="7">
        <v>0.57087261182271609</v>
      </c>
      <c r="F148" s="7">
        <v>0.55578388648954413</v>
      </c>
      <c r="G148" s="7">
        <v>0.565011886355409</v>
      </c>
      <c r="H148" s="7">
        <v>0.55578388648954413</v>
      </c>
      <c r="I148" s="7">
        <v>0.5729577431333992</v>
      </c>
      <c r="J148" s="4">
        <v>4</v>
      </c>
      <c r="K148" s="4" t="s">
        <v>386</v>
      </c>
      <c r="L148" s="4" t="s">
        <v>387</v>
      </c>
    </row>
    <row r="149" spans="1:12">
      <c r="A149" s="4" t="s">
        <v>217</v>
      </c>
      <c r="B149" s="4" t="s">
        <v>331</v>
      </c>
      <c r="C149" s="7">
        <v>0.51037564574769401</v>
      </c>
      <c r="D149" s="7">
        <v>0.52897844373880043</v>
      </c>
      <c r="E149" s="7">
        <v>0.55844023154727718</v>
      </c>
      <c r="F149" s="7">
        <v>0.55580835063158984</v>
      </c>
      <c r="G149" s="7">
        <v>0.53840066791634034</v>
      </c>
      <c r="H149" s="7">
        <v>0.51037564574769401</v>
      </c>
      <c r="I149" s="7">
        <v>0.55844023154727718</v>
      </c>
      <c r="J149" s="4">
        <v>4</v>
      </c>
      <c r="K149" s="4" t="s">
        <v>386</v>
      </c>
      <c r="L149" s="4" t="s">
        <v>387</v>
      </c>
    </row>
    <row r="150" spans="1:12">
      <c r="A150" s="4" t="s">
        <v>219</v>
      </c>
      <c r="B150" s="4" t="s">
        <v>327</v>
      </c>
      <c r="C150" s="7">
        <v>0.60231756136245995</v>
      </c>
      <c r="D150" s="7">
        <v>0.58430155261478389</v>
      </c>
      <c r="E150" s="7">
        <v>0.57209251037263953</v>
      </c>
      <c r="F150" s="7">
        <v>0.55953792844542516</v>
      </c>
      <c r="G150" s="7">
        <v>0.57956238819882711</v>
      </c>
      <c r="H150" s="7">
        <v>0.55953792844542516</v>
      </c>
      <c r="I150" s="7">
        <v>0.60231756136245995</v>
      </c>
      <c r="J150" s="4">
        <v>4</v>
      </c>
      <c r="K150" s="4" t="s">
        <v>386</v>
      </c>
      <c r="L150" s="4" t="s">
        <v>387</v>
      </c>
    </row>
    <row r="151" spans="1:12">
      <c r="A151" s="4" t="s">
        <v>219</v>
      </c>
      <c r="B151" s="4" t="s">
        <v>331</v>
      </c>
      <c r="C151" s="7">
        <v>0.53504458911184072</v>
      </c>
      <c r="D151" s="7">
        <v>0.55366692531929618</v>
      </c>
      <c r="E151" s="7">
        <v>0.52322059816499189</v>
      </c>
      <c r="F151" s="7">
        <v>0.58700197755930905</v>
      </c>
      <c r="G151" s="7">
        <v>0.54973352253885943</v>
      </c>
      <c r="H151" s="7">
        <v>0.52322059816499189</v>
      </c>
      <c r="I151" s="7">
        <v>0.58700197755930905</v>
      </c>
      <c r="J151" s="4">
        <v>4</v>
      </c>
      <c r="K151" s="4" t="s">
        <v>386</v>
      </c>
      <c r="L151" s="4" t="s">
        <v>387</v>
      </c>
    </row>
    <row r="152" spans="1:12">
      <c r="A152" s="4" t="s">
        <v>221</v>
      </c>
      <c r="B152" s="4" t="s">
        <v>327</v>
      </c>
      <c r="C152" s="7">
        <v>0.51427524653206858</v>
      </c>
      <c r="D152" s="7">
        <v>0.44810964327629677</v>
      </c>
      <c r="E152" s="7">
        <v>0.45916008945869691</v>
      </c>
      <c r="F152" s="7">
        <v>0.46690510052090783</v>
      </c>
      <c r="G152" s="7">
        <v>0.47211251994699255</v>
      </c>
      <c r="H152" s="7">
        <v>0.44810964327629677</v>
      </c>
      <c r="I152" s="7">
        <v>0.51427524653206858</v>
      </c>
      <c r="J152" s="4">
        <v>4</v>
      </c>
      <c r="K152" s="4" t="s">
        <v>386</v>
      </c>
      <c r="L152" s="4" t="s">
        <v>387</v>
      </c>
    </row>
    <row r="153" spans="1:12">
      <c r="A153" s="4" t="s">
        <v>221</v>
      </c>
      <c r="B153" s="4" t="s">
        <v>331</v>
      </c>
      <c r="C153" s="7">
        <v>0.23469630772846731</v>
      </c>
      <c r="D153" s="7">
        <v>0.44200560414366985</v>
      </c>
      <c r="E153" s="7">
        <v>0.38994495959312481</v>
      </c>
      <c r="F153" s="7">
        <v>0.39853816239516471</v>
      </c>
      <c r="G153" s="7">
        <v>0.36629625846510666</v>
      </c>
      <c r="H153" s="7">
        <v>0.23469630772846731</v>
      </c>
      <c r="I153" s="7">
        <v>0.44200560414366985</v>
      </c>
      <c r="J153" s="4">
        <v>4</v>
      </c>
      <c r="K153" s="4" t="s">
        <v>386</v>
      </c>
      <c r="L153" s="4" t="s">
        <v>387</v>
      </c>
    </row>
    <row r="154" spans="1:12">
      <c r="A154" s="4" t="s">
        <v>223</v>
      </c>
      <c r="B154" s="4" t="s">
        <v>327</v>
      </c>
      <c r="C154" s="7">
        <v>0.62060867966304534</v>
      </c>
      <c r="D154" s="7">
        <v>0.62980102617149536</v>
      </c>
      <c r="E154" s="7">
        <v>0.64178996716483205</v>
      </c>
      <c r="F154" s="7">
        <v>0.65304577903434458</v>
      </c>
      <c r="G154" s="7">
        <v>0.63631136300842939</v>
      </c>
      <c r="H154" s="7">
        <v>0.62060867966304534</v>
      </c>
      <c r="I154" s="7">
        <v>0.65304577903434458</v>
      </c>
      <c r="J154" s="4">
        <v>4</v>
      </c>
      <c r="K154" s="4" t="s">
        <v>386</v>
      </c>
      <c r="L154" s="4" t="s">
        <v>387</v>
      </c>
    </row>
    <row r="155" spans="1:12">
      <c r="A155" s="4" t="s">
        <v>223</v>
      </c>
      <c r="B155" s="4" t="s">
        <v>331</v>
      </c>
      <c r="C155" s="7">
        <v>0.50617232596319106</v>
      </c>
      <c r="D155" s="7">
        <v>0.55123888873119198</v>
      </c>
      <c r="E155" s="7">
        <v>0.55675383537900369</v>
      </c>
      <c r="F155" s="7">
        <v>0.56571349213311084</v>
      </c>
      <c r="G155" s="7">
        <v>0.54496963555162437</v>
      </c>
      <c r="H155" s="7">
        <v>0.50617232596319106</v>
      </c>
      <c r="I155" s="7">
        <v>0.56571349213311084</v>
      </c>
      <c r="J155" s="4">
        <v>4</v>
      </c>
      <c r="K155" s="4" t="s">
        <v>386</v>
      </c>
      <c r="L155" s="4" t="s">
        <v>387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Z78"/>
  <sheetViews>
    <sheetView showGridLines="0" workbookViewId="0">
      <selection activeCell="B2" sqref="B2:BZ78"/>
    </sheetView>
  </sheetViews>
  <sheetFormatPr defaultRowHeight="13.8"/>
  <cols>
    <col min="1" max="1" width="22" customWidth="1"/>
    <col min="2" max="78" width="11" customWidth="1"/>
  </cols>
  <sheetData>
    <row r="1" spans="1:78">
      <c r="A1" s="1" t="s">
        <v>389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7">
        <v>0</v>
      </c>
      <c r="C2" s="7">
        <v>0</v>
      </c>
      <c r="D2" s="7">
        <v>1.1955596474922239E-7</v>
      </c>
      <c r="E2" s="7">
        <v>8.7815507899035335E-6</v>
      </c>
      <c r="F2" s="7">
        <v>0</v>
      </c>
      <c r="G2" s="7">
        <v>0</v>
      </c>
      <c r="H2" s="7">
        <v>0</v>
      </c>
      <c r="I2" s="7">
        <v>4.1029260470003331E-3</v>
      </c>
      <c r="J2" s="7">
        <v>0</v>
      </c>
      <c r="K2" s="7">
        <v>3.0356164743208683E-4</v>
      </c>
      <c r="L2" s="7">
        <v>3.5110918780104491E-6</v>
      </c>
      <c r="M2" s="7">
        <v>5.4236243409640564E-4</v>
      </c>
      <c r="N2" s="7">
        <v>1.447842819665602E-8</v>
      </c>
      <c r="O2" s="7">
        <v>0</v>
      </c>
      <c r="P2" s="7">
        <v>0</v>
      </c>
      <c r="Q2" s="7">
        <v>4.9809763047056269E-3</v>
      </c>
      <c r="R2" s="7">
        <v>3.4552015692054843E-4</v>
      </c>
      <c r="S2" s="7">
        <v>0</v>
      </c>
      <c r="T2" s="7">
        <v>3.0646653780302101E-7</v>
      </c>
      <c r="U2" s="7">
        <v>7.3716386926821326E-6</v>
      </c>
      <c r="V2" s="7">
        <v>0</v>
      </c>
      <c r="W2" s="7">
        <v>0</v>
      </c>
      <c r="X2" s="7">
        <v>2.7026574125143211E-5</v>
      </c>
      <c r="Y2" s="7">
        <v>4.4566353101509139E-5</v>
      </c>
      <c r="Z2" s="7">
        <v>3.1126536801240119E-6</v>
      </c>
      <c r="AA2" s="7">
        <v>8.7235043365432082E-6</v>
      </c>
      <c r="AB2" s="7">
        <v>7.8595337388581745E-7</v>
      </c>
      <c r="AC2" s="7">
        <v>0</v>
      </c>
      <c r="AD2" s="7">
        <v>0</v>
      </c>
      <c r="AE2" s="7">
        <v>0</v>
      </c>
      <c r="AF2" s="7">
        <v>0</v>
      </c>
      <c r="AG2" s="7">
        <v>7.9035286635831916E-6</v>
      </c>
      <c r="AH2" s="7">
        <v>6.5876186038021674E-6</v>
      </c>
      <c r="AI2" s="7">
        <v>0</v>
      </c>
      <c r="AJ2" s="7">
        <v>0</v>
      </c>
      <c r="AK2" s="7">
        <v>0</v>
      </c>
      <c r="AL2" s="7">
        <v>2.2490496608770981E-6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7.1690828540367777E-6</v>
      </c>
      <c r="AX2" s="7">
        <v>0</v>
      </c>
      <c r="AY2" s="7">
        <v>0</v>
      </c>
      <c r="AZ2" s="7">
        <v>0</v>
      </c>
      <c r="BA2" s="7">
        <v>0</v>
      </c>
      <c r="BB2" s="7">
        <v>4.6787999948754219E-7</v>
      </c>
      <c r="BC2" s="7">
        <v>0</v>
      </c>
      <c r="BD2" s="7">
        <v>1.0288196393904989E-5</v>
      </c>
      <c r="BE2" s="7">
        <v>0</v>
      </c>
      <c r="BF2" s="7">
        <v>4.7403852147939198E-4</v>
      </c>
      <c r="BG2" s="7">
        <v>0</v>
      </c>
      <c r="BH2" s="7">
        <v>0</v>
      </c>
      <c r="BI2" s="7">
        <v>0</v>
      </c>
      <c r="BJ2" s="7">
        <v>4.8352821937200606E-7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1.274321941413224E-5</v>
      </c>
      <c r="BR2" s="7">
        <v>4.8657078235829559E-8</v>
      </c>
      <c r="BS2" s="7">
        <v>0</v>
      </c>
      <c r="BT2" s="7">
        <v>0</v>
      </c>
      <c r="BU2" s="7">
        <v>1.025242766755786E-7</v>
      </c>
      <c r="BV2" s="7">
        <v>3.2559443950849039E-6</v>
      </c>
      <c r="BW2" s="7">
        <v>2.5665576849038181E-5</v>
      </c>
      <c r="BX2" s="7">
        <v>0</v>
      </c>
      <c r="BY2" s="7">
        <v>0</v>
      </c>
      <c r="BZ2" s="7">
        <v>1.9045215170941781E-4</v>
      </c>
    </row>
    <row r="3" spans="1:78">
      <c r="A3" s="4" t="s">
        <v>72</v>
      </c>
      <c r="B3" s="7">
        <v>6.9878270454691056E-5</v>
      </c>
      <c r="C3" s="7">
        <v>0</v>
      </c>
      <c r="D3" s="7">
        <v>3.6909522623427271E-5</v>
      </c>
      <c r="E3" s="7">
        <v>5.1713351602605928E-5</v>
      </c>
      <c r="F3" s="7">
        <v>1.238920880935221E-6</v>
      </c>
      <c r="G3" s="7">
        <v>1.7075471565416061E-5</v>
      </c>
      <c r="H3" s="7">
        <v>0</v>
      </c>
      <c r="I3" s="7">
        <v>2.127452740716864E-4</v>
      </c>
      <c r="J3" s="7">
        <v>8.6840821530320309E-4</v>
      </c>
      <c r="K3" s="7">
        <v>4.3814644250960936E-3</v>
      </c>
      <c r="L3" s="7">
        <v>9.4830612574647825E-5</v>
      </c>
      <c r="M3" s="7">
        <v>7.667865235011391E-5</v>
      </c>
      <c r="N3" s="7">
        <v>2.7930842579156008E-4</v>
      </c>
      <c r="O3" s="7">
        <v>4.1361960580701008E-3</v>
      </c>
      <c r="P3" s="7">
        <v>2.012308340974566E-4</v>
      </c>
      <c r="Q3" s="7">
        <v>1.803494865163006E-3</v>
      </c>
      <c r="R3" s="7">
        <v>2.1380233382253499E-4</v>
      </c>
      <c r="S3" s="7">
        <v>2.1017033839446351E-3</v>
      </c>
      <c r="T3" s="7">
        <v>6.680587440933603E-5</v>
      </c>
      <c r="U3" s="7">
        <v>9.0509471932232792E-5</v>
      </c>
      <c r="V3" s="7">
        <v>2.6791541925055802E-4</v>
      </c>
      <c r="W3" s="7">
        <v>9.7113858865462155E-4</v>
      </c>
      <c r="X3" s="7">
        <v>1.0518177601972351E-4</v>
      </c>
      <c r="Y3" s="7">
        <v>1.9075910359283909E-4</v>
      </c>
      <c r="Z3" s="7">
        <v>1.5344990268357849E-4</v>
      </c>
      <c r="AA3" s="7">
        <v>9.86013682519996E-5</v>
      </c>
      <c r="AB3" s="7">
        <v>1.050533625892738E-3</v>
      </c>
      <c r="AC3" s="7">
        <v>1.853524253652592E-3</v>
      </c>
      <c r="AD3" s="7">
        <v>1.5259608904547481E-5</v>
      </c>
      <c r="AE3" s="7">
        <v>1.4703402555340679E-4</v>
      </c>
      <c r="AF3" s="7">
        <v>3.7232076163281561E-7</v>
      </c>
      <c r="AG3" s="7">
        <v>3.7330726630552639E-3</v>
      </c>
      <c r="AH3" s="7">
        <v>7.8896426136938248E-4</v>
      </c>
      <c r="AI3" s="7">
        <v>1.106714968711701E-4</v>
      </c>
      <c r="AJ3" s="7">
        <v>3.0304432462783008E-5</v>
      </c>
      <c r="AK3" s="7">
        <v>2.7392877397193743E-4</v>
      </c>
      <c r="AL3" s="7">
        <v>1.6152931208110791E-4</v>
      </c>
      <c r="AM3" s="7">
        <v>0</v>
      </c>
      <c r="AN3" s="7">
        <v>1.6223325610228219E-4</v>
      </c>
      <c r="AO3" s="7">
        <v>7.9969935874693747E-5</v>
      </c>
      <c r="AP3" s="7">
        <v>7.2070178211443054E-4</v>
      </c>
      <c r="AQ3" s="7">
        <v>2.279525771821201E-5</v>
      </c>
      <c r="AR3" s="7">
        <v>1.16885911786538E-2</v>
      </c>
      <c r="AS3" s="7">
        <v>4.5817966421499818E-5</v>
      </c>
      <c r="AT3" s="7">
        <v>4.3437525295848126E-6</v>
      </c>
      <c r="AU3" s="7">
        <v>0</v>
      </c>
      <c r="AV3" s="7">
        <v>8.9661613253802162E-6</v>
      </c>
      <c r="AW3" s="7">
        <v>6.2864190490137796E-5</v>
      </c>
      <c r="AX3" s="7">
        <v>5.6396534499360292E-5</v>
      </c>
      <c r="AY3" s="7">
        <v>0</v>
      </c>
      <c r="AZ3" s="7">
        <v>7.951139354651066E-4</v>
      </c>
      <c r="BA3" s="7">
        <v>1.1786900464399331E-3</v>
      </c>
      <c r="BB3" s="7">
        <v>6.9329233841739736E-3</v>
      </c>
      <c r="BC3" s="7">
        <v>1.1044004341547559E-4</v>
      </c>
      <c r="BD3" s="7">
        <v>8.2656407129956991E-2</v>
      </c>
      <c r="BE3" s="7">
        <v>2.9636224954513869E-3</v>
      </c>
      <c r="BF3" s="7">
        <v>1.4608146813503309E-3</v>
      </c>
      <c r="BG3" s="7">
        <v>1.3755558290907419E-3</v>
      </c>
      <c r="BH3" s="7">
        <v>2.0999585978743229E-4</v>
      </c>
      <c r="BI3" s="7">
        <v>9.5799088769807743E-6</v>
      </c>
      <c r="BJ3" s="7">
        <v>2.0546847232133831E-5</v>
      </c>
      <c r="BK3" s="7">
        <v>1.6261550578629119E-3</v>
      </c>
      <c r="BL3" s="7">
        <v>8.6941349033032797E-4</v>
      </c>
      <c r="BM3" s="7">
        <v>1.7336303970714401E-3</v>
      </c>
      <c r="BN3" s="7">
        <v>8.2713274588264607E-4</v>
      </c>
      <c r="BO3" s="7">
        <v>1.8861728871428839E-6</v>
      </c>
      <c r="BP3" s="7">
        <v>6.3039279191643455E-5</v>
      </c>
      <c r="BQ3" s="7">
        <v>3.5113109742013931E-4</v>
      </c>
      <c r="BR3" s="7">
        <v>7.485132203891123E-3</v>
      </c>
      <c r="BS3" s="7">
        <v>5.5484038895222891E-5</v>
      </c>
      <c r="BT3" s="7">
        <v>3.8721513763131546E-6</v>
      </c>
      <c r="BU3" s="7">
        <v>1.3028098395291489E-4</v>
      </c>
      <c r="BV3" s="7">
        <v>0</v>
      </c>
      <c r="BW3" s="7">
        <v>5.9306398957659592E-4</v>
      </c>
      <c r="BX3" s="7">
        <v>9.0752112668144807E-5</v>
      </c>
      <c r="BY3" s="7">
        <v>1.072608986953612E-3</v>
      </c>
      <c r="BZ3" s="7">
        <v>1.9637947263363631E-3</v>
      </c>
    </row>
    <row r="4" spans="1:78">
      <c r="A4" s="4" t="s">
        <v>74</v>
      </c>
      <c r="B4" s="7">
        <v>1.998935725117322E-3</v>
      </c>
      <c r="C4" s="7">
        <v>2.5425627779212339E-3</v>
      </c>
      <c r="D4" s="7">
        <v>0</v>
      </c>
      <c r="E4" s="7">
        <v>3.3592313377694642E-3</v>
      </c>
      <c r="F4" s="7">
        <v>1.779515631416959E-3</v>
      </c>
      <c r="G4" s="7">
        <v>1.5388249383168859E-2</v>
      </c>
      <c r="H4" s="7">
        <v>2.032990796743284E-2</v>
      </c>
      <c r="I4" s="7">
        <v>6.6398614909908889E-3</v>
      </c>
      <c r="J4" s="7">
        <v>4.2092229666714442E-4</v>
      </c>
      <c r="K4" s="7">
        <v>7.3288422379484807E-3</v>
      </c>
      <c r="L4" s="7">
        <v>5.3370449448799859E-2</v>
      </c>
      <c r="M4" s="7">
        <v>2.7656798191954179E-4</v>
      </c>
      <c r="N4" s="7">
        <v>1.268576906151595E-2</v>
      </c>
      <c r="O4" s="7">
        <v>5.146300720445026E-4</v>
      </c>
      <c r="P4" s="7">
        <v>1.5526296182955779E-4</v>
      </c>
      <c r="Q4" s="7">
        <v>6.5933792127916013E-4</v>
      </c>
      <c r="R4" s="7">
        <v>2.7284182398109552E-3</v>
      </c>
      <c r="S4" s="7">
        <v>1.925115607750661E-3</v>
      </c>
      <c r="T4" s="7">
        <v>2.2762997467737231E-2</v>
      </c>
      <c r="U4" s="7">
        <v>2.222337856615348E-2</v>
      </c>
      <c r="V4" s="7">
        <v>1.0578968796627281E-2</v>
      </c>
      <c r="W4" s="7">
        <v>8.0544000553114297E-4</v>
      </c>
      <c r="X4" s="7">
        <v>2.839414537973509E-2</v>
      </c>
      <c r="Y4" s="7">
        <v>5.8454928627134214E-3</v>
      </c>
      <c r="Z4" s="7">
        <v>2.562853586244539E-2</v>
      </c>
      <c r="AA4" s="7">
        <v>6.7824908956497596E-3</v>
      </c>
      <c r="AB4" s="7">
        <v>1.740259339829749E-2</v>
      </c>
      <c r="AC4" s="7">
        <v>7.4512056562449323E-3</v>
      </c>
      <c r="AD4" s="7">
        <v>1.195825132461422E-4</v>
      </c>
      <c r="AE4" s="7">
        <v>0.14644816359950741</v>
      </c>
      <c r="AF4" s="7">
        <v>5.4572658901715212E-2</v>
      </c>
      <c r="AG4" s="7">
        <v>6.3494417835171298E-4</v>
      </c>
      <c r="AH4" s="7">
        <v>5.771747437870808E-3</v>
      </c>
      <c r="AI4" s="7">
        <v>6.2397406726781525E-4</v>
      </c>
      <c r="AJ4" s="7">
        <v>7.5050324127798745E-2</v>
      </c>
      <c r="AK4" s="7">
        <v>4.8211464219060978E-3</v>
      </c>
      <c r="AL4" s="7">
        <v>1.4831635206022299E-2</v>
      </c>
      <c r="AM4" s="7">
        <v>3.9141241879349017E-3</v>
      </c>
      <c r="AN4" s="7">
        <v>1.326522660268586E-3</v>
      </c>
      <c r="AO4" s="7">
        <v>1.8562545442808681E-3</v>
      </c>
      <c r="AP4" s="7">
        <v>7.9999981790611666E-4</v>
      </c>
      <c r="AQ4" s="7">
        <v>1.527706654134062E-3</v>
      </c>
      <c r="AR4" s="7">
        <v>0</v>
      </c>
      <c r="AS4" s="7">
        <v>6.3991277251352853E-3</v>
      </c>
      <c r="AT4" s="7">
        <v>1.006245524967515E-3</v>
      </c>
      <c r="AU4" s="7">
        <v>1.3154865764119009E-2</v>
      </c>
      <c r="AV4" s="7">
        <v>4.6800046118593112E-3</v>
      </c>
      <c r="AW4" s="7">
        <v>6.1618687183630002E-3</v>
      </c>
      <c r="AX4" s="7">
        <v>3.9375803375483331E-4</v>
      </c>
      <c r="AY4" s="7">
        <v>4.2080799191229642E-4</v>
      </c>
      <c r="AZ4" s="7">
        <v>1.3769721867791379E-3</v>
      </c>
      <c r="BA4" s="7">
        <v>1.641807700943165E-3</v>
      </c>
      <c r="BB4" s="7">
        <v>3.6395927194562798E-3</v>
      </c>
      <c r="BC4" s="7">
        <v>9.6560014629046113E-3</v>
      </c>
      <c r="BD4" s="7">
        <v>9.9062598502915461E-3</v>
      </c>
      <c r="BE4" s="7">
        <v>5.9249895572476225E-4</v>
      </c>
      <c r="BF4" s="7">
        <v>3.77395032206516E-3</v>
      </c>
      <c r="BG4" s="7">
        <v>2.2989480642724859E-4</v>
      </c>
      <c r="BH4" s="7">
        <v>9.8863553918631074E-3</v>
      </c>
      <c r="BI4" s="7">
        <v>2.8171021570190741E-3</v>
      </c>
      <c r="BJ4" s="7">
        <v>5.0390780770090897E-2</v>
      </c>
      <c r="BK4" s="7">
        <v>1.551076955112141E-3</v>
      </c>
      <c r="BL4" s="7">
        <v>1.602519537414518E-3</v>
      </c>
      <c r="BM4" s="7">
        <v>8.1467769680451519E-5</v>
      </c>
      <c r="BN4" s="7">
        <v>1.951735625613651E-3</v>
      </c>
      <c r="BO4" s="7">
        <v>2.019110486730942E-2</v>
      </c>
      <c r="BP4" s="7">
        <v>4.0525391915875168E-2</v>
      </c>
      <c r="BQ4" s="7">
        <v>4.3623363801944632E-3</v>
      </c>
      <c r="BR4" s="7">
        <v>1.1395118754994099E-3</v>
      </c>
      <c r="BS4" s="7">
        <v>1.762367126930893E-3</v>
      </c>
      <c r="BT4" s="7">
        <v>8.3414576759645066E-3</v>
      </c>
      <c r="BU4" s="7">
        <v>1.5846641819509211E-3</v>
      </c>
      <c r="BV4" s="7">
        <v>3.385315156061078E-3</v>
      </c>
      <c r="BW4" s="7">
        <v>7.4214032015209501E-3</v>
      </c>
      <c r="BX4" s="7">
        <v>1.238424104174973E-3</v>
      </c>
      <c r="BY4" s="7">
        <v>6.1763203322470119E-3</v>
      </c>
      <c r="BZ4" s="7">
        <v>6.6312957120394341E-3</v>
      </c>
    </row>
    <row r="5" spans="1:78">
      <c r="A5" s="4" t="s">
        <v>77</v>
      </c>
      <c r="B5" s="7">
        <v>1.6790761714944341E-4</v>
      </c>
      <c r="C5" s="7">
        <v>1.655371498779399E-3</v>
      </c>
      <c r="D5" s="7">
        <v>2.9797628546281222E-4</v>
      </c>
      <c r="E5" s="7">
        <v>0</v>
      </c>
      <c r="F5" s="7">
        <v>1.5126063677634611E-3</v>
      </c>
      <c r="G5" s="7">
        <v>1.5819991599794159E-3</v>
      </c>
      <c r="H5" s="7">
        <v>3.1652061637275539E-4</v>
      </c>
      <c r="I5" s="7">
        <v>2.411274834293623E-3</v>
      </c>
      <c r="J5" s="7">
        <v>1.7761991569820751E-4</v>
      </c>
      <c r="K5" s="7">
        <v>2.5468414491443888E-4</v>
      </c>
      <c r="L5" s="7">
        <v>2.3879632003109249E-3</v>
      </c>
      <c r="M5" s="7">
        <v>2.1288978203518109E-4</v>
      </c>
      <c r="N5" s="7">
        <v>2.1305272529229601E-4</v>
      </c>
      <c r="O5" s="7">
        <v>6.3339681910586859E-3</v>
      </c>
      <c r="P5" s="7">
        <v>1.456649830628194E-2</v>
      </c>
      <c r="Q5" s="7">
        <v>4.8331312246830988E-4</v>
      </c>
      <c r="R5" s="7">
        <v>5.4230485908314053E-4</v>
      </c>
      <c r="S5" s="7">
        <v>1.0981689439779251E-2</v>
      </c>
      <c r="T5" s="7">
        <v>5.9845444711071043E-4</v>
      </c>
      <c r="U5" s="7">
        <v>2.2156817907580638E-3</v>
      </c>
      <c r="V5" s="7">
        <v>2.4676558048791269E-3</v>
      </c>
      <c r="W5" s="7">
        <v>2.017249016395811E-3</v>
      </c>
      <c r="X5" s="7">
        <v>3.8772841746727198E-3</v>
      </c>
      <c r="Y5" s="7">
        <v>5.7282954928132299E-3</v>
      </c>
      <c r="Z5" s="7">
        <v>2.7641267151432189E-3</v>
      </c>
      <c r="AA5" s="7">
        <v>1.26625779318012E-2</v>
      </c>
      <c r="AB5" s="7">
        <v>2.425625782520559E-3</v>
      </c>
      <c r="AC5" s="7">
        <v>9.2382010406522348E-3</v>
      </c>
      <c r="AD5" s="7">
        <v>3.126105236518697E-4</v>
      </c>
      <c r="AE5" s="7">
        <v>4.3848680609884427E-3</v>
      </c>
      <c r="AF5" s="7">
        <v>8.96337227012685E-4</v>
      </c>
      <c r="AG5" s="7">
        <v>2.2457422582844021E-4</v>
      </c>
      <c r="AH5" s="7">
        <v>8.3506785700087644E-3</v>
      </c>
      <c r="AI5" s="7">
        <v>3.9221422543387506E-3</v>
      </c>
      <c r="AJ5" s="7">
        <v>5.1349968306278158E-3</v>
      </c>
      <c r="AK5" s="7">
        <v>2.937359314745236E-3</v>
      </c>
      <c r="AL5" s="7">
        <v>9.5426388011969464E-3</v>
      </c>
      <c r="AM5" s="7">
        <v>4.3418724681774249E-3</v>
      </c>
      <c r="AN5" s="7">
        <v>2.0702140206826569E-4</v>
      </c>
      <c r="AO5" s="7">
        <v>2.0434357267417129E-3</v>
      </c>
      <c r="AP5" s="7">
        <v>4.5838372872558018E-4</v>
      </c>
      <c r="AQ5" s="7">
        <v>1.015144137680617E-4</v>
      </c>
      <c r="AR5" s="7">
        <v>0</v>
      </c>
      <c r="AS5" s="7">
        <v>4.9842868493099046E-3</v>
      </c>
      <c r="AT5" s="7">
        <v>5.0359638332312051E-2</v>
      </c>
      <c r="AU5" s="7">
        <v>8.6619845165325955E-3</v>
      </c>
      <c r="AV5" s="7">
        <v>2.2870982021513078E-3</v>
      </c>
      <c r="AW5" s="7">
        <v>1.43742807748164E-5</v>
      </c>
      <c r="AX5" s="7">
        <v>5.7132960309061681E-4</v>
      </c>
      <c r="AY5" s="7">
        <v>0</v>
      </c>
      <c r="AZ5" s="7">
        <v>1.265749820443322E-2</v>
      </c>
      <c r="BA5" s="7">
        <v>5.2977441174418653E-3</v>
      </c>
      <c r="BB5" s="7">
        <v>1.6945535209881801E-2</v>
      </c>
      <c r="BC5" s="7">
        <v>4.2993540170545054E-3</v>
      </c>
      <c r="BD5" s="7">
        <v>3.661972907237473E-3</v>
      </c>
      <c r="BE5" s="7">
        <v>2.828902638432372E-3</v>
      </c>
      <c r="BF5" s="7">
        <v>3.9710756679416402E-4</v>
      </c>
      <c r="BG5" s="7">
        <v>8.6105278619272286E-4</v>
      </c>
      <c r="BH5" s="7">
        <v>5.3355780087936341E-4</v>
      </c>
      <c r="BI5" s="7">
        <v>1.6649549040976801E-2</v>
      </c>
      <c r="BJ5" s="7">
        <v>4.1047707894067828E-3</v>
      </c>
      <c r="BK5" s="7">
        <v>2.4603626533509682E-3</v>
      </c>
      <c r="BL5" s="7">
        <v>3.486898920597553E-3</v>
      </c>
      <c r="BM5" s="7">
        <v>9.1034653433342098E-3</v>
      </c>
      <c r="BN5" s="7">
        <v>3.7668673024904059E-4</v>
      </c>
      <c r="BO5" s="7">
        <v>1.540568209180413E-4</v>
      </c>
      <c r="BP5" s="7">
        <v>2.84669777547171E-4</v>
      </c>
      <c r="BQ5" s="7">
        <v>9.1539253295713809E-3</v>
      </c>
      <c r="BR5" s="7">
        <v>2.105831485735218E-3</v>
      </c>
      <c r="BS5" s="7">
        <v>3.7461217439946739E-3</v>
      </c>
      <c r="BT5" s="7">
        <v>7.4164473306095988E-4</v>
      </c>
      <c r="BU5" s="7">
        <v>2.2614606863076089E-4</v>
      </c>
      <c r="BV5" s="7">
        <v>1.4573820985172229E-3</v>
      </c>
      <c r="BW5" s="7">
        <v>4.2032136297749417E-4</v>
      </c>
      <c r="BX5" s="7">
        <v>1.164414412332514E-4</v>
      </c>
      <c r="BY5" s="7">
        <v>7.5372644254542167E-4</v>
      </c>
      <c r="BZ5" s="7">
        <v>4.2816643842122481E-3</v>
      </c>
    </row>
    <row r="6" spans="1:78">
      <c r="A6" s="4" t="s">
        <v>79</v>
      </c>
      <c r="B6" s="7">
        <v>0</v>
      </c>
      <c r="C6" s="7">
        <v>0</v>
      </c>
      <c r="D6" s="7">
        <v>4.3645819188067493E-6</v>
      </c>
      <c r="E6" s="7">
        <v>0</v>
      </c>
      <c r="F6" s="7">
        <v>0</v>
      </c>
      <c r="G6" s="7">
        <v>4.6445953194498228E-6</v>
      </c>
      <c r="H6" s="7">
        <v>0</v>
      </c>
      <c r="I6" s="7">
        <v>0</v>
      </c>
      <c r="J6" s="7">
        <v>0</v>
      </c>
      <c r="K6" s="7">
        <v>8.8902905389183953E-7</v>
      </c>
      <c r="L6" s="7">
        <v>0</v>
      </c>
      <c r="M6" s="7">
        <v>0</v>
      </c>
      <c r="N6" s="7">
        <v>1.1179759639184551E-6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1.008200783340435E-6</v>
      </c>
      <c r="V6" s="7">
        <v>5.2293800631803474E-6</v>
      </c>
      <c r="W6" s="7">
        <v>0</v>
      </c>
      <c r="X6" s="7">
        <v>1.943604113692095E-7</v>
      </c>
      <c r="Y6" s="7">
        <v>0</v>
      </c>
      <c r="Z6" s="7">
        <v>0</v>
      </c>
      <c r="AA6" s="7">
        <v>1.2347053596828691E-8</v>
      </c>
      <c r="AB6" s="7">
        <v>2.0648331770452651E-6</v>
      </c>
      <c r="AC6" s="7">
        <v>0</v>
      </c>
      <c r="AD6" s="7">
        <v>0</v>
      </c>
      <c r="AE6" s="7">
        <v>0</v>
      </c>
      <c r="AF6" s="7">
        <v>0</v>
      </c>
      <c r="AG6" s="7">
        <v>6.2223379698625613E-6</v>
      </c>
      <c r="AH6" s="7">
        <v>7.3750493925817568E-5</v>
      </c>
      <c r="AI6" s="7">
        <v>9.5656093876305519E-7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2.8239711257733389E-7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1.6080204625813479E-3</v>
      </c>
      <c r="BB6" s="7">
        <v>4.5998533543334123E-5</v>
      </c>
      <c r="BC6" s="7">
        <v>3.2168973231879801E-6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3.1890729025764379E-6</v>
      </c>
      <c r="BO6" s="7">
        <v>2.5583030468423951E-8</v>
      </c>
      <c r="BP6" s="7">
        <v>0</v>
      </c>
      <c r="BQ6" s="7">
        <v>0</v>
      </c>
      <c r="BR6" s="7">
        <v>1.715559240020739E-7</v>
      </c>
      <c r="BS6" s="7">
        <v>0</v>
      </c>
      <c r="BT6" s="7">
        <v>0</v>
      </c>
      <c r="BU6" s="7">
        <v>0</v>
      </c>
      <c r="BV6" s="7">
        <v>0</v>
      </c>
      <c r="BW6" s="7">
        <v>2.5275123685762859E-5</v>
      </c>
      <c r="BX6" s="7">
        <v>0</v>
      </c>
      <c r="BY6" s="7">
        <v>0</v>
      </c>
      <c r="BZ6" s="7">
        <v>3.5903279644104292E-5</v>
      </c>
    </row>
    <row r="7" spans="1:78">
      <c r="A7" s="4" t="s">
        <v>81</v>
      </c>
      <c r="B7" s="7">
        <v>7.9758740116940324E-4</v>
      </c>
      <c r="C7" s="7">
        <v>8.376773482083905E-5</v>
      </c>
      <c r="D7" s="7">
        <v>5.2195807361987603E-4</v>
      </c>
      <c r="E7" s="7">
        <v>1.1105342946319519E-3</v>
      </c>
      <c r="F7" s="7">
        <v>0</v>
      </c>
      <c r="G7" s="7">
        <v>0</v>
      </c>
      <c r="H7" s="7">
        <v>5.5562423599918049E-4</v>
      </c>
      <c r="I7" s="7">
        <v>2.0073776953598391E-4</v>
      </c>
      <c r="J7" s="7">
        <v>0</v>
      </c>
      <c r="K7" s="7">
        <v>5.91440162569903E-4</v>
      </c>
      <c r="L7" s="7">
        <v>4.9937413979032062E-4</v>
      </c>
      <c r="M7" s="7">
        <v>2.142779464576365E-5</v>
      </c>
      <c r="N7" s="7">
        <v>1.3098605032658311E-3</v>
      </c>
      <c r="O7" s="7">
        <v>0</v>
      </c>
      <c r="P7" s="7">
        <v>0</v>
      </c>
      <c r="Q7" s="7">
        <v>3.2774726240199448E-4</v>
      </c>
      <c r="R7" s="7">
        <v>2.504015256418753E-3</v>
      </c>
      <c r="S7" s="7">
        <v>6.7743592705336462E-5</v>
      </c>
      <c r="T7" s="7">
        <v>9.2265250031906033E-3</v>
      </c>
      <c r="U7" s="7">
        <v>2.6940533010018559E-3</v>
      </c>
      <c r="V7" s="7">
        <v>9.7469819602610688E-4</v>
      </c>
      <c r="W7" s="7">
        <v>1.4351920479482741E-3</v>
      </c>
      <c r="X7" s="7">
        <v>9.3515328874768623E-4</v>
      </c>
      <c r="Y7" s="7">
        <v>1.3716877977266531E-3</v>
      </c>
      <c r="Z7" s="7">
        <v>5.6189332957893581E-4</v>
      </c>
      <c r="AA7" s="7">
        <v>1.1825351807924339E-3</v>
      </c>
      <c r="AB7" s="7">
        <v>1.659859297625324E-3</v>
      </c>
      <c r="AC7" s="7">
        <v>7.0131164275719976E-3</v>
      </c>
      <c r="AD7" s="7">
        <v>1.6877411152241669E-5</v>
      </c>
      <c r="AE7" s="7">
        <v>6.5226708467519448E-5</v>
      </c>
      <c r="AF7" s="7">
        <v>1.4183753910322369E-5</v>
      </c>
      <c r="AG7" s="7">
        <v>4.0203646417077819E-5</v>
      </c>
      <c r="AH7" s="7">
        <v>9.7976183411942614E-5</v>
      </c>
      <c r="AI7" s="7">
        <v>1.924693766481983E-4</v>
      </c>
      <c r="AJ7" s="7">
        <v>1.076520394578869E-3</v>
      </c>
      <c r="AK7" s="7">
        <v>7.5857198946074962E-5</v>
      </c>
      <c r="AL7" s="7">
        <v>1.072560445592019E-2</v>
      </c>
      <c r="AM7" s="7">
        <v>3.6631808497775972E-4</v>
      </c>
      <c r="AN7" s="7">
        <v>3.0991777382862839E-4</v>
      </c>
      <c r="AO7" s="7">
        <v>1.1629154853223739E-3</v>
      </c>
      <c r="AP7" s="7">
        <v>0</v>
      </c>
      <c r="AQ7" s="7">
        <v>2.4057769517187651E-4</v>
      </c>
      <c r="AR7" s="7">
        <v>0</v>
      </c>
      <c r="AS7" s="7">
        <v>2.0799081371023959E-4</v>
      </c>
      <c r="AT7" s="7">
        <v>5.5473828526248242E-5</v>
      </c>
      <c r="AU7" s="7">
        <v>8.3784427835578658E-4</v>
      </c>
      <c r="AV7" s="7">
        <v>1.3712921581963489E-4</v>
      </c>
      <c r="AW7" s="7">
        <v>4.6655517059391762E-5</v>
      </c>
      <c r="AX7" s="7">
        <v>0</v>
      </c>
      <c r="AY7" s="7">
        <v>0</v>
      </c>
      <c r="AZ7" s="7">
        <v>1.77233374154996E-4</v>
      </c>
      <c r="BA7" s="7">
        <v>0</v>
      </c>
      <c r="BB7" s="7">
        <v>3.4527980188358339E-3</v>
      </c>
      <c r="BC7" s="7">
        <v>1.390256204990223E-2</v>
      </c>
      <c r="BD7" s="7">
        <v>1.443484132162675E-3</v>
      </c>
      <c r="BE7" s="7">
        <v>3.360760871865534E-6</v>
      </c>
      <c r="BF7" s="7">
        <v>3.8196655480235152E-5</v>
      </c>
      <c r="BG7" s="7">
        <v>6.584495769784025E-5</v>
      </c>
      <c r="BH7" s="7">
        <v>1.0454145756953661E-3</v>
      </c>
      <c r="BI7" s="7">
        <v>1.511999447315858E-5</v>
      </c>
      <c r="BJ7" s="7">
        <v>9.2290464426799843E-4</v>
      </c>
      <c r="BK7" s="7">
        <v>3.3747179786714101E-3</v>
      </c>
      <c r="BL7" s="7">
        <v>1.9131237442504171E-4</v>
      </c>
      <c r="BM7" s="7">
        <v>0</v>
      </c>
      <c r="BN7" s="7">
        <v>2.6764433178030602E-4</v>
      </c>
      <c r="BO7" s="7">
        <v>7.5919151151030882E-4</v>
      </c>
      <c r="BP7" s="7">
        <v>4.0564938533839932E-4</v>
      </c>
      <c r="BQ7" s="7">
        <v>3.0556023632369908E-4</v>
      </c>
      <c r="BR7" s="7">
        <v>2.363078946067696E-4</v>
      </c>
      <c r="BS7" s="7">
        <v>2.5945830551971469E-3</v>
      </c>
      <c r="BT7" s="7">
        <v>2.193810164951807E-3</v>
      </c>
      <c r="BU7" s="7">
        <v>5.8363297304996693E-4</v>
      </c>
      <c r="BV7" s="7">
        <v>3.083139394473577E-3</v>
      </c>
      <c r="BW7" s="7">
        <v>1.3772679309462721E-4</v>
      </c>
      <c r="BX7" s="7">
        <v>1.2235208825862401E-4</v>
      </c>
      <c r="BY7" s="7">
        <v>5.1073447066829708E-4</v>
      </c>
      <c r="BZ7" s="7">
        <v>5.8618083157156665E-4</v>
      </c>
    </row>
    <row r="8" spans="1:78">
      <c r="A8" s="4" t="s">
        <v>83</v>
      </c>
      <c r="B8" s="7">
        <v>0</v>
      </c>
      <c r="C8" s="7">
        <v>0</v>
      </c>
      <c r="D8" s="7">
        <v>1.080463117500394E-4</v>
      </c>
      <c r="E8" s="7">
        <v>0</v>
      </c>
      <c r="F8" s="7">
        <v>0</v>
      </c>
      <c r="G8" s="7">
        <v>3.1175634667234952E-4</v>
      </c>
      <c r="H8" s="7">
        <v>0</v>
      </c>
      <c r="I8" s="7">
        <v>5.5985314074401386E-6</v>
      </c>
      <c r="J8" s="7">
        <v>0</v>
      </c>
      <c r="K8" s="7">
        <v>0</v>
      </c>
      <c r="L8" s="7">
        <v>8.9727886301822302E-6</v>
      </c>
      <c r="M8" s="7">
        <v>0</v>
      </c>
      <c r="N8" s="7">
        <v>5.4897373578987401E-6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4.4426793958224182E-5</v>
      </c>
      <c r="U8" s="7">
        <v>2.7868122994045332E-6</v>
      </c>
      <c r="V8" s="7">
        <v>0</v>
      </c>
      <c r="W8" s="7">
        <v>0</v>
      </c>
      <c r="X8" s="7">
        <v>0</v>
      </c>
      <c r="Y8" s="7">
        <v>1.4039627722543281E-5</v>
      </c>
      <c r="Z8" s="7">
        <v>6.0314349382536257E-7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2.7427258971864549E-5</v>
      </c>
      <c r="AG8" s="7">
        <v>4.0764043314984688E-5</v>
      </c>
      <c r="AH8" s="7">
        <v>0</v>
      </c>
      <c r="AI8" s="7">
        <v>1.128579774886357E-5</v>
      </c>
      <c r="AJ8" s="7">
        <v>0</v>
      </c>
      <c r="AK8" s="7">
        <v>0</v>
      </c>
      <c r="AL8" s="7">
        <v>3.9791208325181478E-6</v>
      </c>
      <c r="AM8" s="7">
        <v>0</v>
      </c>
      <c r="AN8" s="7">
        <v>0</v>
      </c>
      <c r="AO8" s="7">
        <v>2.6615851345779132E-3</v>
      </c>
      <c r="AP8" s="7">
        <v>0</v>
      </c>
      <c r="AQ8" s="7">
        <v>2.1725811487234601E-6</v>
      </c>
      <c r="AR8" s="7">
        <v>0</v>
      </c>
      <c r="AS8" s="7">
        <v>5.907483822590865E-3</v>
      </c>
      <c r="AT8" s="7">
        <v>0</v>
      </c>
      <c r="AU8" s="7">
        <v>9.1642589283033918E-4</v>
      </c>
      <c r="AV8" s="7">
        <v>0</v>
      </c>
      <c r="AW8" s="7">
        <v>0</v>
      </c>
      <c r="AX8" s="7">
        <v>5.0862589268203279E-6</v>
      </c>
      <c r="AY8" s="7">
        <v>0</v>
      </c>
      <c r="AZ8" s="7">
        <v>0</v>
      </c>
      <c r="BA8" s="7">
        <v>0</v>
      </c>
      <c r="BB8" s="7">
        <v>0</v>
      </c>
      <c r="BC8" s="7">
        <v>4.9523722694678691E-6</v>
      </c>
      <c r="BD8" s="7">
        <v>0</v>
      </c>
      <c r="BE8" s="7">
        <v>0</v>
      </c>
      <c r="BF8" s="7">
        <v>0</v>
      </c>
      <c r="BG8" s="7">
        <v>0</v>
      </c>
      <c r="BH8" s="7">
        <v>2.4725584226393159E-6</v>
      </c>
      <c r="BI8" s="7">
        <v>0</v>
      </c>
      <c r="BJ8" s="7">
        <v>0</v>
      </c>
      <c r="BK8" s="7">
        <v>0</v>
      </c>
      <c r="BL8" s="7">
        <v>0</v>
      </c>
      <c r="BM8" s="7">
        <v>6.4506530246981602E-4</v>
      </c>
      <c r="BN8" s="7">
        <v>0</v>
      </c>
      <c r="BO8" s="7">
        <v>0</v>
      </c>
      <c r="BP8" s="7">
        <v>1.9491133359951999E-3</v>
      </c>
      <c r="BQ8" s="7">
        <v>0</v>
      </c>
      <c r="BR8" s="7">
        <v>0</v>
      </c>
      <c r="BS8" s="7">
        <v>0</v>
      </c>
      <c r="BT8" s="7">
        <v>7.1503737925919875E-7</v>
      </c>
      <c r="BU8" s="7">
        <v>0</v>
      </c>
      <c r="BV8" s="7">
        <v>3.9161162235107974E-3</v>
      </c>
      <c r="BW8" s="7">
        <v>3.9295527610960269E-6</v>
      </c>
      <c r="BX8" s="7">
        <v>1.5293996442693728E-5</v>
      </c>
      <c r="BY8" s="7">
        <v>0</v>
      </c>
      <c r="BZ8" s="7">
        <v>2.3331878741792179E-4</v>
      </c>
    </row>
    <row r="9" spans="1:78">
      <c r="A9" s="4" t="s">
        <v>85</v>
      </c>
      <c r="B9" s="7">
        <v>0.15759139122707619</v>
      </c>
      <c r="C9" s="7">
        <v>2.238911229292093E-2</v>
      </c>
      <c r="D9" s="7">
        <v>6.3750801943661126E-3</v>
      </c>
      <c r="E9" s="7">
        <v>4.5471381237313591E-2</v>
      </c>
      <c r="F9" s="7">
        <v>1.3474746932649821E-4</v>
      </c>
      <c r="G9" s="7">
        <v>1.6010350019347969E-5</v>
      </c>
      <c r="H9" s="7">
        <v>0</v>
      </c>
      <c r="I9" s="7">
        <v>0</v>
      </c>
      <c r="J9" s="7">
        <v>7.1786735009447527E-3</v>
      </c>
      <c r="K9" s="7">
        <v>3.9434636662275313E-2</v>
      </c>
      <c r="L9" s="7">
        <v>5.1392213780899493E-3</v>
      </c>
      <c r="M9" s="7">
        <v>3.0728465197764562E-2</v>
      </c>
      <c r="N9" s="7">
        <v>2.8056003764773368E-3</v>
      </c>
      <c r="O9" s="7">
        <v>6.1988397146368911E-2</v>
      </c>
      <c r="P9" s="7">
        <v>1.4206904539907169E-4</v>
      </c>
      <c r="Q9" s="7">
        <v>0.1343300469228266</v>
      </c>
      <c r="R9" s="7">
        <v>4.0957682784559107E-2</v>
      </c>
      <c r="S9" s="7">
        <v>4.927932729368192E-3</v>
      </c>
      <c r="T9" s="7">
        <v>6.8793373754183994E-4</v>
      </c>
      <c r="U9" s="7">
        <v>1.5074239276675731E-2</v>
      </c>
      <c r="V9" s="7">
        <v>1.164973646710679E-4</v>
      </c>
      <c r="W9" s="7">
        <v>3.8488077344576738E-2</v>
      </c>
      <c r="X9" s="7">
        <v>2.0457932148549612E-2</v>
      </c>
      <c r="Y9" s="7">
        <v>1.464087083604554E-3</v>
      </c>
      <c r="Z9" s="7">
        <v>1.8488728148777351E-2</v>
      </c>
      <c r="AA9" s="7">
        <v>9.4235391173822201E-3</v>
      </c>
      <c r="AB9" s="7">
        <v>2.220231003624679E-2</v>
      </c>
      <c r="AC9" s="7">
        <v>8.2053413902291143E-3</v>
      </c>
      <c r="AD9" s="7">
        <v>5.3928578691624508E-6</v>
      </c>
      <c r="AE9" s="7">
        <v>4.7542104212966002E-4</v>
      </c>
      <c r="AF9" s="7">
        <v>4.8108954867149358E-4</v>
      </c>
      <c r="AG9" s="7">
        <v>3.945757778834145E-3</v>
      </c>
      <c r="AH9" s="7">
        <v>7.4667209675225114E-3</v>
      </c>
      <c r="AI9" s="7">
        <v>1.248382206322139E-3</v>
      </c>
      <c r="AJ9" s="7">
        <v>1.189335683138015E-3</v>
      </c>
      <c r="AK9" s="7">
        <v>3.044823679918842E-2</v>
      </c>
      <c r="AL9" s="7">
        <v>1.9036125833527651E-2</v>
      </c>
      <c r="AM9" s="7">
        <v>4.2295720390923768E-2</v>
      </c>
      <c r="AN9" s="7">
        <v>1.6220145595802159E-3</v>
      </c>
      <c r="AO9" s="7">
        <v>7.1009133322341416E-3</v>
      </c>
      <c r="AP9" s="7">
        <v>9.0677676684238807E-4</v>
      </c>
      <c r="AQ9" s="7">
        <v>3.8764500157449449E-3</v>
      </c>
      <c r="AR9" s="7">
        <v>0</v>
      </c>
      <c r="AS9" s="7">
        <v>2.9771795191501221E-3</v>
      </c>
      <c r="AT9" s="7">
        <v>9.995720050027016E-4</v>
      </c>
      <c r="AU9" s="7">
        <v>2.778532033458363E-3</v>
      </c>
      <c r="AV9" s="7">
        <v>1.947186727144774E-2</v>
      </c>
      <c r="AW9" s="7">
        <v>4.7513680960569746E-3</v>
      </c>
      <c r="AX9" s="7">
        <v>1.4486241627465729E-4</v>
      </c>
      <c r="AY9" s="7">
        <v>3.8837237402530022E-5</v>
      </c>
      <c r="AZ9" s="7">
        <v>2.1403686795414931E-3</v>
      </c>
      <c r="BA9" s="7">
        <v>2.4699092622386771E-3</v>
      </c>
      <c r="BB9" s="7">
        <v>1.6503430814175069E-3</v>
      </c>
      <c r="BC9" s="7">
        <v>4.1560805092579426E-3</v>
      </c>
      <c r="BD9" s="7">
        <v>4.6865602545450941E-2</v>
      </c>
      <c r="BE9" s="7">
        <v>4.2579204288515551E-3</v>
      </c>
      <c r="BF9" s="7">
        <v>0.17021972624344919</v>
      </c>
      <c r="BG9" s="7">
        <v>5.551955234030799E-3</v>
      </c>
      <c r="BH9" s="7">
        <v>1.651213555034682E-3</v>
      </c>
      <c r="BI9" s="7">
        <v>6.6094232509761146E-3</v>
      </c>
      <c r="BJ9" s="7">
        <v>4.8188237855984161E-4</v>
      </c>
      <c r="BK9" s="7">
        <v>1.432996462040307E-2</v>
      </c>
      <c r="BL9" s="7">
        <v>2.1710827998492679E-2</v>
      </c>
      <c r="BM9" s="7">
        <v>1.7285689720596371E-2</v>
      </c>
      <c r="BN9" s="7">
        <v>5.4034427140542494E-3</v>
      </c>
      <c r="BO9" s="7">
        <v>1.425316331155326E-4</v>
      </c>
      <c r="BP9" s="7">
        <v>1.1765855470044519E-2</v>
      </c>
      <c r="BQ9" s="7">
        <v>2.9370488608882101E-2</v>
      </c>
      <c r="BR9" s="7">
        <v>1.209494740225309E-3</v>
      </c>
      <c r="BS9" s="7">
        <v>1.7283896444541029E-2</v>
      </c>
      <c r="BT9" s="7">
        <v>1.2280691503392151E-2</v>
      </c>
      <c r="BU9" s="7">
        <v>1.3320311618804719E-3</v>
      </c>
      <c r="BV9" s="7">
        <v>1.0961601857259371E-2</v>
      </c>
      <c r="BW9" s="7">
        <v>2.838656849045619E-2</v>
      </c>
      <c r="BX9" s="7">
        <v>6.9225922896568666E-4</v>
      </c>
      <c r="BY9" s="7">
        <v>0.1119960015138477</v>
      </c>
      <c r="BZ9" s="7">
        <v>3.566864227582487E-2</v>
      </c>
    </row>
    <row r="10" spans="1:78">
      <c r="A10" s="4" t="s">
        <v>87</v>
      </c>
      <c r="B10" s="7">
        <v>0</v>
      </c>
      <c r="C10" s="7">
        <v>2.2158253605847599E-5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9.4824266741926708E-7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4.559198684145376E-5</v>
      </c>
      <c r="AB10" s="7">
        <v>4.7233941304695091E-9</v>
      </c>
      <c r="AC10" s="7">
        <v>0</v>
      </c>
      <c r="AD10" s="7">
        <v>0</v>
      </c>
      <c r="AE10" s="7">
        <v>0</v>
      </c>
      <c r="AF10" s="7">
        <v>0</v>
      </c>
      <c r="AG10" s="7">
        <v>1.8807414266880231E-5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6.8922179421674381E-9</v>
      </c>
      <c r="AO10" s="7">
        <v>0</v>
      </c>
      <c r="AP10" s="7">
        <v>0</v>
      </c>
      <c r="AQ10" s="7">
        <v>3.1061195299248642E-8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6.3995061153669042E-5</v>
      </c>
      <c r="BA10" s="7">
        <v>0</v>
      </c>
      <c r="BB10" s="7">
        <v>2.1775464731087679E-5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3.3599547740089289E-5</v>
      </c>
      <c r="BO10" s="7">
        <v>0</v>
      </c>
      <c r="BP10" s="7">
        <v>0</v>
      </c>
      <c r="BQ10" s="7">
        <v>0</v>
      </c>
      <c r="BR10" s="7">
        <v>1.316431106209576E-6</v>
      </c>
      <c r="BS10" s="7">
        <v>0</v>
      </c>
      <c r="BT10" s="7">
        <v>0</v>
      </c>
      <c r="BU10" s="7">
        <v>0</v>
      </c>
      <c r="BV10" s="7">
        <v>0</v>
      </c>
      <c r="BW10" s="7">
        <v>2.9268542104696842E-7</v>
      </c>
      <c r="BX10" s="7">
        <v>1.728896527192511E-6</v>
      </c>
      <c r="BY10" s="7">
        <v>0</v>
      </c>
      <c r="BZ10" s="7">
        <v>7.4825886268791501E-7</v>
      </c>
    </row>
    <row r="11" spans="1:78">
      <c r="A11" s="4" t="s">
        <v>89</v>
      </c>
      <c r="B11" s="7">
        <v>9.4707628506675182E-4</v>
      </c>
      <c r="C11" s="7">
        <v>4.7417982861695388E-3</v>
      </c>
      <c r="D11" s="7">
        <v>1.3415197883887809E-3</v>
      </c>
      <c r="E11" s="7">
        <v>3.2454419226566628E-3</v>
      </c>
      <c r="F11" s="7">
        <v>1.0077175885889559E-5</v>
      </c>
      <c r="G11" s="7">
        <v>1.2678220164047039E-4</v>
      </c>
      <c r="H11" s="7">
        <v>2.4485572091477258E-4</v>
      </c>
      <c r="I11" s="7">
        <v>3.1804326538571932E-4</v>
      </c>
      <c r="J11" s="7">
        <v>7.4193332241416282E-4</v>
      </c>
      <c r="K11" s="7">
        <v>0</v>
      </c>
      <c r="L11" s="7">
        <v>1.112786944484916E-3</v>
      </c>
      <c r="M11" s="7">
        <v>9.7094073424910314E-4</v>
      </c>
      <c r="N11" s="7">
        <v>6.4392230267499781E-4</v>
      </c>
      <c r="O11" s="7">
        <v>3.8231140441423412E-4</v>
      </c>
      <c r="P11" s="7">
        <v>0</v>
      </c>
      <c r="Q11" s="7">
        <v>4.7487956510078701E-4</v>
      </c>
      <c r="R11" s="7">
        <v>4.3020440035272467E-3</v>
      </c>
      <c r="S11" s="7">
        <v>4.9775065647723853E-5</v>
      </c>
      <c r="T11" s="7">
        <v>3.7486284584916388E-4</v>
      </c>
      <c r="U11" s="7">
        <v>6.1424119177199733E-3</v>
      </c>
      <c r="V11" s="7">
        <v>1.4970251851850171E-2</v>
      </c>
      <c r="W11" s="7">
        <v>1.138284560244417E-4</v>
      </c>
      <c r="X11" s="7">
        <v>8.5618090591226524E-4</v>
      </c>
      <c r="Y11" s="7">
        <v>7.4217739241699658E-3</v>
      </c>
      <c r="Z11" s="7">
        <v>2.5325588646167742E-4</v>
      </c>
      <c r="AA11" s="7">
        <v>1.094389132864862E-3</v>
      </c>
      <c r="AB11" s="7">
        <v>1.485284160134403E-2</v>
      </c>
      <c r="AC11" s="7">
        <v>2.3992568233366791E-4</v>
      </c>
      <c r="AD11" s="7">
        <v>2.5557658384939581E-5</v>
      </c>
      <c r="AE11" s="7">
        <v>2.3957118786738999E-4</v>
      </c>
      <c r="AF11" s="7">
        <v>1.3854777953775161E-4</v>
      </c>
      <c r="AG11" s="7">
        <v>1.5866446515657199E-3</v>
      </c>
      <c r="AH11" s="7">
        <v>1.0673992795794411E-3</v>
      </c>
      <c r="AI11" s="7">
        <v>6.2496278760931388E-4</v>
      </c>
      <c r="AJ11" s="7">
        <v>3.8523350757378432E-3</v>
      </c>
      <c r="AK11" s="7">
        <v>1.390715314011374E-3</v>
      </c>
      <c r="AL11" s="7">
        <v>4.2352335292803232E-4</v>
      </c>
      <c r="AM11" s="7">
        <v>3.6284990212002641E-3</v>
      </c>
      <c r="AN11" s="7">
        <v>7.9899354873606554E-3</v>
      </c>
      <c r="AO11" s="7">
        <v>2.2038408857415231E-4</v>
      </c>
      <c r="AP11" s="7">
        <v>0</v>
      </c>
      <c r="AQ11" s="7">
        <v>3.2363296957641652E-4</v>
      </c>
      <c r="AR11" s="7">
        <v>6.2575014986767527E-5</v>
      </c>
      <c r="AS11" s="7">
        <v>1.3374203491683351E-4</v>
      </c>
      <c r="AT11" s="7">
        <v>1.139634641166174E-3</v>
      </c>
      <c r="AU11" s="7">
        <v>9.1201522873942786E-4</v>
      </c>
      <c r="AV11" s="7">
        <v>1.9941697059381E-4</v>
      </c>
      <c r="AW11" s="7">
        <v>1.459242794227242E-2</v>
      </c>
      <c r="AX11" s="7">
        <v>1.619464440440662E-5</v>
      </c>
      <c r="AY11" s="7">
        <v>2.9759525098029061E-5</v>
      </c>
      <c r="AZ11" s="7">
        <v>2.851921138792405E-3</v>
      </c>
      <c r="BA11" s="7">
        <v>6.4019334056989179E-4</v>
      </c>
      <c r="BB11" s="7">
        <v>2.5516224125470199E-3</v>
      </c>
      <c r="BC11" s="7">
        <v>6.3350822779571006E-3</v>
      </c>
      <c r="BD11" s="7">
        <v>3.026860816238203E-3</v>
      </c>
      <c r="BE11" s="7">
        <v>2.427168459882654E-3</v>
      </c>
      <c r="BF11" s="7">
        <v>1.8849078161967249E-3</v>
      </c>
      <c r="BG11" s="7">
        <v>6.5736428016452679E-5</v>
      </c>
      <c r="BH11" s="7">
        <v>3.3867007388289632E-3</v>
      </c>
      <c r="BI11" s="7">
        <v>1.357118072344462E-4</v>
      </c>
      <c r="BJ11" s="7">
        <v>9.0462143393832037E-4</v>
      </c>
      <c r="BK11" s="7">
        <v>9.9364136909350047E-5</v>
      </c>
      <c r="BL11" s="7">
        <v>4.0406132188705243E-3</v>
      </c>
      <c r="BM11" s="7">
        <v>6.0612944946227269E-4</v>
      </c>
      <c r="BN11" s="7">
        <v>1.472945392092758E-3</v>
      </c>
      <c r="BO11" s="7">
        <v>1.440201034548695E-4</v>
      </c>
      <c r="BP11" s="7">
        <v>2.7867951743559382E-4</v>
      </c>
      <c r="BQ11" s="7">
        <v>8.1044103874835475E-4</v>
      </c>
      <c r="BR11" s="7">
        <v>1.4856784832078689E-3</v>
      </c>
      <c r="BS11" s="7">
        <v>9.8705346115757824E-5</v>
      </c>
      <c r="BT11" s="7">
        <v>5.7621477994838292E-4</v>
      </c>
      <c r="BU11" s="7">
        <v>2.8404124876108228E-4</v>
      </c>
      <c r="BV11" s="7">
        <v>1.348709143632659E-3</v>
      </c>
      <c r="BW11" s="7">
        <v>2.114428127572263E-2</v>
      </c>
      <c r="BX11" s="7">
        <v>1.61388981486226E-5</v>
      </c>
      <c r="BY11" s="7">
        <v>1.5717037712968879E-3</v>
      </c>
      <c r="BZ11" s="7">
        <v>2.2219144246221211E-3</v>
      </c>
    </row>
    <row r="12" spans="1:78">
      <c r="A12" s="4" t="s">
        <v>91</v>
      </c>
      <c r="B12" s="7">
        <v>5.3854236241566442E-3</v>
      </c>
      <c r="C12" s="7">
        <v>1.3805758158487679E-2</v>
      </c>
      <c r="D12" s="7">
        <v>6.9901567305166001E-2</v>
      </c>
      <c r="E12" s="7">
        <v>4.3813348657601092E-3</v>
      </c>
      <c r="F12" s="7">
        <v>1.235521569777212E-3</v>
      </c>
      <c r="G12" s="7">
        <v>7.3233514868046318E-3</v>
      </c>
      <c r="H12" s="7">
        <v>6.748903481693309E-3</v>
      </c>
      <c r="I12" s="7">
        <v>9.7825124324123092E-3</v>
      </c>
      <c r="J12" s="7">
        <v>2.2635968438193509E-3</v>
      </c>
      <c r="K12" s="7">
        <v>1.056302254173834E-2</v>
      </c>
      <c r="L12" s="7">
        <v>0</v>
      </c>
      <c r="M12" s="7">
        <v>5.4746986544764635E-4</v>
      </c>
      <c r="N12" s="7">
        <v>4.1553987552179511E-2</v>
      </c>
      <c r="O12" s="7">
        <v>2.097129002774581E-3</v>
      </c>
      <c r="P12" s="7">
        <v>4.6396463537572248E-3</v>
      </c>
      <c r="Q12" s="7">
        <v>4.2967106856873667E-3</v>
      </c>
      <c r="R12" s="7">
        <v>3.9023969976064829E-3</v>
      </c>
      <c r="S12" s="7">
        <v>3.6209772089228851E-3</v>
      </c>
      <c r="T12" s="7">
        <v>5.10288391332945E-2</v>
      </c>
      <c r="U12" s="7">
        <v>8.610371485734078E-2</v>
      </c>
      <c r="V12" s="7">
        <v>4.1687407936185144E-3</v>
      </c>
      <c r="W12" s="7">
        <v>5.03385893110209E-3</v>
      </c>
      <c r="X12" s="7">
        <v>2.08499627626898E-2</v>
      </c>
      <c r="Y12" s="7">
        <v>0.104514847692378</v>
      </c>
      <c r="Z12" s="7">
        <v>4.7547444880165747E-2</v>
      </c>
      <c r="AA12" s="7">
        <v>2.4504306842558492E-2</v>
      </c>
      <c r="AB12" s="7">
        <v>4.4270699748616762E-2</v>
      </c>
      <c r="AC12" s="7">
        <v>2.592370267800459E-3</v>
      </c>
      <c r="AD12" s="7">
        <v>2.8616780512525351E-3</v>
      </c>
      <c r="AE12" s="7">
        <v>1.082385024977636E-2</v>
      </c>
      <c r="AF12" s="7">
        <v>8.9846945800131951E-3</v>
      </c>
      <c r="AG12" s="7">
        <v>1.0956355178367439E-3</v>
      </c>
      <c r="AH12" s="7">
        <v>1.010558584762174E-2</v>
      </c>
      <c r="AI12" s="7">
        <v>2.0383667455237061E-2</v>
      </c>
      <c r="AJ12" s="7">
        <v>1.7528989161741261E-2</v>
      </c>
      <c r="AK12" s="7">
        <v>7.1073981123641911E-2</v>
      </c>
      <c r="AL12" s="7">
        <v>1.6662692810025401E-2</v>
      </c>
      <c r="AM12" s="7">
        <v>7.0298775604687464E-3</v>
      </c>
      <c r="AN12" s="7">
        <v>8.0242294602693599E-3</v>
      </c>
      <c r="AO12" s="7">
        <v>1.1480458389387891E-2</v>
      </c>
      <c r="AP12" s="7">
        <v>6.0328979294617392E-5</v>
      </c>
      <c r="AQ12" s="7">
        <v>4.9308934761818713E-3</v>
      </c>
      <c r="AR12" s="7">
        <v>2.0297715707647199E-4</v>
      </c>
      <c r="AS12" s="7">
        <v>3.4095140350124862E-3</v>
      </c>
      <c r="AT12" s="7">
        <v>8.4208841413563537E-3</v>
      </c>
      <c r="AU12" s="7">
        <v>2.560812252970962E-2</v>
      </c>
      <c r="AV12" s="7">
        <v>1.9911036866091251E-2</v>
      </c>
      <c r="AW12" s="7">
        <v>1.161959283947874E-2</v>
      </c>
      <c r="AX12" s="7">
        <v>8.5980614201790918E-3</v>
      </c>
      <c r="AY12" s="7">
        <v>2.7808031593026729E-4</v>
      </c>
      <c r="AZ12" s="7">
        <v>1.602626533442917E-2</v>
      </c>
      <c r="BA12" s="7">
        <v>3.2145499834476329E-2</v>
      </c>
      <c r="BB12" s="7">
        <v>1.8482176651421298E-2</v>
      </c>
      <c r="BC12" s="7">
        <v>4.714091460221069E-2</v>
      </c>
      <c r="BD12" s="7">
        <v>1.721287653315054E-2</v>
      </c>
      <c r="BE12" s="7">
        <v>1.1404769210308001E-3</v>
      </c>
      <c r="BF12" s="7">
        <v>3.0788860198342509E-3</v>
      </c>
      <c r="BG12" s="7">
        <v>1.183183351175223E-3</v>
      </c>
      <c r="BH12" s="7">
        <v>2.2646230520382692E-2</v>
      </c>
      <c r="BI12" s="7">
        <v>0.13289767060520849</v>
      </c>
      <c r="BJ12" s="7">
        <v>2.5675858268558858E-2</v>
      </c>
      <c r="BK12" s="7">
        <v>8.8838372197834418E-3</v>
      </c>
      <c r="BL12" s="7">
        <v>8.3166756981956427E-3</v>
      </c>
      <c r="BM12" s="7">
        <v>1.5677661038478929E-3</v>
      </c>
      <c r="BN12" s="7">
        <v>2.3182125367997339E-2</v>
      </c>
      <c r="BO12" s="7">
        <v>3.2875573603680923E-2</v>
      </c>
      <c r="BP12" s="7">
        <v>1.049796072494744E-2</v>
      </c>
      <c r="BQ12" s="7">
        <v>9.1174963463175971E-3</v>
      </c>
      <c r="BR12" s="7">
        <v>4.0195804096797329E-3</v>
      </c>
      <c r="BS12" s="7">
        <v>1.621328209969268E-2</v>
      </c>
      <c r="BT12" s="7">
        <v>1.4557851634591459E-2</v>
      </c>
      <c r="BU12" s="7">
        <v>1.0425183272449991E-2</v>
      </c>
      <c r="BV12" s="7">
        <v>4.6507466563757947E-2</v>
      </c>
      <c r="BW12" s="7">
        <v>2.2082952535110952E-2</v>
      </c>
      <c r="BX12" s="7">
        <v>2.4389268969174142E-3</v>
      </c>
      <c r="BY12" s="7">
        <v>6.5439845417027747E-3</v>
      </c>
      <c r="BZ12" s="7">
        <v>8.301448496917883E-3</v>
      </c>
    </row>
    <row r="13" spans="1:78">
      <c r="A13" s="4" t="s">
        <v>93</v>
      </c>
      <c r="B13" s="7">
        <v>2.244358525943894E-5</v>
      </c>
      <c r="C13" s="7">
        <v>1.245876903056675E-4</v>
      </c>
      <c r="D13" s="7">
        <v>3.794748299056153E-6</v>
      </c>
      <c r="E13" s="7">
        <v>1.3443066264863931E-6</v>
      </c>
      <c r="F13" s="7">
        <v>0</v>
      </c>
      <c r="G13" s="7">
        <v>0</v>
      </c>
      <c r="H13" s="7">
        <v>0</v>
      </c>
      <c r="I13" s="7">
        <v>2.1383558833343259E-4</v>
      </c>
      <c r="J13" s="7">
        <v>0</v>
      </c>
      <c r="K13" s="7">
        <v>6.018646412962593E-5</v>
      </c>
      <c r="L13" s="7">
        <v>9.7896046718626064E-6</v>
      </c>
      <c r="M13" s="7">
        <v>0</v>
      </c>
      <c r="N13" s="7">
        <v>3.4024306262141642E-8</v>
      </c>
      <c r="O13" s="7">
        <v>0</v>
      </c>
      <c r="P13" s="7">
        <v>0</v>
      </c>
      <c r="Q13" s="7">
        <v>1.276770028236982E-4</v>
      </c>
      <c r="R13" s="7">
        <v>8.1499014272608087E-4</v>
      </c>
      <c r="S13" s="7">
        <v>0</v>
      </c>
      <c r="T13" s="7">
        <v>0</v>
      </c>
      <c r="U13" s="7">
        <v>1.626309121312304E-6</v>
      </c>
      <c r="V13" s="7">
        <v>2.2951468811019821E-5</v>
      </c>
      <c r="W13" s="7">
        <v>0</v>
      </c>
      <c r="X13" s="7">
        <v>4.296188718093297E-5</v>
      </c>
      <c r="Y13" s="7">
        <v>0</v>
      </c>
      <c r="Z13" s="7">
        <v>2.820829080091399E-5</v>
      </c>
      <c r="AA13" s="7">
        <v>2.3888999772291931E-7</v>
      </c>
      <c r="AB13" s="7">
        <v>7.4581233965238731E-7</v>
      </c>
      <c r="AC13" s="7">
        <v>0</v>
      </c>
      <c r="AD13" s="7">
        <v>0</v>
      </c>
      <c r="AE13" s="7">
        <v>0</v>
      </c>
      <c r="AF13" s="7">
        <v>0</v>
      </c>
      <c r="AG13" s="7">
        <v>2.3448101236844919E-5</v>
      </c>
      <c r="AH13" s="7">
        <v>1.248291241710644E-5</v>
      </c>
      <c r="AI13" s="7">
        <v>6.4303538724154536E-8</v>
      </c>
      <c r="AJ13" s="7">
        <v>2.3019099944890739E-4</v>
      </c>
      <c r="AK13" s="7">
        <v>0</v>
      </c>
      <c r="AL13" s="7">
        <v>5.5046862819250408E-5</v>
      </c>
      <c r="AM13" s="7">
        <v>0</v>
      </c>
      <c r="AN13" s="7">
        <v>8.0231272666030675E-5</v>
      </c>
      <c r="AO13" s="7">
        <v>0</v>
      </c>
      <c r="AP13" s="7">
        <v>0</v>
      </c>
      <c r="AQ13" s="7">
        <v>5.0872178006325163E-8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4.7782116114559802E-4</v>
      </c>
      <c r="AX13" s="7">
        <v>0</v>
      </c>
      <c r="AY13" s="7">
        <v>0</v>
      </c>
      <c r="AZ13" s="7">
        <v>9.0981526002103492E-6</v>
      </c>
      <c r="BA13" s="7">
        <v>0</v>
      </c>
      <c r="BB13" s="7">
        <v>2.3861588727403352E-6</v>
      </c>
      <c r="BC13" s="7">
        <v>0</v>
      </c>
      <c r="BD13" s="7">
        <v>0</v>
      </c>
      <c r="BE13" s="7">
        <v>1.824615766066103E-5</v>
      </c>
      <c r="BF13" s="7">
        <v>1.2761050833447699E-3</v>
      </c>
      <c r="BG13" s="7">
        <v>1.479983088521864E-5</v>
      </c>
      <c r="BH13" s="7">
        <v>3.3679920947779639E-6</v>
      </c>
      <c r="BI13" s="7">
        <v>1.8151770594179249E-5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4.810310537789312E-7</v>
      </c>
      <c r="BQ13" s="7">
        <v>1.191214037441332E-5</v>
      </c>
      <c r="BR13" s="7">
        <v>1.139486468503605E-6</v>
      </c>
      <c r="BS13" s="7">
        <v>0</v>
      </c>
      <c r="BT13" s="7">
        <v>1.6776004591807461E-5</v>
      </c>
      <c r="BU13" s="7">
        <v>0</v>
      </c>
      <c r="BV13" s="7">
        <v>0</v>
      </c>
      <c r="BW13" s="7">
        <v>3.5655455404163589E-4</v>
      </c>
      <c r="BX13" s="7">
        <v>0</v>
      </c>
      <c r="BY13" s="7">
        <v>7.3939412842885578E-6</v>
      </c>
      <c r="BZ13" s="7">
        <v>1.7287181907814879E-4</v>
      </c>
    </row>
    <row r="14" spans="1:78">
      <c r="A14" s="4" t="s">
        <v>95</v>
      </c>
      <c r="B14" s="7">
        <v>0.49734022403201522</v>
      </c>
      <c r="C14" s="7">
        <v>0.46671706206280761</v>
      </c>
      <c r="D14" s="7">
        <v>0.15240205857843411</v>
      </c>
      <c r="E14" s="7">
        <v>0.29454224365527021</v>
      </c>
      <c r="F14" s="7">
        <v>0.62276234372411043</v>
      </c>
      <c r="G14" s="7">
        <v>0.19760276780339661</v>
      </c>
      <c r="H14" s="7">
        <v>0.61035110515549718</v>
      </c>
      <c r="I14" s="7">
        <v>0.43186544705992502</v>
      </c>
      <c r="J14" s="7">
        <v>0.13759796100552141</v>
      </c>
      <c r="K14" s="7">
        <v>0.15509035767678989</v>
      </c>
      <c r="L14" s="7">
        <v>0.1575862792090337</v>
      </c>
      <c r="M14" s="7">
        <v>0.71577327503788246</v>
      </c>
      <c r="N14" s="7">
        <v>0</v>
      </c>
      <c r="O14" s="7">
        <v>9.2127585340996743E-2</v>
      </c>
      <c r="P14" s="7">
        <v>0.20291721754349409</v>
      </c>
      <c r="Q14" s="7">
        <v>0.38381095843010882</v>
      </c>
      <c r="R14" s="7">
        <v>0.2414787268010197</v>
      </c>
      <c r="S14" s="7">
        <v>0.31984347908413152</v>
      </c>
      <c r="T14" s="7">
        <v>0.1927846795283564</v>
      </c>
      <c r="U14" s="7">
        <v>0.2001046268217086</v>
      </c>
      <c r="V14" s="7">
        <v>0.20868156513897529</v>
      </c>
      <c r="W14" s="7">
        <v>0.48240393058232123</v>
      </c>
      <c r="X14" s="7">
        <v>0.21100302075188959</v>
      </c>
      <c r="Y14" s="7">
        <v>0.17050235682236761</v>
      </c>
      <c r="Z14" s="7">
        <v>0.36372646395837599</v>
      </c>
      <c r="AA14" s="7">
        <v>0.1939689393248025</v>
      </c>
      <c r="AB14" s="7">
        <v>0.17011587621871471</v>
      </c>
      <c r="AC14" s="7">
        <v>0.32725768011105971</v>
      </c>
      <c r="AD14" s="7">
        <v>0.70904643598295902</v>
      </c>
      <c r="AE14" s="7">
        <v>0.1159748656257498</v>
      </c>
      <c r="AF14" s="7">
        <v>0.1014596225756227</v>
      </c>
      <c r="AG14" s="7">
        <v>0.60873288078648269</v>
      </c>
      <c r="AH14" s="7">
        <v>0.5455096083033989</v>
      </c>
      <c r="AI14" s="7">
        <v>0.1610433229940213</v>
      </c>
      <c r="AJ14" s="7">
        <v>0.1113862715028118</v>
      </c>
      <c r="AK14" s="7">
        <v>0.29807243468094091</v>
      </c>
      <c r="AL14" s="7">
        <v>0.31212775813475663</v>
      </c>
      <c r="AM14" s="7">
        <v>0.3305584143680641</v>
      </c>
      <c r="AN14" s="7">
        <v>0.46990750740208931</v>
      </c>
      <c r="AO14" s="7">
        <v>0.12710150205335841</v>
      </c>
      <c r="AP14" s="7">
        <v>0.62644742743421711</v>
      </c>
      <c r="AQ14" s="7">
        <v>0.36994381854821462</v>
      </c>
      <c r="AR14" s="7">
        <v>0.4739079487820716</v>
      </c>
      <c r="AS14" s="7">
        <v>0.17561786349903091</v>
      </c>
      <c r="AT14" s="7">
        <v>2.0683292685931921E-2</v>
      </c>
      <c r="AU14" s="7">
        <v>0.119978792283847</v>
      </c>
      <c r="AV14" s="7">
        <v>0.3313654139799061</v>
      </c>
      <c r="AW14" s="7">
        <v>0.41498894246900148</v>
      </c>
      <c r="AX14" s="7">
        <v>0.84054006882844023</v>
      </c>
      <c r="AY14" s="7">
        <v>0.67812830186408768</v>
      </c>
      <c r="AZ14" s="7">
        <v>0.42432346789889691</v>
      </c>
      <c r="BA14" s="7">
        <v>0.69960665164375213</v>
      </c>
      <c r="BB14" s="7">
        <v>0.25096406507703239</v>
      </c>
      <c r="BC14" s="7">
        <v>8.8318356444913634E-2</v>
      </c>
      <c r="BD14" s="7">
        <v>0.31566437042299639</v>
      </c>
      <c r="BE14" s="7">
        <v>0.81248627473740032</v>
      </c>
      <c r="BF14" s="7">
        <v>0.28303062621601838</v>
      </c>
      <c r="BG14" s="7">
        <v>0.33249539193796862</v>
      </c>
      <c r="BH14" s="7">
        <v>0.25785346648190433</v>
      </c>
      <c r="BI14" s="7">
        <v>0.20287086279205269</v>
      </c>
      <c r="BJ14" s="7">
        <v>0.27956576127864469</v>
      </c>
      <c r="BK14" s="7">
        <v>0.5455205926423885</v>
      </c>
      <c r="BL14" s="7">
        <v>0.19791649759864949</v>
      </c>
      <c r="BM14" s="7">
        <v>0.23462961617449449</v>
      </c>
      <c r="BN14" s="7">
        <v>0.19335536290868649</v>
      </c>
      <c r="BO14" s="7">
        <v>0.11452155557040181</v>
      </c>
      <c r="BP14" s="7">
        <v>0.2269612316539957</v>
      </c>
      <c r="BQ14" s="7">
        <v>0.31283425886205651</v>
      </c>
      <c r="BR14" s="7">
        <v>0.52968824162058326</v>
      </c>
      <c r="BS14" s="7">
        <v>0.37656870896565697</v>
      </c>
      <c r="BT14" s="7">
        <v>0.40640256182065942</v>
      </c>
      <c r="BU14" s="7">
        <v>0.28687138515452998</v>
      </c>
      <c r="BV14" s="7">
        <v>0.56919600479414478</v>
      </c>
      <c r="BW14" s="7">
        <v>0.16304300502551131</v>
      </c>
      <c r="BX14" s="7">
        <v>0.67394123389263838</v>
      </c>
      <c r="BY14" s="7">
        <v>0.35643870267070932</v>
      </c>
      <c r="BZ14" s="7">
        <v>0.27710623877748958</v>
      </c>
    </row>
    <row r="15" spans="1:78">
      <c r="A15" s="4" t="s">
        <v>97</v>
      </c>
      <c r="B15" s="7">
        <v>0</v>
      </c>
      <c r="C15" s="7">
        <v>0</v>
      </c>
      <c r="D15" s="7">
        <v>1.7906765939641699E-6</v>
      </c>
      <c r="E15" s="7">
        <v>2.297868003928981E-6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1.774504854894275E-7</v>
      </c>
      <c r="M15" s="7">
        <v>0</v>
      </c>
      <c r="N15" s="7">
        <v>0</v>
      </c>
      <c r="O15" s="7">
        <v>0</v>
      </c>
      <c r="P15" s="7">
        <v>2.1148062624141472E-3</v>
      </c>
      <c r="Q15" s="7">
        <v>0</v>
      </c>
      <c r="R15" s="7">
        <v>0</v>
      </c>
      <c r="S15" s="7">
        <v>0</v>
      </c>
      <c r="T15" s="7">
        <v>1.283967099003906E-6</v>
      </c>
      <c r="U15" s="7">
        <v>1.5381663284590589E-5</v>
      </c>
      <c r="V15" s="7">
        <v>0</v>
      </c>
      <c r="W15" s="7">
        <v>0</v>
      </c>
      <c r="X15" s="7">
        <v>1.5060486358248059E-6</v>
      </c>
      <c r="Y15" s="7">
        <v>0</v>
      </c>
      <c r="Z15" s="7">
        <v>0</v>
      </c>
      <c r="AA15" s="7">
        <v>2.268111178479986E-5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4.0540606615080717E-6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8.228464375440658E-6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1.509422787573428E-4</v>
      </c>
      <c r="BB15" s="7">
        <v>2.710945021425665E-5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1.9162685288239929E-7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1.609550001713598E-6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1.0298420257304221E-6</v>
      </c>
      <c r="BZ15" s="7">
        <v>1.6825330960210349E-4</v>
      </c>
    </row>
    <row r="16" spans="1:78">
      <c r="A16" s="4" t="s">
        <v>99</v>
      </c>
      <c r="B16" s="7">
        <v>0</v>
      </c>
      <c r="C16" s="7">
        <v>0</v>
      </c>
      <c r="D16" s="7">
        <v>4.7744902953533144E-7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6.0994507195963674E-6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4.5638190326579039E-6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3.047589287456774E-6</v>
      </c>
      <c r="AB16" s="7">
        <v>8.2288273458679524E-7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3.6175771026720111E-9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1.122002657470898E-6</v>
      </c>
      <c r="BA16" s="7">
        <v>0</v>
      </c>
      <c r="BB16" s="7">
        <v>2.115311710414933E-5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3.524615837830365E-5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8.9878364229895436E-6</v>
      </c>
      <c r="BX16" s="7">
        <v>0</v>
      </c>
      <c r="BY16" s="7">
        <v>0</v>
      </c>
      <c r="BZ16" s="7">
        <v>1.594896769358509E-4</v>
      </c>
    </row>
    <row r="17" spans="1:78">
      <c r="A17" s="4" t="s">
        <v>101</v>
      </c>
      <c r="B17" s="7">
        <v>2.587416435978448E-6</v>
      </c>
      <c r="C17" s="7">
        <v>0</v>
      </c>
      <c r="D17" s="7">
        <v>4.5990367619981879E-6</v>
      </c>
      <c r="E17" s="7">
        <v>1.502859692801641E-6</v>
      </c>
      <c r="F17" s="7">
        <v>0</v>
      </c>
      <c r="G17" s="7">
        <v>0</v>
      </c>
      <c r="H17" s="7">
        <v>0</v>
      </c>
      <c r="I17" s="7">
        <v>5.0128521905259231E-6</v>
      </c>
      <c r="J17" s="7">
        <v>0</v>
      </c>
      <c r="K17" s="7">
        <v>1.0036029166722819E-5</v>
      </c>
      <c r="L17" s="7">
        <v>0</v>
      </c>
      <c r="M17" s="7">
        <v>4.4083509072857488E-5</v>
      </c>
      <c r="N17" s="7">
        <v>0</v>
      </c>
      <c r="O17" s="7">
        <v>0</v>
      </c>
      <c r="P17" s="7">
        <v>0</v>
      </c>
      <c r="Q17" s="7">
        <v>0</v>
      </c>
      <c r="R17" s="7">
        <v>2.86581005343029E-3</v>
      </c>
      <c r="S17" s="7">
        <v>0</v>
      </c>
      <c r="T17" s="7">
        <v>0</v>
      </c>
      <c r="U17" s="7">
        <v>3.3468589192363161E-6</v>
      </c>
      <c r="V17" s="7">
        <v>6.7773742025294074E-6</v>
      </c>
      <c r="W17" s="7">
        <v>0</v>
      </c>
      <c r="X17" s="7">
        <v>1.0896015396754999E-5</v>
      </c>
      <c r="Y17" s="7">
        <v>0</v>
      </c>
      <c r="Z17" s="7">
        <v>0</v>
      </c>
      <c r="AA17" s="7">
        <v>1.297520357622343E-6</v>
      </c>
      <c r="AB17" s="7">
        <v>0</v>
      </c>
      <c r="AC17" s="7">
        <v>0</v>
      </c>
      <c r="AD17" s="7">
        <v>1.161119692903108E-7</v>
      </c>
      <c r="AE17" s="7">
        <v>0</v>
      </c>
      <c r="AF17" s="7">
        <v>0</v>
      </c>
      <c r="AG17" s="7">
        <v>0</v>
      </c>
      <c r="AH17" s="7">
        <v>6.7684049097507594E-6</v>
      </c>
      <c r="AI17" s="7">
        <v>9.1154464496937558E-6</v>
      </c>
      <c r="AJ17" s="7">
        <v>0</v>
      </c>
      <c r="AK17" s="7">
        <v>8.4285776606749954E-6</v>
      </c>
      <c r="AL17" s="7">
        <v>9.1990520421230756E-6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3.7277542597436338E-5</v>
      </c>
      <c r="AX17" s="7">
        <v>0</v>
      </c>
      <c r="AY17" s="7">
        <v>0</v>
      </c>
      <c r="AZ17" s="7">
        <v>0</v>
      </c>
      <c r="BA17" s="7">
        <v>0</v>
      </c>
      <c r="BB17" s="7">
        <v>1.5477304648930209E-6</v>
      </c>
      <c r="BC17" s="7">
        <v>0</v>
      </c>
      <c r="BD17" s="7">
        <v>0</v>
      </c>
      <c r="BE17" s="7">
        <v>1.2320448320538321E-5</v>
      </c>
      <c r="BF17" s="7">
        <v>1.513726611852149E-3</v>
      </c>
      <c r="BG17" s="7">
        <v>0</v>
      </c>
      <c r="BH17" s="7">
        <v>7.8524680168012667E-6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8.3107903971892446E-7</v>
      </c>
      <c r="BR17" s="7">
        <v>0</v>
      </c>
      <c r="BS17" s="7">
        <v>0</v>
      </c>
      <c r="BT17" s="7">
        <v>8.3199824988048295E-7</v>
      </c>
      <c r="BU17" s="7">
        <v>0</v>
      </c>
      <c r="BV17" s="7">
        <v>0</v>
      </c>
      <c r="BW17" s="7">
        <v>6.1284929236225677E-5</v>
      </c>
      <c r="BX17" s="7">
        <v>0</v>
      </c>
      <c r="BY17" s="7">
        <v>6.6486971596862037E-8</v>
      </c>
      <c r="BZ17" s="7">
        <v>1.791414200440678E-3</v>
      </c>
    </row>
    <row r="18" spans="1:78">
      <c r="A18" s="4" t="s">
        <v>103</v>
      </c>
      <c r="B18" s="7">
        <v>5.0809320813350589E-6</v>
      </c>
      <c r="C18" s="7">
        <v>0</v>
      </c>
      <c r="D18" s="7">
        <v>2.400442314366813E-6</v>
      </c>
      <c r="E18" s="7">
        <v>3.6463055855598489E-6</v>
      </c>
      <c r="F18" s="7">
        <v>0</v>
      </c>
      <c r="G18" s="7">
        <v>0</v>
      </c>
      <c r="H18" s="7">
        <v>0</v>
      </c>
      <c r="I18" s="7">
        <v>1.08058896109634E-6</v>
      </c>
      <c r="J18" s="7">
        <v>0</v>
      </c>
      <c r="K18" s="7">
        <v>2.7471647446280268E-6</v>
      </c>
      <c r="L18" s="7">
        <v>0</v>
      </c>
      <c r="M18" s="7">
        <v>7.4605321054476591E-5</v>
      </c>
      <c r="N18" s="7">
        <v>1.051182148504549E-5</v>
      </c>
      <c r="O18" s="7">
        <v>0</v>
      </c>
      <c r="P18" s="7">
        <v>0</v>
      </c>
      <c r="Q18" s="7">
        <v>3.032036188188268E-5</v>
      </c>
      <c r="R18" s="7">
        <v>0</v>
      </c>
      <c r="S18" s="7">
        <v>0</v>
      </c>
      <c r="T18" s="7">
        <v>0</v>
      </c>
      <c r="U18" s="7">
        <v>9.7303995593846866E-5</v>
      </c>
      <c r="V18" s="7">
        <v>7.4044092582361698E-7</v>
      </c>
      <c r="W18" s="7">
        <v>0</v>
      </c>
      <c r="X18" s="7">
        <v>1.3617756009284291E-5</v>
      </c>
      <c r="Y18" s="7">
        <v>0</v>
      </c>
      <c r="Z18" s="7">
        <v>2.7177391089967801E-6</v>
      </c>
      <c r="AA18" s="7">
        <v>0</v>
      </c>
      <c r="AB18" s="7">
        <v>4.6779871500771098E-6</v>
      </c>
      <c r="AC18" s="7">
        <v>0</v>
      </c>
      <c r="AD18" s="7">
        <v>2.0868049780286279E-7</v>
      </c>
      <c r="AE18" s="7">
        <v>0</v>
      </c>
      <c r="AF18" s="7">
        <v>0</v>
      </c>
      <c r="AG18" s="7">
        <v>0</v>
      </c>
      <c r="AH18" s="7">
        <v>1.9010681996200631E-6</v>
      </c>
      <c r="AI18" s="7">
        <v>0</v>
      </c>
      <c r="AJ18" s="7">
        <v>0</v>
      </c>
      <c r="AK18" s="7">
        <v>4.2142888303374977E-6</v>
      </c>
      <c r="AL18" s="7">
        <v>2.328296165043514E-6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5.7023472792632863E-5</v>
      </c>
      <c r="AV18" s="7">
        <v>0</v>
      </c>
      <c r="AW18" s="7">
        <v>8.0644483445672739E-7</v>
      </c>
      <c r="AX18" s="7">
        <v>0</v>
      </c>
      <c r="AY18" s="7">
        <v>0</v>
      </c>
      <c r="AZ18" s="7">
        <v>0</v>
      </c>
      <c r="BA18" s="7">
        <v>0</v>
      </c>
      <c r="BB18" s="7">
        <v>1.716307601567897E-6</v>
      </c>
      <c r="BC18" s="7">
        <v>3.8986566674601338E-6</v>
      </c>
      <c r="BD18" s="7">
        <v>0</v>
      </c>
      <c r="BE18" s="7">
        <v>0</v>
      </c>
      <c r="BF18" s="7">
        <v>8.0380817904153269E-6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5.1935392433227207E-5</v>
      </c>
      <c r="BO18" s="7">
        <v>1.8934988414067321E-5</v>
      </c>
      <c r="BP18" s="7">
        <v>0</v>
      </c>
      <c r="BQ18" s="7">
        <v>0</v>
      </c>
      <c r="BR18" s="7">
        <v>9.9722934502262128E-7</v>
      </c>
      <c r="BS18" s="7">
        <v>0</v>
      </c>
      <c r="BT18" s="7">
        <v>3.3595143689092292E-7</v>
      </c>
      <c r="BU18" s="7">
        <v>0</v>
      </c>
      <c r="BV18" s="7">
        <v>0</v>
      </c>
      <c r="BW18" s="7">
        <v>3.5561247766924758E-4</v>
      </c>
      <c r="BX18" s="7">
        <v>4.6997601571083979E-6</v>
      </c>
      <c r="BY18" s="7">
        <v>0</v>
      </c>
      <c r="BZ18" s="7">
        <v>2.156794489254868E-5</v>
      </c>
    </row>
    <row r="19" spans="1:78">
      <c r="A19" s="4" t="s">
        <v>105</v>
      </c>
      <c r="B19" s="7">
        <v>0</v>
      </c>
      <c r="C19" s="7">
        <v>1.9764310765996479E-5</v>
      </c>
      <c r="D19" s="7">
        <v>4.8443576484188437E-7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5.8310130145662057E-6</v>
      </c>
      <c r="L19" s="7">
        <v>8.497328797206345E-6</v>
      </c>
      <c r="M19" s="7">
        <v>1.292990018355866E-4</v>
      </c>
      <c r="N19" s="7">
        <v>7.4853473776711615E-7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2.4490919632295321E-6</v>
      </c>
      <c r="V19" s="7">
        <v>2.6711199376566381E-6</v>
      </c>
      <c r="W19" s="7">
        <v>0</v>
      </c>
      <c r="X19" s="7">
        <v>3.8536549317414657E-6</v>
      </c>
      <c r="Y19" s="7">
        <v>2.218813300353174E-5</v>
      </c>
      <c r="Z19" s="7">
        <v>1.830973755745117E-6</v>
      </c>
      <c r="AA19" s="7">
        <v>3.9897281024589493E-6</v>
      </c>
      <c r="AB19" s="7">
        <v>2.241210979603905E-5</v>
      </c>
      <c r="AC19" s="7">
        <v>5.2866082192659387E-4</v>
      </c>
      <c r="AD19" s="7">
        <v>0</v>
      </c>
      <c r="AE19" s="7">
        <v>0</v>
      </c>
      <c r="AF19" s="7">
        <v>0</v>
      </c>
      <c r="AG19" s="7">
        <v>0</v>
      </c>
      <c r="AH19" s="7">
        <v>1.1200333377476919E-4</v>
      </c>
      <c r="AI19" s="7">
        <v>8.5135383814270639E-4</v>
      </c>
      <c r="AJ19" s="7">
        <v>0</v>
      </c>
      <c r="AK19" s="7">
        <v>4.3828603835509977E-4</v>
      </c>
      <c r="AL19" s="7">
        <v>9.0237621826199317E-6</v>
      </c>
      <c r="AM19" s="7">
        <v>5.7068602765599528E-5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8.6832343687196552E-5</v>
      </c>
      <c r="AT19" s="7">
        <v>0</v>
      </c>
      <c r="AU19" s="7">
        <v>0</v>
      </c>
      <c r="AV19" s="7">
        <v>8.750524836634016E-7</v>
      </c>
      <c r="AW19" s="7">
        <v>0</v>
      </c>
      <c r="AX19" s="7">
        <v>1.281736785875342E-5</v>
      </c>
      <c r="AY19" s="7">
        <v>0</v>
      </c>
      <c r="AZ19" s="7">
        <v>0</v>
      </c>
      <c r="BA19" s="7">
        <v>2.1436068413683361E-4</v>
      </c>
      <c r="BB19" s="7">
        <v>1.476248237306799E-5</v>
      </c>
      <c r="BC19" s="7">
        <v>5.5727394572568131E-4</v>
      </c>
      <c r="BD19" s="7">
        <v>0</v>
      </c>
      <c r="BE19" s="7">
        <v>3.2145243030083328E-4</v>
      </c>
      <c r="BF19" s="7">
        <v>0</v>
      </c>
      <c r="BG19" s="7">
        <v>0</v>
      </c>
      <c r="BH19" s="7">
        <v>0</v>
      </c>
      <c r="BI19" s="7">
        <v>7.9656323424143052E-6</v>
      </c>
      <c r="BJ19" s="7">
        <v>3.4190195406202309E-6</v>
      </c>
      <c r="BK19" s="7">
        <v>0</v>
      </c>
      <c r="BL19" s="7">
        <v>0</v>
      </c>
      <c r="BM19" s="7">
        <v>0</v>
      </c>
      <c r="BN19" s="7">
        <v>6.7196442822934176E-6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1.847318148039716E-6</v>
      </c>
      <c r="BU19" s="7">
        <v>0</v>
      </c>
      <c r="BV19" s="7">
        <v>0</v>
      </c>
      <c r="BW19" s="7">
        <v>8.7342272085520132E-7</v>
      </c>
      <c r="BX19" s="7">
        <v>0</v>
      </c>
      <c r="BY19" s="7">
        <v>0</v>
      </c>
      <c r="BZ19" s="7">
        <v>1.7367920265064061E-5</v>
      </c>
    </row>
    <row r="20" spans="1:78">
      <c r="A20" s="4" t="s">
        <v>107</v>
      </c>
      <c r="B20" s="7">
        <v>1.3283621022212099E-2</v>
      </c>
      <c r="C20" s="7">
        <v>2.896701360622957E-2</v>
      </c>
      <c r="D20" s="7">
        <v>2.834813692118731E-2</v>
      </c>
      <c r="E20" s="7">
        <v>4.4738965393667812E-2</v>
      </c>
      <c r="F20" s="7">
        <v>3.0949450031789958E-4</v>
      </c>
      <c r="G20" s="7">
        <v>4.050808275479577E-3</v>
      </c>
      <c r="H20" s="7">
        <v>2.9913145790918621E-2</v>
      </c>
      <c r="I20" s="7">
        <v>8.2917459493402918E-3</v>
      </c>
      <c r="J20" s="7">
        <v>1.2571368134081979E-2</v>
      </c>
      <c r="K20" s="7">
        <v>5.4462326124483894E-3</v>
      </c>
      <c r="L20" s="7">
        <v>2.4861044270180321E-2</v>
      </c>
      <c r="M20" s="7">
        <v>5.2664212901100578E-3</v>
      </c>
      <c r="N20" s="7">
        <v>2.8209021204933959E-2</v>
      </c>
      <c r="O20" s="7">
        <v>3.3276866160106583E-2</v>
      </c>
      <c r="P20" s="7">
        <v>0</v>
      </c>
      <c r="Q20" s="7">
        <v>6.8084487244233754E-3</v>
      </c>
      <c r="R20" s="7">
        <v>1.868744445251054E-3</v>
      </c>
      <c r="S20" s="7">
        <v>9.294089458049778E-4</v>
      </c>
      <c r="T20" s="7">
        <v>0</v>
      </c>
      <c r="U20" s="7">
        <v>5.5116601286414157E-2</v>
      </c>
      <c r="V20" s="7">
        <v>4.1804977709806707E-2</v>
      </c>
      <c r="W20" s="7">
        <v>2.934618244638704E-2</v>
      </c>
      <c r="X20" s="7">
        <v>2.9309404137831289E-2</v>
      </c>
      <c r="Y20" s="7">
        <v>9.1145582615718805E-3</v>
      </c>
      <c r="Z20" s="7">
        <v>2.6010932795710991E-2</v>
      </c>
      <c r="AA20" s="7">
        <v>4.831174149704056E-2</v>
      </c>
      <c r="AB20" s="7">
        <v>2.544880091308506E-2</v>
      </c>
      <c r="AC20" s="7">
        <v>2.2218573680045279E-2</v>
      </c>
      <c r="AD20" s="7">
        <v>3.1277860241589488E-4</v>
      </c>
      <c r="AE20" s="7">
        <v>1.6032332133880181E-2</v>
      </c>
      <c r="AF20" s="7">
        <v>2.196182247479387E-2</v>
      </c>
      <c r="AG20" s="7">
        <v>3.0267535660083601E-3</v>
      </c>
      <c r="AH20" s="7">
        <v>1.6032543255961719E-3</v>
      </c>
      <c r="AI20" s="7">
        <v>4.1089606903534897E-3</v>
      </c>
      <c r="AJ20" s="7">
        <v>1.4727512525320421E-2</v>
      </c>
      <c r="AK20" s="7">
        <v>1.608594046539823E-2</v>
      </c>
      <c r="AL20" s="7">
        <v>4.7348032673774479E-2</v>
      </c>
      <c r="AM20" s="7">
        <v>1.0309037763821921E-2</v>
      </c>
      <c r="AN20" s="7">
        <v>1.796913820986939E-3</v>
      </c>
      <c r="AO20" s="7">
        <v>1.475945828106665E-2</v>
      </c>
      <c r="AP20" s="7">
        <v>8.1220641189594717E-5</v>
      </c>
      <c r="AQ20" s="7">
        <v>3.7986617075033268E-3</v>
      </c>
      <c r="AR20" s="7">
        <v>1.3712651254367859E-4</v>
      </c>
      <c r="AS20" s="7">
        <v>8.9747708598525953E-3</v>
      </c>
      <c r="AT20" s="7">
        <v>2.5614121364060521E-2</v>
      </c>
      <c r="AU20" s="7">
        <v>2.2522555039318149E-2</v>
      </c>
      <c r="AV20" s="7">
        <v>9.4271730667061151E-3</v>
      </c>
      <c r="AW20" s="7">
        <v>4.7112937173044676E-3</v>
      </c>
      <c r="AX20" s="7">
        <v>6.8196581020242493E-5</v>
      </c>
      <c r="AY20" s="7">
        <v>3.600522605113753E-4</v>
      </c>
      <c r="AZ20" s="7">
        <v>1.1241473192885761E-3</v>
      </c>
      <c r="BA20" s="7">
        <v>3.5402944285943372E-2</v>
      </c>
      <c r="BB20" s="7">
        <v>2.8327014939753651E-2</v>
      </c>
      <c r="BC20" s="7">
        <v>5.9056142439112627E-2</v>
      </c>
      <c r="BD20" s="7">
        <v>4.490050138486839E-3</v>
      </c>
      <c r="BE20" s="7">
        <v>2.7200840600164898E-3</v>
      </c>
      <c r="BF20" s="7">
        <v>1.0557983568370269E-2</v>
      </c>
      <c r="BG20" s="7">
        <v>2.4267924112910001E-3</v>
      </c>
      <c r="BH20" s="7">
        <v>1.744783803256245E-2</v>
      </c>
      <c r="BI20" s="7">
        <v>1.8116681007875859E-2</v>
      </c>
      <c r="BJ20" s="7">
        <v>1.718106322837451E-2</v>
      </c>
      <c r="BK20" s="7">
        <v>1.203866872013591E-2</v>
      </c>
      <c r="BL20" s="7">
        <v>8.1087770213385257E-3</v>
      </c>
      <c r="BM20" s="7">
        <v>1.694580456534198E-3</v>
      </c>
      <c r="BN20" s="7">
        <v>5.3303425059101246E-3</v>
      </c>
      <c r="BO20" s="7">
        <v>2.8886491497210481E-2</v>
      </c>
      <c r="BP20" s="7">
        <v>1.16831802654534E-2</v>
      </c>
      <c r="BQ20" s="7">
        <v>2.4125545782760351E-2</v>
      </c>
      <c r="BR20" s="7">
        <v>3.743217298605858E-3</v>
      </c>
      <c r="BS20" s="7">
        <v>5.2279665015836793E-2</v>
      </c>
      <c r="BT20" s="7">
        <v>3.7886477848653788E-2</v>
      </c>
      <c r="BU20" s="7">
        <v>1.671561852308618E-2</v>
      </c>
      <c r="BV20" s="7">
        <v>1.8082627451808719E-2</v>
      </c>
      <c r="BW20" s="7">
        <v>6.8046587990619224E-3</v>
      </c>
      <c r="BX20" s="7">
        <v>1.698175072899982E-3</v>
      </c>
      <c r="BY20" s="7">
        <v>1.2578149988997339E-2</v>
      </c>
      <c r="BZ20" s="7">
        <v>3.3765079412849452E-2</v>
      </c>
    </row>
    <row r="21" spans="1:78">
      <c r="A21" s="4" t="s">
        <v>109</v>
      </c>
      <c r="B21" s="7">
        <v>3.1488809252539378E-2</v>
      </c>
      <c r="C21" s="7">
        <v>4.5907962093972472E-2</v>
      </c>
      <c r="D21" s="7">
        <v>0.29674668925933939</v>
      </c>
      <c r="E21" s="7">
        <v>0.12054039431130199</v>
      </c>
      <c r="F21" s="7">
        <v>2.9950086188375559E-2</v>
      </c>
      <c r="G21" s="7">
        <v>0.10921533522333909</v>
      </c>
      <c r="H21" s="7">
        <v>7.1597972021387138E-2</v>
      </c>
      <c r="I21" s="7">
        <v>9.0657826280632112E-2</v>
      </c>
      <c r="J21" s="7">
        <v>2.2569097041172909E-2</v>
      </c>
      <c r="K21" s="7">
        <v>4.6676134729488242E-2</v>
      </c>
      <c r="L21" s="7">
        <v>0.34266020900350042</v>
      </c>
      <c r="M21" s="7">
        <v>1.6093452790416431E-2</v>
      </c>
      <c r="N21" s="7">
        <v>0.23622982500204501</v>
      </c>
      <c r="O21" s="7">
        <v>0.1025615856077827</v>
      </c>
      <c r="P21" s="7">
        <v>2.6303558398634529E-2</v>
      </c>
      <c r="Q21" s="7">
        <v>4.2313082001964437E-2</v>
      </c>
      <c r="R21" s="7">
        <v>3.6200191025128739E-2</v>
      </c>
      <c r="S21" s="7">
        <v>4.7084475096851562E-2</v>
      </c>
      <c r="T21" s="7">
        <v>0.3209936971900294</v>
      </c>
      <c r="U21" s="7">
        <v>0</v>
      </c>
      <c r="V21" s="7">
        <v>0.20160278470458279</v>
      </c>
      <c r="W21" s="7">
        <v>5.800660981787132E-2</v>
      </c>
      <c r="X21" s="7">
        <v>0.22889101763791181</v>
      </c>
      <c r="Y21" s="7">
        <v>0.17726016520181331</v>
      </c>
      <c r="Z21" s="7">
        <v>0.20876598150093681</v>
      </c>
      <c r="AA21" s="7">
        <v>0.22789756852126061</v>
      </c>
      <c r="AB21" s="7">
        <v>0.1467630061639528</v>
      </c>
      <c r="AC21" s="7">
        <v>0.16049841474807269</v>
      </c>
      <c r="AD21" s="7">
        <v>2.800952780584624E-2</v>
      </c>
      <c r="AE21" s="7">
        <v>0.2209466160923344</v>
      </c>
      <c r="AF21" s="7">
        <v>0.33810453142918601</v>
      </c>
      <c r="AG21" s="7">
        <v>3.1498827485611648E-2</v>
      </c>
      <c r="AH21" s="7">
        <v>7.7880269723464568E-2</v>
      </c>
      <c r="AI21" s="7">
        <v>0.1188313182871307</v>
      </c>
      <c r="AJ21" s="7">
        <v>0.24718766322655031</v>
      </c>
      <c r="AK21" s="7">
        <v>0.1208531607875884</v>
      </c>
      <c r="AL21" s="7">
        <v>0.2316558649378152</v>
      </c>
      <c r="AM21" s="7">
        <v>0.1041175464998067</v>
      </c>
      <c r="AN21" s="7">
        <v>2.5795470845656959E-2</v>
      </c>
      <c r="AO21" s="7">
        <v>6.7699483903716981E-2</v>
      </c>
      <c r="AP21" s="7">
        <v>2.638893900986387E-2</v>
      </c>
      <c r="AQ21" s="7">
        <v>2.77859981289948E-2</v>
      </c>
      <c r="AR21" s="7">
        <v>1.737401844732045E-2</v>
      </c>
      <c r="AS21" s="7">
        <v>0.32808241577525088</v>
      </c>
      <c r="AT21" s="7">
        <v>0.12561217668776689</v>
      </c>
      <c r="AU21" s="7">
        <v>0.1447554615724671</v>
      </c>
      <c r="AV21" s="7">
        <v>6.9265420261833438E-2</v>
      </c>
      <c r="AW21" s="7">
        <v>4.9098322517885568E-2</v>
      </c>
      <c r="AX21" s="7">
        <v>5.1785715181961831E-2</v>
      </c>
      <c r="AY21" s="7">
        <v>7.1479650632948876E-3</v>
      </c>
      <c r="AZ21" s="7">
        <v>2.8277470955292979E-2</v>
      </c>
      <c r="BA21" s="7">
        <v>4.4009810475126927E-2</v>
      </c>
      <c r="BB21" s="7">
        <v>0.26819123216893648</v>
      </c>
      <c r="BC21" s="7">
        <v>0.15329856378696671</v>
      </c>
      <c r="BD21" s="7">
        <v>8.4844268890468477E-2</v>
      </c>
      <c r="BE21" s="7">
        <v>2.4531068419066559E-2</v>
      </c>
      <c r="BF21" s="7">
        <v>7.8836417183522634E-2</v>
      </c>
      <c r="BG21" s="7">
        <v>1.753037616877718E-2</v>
      </c>
      <c r="BH21" s="7">
        <v>0.2264094011768944</v>
      </c>
      <c r="BI21" s="7">
        <v>0.23642648595551061</v>
      </c>
      <c r="BJ21" s="7">
        <v>0.15839278031475709</v>
      </c>
      <c r="BK21" s="7">
        <v>0.1055596237014477</v>
      </c>
      <c r="BL21" s="7">
        <v>0.1056110180442266</v>
      </c>
      <c r="BM21" s="7">
        <v>0.33918399293760848</v>
      </c>
      <c r="BN21" s="7">
        <v>6.6231589229546611E-2</v>
      </c>
      <c r="BO21" s="7">
        <v>0.22909777874969611</v>
      </c>
      <c r="BP21" s="7">
        <v>0.12710764859392781</v>
      </c>
      <c r="BQ21" s="7">
        <v>0.23934494455065941</v>
      </c>
      <c r="BR21" s="7">
        <v>3.1003134523899901E-2</v>
      </c>
      <c r="BS21" s="7">
        <v>6.2844777133237717E-2</v>
      </c>
      <c r="BT21" s="7">
        <v>9.9182299843273591E-2</v>
      </c>
      <c r="BU21" s="7">
        <v>0.10853706599566031</v>
      </c>
      <c r="BV21" s="7">
        <v>0.1001971022131916</v>
      </c>
      <c r="BW21" s="7">
        <v>7.2147922613321397E-2</v>
      </c>
      <c r="BX21" s="7">
        <v>2.9631206244920251E-2</v>
      </c>
      <c r="BY21" s="7">
        <v>7.2332422061722829E-2</v>
      </c>
      <c r="BZ21" s="7">
        <v>6.0242895178401139E-2</v>
      </c>
    </row>
    <row r="22" spans="1:78">
      <c r="A22" s="4" t="s">
        <v>111</v>
      </c>
      <c r="B22" s="7">
        <v>2.1420524802981838E-3</v>
      </c>
      <c r="C22" s="7">
        <v>7.7141913315236631E-3</v>
      </c>
      <c r="D22" s="7">
        <v>2.860800424728297E-3</v>
      </c>
      <c r="E22" s="7">
        <v>4.2408985988533609E-3</v>
      </c>
      <c r="F22" s="7">
        <v>4.8309426906363351E-4</v>
      </c>
      <c r="G22" s="7">
        <v>5.5393387644633056E-3</v>
      </c>
      <c r="H22" s="7">
        <v>4.8422671197908309E-4</v>
      </c>
      <c r="I22" s="7">
        <v>1.8551518866433141E-3</v>
      </c>
      <c r="J22" s="7">
        <v>6.1453410980786887E-5</v>
      </c>
      <c r="K22" s="7">
        <v>4.7243526505173997E-3</v>
      </c>
      <c r="L22" s="7">
        <v>3.486960439770067E-3</v>
      </c>
      <c r="M22" s="7">
        <v>1.1093322791558969E-3</v>
      </c>
      <c r="N22" s="7">
        <v>2.34038772610503E-3</v>
      </c>
      <c r="O22" s="7">
        <v>7.1482807439028292E-4</v>
      </c>
      <c r="P22" s="7">
        <v>3.8854481134054981E-4</v>
      </c>
      <c r="Q22" s="7">
        <v>1.7807978083409089E-3</v>
      </c>
      <c r="R22" s="7">
        <v>2.8944772894625641E-3</v>
      </c>
      <c r="S22" s="7">
        <v>1.30633594311654E-3</v>
      </c>
      <c r="T22" s="7">
        <v>3.223416960028036E-3</v>
      </c>
      <c r="U22" s="7">
        <v>7.7770634041143946E-3</v>
      </c>
      <c r="V22" s="7">
        <v>0</v>
      </c>
      <c r="W22" s="7">
        <v>9.3634023583469522E-4</v>
      </c>
      <c r="X22" s="7">
        <v>9.5502888654015235E-3</v>
      </c>
      <c r="Y22" s="7">
        <v>5.6509012562495804E-3</v>
      </c>
      <c r="Z22" s="7">
        <v>6.8615321216893947E-3</v>
      </c>
      <c r="AA22" s="7">
        <v>1.1631590156004141E-2</v>
      </c>
      <c r="AB22" s="7">
        <v>7.2758633972818112E-3</v>
      </c>
      <c r="AC22" s="7">
        <v>1.1934843050704191E-3</v>
      </c>
      <c r="AD22" s="7">
        <v>2.9798564992377708E-4</v>
      </c>
      <c r="AE22" s="7">
        <v>1.561151132536787E-2</v>
      </c>
      <c r="AF22" s="7">
        <v>1.412194310686503E-2</v>
      </c>
      <c r="AG22" s="7">
        <v>5.2222388507675444E-4</v>
      </c>
      <c r="AH22" s="7">
        <v>2.6767133674877172E-3</v>
      </c>
      <c r="AI22" s="7">
        <v>8.401339629710956E-3</v>
      </c>
      <c r="AJ22" s="7">
        <v>4.6422097042933909E-2</v>
      </c>
      <c r="AK22" s="7">
        <v>2.7350734508890359E-3</v>
      </c>
      <c r="AL22" s="7">
        <v>6.5023121696439774E-3</v>
      </c>
      <c r="AM22" s="7">
        <v>1.105424046501722E-3</v>
      </c>
      <c r="AN22" s="7">
        <v>3.525124057626667E-3</v>
      </c>
      <c r="AO22" s="7">
        <v>5.4308649311699897E-3</v>
      </c>
      <c r="AP22" s="7">
        <v>7.8655070243039953E-5</v>
      </c>
      <c r="AQ22" s="7">
        <v>1.3277656547536381E-3</v>
      </c>
      <c r="AR22" s="7">
        <v>0</v>
      </c>
      <c r="AS22" s="7">
        <v>2.5061106070950551E-2</v>
      </c>
      <c r="AT22" s="7">
        <v>2.6031971838075059E-3</v>
      </c>
      <c r="AU22" s="7">
        <v>1.880756908486721E-2</v>
      </c>
      <c r="AV22" s="7">
        <v>6.4519449079562946E-3</v>
      </c>
      <c r="AW22" s="7">
        <v>1.832774682043511E-4</v>
      </c>
      <c r="AX22" s="7">
        <v>6.1841823468073809E-4</v>
      </c>
      <c r="AY22" s="7">
        <v>0</v>
      </c>
      <c r="AZ22" s="7">
        <v>3.1860649136469251E-4</v>
      </c>
      <c r="BA22" s="7">
        <v>1.080800904116768E-3</v>
      </c>
      <c r="BB22" s="7">
        <v>1.31897499655415E-2</v>
      </c>
      <c r="BC22" s="7">
        <v>4.3565638095787493E-2</v>
      </c>
      <c r="BD22" s="7">
        <v>1.8221595203801639E-2</v>
      </c>
      <c r="BE22" s="7">
        <v>1.263889452187315E-3</v>
      </c>
      <c r="BF22" s="7">
        <v>7.2160585517497212E-4</v>
      </c>
      <c r="BG22" s="7">
        <v>8.9912861607952964E-4</v>
      </c>
      <c r="BH22" s="7">
        <v>8.4996069145221089E-3</v>
      </c>
      <c r="BI22" s="7">
        <v>9.0568813083634642E-3</v>
      </c>
      <c r="BJ22" s="7">
        <v>9.1399040482738499E-4</v>
      </c>
      <c r="BK22" s="7">
        <v>4.3360300356284917E-3</v>
      </c>
      <c r="BL22" s="7">
        <v>2.1907430142960389E-3</v>
      </c>
      <c r="BM22" s="7">
        <v>7.4722414632550434E-4</v>
      </c>
      <c r="BN22" s="7">
        <v>9.8669139813387747E-4</v>
      </c>
      <c r="BO22" s="7">
        <v>4.0642720155851841E-4</v>
      </c>
      <c r="BP22" s="7">
        <v>2.5032093115478142E-3</v>
      </c>
      <c r="BQ22" s="7">
        <v>2.2931838574044881E-2</v>
      </c>
      <c r="BR22" s="7">
        <v>9.9777321481565916E-4</v>
      </c>
      <c r="BS22" s="7">
        <v>2.476162906676536E-3</v>
      </c>
      <c r="BT22" s="7">
        <v>4.0637664627796478E-3</v>
      </c>
      <c r="BU22" s="7">
        <v>3.9452734577989446E-3</v>
      </c>
      <c r="BV22" s="7">
        <v>3.1770124511805191E-3</v>
      </c>
      <c r="BW22" s="7">
        <v>3.7008235064129921E-3</v>
      </c>
      <c r="BX22" s="7">
        <v>8.9205567996129267E-4</v>
      </c>
      <c r="BY22" s="7">
        <v>2.6945039004472489E-3</v>
      </c>
      <c r="BZ22" s="7">
        <v>1.53293449138897E-3</v>
      </c>
    </row>
    <row r="23" spans="1:78">
      <c r="A23" s="4" t="s">
        <v>113</v>
      </c>
      <c r="B23" s="7">
        <v>0</v>
      </c>
      <c r="C23" s="7">
        <v>2.5815616407132098E-4</v>
      </c>
      <c r="D23" s="7">
        <v>4.252788993287031E-6</v>
      </c>
      <c r="E23" s="7">
        <v>1.464164261409263E-6</v>
      </c>
      <c r="F23" s="7">
        <v>0</v>
      </c>
      <c r="G23" s="7">
        <v>6.0901878240245751E-4</v>
      </c>
      <c r="H23" s="7">
        <v>0</v>
      </c>
      <c r="I23" s="7">
        <v>0</v>
      </c>
      <c r="J23" s="7">
        <v>0</v>
      </c>
      <c r="K23" s="7">
        <v>1.449245132590037E-5</v>
      </c>
      <c r="L23" s="7">
        <v>2.859534612867549E-6</v>
      </c>
      <c r="M23" s="7">
        <v>0</v>
      </c>
      <c r="N23" s="7">
        <v>7.239214098328009E-9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1.9154158612688812E-9</v>
      </c>
      <c r="U23" s="7">
        <v>2.171650796511942E-5</v>
      </c>
      <c r="V23" s="7">
        <v>2.263370612271076E-5</v>
      </c>
      <c r="W23" s="7">
        <v>0</v>
      </c>
      <c r="X23" s="7">
        <v>1.2785528515248839E-4</v>
      </c>
      <c r="Y23" s="7">
        <v>0</v>
      </c>
      <c r="Z23" s="7">
        <v>1.8209207959671318E-5</v>
      </c>
      <c r="AA23" s="7">
        <v>4.2763424191011951E-5</v>
      </c>
      <c r="AB23" s="7">
        <v>2.9300238973646739E-5</v>
      </c>
      <c r="AC23" s="7">
        <v>3.5503560195146268E-5</v>
      </c>
      <c r="AD23" s="7">
        <v>0</v>
      </c>
      <c r="AE23" s="7">
        <v>0</v>
      </c>
      <c r="AF23" s="7">
        <v>0</v>
      </c>
      <c r="AG23" s="7">
        <v>0</v>
      </c>
      <c r="AH23" s="7">
        <v>2.4466810420989939E-6</v>
      </c>
      <c r="AI23" s="7">
        <v>0</v>
      </c>
      <c r="AJ23" s="7">
        <v>0</v>
      </c>
      <c r="AK23" s="7">
        <v>0</v>
      </c>
      <c r="AL23" s="7">
        <v>1.0309838210656719E-4</v>
      </c>
      <c r="AM23" s="7">
        <v>4.6903133449904544E-3</v>
      </c>
      <c r="AN23" s="7">
        <v>0</v>
      </c>
      <c r="AO23" s="7">
        <v>0</v>
      </c>
      <c r="AP23" s="7">
        <v>0</v>
      </c>
      <c r="AQ23" s="7">
        <v>1.5917339251756851E-7</v>
      </c>
      <c r="AR23" s="7">
        <v>0</v>
      </c>
      <c r="AS23" s="7">
        <v>0</v>
      </c>
      <c r="AT23" s="7">
        <v>0</v>
      </c>
      <c r="AU23" s="7">
        <v>0</v>
      </c>
      <c r="AV23" s="7">
        <v>2.697729027645979E-5</v>
      </c>
      <c r="AW23" s="7">
        <v>0</v>
      </c>
      <c r="AX23" s="7">
        <v>0</v>
      </c>
      <c r="AY23" s="7">
        <v>0</v>
      </c>
      <c r="AZ23" s="7">
        <v>0</v>
      </c>
      <c r="BA23" s="7">
        <v>8.3626879256683739E-5</v>
      </c>
      <c r="BB23" s="7">
        <v>3.8199035510465821E-6</v>
      </c>
      <c r="BC23" s="7">
        <v>0</v>
      </c>
      <c r="BD23" s="7">
        <v>0</v>
      </c>
      <c r="BE23" s="7">
        <v>0</v>
      </c>
      <c r="BF23" s="7">
        <v>0</v>
      </c>
      <c r="BG23" s="7">
        <v>2.2429467486764991E-7</v>
      </c>
      <c r="BH23" s="7">
        <v>1.6842427312107891E-5</v>
      </c>
      <c r="BI23" s="7">
        <v>0</v>
      </c>
      <c r="BJ23" s="7">
        <v>2.177012469604645E-6</v>
      </c>
      <c r="BK23" s="7">
        <v>0</v>
      </c>
      <c r="BL23" s="7">
        <v>8.5416345716642918E-4</v>
      </c>
      <c r="BM23" s="7">
        <v>3.0552075484577539E-3</v>
      </c>
      <c r="BN23" s="7">
        <v>1.8319456107703981E-7</v>
      </c>
      <c r="BO23" s="7">
        <v>0</v>
      </c>
      <c r="BP23" s="7">
        <v>0</v>
      </c>
      <c r="BQ23" s="7">
        <v>4.1553951985946218E-7</v>
      </c>
      <c r="BR23" s="7">
        <v>2.8093737222460828E-7</v>
      </c>
      <c r="BS23" s="7">
        <v>2.0057629942120271E-5</v>
      </c>
      <c r="BT23" s="7">
        <v>1.5146847500316669E-4</v>
      </c>
      <c r="BU23" s="7">
        <v>0</v>
      </c>
      <c r="BV23" s="7">
        <v>0</v>
      </c>
      <c r="BW23" s="7">
        <v>5.4434082515402806E-6</v>
      </c>
      <c r="BX23" s="7">
        <v>0</v>
      </c>
      <c r="BY23" s="7">
        <v>1.476351809097952E-5</v>
      </c>
      <c r="BZ23" s="7">
        <v>4.6519200005892797E-4</v>
      </c>
    </row>
    <row r="24" spans="1:78">
      <c r="A24" s="4" t="s">
        <v>115</v>
      </c>
      <c r="B24" s="7">
        <v>7.8839759248197187E-3</v>
      </c>
      <c r="C24" s="7">
        <v>6.2686993889909531E-3</v>
      </c>
      <c r="D24" s="7">
        <v>2.5575518604092001E-2</v>
      </c>
      <c r="E24" s="7">
        <v>2.485609847194772E-3</v>
      </c>
      <c r="F24" s="7">
        <v>3.2414528380718732E-2</v>
      </c>
      <c r="G24" s="7">
        <v>8.238846945061879E-4</v>
      </c>
      <c r="H24" s="7">
        <v>4.8226709626181138E-4</v>
      </c>
      <c r="I24" s="7">
        <v>4.2356856939360837E-2</v>
      </c>
      <c r="J24" s="7">
        <v>1.362546037144941E-4</v>
      </c>
      <c r="K24" s="7">
        <v>3.4372793657351068E-3</v>
      </c>
      <c r="L24" s="7">
        <v>9.5014689166638012E-3</v>
      </c>
      <c r="M24" s="7">
        <v>7.8854082187408775E-2</v>
      </c>
      <c r="N24" s="7">
        <v>3.7189208621504202E-3</v>
      </c>
      <c r="O24" s="7">
        <v>7.0207247904141602E-3</v>
      </c>
      <c r="P24" s="7">
        <v>0.50540346514573686</v>
      </c>
      <c r="Q24" s="7">
        <v>3.5797338215220458E-2</v>
      </c>
      <c r="R24" s="7">
        <v>4.0042992894664432E-2</v>
      </c>
      <c r="S24" s="7">
        <v>3.4301178347447808E-2</v>
      </c>
      <c r="T24" s="7">
        <v>5.8745785310957968E-3</v>
      </c>
      <c r="U24" s="7">
        <v>7.9288281865115828E-3</v>
      </c>
      <c r="V24" s="7">
        <v>2.600391090312498E-3</v>
      </c>
      <c r="W24" s="7">
        <v>2.2313309855142151E-3</v>
      </c>
      <c r="X24" s="7">
        <v>0</v>
      </c>
      <c r="Y24" s="7">
        <v>1.0472751453079149E-2</v>
      </c>
      <c r="Z24" s="7">
        <v>8.0516143600316611E-3</v>
      </c>
      <c r="AA24" s="7">
        <v>1.6125335181526139E-2</v>
      </c>
      <c r="AB24" s="7">
        <v>1.991028505744559E-2</v>
      </c>
      <c r="AC24" s="7">
        <v>1.17775004102242E-2</v>
      </c>
      <c r="AD24" s="7">
        <v>7.2011875516634504E-5</v>
      </c>
      <c r="AE24" s="7">
        <v>2.7290606733903129E-3</v>
      </c>
      <c r="AF24" s="7">
        <v>3.0048339340686129E-2</v>
      </c>
      <c r="AG24" s="7">
        <v>1.6760408394691749E-3</v>
      </c>
      <c r="AH24" s="7">
        <v>1.2121508885818721E-3</v>
      </c>
      <c r="AI24" s="7">
        <v>4.9993726994383087E-3</v>
      </c>
      <c r="AJ24" s="7">
        <v>1.104965544945514E-2</v>
      </c>
      <c r="AK24" s="7">
        <v>1.084336516045838E-2</v>
      </c>
      <c r="AL24" s="7">
        <v>1.2842595429982879E-2</v>
      </c>
      <c r="AM24" s="7">
        <v>1.641876151881044E-2</v>
      </c>
      <c r="AN24" s="7">
        <v>2.8601715181519921E-3</v>
      </c>
      <c r="AO24" s="7">
        <v>7.357923113837022E-3</v>
      </c>
      <c r="AP24" s="7">
        <v>2.129870564250575E-5</v>
      </c>
      <c r="AQ24" s="7">
        <v>1.1598854324456451E-3</v>
      </c>
      <c r="AR24" s="7">
        <v>7.0012550857904504E-2</v>
      </c>
      <c r="AS24" s="7">
        <v>1.221992859796007E-2</v>
      </c>
      <c r="AT24" s="7">
        <v>9.1206157179235146E-4</v>
      </c>
      <c r="AU24" s="7">
        <v>6.8198609720768698E-4</v>
      </c>
      <c r="AV24" s="7">
        <v>5.5744867724326137E-2</v>
      </c>
      <c r="AW24" s="7">
        <v>3.1538081392131359E-3</v>
      </c>
      <c r="AX24" s="7">
        <v>2.5402828338537609E-4</v>
      </c>
      <c r="AY24" s="7">
        <v>1.7553219584136609E-3</v>
      </c>
      <c r="AZ24" s="7">
        <v>5.5500213085439424E-4</v>
      </c>
      <c r="BA24" s="7">
        <v>8.3795836122543094E-4</v>
      </c>
      <c r="BB24" s="7">
        <v>3.5312952093977381E-3</v>
      </c>
      <c r="BC24" s="7">
        <v>2.339200462888219E-2</v>
      </c>
      <c r="BD24" s="7">
        <v>2.668072776968229E-3</v>
      </c>
      <c r="BE24" s="7">
        <v>3.84500312285178E-3</v>
      </c>
      <c r="BF24" s="7">
        <v>1.2119505678947901E-2</v>
      </c>
      <c r="BG24" s="7">
        <v>6.8133848678304158E-4</v>
      </c>
      <c r="BH24" s="7">
        <v>1.481678203679671E-2</v>
      </c>
      <c r="BI24" s="7">
        <v>0.1013850276188842</v>
      </c>
      <c r="BJ24" s="7">
        <v>7.4905602611049279E-3</v>
      </c>
      <c r="BK24" s="7">
        <v>4.8203331334287093E-2</v>
      </c>
      <c r="BL24" s="7">
        <v>6.4331941969501087E-3</v>
      </c>
      <c r="BM24" s="7">
        <v>7.4725384998163176E-3</v>
      </c>
      <c r="BN24" s="7">
        <v>1.1591073279972081E-3</v>
      </c>
      <c r="BO24" s="7">
        <v>4.6291121555289491E-4</v>
      </c>
      <c r="BP24" s="7">
        <v>3.8166742759250662E-3</v>
      </c>
      <c r="BQ24" s="7">
        <v>2.6526673021158142E-3</v>
      </c>
      <c r="BR24" s="7">
        <v>1.0280123899048151E-3</v>
      </c>
      <c r="BS24" s="7">
        <v>1.8158305806171521E-2</v>
      </c>
      <c r="BT24" s="7">
        <v>7.632525488249795E-3</v>
      </c>
      <c r="BU24" s="7">
        <v>1.4504187189907469E-3</v>
      </c>
      <c r="BV24" s="7">
        <v>1.414016317700936E-3</v>
      </c>
      <c r="BW24" s="7">
        <v>4.882759442634603E-3</v>
      </c>
      <c r="BX24" s="7">
        <v>4.2469930742791793E-3</v>
      </c>
      <c r="BY24" s="7">
        <v>3.5025832563087881E-3</v>
      </c>
      <c r="BZ24" s="7">
        <v>1.005723864733765E-2</v>
      </c>
    </row>
    <row r="25" spans="1:78">
      <c r="A25" s="4" t="s">
        <v>117</v>
      </c>
      <c r="B25" s="7">
        <v>3.068525927269369E-4</v>
      </c>
      <c r="C25" s="7">
        <v>1.6808075967752841E-4</v>
      </c>
      <c r="D25" s="7">
        <v>3.089056332174378E-6</v>
      </c>
      <c r="E25" s="7">
        <v>3.872217195023272E-6</v>
      </c>
      <c r="F25" s="7">
        <v>0</v>
      </c>
      <c r="G25" s="7">
        <v>1.176593917556217E-4</v>
      </c>
      <c r="H25" s="7">
        <v>9.5533759578245441E-4</v>
      </c>
      <c r="I25" s="7">
        <v>1.8808839515739009E-4</v>
      </c>
      <c r="J25" s="7">
        <v>1.6255397813017119E-4</v>
      </c>
      <c r="K25" s="7">
        <v>2.1986276993775781E-4</v>
      </c>
      <c r="L25" s="7">
        <v>7.0491383633023962E-5</v>
      </c>
      <c r="M25" s="7">
        <v>8.9895070319777893E-5</v>
      </c>
      <c r="N25" s="7">
        <v>4.9557970567197279E-4</v>
      </c>
      <c r="O25" s="7">
        <v>2.2269919799061842E-3</v>
      </c>
      <c r="P25" s="7">
        <v>0</v>
      </c>
      <c r="Q25" s="7">
        <v>0</v>
      </c>
      <c r="R25" s="7">
        <v>2.5305980365481731E-6</v>
      </c>
      <c r="S25" s="7">
        <v>2.4198819373413781E-4</v>
      </c>
      <c r="T25" s="7">
        <v>7.8775308126405267E-5</v>
      </c>
      <c r="U25" s="7">
        <v>1.1367549304441939E-3</v>
      </c>
      <c r="V25" s="7">
        <v>4.2322962494611651E-4</v>
      </c>
      <c r="W25" s="7">
        <v>2.2230240459754309E-4</v>
      </c>
      <c r="X25" s="7">
        <v>1.599545757736719E-5</v>
      </c>
      <c r="Y25" s="7">
        <v>0</v>
      </c>
      <c r="Z25" s="7">
        <v>6.0281866226308857E-2</v>
      </c>
      <c r="AA25" s="7">
        <v>1.176325645662733E-4</v>
      </c>
      <c r="AB25" s="7">
        <v>3.4809939495048208E-4</v>
      </c>
      <c r="AC25" s="7">
        <v>9.6775761150550344E-6</v>
      </c>
      <c r="AD25" s="7">
        <v>6.443986887377465E-6</v>
      </c>
      <c r="AE25" s="7">
        <v>3.5848847062655701E-5</v>
      </c>
      <c r="AF25" s="7">
        <v>2.7785131465135501E-7</v>
      </c>
      <c r="AG25" s="7">
        <v>2.313907777503937E-4</v>
      </c>
      <c r="AH25" s="7">
        <v>1.623757404089137E-5</v>
      </c>
      <c r="AI25" s="7">
        <v>1.533956946910464E-5</v>
      </c>
      <c r="AJ25" s="7">
        <v>7.0724119805871434E-4</v>
      </c>
      <c r="AK25" s="7">
        <v>8.4285776606749954E-6</v>
      </c>
      <c r="AL25" s="7">
        <v>4.6015934705408517E-5</v>
      </c>
      <c r="AM25" s="7">
        <v>0</v>
      </c>
      <c r="AN25" s="7">
        <v>1.6156833384313791E-5</v>
      </c>
      <c r="AO25" s="7">
        <v>3.8986134667815262E-3</v>
      </c>
      <c r="AP25" s="7">
        <v>0</v>
      </c>
      <c r="AQ25" s="7">
        <v>7.213493962441774E-5</v>
      </c>
      <c r="AR25" s="7">
        <v>0</v>
      </c>
      <c r="AS25" s="7">
        <v>4.2654607601122028E-3</v>
      </c>
      <c r="AT25" s="7">
        <v>0</v>
      </c>
      <c r="AU25" s="7">
        <v>2.675714298699311E-2</v>
      </c>
      <c r="AV25" s="7">
        <v>3.9279177087146088E-4</v>
      </c>
      <c r="AW25" s="7">
        <v>4.0774122933185688E-6</v>
      </c>
      <c r="AX25" s="7">
        <v>2.6814423519284721E-5</v>
      </c>
      <c r="AY25" s="7">
        <v>0</v>
      </c>
      <c r="AZ25" s="7">
        <v>4.2861605018672913E-5</v>
      </c>
      <c r="BA25" s="7">
        <v>5.3987613159705151E-4</v>
      </c>
      <c r="BB25" s="7">
        <v>2.3341558037346031E-4</v>
      </c>
      <c r="BC25" s="7">
        <v>2.4974434583399209E-3</v>
      </c>
      <c r="BD25" s="7">
        <v>8.9425752042315634E-5</v>
      </c>
      <c r="BE25" s="7">
        <v>1.8052581188423119E-4</v>
      </c>
      <c r="BF25" s="7">
        <v>2.8077995419645112E-3</v>
      </c>
      <c r="BG25" s="7">
        <v>7.8481430267399952E-5</v>
      </c>
      <c r="BH25" s="7">
        <v>1.1841538472333639E-5</v>
      </c>
      <c r="BI25" s="7">
        <v>2.4594065326774431E-4</v>
      </c>
      <c r="BJ25" s="7">
        <v>1.010883719364958E-6</v>
      </c>
      <c r="BK25" s="7">
        <v>7.0074434853136993E-3</v>
      </c>
      <c r="BL25" s="7">
        <v>3.1932789973763432E-5</v>
      </c>
      <c r="BM25" s="7">
        <v>0</v>
      </c>
      <c r="BN25" s="7">
        <v>7.7353238784912451E-4</v>
      </c>
      <c r="BO25" s="7">
        <v>2.414115112656157E-5</v>
      </c>
      <c r="BP25" s="7">
        <v>1.9573930125835378E-5</v>
      </c>
      <c r="BQ25" s="7">
        <v>6.954750428114371E-4</v>
      </c>
      <c r="BR25" s="7">
        <v>3.5353359016305542E-4</v>
      </c>
      <c r="BS25" s="7">
        <v>1.9805029789747491E-4</v>
      </c>
      <c r="BT25" s="7">
        <v>1.7769508384311809E-4</v>
      </c>
      <c r="BU25" s="7">
        <v>4.8188547656475684E-6</v>
      </c>
      <c r="BV25" s="7">
        <v>2.495709699884606E-5</v>
      </c>
      <c r="BW25" s="7">
        <v>6.0861678316138045E-4</v>
      </c>
      <c r="BX25" s="7">
        <v>2.278388333287536E-5</v>
      </c>
      <c r="BY25" s="7">
        <v>3.8901320629411602E-4</v>
      </c>
      <c r="BZ25" s="7">
        <v>1.4763550594913349E-4</v>
      </c>
    </row>
    <row r="26" spans="1:78">
      <c r="A26" s="4" t="s">
        <v>119</v>
      </c>
      <c r="B26" s="7">
        <v>2.0256403726990808E-3</v>
      </c>
      <c r="C26" s="7">
        <v>5.3335709364920221E-3</v>
      </c>
      <c r="D26" s="7">
        <v>4.0957442873478687E-3</v>
      </c>
      <c r="E26" s="7">
        <v>5.0605075166570831E-3</v>
      </c>
      <c r="F26" s="7">
        <v>1.159425721419639E-2</v>
      </c>
      <c r="G26" s="7">
        <v>2.083767986074962E-3</v>
      </c>
      <c r="H26" s="7">
        <v>9.9870238395324286E-4</v>
      </c>
      <c r="I26" s="7">
        <v>3.0654698748751141E-3</v>
      </c>
      <c r="J26" s="7">
        <v>2.7457081216743541E-3</v>
      </c>
      <c r="K26" s="7">
        <v>2.541006798958335E-3</v>
      </c>
      <c r="L26" s="7">
        <v>8.5146085027770282E-3</v>
      </c>
      <c r="M26" s="7">
        <v>2.8310546741725242E-3</v>
      </c>
      <c r="N26" s="7">
        <v>6.6291348802555586E-3</v>
      </c>
      <c r="O26" s="7">
        <v>6.1998271151203982E-3</v>
      </c>
      <c r="P26" s="7">
        <v>1.925889412058845E-3</v>
      </c>
      <c r="Q26" s="7">
        <v>7.3592564758938224E-3</v>
      </c>
      <c r="R26" s="7">
        <v>1.3498880876110101E-4</v>
      </c>
      <c r="S26" s="7">
        <v>2.9534558920456858E-5</v>
      </c>
      <c r="T26" s="7">
        <v>2.1675490742791952E-3</v>
      </c>
      <c r="U26" s="7">
        <v>9.1897229632952361E-3</v>
      </c>
      <c r="V26" s="7">
        <v>2.2075313953277571E-2</v>
      </c>
      <c r="W26" s="7">
        <v>4.4408048914133927E-2</v>
      </c>
      <c r="X26" s="7">
        <v>1.40120519022309E-2</v>
      </c>
      <c r="Y26" s="7">
        <v>0.16546292749490801</v>
      </c>
      <c r="Z26" s="7">
        <v>0</v>
      </c>
      <c r="AA26" s="7">
        <v>1.2731373904697051E-2</v>
      </c>
      <c r="AB26" s="7">
        <v>8.3945678264605687E-3</v>
      </c>
      <c r="AC26" s="7">
        <v>3.854266627180864E-3</v>
      </c>
      <c r="AD26" s="7">
        <v>1.25980102165146E-3</v>
      </c>
      <c r="AE26" s="7">
        <v>1.0433461680523689E-2</v>
      </c>
      <c r="AF26" s="7">
        <v>8.9127255324922012E-4</v>
      </c>
      <c r="AG26" s="7">
        <v>5.8265012989588564E-3</v>
      </c>
      <c r="AH26" s="7">
        <v>3.9041274407980451E-3</v>
      </c>
      <c r="AI26" s="7">
        <v>7.9982182111692137E-3</v>
      </c>
      <c r="AJ26" s="7">
        <v>5.2473303205283123E-2</v>
      </c>
      <c r="AK26" s="7">
        <v>5.6260755885005603E-3</v>
      </c>
      <c r="AL26" s="7">
        <v>2.8626638124730729E-2</v>
      </c>
      <c r="AM26" s="7">
        <v>9.8786678848428768E-3</v>
      </c>
      <c r="AN26" s="7">
        <v>4.2568685356558448E-3</v>
      </c>
      <c r="AO26" s="7">
        <v>1.116718829987034E-2</v>
      </c>
      <c r="AP26" s="7">
        <v>0</v>
      </c>
      <c r="AQ26" s="7">
        <v>1.60576316049813E-2</v>
      </c>
      <c r="AR26" s="7">
        <v>2.8947496297792251E-4</v>
      </c>
      <c r="AS26" s="7">
        <v>2.0827776495717841E-2</v>
      </c>
      <c r="AT26" s="7">
        <v>1.5170196745588479E-4</v>
      </c>
      <c r="AU26" s="7">
        <v>4.9972845733424677E-2</v>
      </c>
      <c r="AV26" s="7">
        <v>2.6428375867378799E-3</v>
      </c>
      <c r="AW26" s="7">
        <v>3.2614160984209388E-4</v>
      </c>
      <c r="AX26" s="7">
        <v>9.2773384463760572E-6</v>
      </c>
      <c r="AY26" s="7">
        <v>1.102977542231852E-4</v>
      </c>
      <c r="AZ26" s="7">
        <v>1.6266559444514509E-3</v>
      </c>
      <c r="BA26" s="7">
        <v>5.5007651493597697E-3</v>
      </c>
      <c r="BB26" s="7">
        <v>7.0890603548486699E-3</v>
      </c>
      <c r="BC26" s="7">
        <v>7.3579897050049428E-2</v>
      </c>
      <c r="BD26" s="7">
        <v>9.3548393676738794E-3</v>
      </c>
      <c r="BE26" s="7">
        <v>4.6003808332939471E-3</v>
      </c>
      <c r="BF26" s="7">
        <v>1.0198805448583131E-2</v>
      </c>
      <c r="BG26" s="7">
        <v>2.0575201703697849E-3</v>
      </c>
      <c r="BH26" s="7">
        <v>9.0614554171221627E-3</v>
      </c>
      <c r="BI26" s="7">
        <v>4.328742963611569E-3</v>
      </c>
      <c r="BJ26" s="7">
        <v>2.8854200602005289E-2</v>
      </c>
      <c r="BK26" s="7">
        <v>6.4095170291388814E-3</v>
      </c>
      <c r="BL26" s="7">
        <v>1.1114430091734431E-2</v>
      </c>
      <c r="BM26" s="7">
        <v>2.3370910353293982E-3</v>
      </c>
      <c r="BN26" s="7">
        <v>6.1575722514809151E-3</v>
      </c>
      <c r="BO26" s="7">
        <v>9.6026892096329772E-4</v>
      </c>
      <c r="BP26" s="7">
        <v>4.062694794600344E-4</v>
      </c>
      <c r="BQ26" s="7">
        <v>1.5160552532694389E-2</v>
      </c>
      <c r="BR26" s="7">
        <v>2.7370672827242049E-3</v>
      </c>
      <c r="BS26" s="7">
        <v>1.531375026229512E-3</v>
      </c>
      <c r="BT26" s="7">
        <v>1.539013523581587E-2</v>
      </c>
      <c r="BU26" s="7">
        <v>2.9638254036568131E-3</v>
      </c>
      <c r="BV26" s="7">
        <v>1.0260450931432651E-2</v>
      </c>
      <c r="BW26" s="7">
        <v>4.0221088494128308E-3</v>
      </c>
      <c r="BX26" s="7">
        <v>3.1108836607415249E-3</v>
      </c>
      <c r="BY26" s="7">
        <v>4.0259126741804992E-3</v>
      </c>
      <c r="BZ26" s="7">
        <v>1.3081425477521299E-2</v>
      </c>
    </row>
    <row r="27" spans="1:78">
      <c r="A27" s="4" t="s">
        <v>121</v>
      </c>
      <c r="B27" s="7">
        <v>1.333098420831527E-2</v>
      </c>
      <c r="C27" s="7">
        <v>1.1485779430952031E-2</v>
      </c>
      <c r="D27" s="7">
        <v>3.3120215222558487E-2</v>
      </c>
      <c r="E27" s="7">
        <v>2.5454720146225809E-2</v>
      </c>
      <c r="F27" s="7">
        <v>3.7818117574852251E-4</v>
      </c>
      <c r="G27" s="7">
        <v>6.0196287672567026E-3</v>
      </c>
      <c r="H27" s="7">
        <v>6.0083190902478809E-5</v>
      </c>
      <c r="I27" s="7">
        <v>7.6505763280958561E-3</v>
      </c>
      <c r="J27" s="7">
        <v>2.2357512931857931E-2</v>
      </c>
      <c r="K27" s="7">
        <v>1.233430240441922E-2</v>
      </c>
      <c r="L27" s="7">
        <v>3.5444128356945187E-2</v>
      </c>
      <c r="M27" s="7">
        <v>9.754753028182909E-4</v>
      </c>
      <c r="N27" s="7">
        <v>1.6216397723661721E-2</v>
      </c>
      <c r="O27" s="7">
        <v>5.8255596103707313E-2</v>
      </c>
      <c r="P27" s="7">
        <v>0.1001547981632489</v>
      </c>
      <c r="Q27" s="7">
        <v>6.3830260221430478E-3</v>
      </c>
      <c r="R27" s="7">
        <v>3.9155260752606856E-3</v>
      </c>
      <c r="S27" s="7">
        <v>0.18614841962593609</v>
      </c>
      <c r="T27" s="7">
        <v>3.7925023995851057E-2</v>
      </c>
      <c r="U27" s="7">
        <v>6.5226741113354525E-2</v>
      </c>
      <c r="V27" s="7">
        <v>1.158369551385427E-2</v>
      </c>
      <c r="W27" s="7">
        <v>1.6829410212438538E-2</v>
      </c>
      <c r="X27" s="7">
        <v>9.2740859018751676E-2</v>
      </c>
      <c r="Y27" s="7">
        <v>2.1437025540265761E-2</v>
      </c>
      <c r="Z27" s="7">
        <v>1.3854847636354981E-2</v>
      </c>
      <c r="AA27" s="7">
        <v>0</v>
      </c>
      <c r="AB27" s="7">
        <v>4.967740266448565E-2</v>
      </c>
      <c r="AC27" s="7">
        <v>6.6977466447062387E-2</v>
      </c>
      <c r="AD27" s="7">
        <v>1.7044217874863229E-3</v>
      </c>
      <c r="AE27" s="7">
        <v>1.4388164250835851E-2</v>
      </c>
      <c r="AF27" s="7">
        <v>1.1835004506232649E-2</v>
      </c>
      <c r="AG27" s="7">
        <v>1.704890812527942E-2</v>
      </c>
      <c r="AH27" s="7">
        <v>1.296911426041355E-2</v>
      </c>
      <c r="AI27" s="7">
        <v>0.1486710324722347</v>
      </c>
      <c r="AJ27" s="7">
        <v>2.335653891717351E-2</v>
      </c>
      <c r="AK27" s="7">
        <v>3.7827456541109382E-2</v>
      </c>
      <c r="AL27" s="7">
        <v>3.0492754114124349E-2</v>
      </c>
      <c r="AM27" s="7">
        <v>2.4779783993726791E-2</v>
      </c>
      <c r="AN27" s="7">
        <v>4.0167854316533859E-3</v>
      </c>
      <c r="AO27" s="7">
        <v>6.2363578098568677E-2</v>
      </c>
      <c r="AP27" s="7">
        <v>1.4719192627974341E-4</v>
      </c>
      <c r="AQ27" s="7">
        <v>4.8911776798616184E-3</v>
      </c>
      <c r="AR27" s="7">
        <v>0</v>
      </c>
      <c r="AS27" s="7">
        <v>7.4042615182269541E-3</v>
      </c>
      <c r="AT27" s="7">
        <v>1.5608386522687361E-2</v>
      </c>
      <c r="AU27" s="7">
        <v>2.5039193106020749E-2</v>
      </c>
      <c r="AV27" s="7">
        <v>0.17126816612513579</v>
      </c>
      <c r="AW27" s="7">
        <v>7.0648180186086446E-3</v>
      </c>
      <c r="AX27" s="7">
        <v>1.8697912939567979E-3</v>
      </c>
      <c r="AY27" s="7">
        <v>3.032475137675901E-2</v>
      </c>
      <c r="AZ27" s="7">
        <v>1.2842662272019309E-3</v>
      </c>
      <c r="BA27" s="7">
        <v>5.1047037978277171E-2</v>
      </c>
      <c r="BB27" s="7">
        <v>4.0405300588911917E-2</v>
      </c>
      <c r="BC27" s="7">
        <v>4.3057745325964139E-2</v>
      </c>
      <c r="BD27" s="7">
        <v>1.870480786232713E-2</v>
      </c>
      <c r="BE27" s="7">
        <v>1.9467127737820169E-3</v>
      </c>
      <c r="BF27" s="7">
        <v>8.0694841414286796E-3</v>
      </c>
      <c r="BG27" s="7">
        <v>1.67857431718089E-3</v>
      </c>
      <c r="BH27" s="7">
        <v>2.677100639395761E-2</v>
      </c>
      <c r="BI27" s="7">
        <v>0.1063212945461643</v>
      </c>
      <c r="BJ27" s="7">
        <v>7.6788760936877434E-2</v>
      </c>
      <c r="BK27" s="7">
        <v>1.605726848606695E-2</v>
      </c>
      <c r="BL27" s="7">
        <v>3.0389500700986311E-2</v>
      </c>
      <c r="BM27" s="7">
        <v>0.13499098962798839</v>
      </c>
      <c r="BN27" s="7">
        <v>1.9336699238337519E-2</v>
      </c>
      <c r="BO27" s="7">
        <v>4.662081100647622E-2</v>
      </c>
      <c r="BP27" s="7">
        <v>0.35399152577162618</v>
      </c>
      <c r="BQ27" s="7">
        <v>1.7049319243300481E-2</v>
      </c>
      <c r="BR27" s="7">
        <v>4.8195500812152521E-3</v>
      </c>
      <c r="BS27" s="7">
        <v>3.508557748587135E-2</v>
      </c>
      <c r="BT27" s="7">
        <v>2.61112256968189E-2</v>
      </c>
      <c r="BU27" s="7">
        <v>1.835520036518937E-3</v>
      </c>
      <c r="BV27" s="7">
        <v>7.0757085909072086E-3</v>
      </c>
      <c r="BW27" s="7">
        <v>1.363246237351805E-2</v>
      </c>
      <c r="BX27" s="7">
        <v>9.7044532616265885E-4</v>
      </c>
      <c r="BY27" s="7">
        <v>1.3106857561136741E-2</v>
      </c>
      <c r="BZ27" s="7">
        <v>2.7097964170207919E-2</v>
      </c>
    </row>
    <row r="28" spans="1:78">
      <c r="A28" s="4" t="s">
        <v>123</v>
      </c>
      <c r="B28" s="7">
        <v>1.8443605213883561E-3</v>
      </c>
      <c r="C28" s="7">
        <v>9.9401975250201034E-3</v>
      </c>
      <c r="D28" s="7">
        <v>5.1596690393438827E-3</v>
      </c>
      <c r="E28" s="7">
        <v>2.913873962679715E-3</v>
      </c>
      <c r="F28" s="7">
        <v>2.5435593812977868E-2</v>
      </c>
      <c r="G28" s="7">
        <v>2.1488734967355979E-3</v>
      </c>
      <c r="H28" s="7">
        <v>1.1427498473485811E-4</v>
      </c>
      <c r="I28" s="7">
        <v>3.2078072140086459E-3</v>
      </c>
      <c r="J28" s="7">
        <v>1.8414588079436561E-2</v>
      </c>
      <c r="K28" s="7">
        <v>1.043088385226346E-2</v>
      </c>
      <c r="L28" s="7">
        <v>1.1964943602666509E-2</v>
      </c>
      <c r="M28" s="7">
        <v>1.0966433467365011E-3</v>
      </c>
      <c r="N28" s="7">
        <v>5.7582226759990271E-3</v>
      </c>
      <c r="O28" s="7">
        <v>1.434561226177977E-2</v>
      </c>
      <c r="P28" s="7">
        <v>2.7500015010519891E-3</v>
      </c>
      <c r="Q28" s="7">
        <v>7.879866558889722E-3</v>
      </c>
      <c r="R28" s="7">
        <v>2.6373683553531091E-3</v>
      </c>
      <c r="S28" s="7">
        <v>2.8212517604064478E-2</v>
      </c>
      <c r="T28" s="7">
        <v>3.3663095371665088E-3</v>
      </c>
      <c r="U28" s="7">
        <v>1.3735280348208581E-2</v>
      </c>
      <c r="V28" s="7">
        <v>1.538591298200687E-2</v>
      </c>
      <c r="W28" s="7">
        <v>6.8640785637613553E-3</v>
      </c>
      <c r="X28" s="7">
        <v>2.2007317858078471E-2</v>
      </c>
      <c r="Y28" s="7">
        <v>4.8438489526074748E-2</v>
      </c>
      <c r="Z28" s="7">
        <v>6.1364667837478732E-3</v>
      </c>
      <c r="AA28" s="7">
        <v>1.2363580219320019E-2</v>
      </c>
      <c r="AB28" s="7">
        <v>0</v>
      </c>
      <c r="AC28" s="7">
        <v>6.1208971700750982E-3</v>
      </c>
      <c r="AD28" s="7">
        <v>2.7823288008835189E-3</v>
      </c>
      <c r="AE28" s="7">
        <v>3.9533752946596661E-2</v>
      </c>
      <c r="AF28" s="7">
        <v>1.853793963411858E-3</v>
      </c>
      <c r="AG28" s="7">
        <v>2.0766118979586448E-3</v>
      </c>
      <c r="AH28" s="7">
        <v>1.5245932099327061E-2</v>
      </c>
      <c r="AI28" s="7">
        <v>0.21217400513890869</v>
      </c>
      <c r="AJ28" s="7">
        <v>1.5679909070652819E-2</v>
      </c>
      <c r="AK28" s="7">
        <v>2.3566303139247291E-2</v>
      </c>
      <c r="AL28" s="7">
        <v>1.7400051615647592E-2</v>
      </c>
      <c r="AM28" s="7">
        <v>3.9574225968556039E-2</v>
      </c>
      <c r="AN28" s="7">
        <v>5.422751577994725E-3</v>
      </c>
      <c r="AO28" s="7">
        <v>1.6130299455070229E-2</v>
      </c>
      <c r="AP28" s="7">
        <v>6.75661164657044E-5</v>
      </c>
      <c r="AQ28" s="7">
        <v>9.7230727671503356E-3</v>
      </c>
      <c r="AR28" s="7">
        <v>1.5207892811401819E-4</v>
      </c>
      <c r="AS28" s="7">
        <v>4.7102179551071583E-3</v>
      </c>
      <c r="AT28" s="7">
        <v>1.5920927809126619E-4</v>
      </c>
      <c r="AU28" s="7">
        <v>1.8094033270085311E-2</v>
      </c>
      <c r="AV28" s="7">
        <v>3.6597366072551409E-3</v>
      </c>
      <c r="AW28" s="7">
        <v>7.1011397608478945E-4</v>
      </c>
      <c r="AX28" s="7">
        <v>2.1941767915408281E-2</v>
      </c>
      <c r="AY28" s="7">
        <v>1.8202147359086662E-2</v>
      </c>
      <c r="AZ28" s="7">
        <v>3.276110778941097E-3</v>
      </c>
      <c r="BA28" s="7">
        <v>5.0106403394366006E-3</v>
      </c>
      <c r="BB28" s="7">
        <v>2.7335660059553239E-2</v>
      </c>
      <c r="BC28" s="7">
        <v>3.4228908087515643E-2</v>
      </c>
      <c r="BD28" s="7">
        <v>1.9250581329049131E-2</v>
      </c>
      <c r="BE28" s="7">
        <v>8.3249750076399894E-3</v>
      </c>
      <c r="BF28" s="7">
        <v>6.9394714368933063E-3</v>
      </c>
      <c r="BG28" s="7">
        <v>5.4797540546596933E-3</v>
      </c>
      <c r="BH28" s="7">
        <v>6.3000702805781324E-3</v>
      </c>
      <c r="BI28" s="7">
        <v>1.5441871100008121E-3</v>
      </c>
      <c r="BJ28" s="7">
        <v>4.862893240039203E-3</v>
      </c>
      <c r="BK28" s="7">
        <v>2.7245623499748319E-3</v>
      </c>
      <c r="BL28" s="7">
        <v>5.9610327504823243E-2</v>
      </c>
      <c r="BM28" s="7">
        <v>7.3098000337038817E-3</v>
      </c>
      <c r="BN28" s="7">
        <v>2.82346118669369E-2</v>
      </c>
      <c r="BO28" s="7">
        <v>1.22385516741101E-3</v>
      </c>
      <c r="BP28" s="7">
        <v>3.446737947045734E-3</v>
      </c>
      <c r="BQ28" s="7">
        <v>1.282369544639534E-2</v>
      </c>
      <c r="BR28" s="7">
        <v>6.0497354679395644E-3</v>
      </c>
      <c r="BS28" s="7">
        <v>3.634903703337813E-3</v>
      </c>
      <c r="BT28" s="7">
        <v>1.010187721517149E-2</v>
      </c>
      <c r="BU28" s="7">
        <v>8.6103737709260705E-3</v>
      </c>
      <c r="BV28" s="7">
        <v>3.5989492501562908E-3</v>
      </c>
      <c r="BW28" s="7">
        <v>1.414074281028499E-2</v>
      </c>
      <c r="BX28" s="7">
        <v>1.1947652736756049E-3</v>
      </c>
      <c r="BY28" s="7">
        <v>5.1105293528784387E-2</v>
      </c>
      <c r="BZ28" s="7">
        <v>2.4490816070973791E-2</v>
      </c>
    </row>
    <row r="29" spans="1:78">
      <c r="A29" s="4" t="s">
        <v>125</v>
      </c>
      <c r="B29" s="7">
        <v>2.6507905575800541E-5</v>
      </c>
      <c r="C29" s="7">
        <v>9.8665581886425957E-6</v>
      </c>
      <c r="D29" s="7">
        <v>2.381810282985309E-6</v>
      </c>
      <c r="E29" s="7">
        <v>4.2846257537602656E-6</v>
      </c>
      <c r="F29" s="7">
        <v>4.5205100633815722E-6</v>
      </c>
      <c r="G29" s="7">
        <v>9.9382754099110703E-3</v>
      </c>
      <c r="H29" s="7">
        <v>0</v>
      </c>
      <c r="I29" s="7">
        <v>4.6610043203757469E-5</v>
      </c>
      <c r="J29" s="7">
        <v>0</v>
      </c>
      <c r="K29" s="7">
        <v>7.8524850638538926E-6</v>
      </c>
      <c r="L29" s="7">
        <v>2.1776349329370341E-5</v>
      </c>
      <c r="M29" s="7">
        <v>1.8829366821942529E-3</v>
      </c>
      <c r="N29" s="7">
        <v>2.3640136252363339E-5</v>
      </c>
      <c r="O29" s="7">
        <v>1.5825688547689261E-4</v>
      </c>
      <c r="P29" s="7">
        <v>0</v>
      </c>
      <c r="Q29" s="7">
        <v>0</v>
      </c>
      <c r="R29" s="7">
        <v>0</v>
      </c>
      <c r="S29" s="7">
        <v>0.1551034769031604</v>
      </c>
      <c r="T29" s="7">
        <v>1.2097128107820501E-5</v>
      </c>
      <c r="U29" s="7">
        <v>1.5781675903259441E-5</v>
      </c>
      <c r="V29" s="7">
        <v>7.5122537528644049E-5</v>
      </c>
      <c r="W29" s="7">
        <v>7.6486194737958551E-4</v>
      </c>
      <c r="X29" s="7">
        <v>5.1798489510442112E-4</v>
      </c>
      <c r="Y29" s="7">
        <v>2.6782443427107928E-4</v>
      </c>
      <c r="Z29" s="7">
        <v>8.7958539825711133E-7</v>
      </c>
      <c r="AA29" s="7">
        <v>1.805201735805611E-5</v>
      </c>
      <c r="AB29" s="7">
        <v>2.387009709629669E-4</v>
      </c>
      <c r="AC29" s="7">
        <v>0</v>
      </c>
      <c r="AD29" s="7">
        <v>3.9287484067914223E-5</v>
      </c>
      <c r="AE29" s="7">
        <v>1.232650408544822E-3</v>
      </c>
      <c r="AF29" s="7">
        <v>5.2733956710309957E-5</v>
      </c>
      <c r="AG29" s="7">
        <v>2.5174381336144262E-5</v>
      </c>
      <c r="AH29" s="7">
        <v>5.988343108366904E-7</v>
      </c>
      <c r="AI29" s="7">
        <v>5.5512594617136772E-5</v>
      </c>
      <c r="AJ29" s="7">
        <v>8.1492901660034828E-5</v>
      </c>
      <c r="AK29" s="7">
        <v>8.175720330854746E-4</v>
      </c>
      <c r="AL29" s="7">
        <v>9.3452706990101105E-5</v>
      </c>
      <c r="AM29" s="7">
        <v>3.9305237282826208E-3</v>
      </c>
      <c r="AN29" s="7">
        <v>3.3506186790623077E-5</v>
      </c>
      <c r="AO29" s="7">
        <v>1.354478402015895E-4</v>
      </c>
      <c r="AP29" s="7">
        <v>0</v>
      </c>
      <c r="AQ29" s="7">
        <v>5.3065334124820066E-7</v>
      </c>
      <c r="AR29" s="7">
        <v>0</v>
      </c>
      <c r="AS29" s="7">
        <v>8.3882388337209351E-4</v>
      </c>
      <c r="AT29" s="7">
        <v>0</v>
      </c>
      <c r="AU29" s="7">
        <v>9.1273551597015817E-5</v>
      </c>
      <c r="AV29" s="7">
        <v>1.14973419893435E-4</v>
      </c>
      <c r="AW29" s="7">
        <v>1.846825368041102E-6</v>
      </c>
      <c r="AX29" s="7">
        <v>4.2464998073367174E-3</v>
      </c>
      <c r="AY29" s="7">
        <v>0</v>
      </c>
      <c r="AZ29" s="7">
        <v>1.0083136175067861E-6</v>
      </c>
      <c r="BA29" s="7">
        <v>4.9751523748645457E-3</v>
      </c>
      <c r="BB29" s="7">
        <v>1.9193093542541769E-4</v>
      </c>
      <c r="BC29" s="7">
        <v>9.8756704663828065E-4</v>
      </c>
      <c r="BD29" s="7">
        <v>1.0407002440264269E-5</v>
      </c>
      <c r="BE29" s="7">
        <v>1.0006760867396409E-3</v>
      </c>
      <c r="BF29" s="7">
        <v>1.9127196997273459E-5</v>
      </c>
      <c r="BG29" s="7">
        <v>3.9721863387851547E-6</v>
      </c>
      <c r="BH29" s="7">
        <v>8.0933744319995425E-6</v>
      </c>
      <c r="BI29" s="7">
        <v>4.1826617030487111E-5</v>
      </c>
      <c r="BJ29" s="7">
        <v>1.5634078312627901E-3</v>
      </c>
      <c r="BK29" s="7">
        <v>0</v>
      </c>
      <c r="BL29" s="7">
        <v>4.633726273315068E-3</v>
      </c>
      <c r="BM29" s="7">
        <v>3.1499738152379532E-4</v>
      </c>
      <c r="BN29" s="7">
        <v>1.368883253179476E-4</v>
      </c>
      <c r="BO29" s="7">
        <v>5.4887399667608969E-7</v>
      </c>
      <c r="BP29" s="7">
        <v>3.435720654287044E-6</v>
      </c>
      <c r="BQ29" s="7">
        <v>9.4993070303146974E-6</v>
      </c>
      <c r="BR29" s="7">
        <v>1.135537857401049E-4</v>
      </c>
      <c r="BS29" s="7">
        <v>1.111035946213931E-4</v>
      </c>
      <c r="BT29" s="7">
        <v>5.2224272996984502E-5</v>
      </c>
      <c r="BU29" s="7">
        <v>4.4428883082396539E-7</v>
      </c>
      <c r="BV29" s="7">
        <v>3.1973520447933898E-4</v>
      </c>
      <c r="BW29" s="7">
        <v>4.3471044241722412E-5</v>
      </c>
      <c r="BX29" s="7">
        <v>1.1187889772828049E-6</v>
      </c>
      <c r="BY29" s="7">
        <v>5.5227812393626842E-5</v>
      </c>
      <c r="BZ29" s="7">
        <v>9.849090249644068E-4</v>
      </c>
    </row>
    <row r="30" spans="1:78">
      <c r="A30" s="4" t="s">
        <v>127</v>
      </c>
      <c r="B30" s="7">
        <v>1.186195458573275E-4</v>
      </c>
      <c r="C30" s="7">
        <v>6.1638589993303424E-4</v>
      </c>
      <c r="D30" s="7">
        <v>8.51079556726236E-4</v>
      </c>
      <c r="E30" s="7">
        <v>5.1468306662953253E-5</v>
      </c>
      <c r="F30" s="7">
        <v>1.371403065005351E-2</v>
      </c>
      <c r="G30" s="7">
        <v>5.9176944380012397E-3</v>
      </c>
      <c r="H30" s="7">
        <v>4.9922407210896652E-4</v>
      </c>
      <c r="I30" s="7">
        <v>1.16571386933125E-2</v>
      </c>
      <c r="J30" s="7">
        <v>4.7021703988457729E-4</v>
      </c>
      <c r="K30" s="7">
        <v>3.8699072165358171E-4</v>
      </c>
      <c r="L30" s="7">
        <v>1.2553152957650159E-3</v>
      </c>
      <c r="M30" s="7">
        <v>6.7476053837674265E-4</v>
      </c>
      <c r="N30" s="7">
        <v>3.3936808294406518E-4</v>
      </c>
      <c r="O30" s="7">
        <v>3.1041963005754339E-4</v>
      </c>
      <c r="P30" s="7">
        <v>4.2341741111659767E-2</v>
      </c>
      <c r="Q30" s="7">
        <v>7.3179480187268785E-4</v>
      </c>
      <c r="R30" s="7">
        <v>1.7809242739690249E-2</v>
      </c>
      <c r="S30" s="7">
        <v>9.3546040601936407E-3</v>
      </c>
      <c r="T30" s="7">
        <v>1.916274606046683E-3</v>
      </c>
      <c r="U30" s="7">
        <v>9.5592548879314999E-4</v>
      </c>
      <c r="V30" s="7">
        <v>2.8940408875370658E-4</v>
      </c>
      <c r="W30" s="7">
        <v>3.6813958074351038E-4</v>
      </c>
      <c r="X30" s="7">
        <v>6.9474770384551476E-4</v>
      </c>
      <c r="Y30" s="7">
        <v>2.4395430654179909E-5</v>
      </c>
      <c r="Z30" s="7">
        <v>4.1124373207750598E-4</v>
      </c>
      <c r="AA30" s="7">
        <v>4.8653426902738338E-4</v>
      </c>
      <c r="AB30" s="7">
        <v>3.4759017059696031E-3</v>
      </c>
      <c r="AC30" s="7">
        <v>2.163160109211902E-4</v>
      </c>
      <c r="AD30" s="7">
        <v>0</v>
      </c>
      <c r="AE30" s="7">
        <v>2.9747927357817348E-4</v>
      </c>
      <c r="AF30" s="7">
        <v>2.5260232107393629E-2</v>
      </c>
      <c r="AG30" s="7">
        <v>1.0827270651539239E-2</v>
      </c>
      <c r="AH30" s="7">
        <v>2.3558560503367309E-2</v>
      </c>
      <c r="AI30" s="7">
        <v>3.6643535506823161E-3</v>
      </c>
      <c r="AJ30" s="7">
        <v>8.1884914005999341E-4</v>
      </c>
      <c r="AK30" s="7">
        <v>6.7845835879603383E-2</v>
      </c>
      <c r="AL30" s="7">
        <v>1.7232061555435931E-4</v>
      </c>
      <c r="AM30" s="7">
        <v>6.8854580442770982E-3</v>
      </c>
      <c r="AN30" s="7">
        <v>1.381732702715952E-4</v>
      </c>
      <c r="AO30" s="7">
        <v>5.886151916626486E-5</v>
      </c>
      <c r="AP30" s="7">
        <v>1.283571124331347E-2</v>
      </c>
      <c r="AQ30" s="7">
        <v>1.7503963349275011E-4</v>
      </c>
      <c r="AR30" s="7">
        <v>0</v>
      </c>
      <c r="AS30" s="7">
        <v>1.689300492591039E-6</v>
      </c>
      <c r="AT30" s="7">
        <v>9.2503157097299468E-7</v>
      </c>
      <c r="AU30" s="7">
        <v>6.3594425867677265E-4</v>
      </c>
      <c r="AV30" s="7">
        <v>3.0099472683884741E-5</v>
      </c>
      <c r="AW30" s="7">
        <v>1.9695371725260238E-3</v>
      </c>
      <c r="AX30" s="7">
        <v>6.1938462812726489E-4</v>
      </c>
      <c r="AY30" s="7">
        <v>1.3270425105528489E-4</v>
      </c>
      <c r="AZ30" s="7">
        <v>2.6707625162109169E-2</v>
      </c>
      <c r="BA30" s="7">
        <v>4.4871938112353354E-3</v>
      </c>
      <c r="BB30" s="7">
        <v>7.0400814161917158E-3</v>
      </c>
      <c r="BC30" s="7">
        <v>9.5517806398566431E-4</v>
      </c>
      <c r="BD30" s="7">
        <v>1.869775078816996E-4</v>
      </c>
      <c r="BE30" s="7">
        <v>3.7858585052812149E-3</v>
      </c>
      <c r="BF30" s="7">
        <v>1.3114126792721289E-5</v>
      </c>
      <c r="BG30" s="7">
        <v>4.5488193683871171E-2</v>
      </c>
      <c r="BH30" s="7">
        <v>1.548166214897172E-4</v>
      </c>
      <c r="BI30" s="7">
        <v>2.2099342568384701E-4</v>
      </c>
      <c r="BJ30" s="7">
        <v>2.0774609087549651E-2</v>
      </c>
      <c r="BK30" s="7">
        <v>1.612551500665956E-3</v>
      </c>
      <c r="BL30" s="7">
        <v>5.3330778799202407E-4</v>
      </c>
      <c r="BM30" s="7">
        <v>1.496406898282785E-3</v>
      </c>
      <c r="BN30" s="7">
        <v>1.987769502984136E-3</v>
      </c>
      <c r="BO30" s="7">
        <v>4.8450917249534412E-4</v>
      </c>
      <c r="BP30" s="7">
        <v>8.1669810058019503E-5</v>
      </c>
      <c r="BQ30" s="7">
        <v>4.3811741740963552E-4</v>
      </c>
      <c r="BR30" s="7">
        <v>2.6363762669552862E-3</v>
      </c>
      <c r="BS30" s="7">
        <v>9.3826539901455184E-4</v>
      </c>
      <c r="BT30" s="7">
        <v>4.9014568083636991E-4</v>
      </c>
      <c r="BU30" s="7">
        <v>1.531104184670985E-5</v>
      </c>
      <c r="BV30" s="7">
        <v>3.8146210927742331E-5</v>
      </c>
      <c r="BW30" s="7">
        <v>3.5052870952478269E-4</v>
      </c>
      <c r="BX30" s="7">
        <v>1.413404781845648E-3</v>
      </c>
      <c r="BY30" s="7">
        <v>3.2889113139602318E-4</v>
      </c>
      <c r="BZ30" s="7">
        <v>1.39393166957133E-3</v>
      </c>
    </row>
    <row r="31" spans="1:78">
      <c r="A31" s="4" t="s">
        <v>129</v>
      </c>
      <c r="B31" s="7">
        <v>1.9023255037448572E-5</v>
      </c>
      <c r="C31" s="7">
        <v>1.2705840129184849E-5</v>
      </c>
      <c r="D31" s="7">
        <v>7.2977103389618918E-4</v>
      </c>
      <c r="E31" s="7">
        <v>1.65145881697747E-5</v>
      </c>
      <c r="F31" s="7">
        <v>0</v>
      </c>
      <c r="G31" s="7">
        <v>6.118942753085581E-5</v>
      </c>
      <c r="H31" s="7">
        <v>0</v>
      </c>
      <c r="I31" s="7">
        <v>4.4088029612730691E-7</v>
      </c>
      <c r="J31" s="7">
        <v>0</v>
      </c>
      <c r="K31" s="7">
        <v>1.9460369823423729E-5</v>
      </c>
      <c r="L31" s="7">
        <v>8.0219084175061131E-4</v>
      </c>
      <c r="M31" s="7">
        <v>1.516487270866008E-6</v>
      </c>
      <c r="N31" s="7">
        <v>1.9509199380720761E-5</v>
      </c>
      <c r="O31" s="7">
        <v>3.470919705991946E-4</v>
      </c>
      <c r="P31" s="7">
        <v>0</v>
      </c>
      <c r="Q31" s="7">
        <v>0</v>
      </c>
      <c r="R31" s="7">
        <v>0</v>
      </c>
      <c r="S31" s="7">
        <v>1.5298205648570481E-5</v>
      </c>
      <c r="T31" s="7">
        <v>4.1742019392678972E-5</v>
      </c>
      <c r="U31" s="7">
        <v>7.3850905158362554E-4</v>
      </c>
      <c r="V31" s="7">
        <v>3.9345415777956626E-3</v>
      </c>
      <c r="W31" s="7">
        <v>0</v>
      </c>
      <c r="X31" s="7">
        <v>8.9102189748555954E-5</v>
      </c>
      <c r="Y31" s="7">
        <v>7.2682679473728252E-5</v>
      </c>
      <c r="Z31" s="7">
        <v>2.7446646220834251E-5</v>
      </c>
      <c r="AA31" s="7">
        <v>2.8339364480771401E-4</v>
      </c>
      <c r="AB31" s="7">
        <v>7.70772019106983E-4</v>
      </c>
      <c r="AC31" s="7">
        <v>9.6130561223096373E-5</v>
      </c>
      <c r="AD31" s="7">
        <v>0</v>
      </c>
      <c r="AE31" s="7">
        <v>0</v>
      </c>
      <c r="AF31" s="7">
        <v>3.688942992205351E-4</v>
      </c>
      <c r="AG31" s="7">
        <v>4.6860775083592268E-7</v>
      </c>
      <c r="AH31" s="7">
        <v>2.9917589670740251E-5</v>
      </c>
      <c r="AI31" s="7">
        <v>1.1671626614582041E-5</v>
      </c>
      <c r="AJ31" s="7">
        <v>1.4921198475512159E-3</v>
      </c>
      <c r="AK31" s="7">
        <v>8.4285776606749954E-6</v>
      </c>
      <c r="AL31" s="7">
        <v>3.620509513586011E-3</v>
      </c>
      <c r="AM31" s="7">
        <v>9.777911539426878E-5</v>
      </c>
      <c r="AN31" s="7">
        <v>4.0220434968332399E-6</v>
      </c>
      <c r="AO31" s="7">
        <v>5.3785542286393284E-4</v>
      </c>
      <c r="AP31" s="7">
        <v>0</v>
      </c>
      <c r="AQ31" s="7">
        <v>5.869518849085339E-7</v>
      </c>
      <c r="AR31" s="7">
        <v>0</v>
      </c>
      <c r="AS31" s="7">
        <v>3.0147693280702938E-4</v>
      </c>
      <c r="AT31" s="7">
        <v>2.7972231635723141E-5</v>
      </c>
      <c r="AU31" s="7">
        <v>2.8349702755472409E-4</v>
      </c>
      <c r="AV31" s="7">
        <v>5.202201847919674E-6</v>
      </c>
      <c r="AW31" s="7">
        <v>2.2775934954300339E-5</v>
      </c>
      <c r="AX31" s="7">
        <v>0</v>
      </c>
      <c r="AY31" s="7">
        <v>0</v>
      </c>
      <c r="AZ31" s="7">
        <v>3.2833243726346829E-6</v>
      </c>
      <c r="BA31" s="7">
        <v>2.3932111662426539E-5</v>
      </c>
      <c r="BB31" s="7">
        <v>9.6331115598189817E-5</v>
      </c>
      <c r="BC31" s="7">
        <v>3.0714782291120651E-3</v>
      </c>
      <c r="BD31" s="7">
        <v>4.209528939329425E-5</v>
      </c>
      <c r="BE31" s="7">
        <v>1.833744810255901E-5</v>
      </c>
      <c r="BF31" s="7">
        <v>4.5409889455953929E-5</v>
      </c>
      <c r="BG31" s="7">
        <v>6.1210740302590902E-6</v>
      </c>
      <c r="BH31" s="7">
        <v>7.627849884097995E-4</v>
      </c>
      <c r="BI31" s="7">
        <v>2.010335168954142E-4</v>
      </c>
      <c r="BJ31" s="7">
        <v>6.4444373244519387E-4</v>
      </c>
      <c r="BK31" s="7">
        <v>8.4125050494900513E-6</v>
      </c>
      <c r="BL31" s="7">
        <v>0</v>
      </c>
      <c r="BM31" s="7">
        <v>0</v>
      </c>
      <c r="BN31" s="7">
        <v>2.3637680317214151E-5</v>
      </c>
      <c r="BO31" s="7">
        <v>1.0670481359325541E-5</v>
      </c>
      <c r="BP31" s="7">
        <v>4.9010174121677996E-3</v>
      </c>
      <c r="BQ31" s="7">
        <v>2.5403330504005222E-4</v>
      </c>
      <c r="BR31" s="7">
        <v>1.107901450862739E-5</v>
      </c>
      <c r="BS31" s="7">
        <v>0</v>
      </c>
      <c r="BT31" s="7">
        <v>1.82987355861301E-4</v>
      </c>
      <c r="BU31" s="7">
        <v>1.572106769944705E-6</v>
      </c>
      <c r="BV31" s="7">
        <v>3.0749963107454622E-4</v>
      </c>
      <c r="BW31" s="7">
        <v>5.8719877452564707E-5</v>
      </c>
      <c r="BX31" s="7">
        <v>9.6418452588486599E-7</v>
      </c>
      <c r="BY31" s="7">
        <v>7.7116978840937908E-5</v>
      </c>
      <c r="BZ31" s="7">
        <v>1.2231881603912041E-3</v>
      </c>
    </row>
    <row r="32" spans="1:78">
      <c r="A32" s="4" t="s">
        <v>131</v>
      </c>
      <c r="B32" s="7">
        <v>6.0833557528188762E-3</v>
      </c>
      <c r="C32" s="7">
        <v>9.3418531388490232E-3</v>
      </c>
      <c r="D32" s="7">
        <v>5.9854361936336239E-2</v>
      </c>
      <c r="E32" s="7">
        <v>0.25579698151687191</v>
      </c>
      <c r="F32" s="7">
        <v>1.057864988454702E-6</v>
      </c>
      <c r="G32" s="7">
        <v>0.35229723123523038</v>
      </c>
      <c r="H32" s="7">
        <v>8.980256096836481E-5</v>
      </c>
      <c r="I32" s="7">
        <v>1.506968833954695E-3</v>
      </c>
      <c r="J32" s="7">
        <v>2.9629750113014671E-4</v>
      </c>
      <c r="K32" s="7">
        <v>1.590035270886534E-3</v>
      </c>
      <c r="L32" s="7">
        <v>4.6359425060852437E-2</v>
      </c>
      <c r="M32" s="7">
        <v>4.6714879657292868E-4</v>
      </c>
      <c r="N32" s="7">
        <v>1.6270692070706319E-2</v>
      </c>
      <c r="O32" s="7">
        <v>1.1725529721596021E-3</v>
      </c>
      <c r="P32" s="7">
        <v>0</v>
      </c>
      <c r="Q32" s="7">
        <v>2.7822970543006E-3</v>
      </c>
      <c r="R32" s="7">
        <v>5.1526695321869589E-3</v>
      </c>
      <c r="S32" s="7">
        <v>5.5826486635941709E-4</v>
      </c>
      <c r="T32" s="7">
        <v>3.7143311497741492E-2</v>
      </c>
      <c r="U32" s="7">
        <v>0.1074529066000056</v>
      </c>
      <c r="V32" s="7">
        <v>6.2555589391819322E-2</v>
      </c>
      <c r="W32" s="7">
        <v>1.0818318507272739E-3</v>
      </c>
      <c r="X32" s="7">
        <v>1.4738258162487529E-2</v>
      </c>
      <c r="Y32" s="7">
        <v>2.389878671092624E-3</v>
      </c>
      <c r="Z32" s="7">
        <v>8.7859638059418089E-3</v>
      </c>
      <c r="AA32" s="7">
        <v>2.2838092260934639E-2</v>
      </c>
      <c r="AB32" s="7">
        <v>9.9091983863250771E-3</v>
      </c>
      <c r="AC32" s="7">
        <v>1.2303604362737291E-2</v>
      </c>
      <c r="AD32" s="7">
        <v>2.07365543127605E-7</v>
      </c>
      <c r="AE32" s="7">
        <v>2.538757875047153E-2</v>
      </c>
      <c r="AF32" s="7">
        <v>0</v>
      </c>
      <c r="AG32" s="7">
        <v>4.9477893010253923E-4</v>
      </c>
      <c r="AH32" s="7">
        <v>2.415058481748202E-3</v>
      </c>
      <c r="AI32" s="7">
        <v>5.0881719246954969E-4</v>
      </c>
      <c r="AJ32" s="7">
        <v>7.7418376216871476E-3</v>
      </c>
      <c r="AK32" s="7">
        <v>3.5821455057868728E-4</v>
      </c>
      <c r="AL32" s="7">
        <v>1.494228999777736E-2</v>
      </c>
      <c r="AM32" s="7">
        <v>5.8840605716368793E-3</v>
      </c>
      <c r="AN32" s="7">
        <v>7.5780572872909827E-3</v>
      </c>
      <c r="AO32" s="7">
        <v>2.375124036767444E-4</v>
      </c>
      <c r="AP32" s="7">
        <v>1.3081706590776511E-5</v>
      </c>
      <c r="AQ32" s="7">
        <v>5.426766752869276E-3</v>
      </c>
      <c r="AR32" s="7">
        <v>0</v>
      </c>
      <c r="AS32" s="7">
        <v>5.2748695177157342E-4</v>
      </c>
      <c r="AT32" s="7">
        <v>1.689563510263563E-3</v>
      </c>
      <c r="AU32" s="7">
        <v>5.0200894449041727E-3</v>
      </c>
      <c r="AV32" s="7">
        <v>1.4811164362853689E-3</v>
      </c>
      <c r="AW32" s="7">
        <v>5.9084417484203122E-3</v>
      </c>
      <c r="AX32" s="7">
        <v>3.7519713577671972E-5</v>
      </c>
      <c r="AY32" s="7">
        <v>7.4745111445245207E-5</v>
      </c>
      <c r="AZ32" s="7">
        <v>2.6719840442208101E-4</v>
      </c>
      <c r="BA32" s="7">
        <v>7.504390650983979E-6</v>
      </c>
      <c r="BB32" s="7">
        <v>8.7190234041941012E-3</v>
      </c>
      <c r="BC32" s="7">
        <v>6.5568562511745384E-3</v>
      </c>
      <c r="BD32" s="7">
        <v>6.1117362825271792E-3</v>
      </c>
      <c r="BE32" s="7">
        <v>1.1967971769060619E-4</v>
      </c>
      <c r="BF32" s="7">
        <v>1.808267344424584E-3</v>
      </c>
      <c r="BG32" s="7">
        <v>1.7160713221002971E-4</v>
      </c>
      <c r="BH32" s="7">
        <v>1.8549869047952149E-2</v>
      </c>
      <c r="BI32" s="7">
        <v>1.8366033482430559E-3</v>
      </c>
      <c r="BJ32" s="7">
        <v>1.422242464124397E-2</v>
      </c>
      <c r="BK32" s="7">
        <v>6.3129735510460208E-3</v>
      </c>
      <c r="BL32" s="7">
        <v>8.3441863523502638E-5</v>
      </c>
      <c r="BM32" s="7">
        <v>0</v>
      </c>
      <c r="BN32" s="7">
        <v>9.575848547347195E-3</v>
      </c>
      <c r="BO32" s="7">
        <v>0.20460296723239671</v>
      </c>
      <c r="BP32" s="7">
        <v>1.1082050973593849E-2</v>
      </c>
      <c r="BQ32" s="7">
        <v>4.2385055262236597E-4</v>
      </c>
      <c r="BR32" s="7">
        <v>4.2833453181419876E-3</v>
      </c>
      <c r="BS32" s="7">
        <v>1.514029146790099E-3</v>
      </c>
      <c r="BT32" s="7">
        <v>2.4371999301466551E-3</v>
      </c>
      <c r="BU32" s="7">
        <v>8.5019047382773855E-2</v>
      </c>
      <c r="BV32" s="7">
        <v>4.1848388654678022E-3</v>
      </c>
      <c r="BW32" s="7">
        <v>9.8605461961383846E-3</v>
      </c>
      <c r="BX32" s="7">
        <v>7.1456360384716283E-2</v>
      </c>
      <c r="BY32" s="7">
        <v>6.6648095147989984E-3</v>
      </c>
      <c r="BZ32" s="7">
        <v>3.1331596962546212E-3</v>
      </c>
    </row>
    <row r="33" spans="1:78">
      <c r="A33" s="4" t="s">
        <v>133</v>
      </c>
      <c r="B33" s="7">
        <v>2.258532716607238E-2</v>
      </c>
      <c r="C33" s="7">
        <v>2.4718691501167438E-4</v>
      </c>
      <c r="D33" s="7">
        <v>2.934564331754163E-5</v>
      </c>
      <c r="E33" s="7">
        <v>1.115534215324396E-4</v>
      </c>
      <c r="F33" s="7">
        <v>1.430080150624314E-3</v>
      </c>
      <c r="G33" s="7">
        <v>0</v>
      </c>
      <c r="H33" s="7">
        <v>0</v>
      </c>
      <c r="I33" s="7">
        <v>8.8697745964099461E-3</v>
      </c>
      <c r="J33" s="7">
        <v>8.615624177253851E-3</v>
      </c>
      <c r="K33" s="7">
        <v>1.141343457223838E-3</v>
      </c>
      <c r="L33" s="7">
        <v>1.069961659451675E-4</v>
      </c>
      <c r="M33" s="7">
        <v>2.5230150004617951E-3</v>
      </c>
      <c r="N33" s="7">
        <v>6.4927977959132006E-3</v>
      </c>
      <c r="O33" s="7">
        <v>2.290231437187147E-5</v>
      </c>
      <c r="P33" s="7">
        <v>0</v>
      </c>
      <c r="Q33" s="7">
        <v>6.6221927908726786E-4</v>
      </c>
      <c r="R33" s="7">
        <v>3.5185685078637592E-4</v>
      </c>
      <c r="S33" s="7">
        <v>9.2940521931898652E-6</v>
      </c>
      <c r="T33" s="7">
        <v>1.3804815841990861E-2</v>
      </c>
      <c r="U33" s="7">
        <v>1.9209573168145599E-4</v>
      </c>
      <c r="V33" s="7">
        <v>1.9048554404739091E-4</v>
      </c>
      <c r="W33" s="7">
        <v>1.7548615016657601E-3</v>
      </c>
      <c r="X33" s="7">
        <v>7.8084406263636183E-5</v>
      </c>
      <c r="Y33" s="7">
        <v>2.8496894932675691E-5</v>
      </c>
      <c r="Z33" s="7">
        <v>1.9756559855990139E-5</v>
      </c>
      <c r="AA33" s="7">
        <v>4.5839465739217943E-5</v>
      </c>
      <c r="AB33" s="7">
        <v>5.0817132712077271E-4</v>
      </c>
      <c r="AC33" s="7">
        <v>0</v>
      </c>
      <c r="AD33" s="7">
        <v>5.3523741870125708E-4</v>
      </c>
      <c r="AE33" s="7">
        <v>1.6539260467199859E-7</v>
      </c>
      <c r="AF33" s="7">
        <v>0</v>
      </c>
      <c r="AG33" s="7">
        <v>0</v>
      </c>
      <c r="AH33" s="7">
        <v>1.5937113806880659E-2</v>
      </c>
      <c r="AI33" s="7">
        <v>1.3338777075100239E-3</v>
      </c>
      <c r="AJ33" s="7">
        <v>2.1184853049275921E-3</v>
      </c>
      <c r="AK33" s="7">
        <v>9.271435426742496E-5</v>
      </c>
      <c r="AL33" s="7">
        <v>4.3321123305223698E-5</v>
      </c>
      <c r="AM33" s="7">
        <v>0</v>
      </c>
      <c r="AN33" s="7">
        <v>2.068998729873131E-2</v>
      </c>
      <c r="AO33" s="7">
        <v>3.1692618164158441E-8</v>
      </c>
      <c r="AP33" s="7">
        <v>2.0460437735646329E-3</v>
      </c>
      <c r="AQ33" s="7">
        <v>6.1018577385044491E-5</v>
      </c>
      <c r="AR33" s="7">
        <v>0</v>
      </c>
      <c r="AS33" s="7">
        <v>8.037392955905939E-5</v>
      </c>
      <c r="AT33" s="7">
        <v>1.0118140560739299E-5</v>
      </c>
      <c r="AU33" s="7">
        <v>0</v>
      </c>
      <c r="AV33" s="7">
        <v>1.0094558661617E-4</v>
      </c>
      <c r="AW33" s="7">
        <v>3.1156404895402992E-3</v>
      </c>
      <c r="AX33" s="7">
        <v>0</v>
      </c>
      <c r="AY33" s="7">
        <v>7.8967164484555763E-3</v>
      </c>
      <c r="AZ33" s="7">
        <v>1.7045692092436539E-2</v>
      </c>
      <c r="BA33" s="7">
        <v>9.1065885207042348E-5</v>
      </c>
      <c r="BB33" s="7">
        <v>4.1024972288007402E-5</v>
      </c>
      <c r="BC33" s="7">
        <v>1.350361519066353E-4</v>
      </c>
      <c r="BD33" s="7">
        <v>4.4384190118808222E-4</v>
      </c>
      <c r="BE33" s="7">
        <v>8.4447604887380803E-3</v>
      </c>
      <c r="BF33" s="7">
        <v>1.4575998941377549E-4</v>
      </c>
      <c r="BG33" s="7">
        <v>6.3812891355411905E-2</v>
      </c>
      <c r="BH33" s="7">
        <v>4.0082181252836298E-3</v>
      </c>
      <c r="BI33" s="7">
        <v>1.1948431778326249E-6</v>
      </c>
      <c r="BJ33" s="7">
        <v>0</v>
      </c>
      <c r="BK33" s="7">
        <v>8.2973084881295609E-6</v>
      </c>
      <c r="BL33" s="7">
        <v>2.408130151446779E-6</v>
      </c>
      <c r="BM33" s="7">
        <v>4.0898405811043561E-6</v>
      </c>
      <c r="BN33" s="7">
        <v>1.5427236471594269E-3</v>
      </c>
      <c r="BO33" s="7">
        <v>3.1934696090858927E-5</v>
      </c>
      <c r="BP33" s="7">
        <v>7.3317615708681156E-6</v>
      </c>
      <c r="BQ33" s="7">
        <v>2.216211706555723E-6</v>
      </c>
      <c r="BR33" s="7">
        <v>5.8818282116039858E-2</v>
      </c>
      <c r="BS33" s="7">
        <v>2.7601387106671119E-5</v>
      </c>
      <c r="BT33" s="7">
        <v>3.0381266341849571E-3</v>
      </c>
      <c r="BU33" s="7">
        <v>8.764886385993707E-3</v>
      </c>
      <c r="BV33" s="7">
        <v>2.2967025502320529E-3</v>
      </c>
      <c r="BW33" s="7">
        <v>4.1791117962216243E-3</v>
      </c>
      <c r="BX33" s="7">
        <v>5.8299257414639542E-3</v>
      </c>
      <c r="BY33" s="7">
        <v>2.746406484555251E-2</v>
      </c>
      <c r="BZ33" s="7">
        <v>1.0272602340307649E-3</v>
      </c>
    </row>
    <row r="34" spans="1:78">
      <c r="A34" s="4" t="s">
        <v>135</v>
      </c>
      <c r="B34" s="7">
        <v>3.0859301025831011E-3</v>
      </c>
      <c r="C34" s="7">
        <v>3.1306606320142913E-2</v>
      </c>
      <c r="D34" s="7">
        <v>1.432654780093979E-2</v>
      </c>
      <c r="E34" s="7">
        <v>8.2922832634349422E-4</v>
      </c>
      <c r="F34" s="7">
        <v>8.9324067405365887E-2</v>
      </c>
      <c r="G34" s="7">
        <v>5.2816954253524686E-4</v>
      </c>
      <c r="H34" s="7">
        <v>4.0490649103571891E-5</v>
      </c>
      <c r="I34" s="7">
        <v>1.088793765019049E-2</v>
      </c>
      <c r="J34" s="7">
        <v>3.6890500179672671E-3</v>
      </c>
      <c r="K34" s="7">
        <v>7.5007674915384967E-3</v>
      </c>
      <c r="L34" s="7">
        <v>8.8774375008402618E-3</v>
      </c>
      <c r="M34" s="7">
        <v>7.0463569349711883E-3</v>
      </c>
      <c r="N34" s="7">
        <v>6.1369298548890894E-3</v>
      </c>
      <c r="O34" s="7">
        <v>2.2983099335963091E-2</v>
      </c>
      <c r="P34" s="7">
        <v>1.8279893463485391E-2</v>
      </c>
      <c r="Q34" s="7">
        <v>7.9212796963044774E-3</v>
      </c>
      <c r="R34" s="7">
        <v>3.3434828918320831E-3</v>
      </c>
      <c r="S34" s="7">
        <v>1.078692661075141E-2</v>
      </c>
      <c r="T34" s="7">
        <v>3.7639843474514319E-3</v>
      </c>
      <c r="U34" s="7">
        <v>6.6703943174310333E-3</v>
      </c>
      <c r="V34" s="7">
        <v>3.7121880487052338E-3</v>
      </c>
      <c r="W34" s="7">
        <v>2.5253631009299379E-2</v>
      </c>
      <c r="X34" s="7">
        <v>2.6916057515891781E-2</v>
      </c>
      <c r="Y34" s="7">
        <v>1.030870707931567E-3</v>
      </c>
      <c r="Z34" s="7">
        <v>3.033182822157479E-3</v>
      </c>
      <c r="AA34" s="7">
        <v>9.163989360230081E-3</v>
      </c>
      <c r="AB34" s="7">
        <v>5.6916233939237251E-3</v>
      </c>
      <c r="AC34" s="7">
        <v>2.647845357494411E-3</v>
      </c>
      <c r="AD34" s="7">
        <v>6.0458719723828535E-4</v>
      </c>
      <c r="AE34" s="7">
        <v>1.3190060222591891E-4</v>
      </c>
      <c r="AF34" s="7">
        <v>3.1938452916543952E-4</v>
      </c>
      <c r="AG34" s="7">
        <v>1.9352121661981629E-2</v>
      </c>
      <c r="AH34" s="7">
        <v>0</v>
      </c>
      <c r="AI34" s="7">
        <v>3.3350479764049112E-3</v>
      </c>
      <c r="AJ34" s="7">
        <v>1.3849513336288909E-3</v>
      </c>
      <c r="AK34" s="7">
        <v>1.5011296813662169E-2</v>
      </c>
      <c r="AL34" s="7">
        <v>7.9916309459068281E-3</v>
      </c>
      <c r="AM34" s="7">
        <v>2.4786128078973221E-2</v>
      </c>
      <c r="AN34" s="7">
        <v>5.4370545858016192E-3</v>
      </c>
      <c r="AO34" s="7">
        <v>1.6291197616515049E-3</v>
      </c>
      <c r="AP34" s="7">
        <v>1.498952629756548E-2</v>
      </c>
      <c r="AQ34" s="7">
        <v>1.925316814474432E-3</v>
      </c>
      <c r="AR34" s="7">
        <v>9.3851942322656666E-5</v>
      </c>
      <c r="AS34" s="7">
        <v>9.0374243719995775E-3</v>
      </c>
      <c r="AT34" s="7">
        <v>1.7123705719314001E-4</v>
      </c>
      <c r="AU34" s="7">
        <v>1.199877958528615E-3</v>
      </c>
      <c r="AV34" s="7">
        <v>1.4852892100824539E-2</v>
      </c>
      <c r="AW34" s="7">
        <v>1.744276145908609E-2</v>
      </c>
      <c r="AX34" s="7">
        <v>1.07462526210687E-4</v>
      </c>
      <c r="AY34" s="7">
        <v>2.0337563663830729E-2</v>
      </c>
      <c r="AZ34" s="7">
        <v>2.5928549777183211E-3</v>
      </c>
      <c r="BA34" s="7">
        <v>5.2946541360797038E-2</v>
      </c>
      <c r="BB34" s="7">
        <v>2.017241120011868E-3</v>
      </c>
      <c r="BC34" s="7">
        <v>1.55349059902195E-2</v>
      </c>
      <c r="BD34" s="7">
        <v>7.7210909060803157E-3</v>
      </c>
      <c r="BE34" s="7">
        <v>0</v>
      </c>
      <c r="BF34" s="7">
        <v>4.8799096736591979E-3</v>
      </c>
      <c r="BG34" s="7">
        <v>4.4035628810523853E-3</v>
      </c>
      <c r="BH34" s="7">
        <v>8.7253269016294554E-3</v>
      </c>
      <c r="BI34" s="7">
        <v>1.7609051731649829E-3</v>
      </c>
      <c r="BJ34" s="7">
        <v>3.2315003063219162E-3</v>
      </c>
      <c r="BK34" s="7">
        <v>5.9309296878849701E-3</v>
      </c>
      <c r="BL34" s="7">
        <v>8.4568637266187269E-2</v>
      </c>
      <c r="BM34" s="7">
        <v>2.2301572645502421E-2</v>
      </c>
      <c r="BN34" s="7">
        <v>1.0062587545242641E-2</v>
      </c>
      <c r="BO34" s="7">
        <v>3.3328393267266341E-4</v>
      </c>
      <c r="BP34" s="7">
        <v>2.1549307594559701E-3</v>
      </c>
      <c r="BQ34" s="7">
        <v>2.0873947159774568E-3</v>
      </c>
      <c r="BR34" s="7">
        <v>4.3177495381762016E-3</v>
      </c>
      <c r="BS34" s="7">
        <v>5.2655690111769865E-4</v>
      </c>
      <c r="BT34" s="7">
        <v>1.9198192884538279E-2</v>
      </c>
      <c r="BU34" s="7">
        <v>2.890037973265403E-3</v>
      </c>
      <c r="BV34" s="7">
        <v>1.473821424269639E-2</v>
      </c>
      <c r="BW34" s="7">
        <v>1.767987507457881E-2</v>
      </c>
      <c r="BX34" s="7">
        <v>1.008937836239757E-2</v>
      </c>
      <c r="BY34" s="7">
        <v>3.6535341665098829E-2</v>
      </c>
      <c r="BZ34" s="7">
        <v>5.8099616402232337E-2</v>
      </c>
    </row>
    <row r="35" spans="1:78">
      <c r="A35" s="4" t="s">
        <v>137</v>
      </c>
      <c r="B35" s="7">
        <v>2.788687392926077E-5</v>
      </c>
      <c r="C35" s="7">
        <v>3.5614538324206649E-4</v>
      </c>
      <c r="D35" s="7">
        <v>1.0685773588893101E-4</v>
      </c>
      <c r="E35" s="7">
        <v>2.093258602892783E-4</v>
      </c>
      <c r="F35" s="7">
        <v>0</v>
      </c>
      <c r="G35" s="7">
        <v>2.7534810408597061E-6</v>
      </c>
      <c r="H35" s="7">
        <v>9.977392816149723E-6</v>
      </c>
      <c r="I35" s="7">
        <v>1.4820115513092141E-3</v>
      </c>
      <c r="J35" s="7">
        <v>0</v>
      </c>
      <c r="K35" s="7">
        <v>5.6396942412040462E-5</v>
      </c>
      <c r="L35" s="7">
        <v>1.7163302108776251E-4</v>
      </c>
      <c r="M35" s="7">
        <v>2.8047805673936718E-6</v>
      </c>
      <c r="N35" s="7">
        <v>9.2033335367727043E-5</v>
      </c>
      <c r="O35" s="7">
        <v>8.3374345177989685E-5</v>
      </c>
      <c r="P35" s="7">
        <v>0</v>
      </c>
      <c r="Q35" s="7">
        <v>1.6017165502165211E-5</v>
      </c>
      <c r="R35" s="7">
        <v>2.0870207861322019E-4</v>
      </c>
      <c r="S35" s="7">
        <v>1.033915695730562E-3</v>
      </c>
      <c r="T35" s="7">
        <v>2.8558212019565262E-5</v>
      </c>
      <c r="U35" s="7">
        <v>1.3338875809391481E-3</v>
      </c>
      <c r="V35" s="7">
        <v>8.7947251424727043E-5</v>
      </c>
      <c r="W35" s="7">
        <v>7.9459419648680429E-5</v>
      </c>
      <c r="X35" s="7">
        <v>3.9375661364400132E-4</v>
      </c>
      <c r="Y35" s="7">
        <v>3.6431256453738837E-5</v>
      </c>
      <c r="Z35" s="7">
        <v>1.953612398701565E-4</v>
      </c>
      <c r="AA35" s="7">
        <v>1.577417896989626E-3</v>
      </c>
      <c r="AB35" s="7">
        <v>5.4296986690078658E-3</v>
      </c>
      <c r="AC35" s="7">
        <v>4.4904156116297582E-6</v>
      </c>
      <c r="AD35" s="7">
        <v>3.3244274765044649E-7</v>
      </c>
      <c r="AE35" s="7">
        <v>2.7945147966892562E-4</v>
      </c>
      <c r="AF35" s="7">
        <v>5.7056677439829791E-2</v>
      </c>
      <c r="AG35" s="7">
        <v>4.3479069665188701E-7</v>
      </c>
      <c r="AH35" s="7">
        <v>7.4267437298136747E-5</v>
      </c>
      <c r="AI35" s="7">
        <v>0</v>
      </c>
      <c r="AJ35" s="7">
        <v>1.001461746001409E-3</v>
      </c>
      <c r="AK35" s="7">
        <v>2.389501766801362E-3</v>
      </c>
      <c r="AL35" s="7">
        <v>2.040944068616156E-3</v>
      </c>
      <c r="AM35" s="7">
        <v>2.0700364058702788E-6</v>
      </c>
      <c r="AN35" s="7">
        <v>1.9073086136657329E-4</v>
      </c>
      <c r="AO35" s="7">
        <v>5.9071712533084104E-6</v>
      </c>
      <c r="AP35" s="7">
        <v>0</v>
      </c>
      <c r="AQ35" s="7">
        <v>2.6104865960162181E-3</v>
      </c>
      <c r="AR35" s="7">
        <v>0</v>
      </c>
      <c r="AS35" s="7">
        <v>4.3008211520557591E-4</v>
      </c>
      <c r="AT35" s="7">
        <v>8.2542661489024395E-4</v>
      </c>
      <c r="AU35" s="7">
        <v>4.2961569701278632E-3</v>
      </c>
      <c r="AV35" s="7">
        <v>1.338123563148544E-5</v>
      </c>
      <c r="AW35" s="7">
        <v>5.4277236965593278E-4</v>
      </c>
      <c r="AX35" s="7">
        <v>3.1160473752820479E-4</v>
      </c>
      <c r="AY35" s="7">
        <v>0</v>
      </c>
      <c r="AZ35" s="7">
        <v>5.1170165994121714E-6</v>
      </c>
      <c r="BA35" s="7">
        <v>1.979701201052371E-5</v>
      </c>
      <c r="BB35" s="7">
        <v>2.135031302515722E-3</v>
      </c>
      <c r="BC35" s="7">
        <v>5.7468247748236785E-4</v>
      </c>
      <c r="BD35" s="7">
        <v>8.9528718948018456E-5</v>
      </c>
      <c r="BE35" s="7">
        <v>1.110041671893407E-4</v>
      </c>
      <c r="BF35" s="7">
        <v>2.4250352963303069E-5</v>
      </c>
      <c r="BG35" s="7">
        <v>6.6745754053357114E-6</v>
      </c>
      <c r="BH35" s="7">
        <v>1.1426494729706331E-3</v>
      </c>
      <c r="BI35" s="7">
        <v>3.2919898791475919E-6</v>
      </c>
      <c r="BJ35" s="7">
        <v>1.663367322955172E-3</v>
      </c>
      <c r="BK35" s="7">
        <v>2.2657928018135211E-5</v>
      </c>
      <c r="BL35" s="7">
        <v>6.6690128239731044E-3</v>
      </c>
      <c r="BM35" s="7">
        <v>0</v>
      </c>
      <c r="BN35" s="7">
        <v>8.7965279826171392E-5</v>
      </c>
      <c r="BO35" s="7">
        <v>2.067802351138813E-3</v>
      </c>
      <c r="BP35" s="7">
        <v>4.2879650110503253E-5</v>
      </c>
      <c r="BQ35" s="7">
        <v>4.0584382655252973E-5</v>
      </c>
      <c r="BR35" s="7">
        <v>3.7755435939865661E-5</v>
      </c>
      <c r="BS35" s="7">
        <v>2.9429853004825918E-5</v>
      </c>
      <c r="BT35" s="7">
        <v>1.3394118345730461E-3</v>
      </c>
      <c r="BU35" s="7">
        <v>9.8769803461815667E-6</v>
      </c>
      <c r="BV35" s="7">
        <v>1.356285767256718E-2</v>
      </c>
      <c r="BW35" s="7">
        <v>2.9396618619273031E-3</v>
      </c>
      <c r="BX35" s="7">
        <v>5.6955953087192848E-6</v>
      </c>
      <c r="BY35" s="7">
        <v>4.8063855072590371E-4</v>
      </c>
      <c r="BZ35" s="7">
        <v>1.539922944968978E-4</v>
      </c>
    </row>
    <row r="36" spans="1:78">
      <c r="A36" s="4" t="s">
        <v>139</v>
      </c>
      <c r="B36" s="7">
        <v>0</v>
      </c>
      <c r="C36" s="7">
        <v>1.5640870858481891E-4</v>
      </c>
      <c r="D36" s="7">
        <v>8.772897836965123E-8</v>
      </c>
      <c r="E36" s="7">
        <v>9.9127438148636311E-5</v>
      </c>
      <c r="F36" s="7">
        <v>0</v>
      </c>
      <c r="G36" s="7">
        <v>0</v>
      </c>
      <c r="H36" s="7">
        <v>0</v>
      </c>
      <c r="I36" s="7">
        <v>7.0670518055700659E-6</v>
      </c>
      <c r="J36" s="7">
        <v>0</v>
      </c>
      <c r="K36" s="7">
        <v>4.0989080991442536E-6</v>
      </c>
      <c r="L36" s="7">
        <v>2.6245135194794779E-5</v>
      </c>
      <c r="M36" s="7">
        <v>2.542504130754012E-6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5.8100947791822723E-8</v>
      </c>
      <c r="U36" s="7">
        <v>2.4841041847508799E-6</v>
      </c>
      <c r="V36" s="7">
        <v>4.5608130115344457E-4</v>
      </c>
      <c r="W36" s="7">
        <v>2.3988667704067579E-6</v>
      </c>
      <c r="X36" s="7">
        <v>2.735851550186366E-6</v>
      </c>
      <c r="Y36" s="7">
        <v>0</v>
      </c>
      <c r="Z36" s="7">
        <v>0</v>
      </c>
      <c r="AA36" s="7">
        <v>4.3168194967594448E-5</v>
      </c>
      <c r="AB36" s="7">
        <v>3.4116310499899287E-5</v>
      </c>
      <c r="AC36" s="7">
        <v>6.1822791049081867E-6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1.0015741792073181E-5</v>
      </c>
      <c r="AJ36" s="7">
        <v>0</v>
      </c>
      <c r="AK36" s="7">
        <v>0</v>
      </c>
      <c r="AL36" s="7">
        <v>0</v>
      </c>
      <c r="AM36" s="7">
        <v>0</v>
      </c>
      <c r="AN36" s="7">
        <v>7.2418464157548048E-6</v>
      </c>
      <c r="AO36" s="7">
        <v>0</v>
      </c>
      <c r="AP36" s="7">
        <v>0</v>
      </c>
      <c r="AQ36" s="7">
        <v>8.3656470499290273E-9</v>
      </c>
      <c r="AR36" s="7">
        <v>0</v>
      </c>
      <c r="AS36" s="7">
        <v>1.421310781793604E-4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2.3361109036720319E-4</v>
      </c>
      <c r="BC36" s="7">
        <v>2.6706655653471831E-4</v>
      </c>
      <c r="BD36" s="7">
        <v>4.8423438302932042E-5</v>
      </c>
      <c r="BE36" s="7">
        <v>0</v>
      </c>
      <c r="BF36" s="7">
        <v>0</v>
      </c>
      <c r="BG36" s="7">
        <v>0</v>
      </c>
      <c r="BH36" s="7">
        <v>2.067138924190359E-6</v>
      </c>
      <c r="BI36" s="7">
        <v>0</v>
      </c>
      <c r="BJ36" s="7">
        <v>0</v>
      </c>
      <c r="BK36" s="7">
        <v>0</v>
      </c>
      <c r="BL36" s="7">
        <v>1.614265596658742E-5</v>
      </c>
      <c r="BM36" s="7">
        <v>0</v>
      </c>
      <c r="BN36" s="7">
        <v>1.5534776038977051E-5</v>
      </c>
      <c r="BO36" s="7">
        <v>2.886240017926974E-6</v>
      </c>
      <c r="BP36" s="7">
        <v>0</v>
      </c>
      <c r="BQ36" s="7">
        <v>9.2803877470402432E-6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1.147280515081259E-5</v>
      </c>
      <c r="BX36" s="7">
        <v>0</v>
      </c>
      <c r="BY36" s="7">
        <v>0</v>
      </c>
      <c r="BZ36" s="7">
        <v>9.4044595465150457E-7</v>
      </c>
    </row>
    <row r="37" spans="1:78">
      <c r="A37" s="4" t="s">
        <v>141</v>
      </c>
      <c r="B37" s="7">
        <v>5.3693727868986039E-4</v>
      </c>
      <c r="C37" s="7">
        <v>2.6279004334764508E-4</v>
      </c>
      <c r="D37" s="7">
        <v>1.9655952664493059E-3</v>
      </c>
      <c r="E37" s="7">
        <v>2.1611157537100299E-4</v>
      </c>
      <c r="F37" s="7">
        <v>0</v>
      </c>
      <c r="G37" s="7">
        <v>3.8155000658141899E-5</v>
      </c>
      <c r="H37" s="7">
        <v>4.4464942265687347E-3</v>
      </c>
      <c r="I37" s="7">
        <v>7.5764414418308807E-5</v>
      </c>
      <c r="J37" s="7">
        <v>0</v>
      </c>
      <c r="K37" s="7">
        <v>2.906393290465002E-4</v>
      </c>
      <c r="L37" s="7">
        <v>2.4448206611472562E-3</v>
      </c>
      <c r="M37" s="7">
        <v>1.125090852505538E-4</v>
      </c>
      <c r="N37" s="7">
        <v>8.5484887078661486E-4</v>
      </c>
      <c r="O37" s="7">
        <v>5.2182118543676973E-5</v>
      </c>
      <c r="P37" s="7">
        <v>0</v>
      </c>
      <c r="Q37" s="7">
        <v>1.100615330754984E-3</v>
      </c>
      <c r="R37" s="7">
        <v>1.8409612476685231E-4</v>
      </c>
      <c r="S37" s="7">
        <v>8.9243926280847406E-4</v>
      </c>
      <c r="T37" s="7">
        <v>1.021275475294325E-3</v>
      </c>
      <c r="U37" s="7">
        <v>6.2784577549578589E-4</v>
      </c>
      <c r="V37" s="7">
        <v>8.2382855981021495E-5</v>
      </c>
      <c r="W37" s="7">
        <v>1.0193943228665929E-6</v>
      </c>
      <c r="X37" s="7">
        <v>1.272733824618726E-4</v>
      </c>
      <c r="Y37" s="7">
        <v>1.1904815565586221E-3</v>
      </c>
      <c r="Z37" s="7">
        <v>1.3605566052721341E-4</v>
      </c>
      <c r="AA37" s="7">
        <v>3.5667483938823261E-4</v>
      </c>
      <c r="AB37" s="7">
        <v>2.9508408045445092E-4</v>
      </c>
      <c r="AC37" s="7">
        <v>5.8486480960153533E-3</v>
      </c>
      <c r="AD37" s="7">
        <v>1.4148480230127649E-5</v>
      </c>
      <c r="AE37" s="7">
        <v>0</v>
      </c>
      <c r="AF37" s="7">
        <v>8.0885851910785238E-5</v>
      </c>
      <c r="AG37" s="7">
        <v>1.969923923015753E-5</v>
      </c>
      <c r="AH37" s="7">
        <v>1.8016837195843659E-3</v>
      </c>
      <c r="AI37" s="7">
        <v>3.0892846680598978E-4</v>
      </c>
      <c r="AJ37" s="7">
        <v>1.8397424274370621E-4</v>
      </c>
      <c r="AK37" s="7">
        <v>0</v>
      </c>
      <c r="AL37" s="7">
        <v>5.7423465810483947E-4</v>
      </c>
      <c r="AM37" s="7">
        <v>3.423116344825354E-3</v>
      </c>
      <c r="AN37" s="7">
        <v>3.2511336472574199E-4</v>
      </c>
      <c r="AO37" s="7">
        <v>0</v>
      </c>
      <c r="AP37" s="7">
        <v>0</v>
      </c>
      <c r="AQ37" s="7">
        <v>2.7258262589778472E-4</v>
      </c>
      <c r="AR37" s="7">
        <v>0</v>
      </c>
      <c r="AS37" s="7">
        <v>2.7036852169516591E-4</v>
      </c>
      <c r="AT37" s="7">
        <v>9.6617178908904426E-4</v>
      </c>
      <c r="AU37" s="7">
        <v>7.4801100204438027E-5</v>
      </c>
      <c r="AV37" s="7">
        <v>1.6426078137506399E-5</v>
      </c>
      <c r="AW37" s="7">
        <v>6.6576082405532521E-6</v>
      </c>
      <c r="AX37" s="7">
        <v>2.931477278115999E-3</v>
      </c>
      <c r="AY37" s="7">
        <v>0</v>
      </c>
      <c r="AZ37" s="7">
        <v>0</v>
      </c>
      <c r="BA37" s="7">
        <v>1.739236254386039E-5</v>
      </c>
      <c r="BB37" s="7">
        <v>1.0979129494682631E-3</v>
      </c>
      <c r="BC37" s="7">
        <v>1.8528308520207441E-4</v>
      </c>
      <c r="BD37" s="7">
        <v>9.9481095580560507E-4</v>
      </c>
      <c r="BE37" s="7">
        <v>0</v>
      </c>
      <c r="BF37" s="7">
        <v>4.3490875456676488E-4</v>
      </c>
      <c r="BG37" s="7">
        <v>5.5039019087684279E-5</v>
      </c>
      <c r="BH37" s="7">
        <v>4.0386789296106558E-5</v>
      </c>
      <c r="BI37" s="7">
        <v>5.4620971122740649E-5</v>
      </c>
      <c r="BJ37" s="7">
        <v>5.01527278149923E-4</v>
      </c>
      <c r="BK37" s="7">
        <v>3.629480700399009E-5</v>
      </c>
      <c r="BL37" s="7">
        <v>0</v>
      </c>
      <c r="BM37" s="7">
        <v>0</v>
      </c>
      <c r="BN37" s="7">
        <v>1.196088625351432E-3</v>
      </c>
      <c r="BO37" s="7">
        <v>2.241703796387129E-4</v>
      </c>
      <c r="BP37" s="7">
        <v>4.4671235542676543E-4</v>
      </c>
      <c r="BQ37" s="7">
        <v>5.5959354696758283E-5</v>
      </c>
      <c r="BR37" s="7">
        <v>9.6639225038211543E-5</v>
      </c>
      <c r="BS37" s="7">
        <v>0</v>
      </c>
      <c r="BT37" s="7">
        <v>1.091526956201626E-4</v>
      </c>
      <c r="BU37" s="7">
        <v>1.0674362704443121E-3</v>
      </c>
      <c r="BV37" s="7">
        <v>4.1263675144296028E-5</v>
      </c>
      <c r="BW37" s="7">
        <v>5.0386752831974664E-4</v>
      </c>
      <c r="BX37" s="7">
        <v>2.9403410594879079E-4</v>
      </c>
      <c r="BY37" s="7">
        <v>2.264335545560997E-4</v>
      </c>
      <c r="BZ37" s="7">
        <v>2.2785860194925291E-3</v>
      </c>
    </row>
    <row r="38" spans="1:78">
      <c r="A38" s="4" t="s">
        <v>143</v>
      </c>
      <c r="B38" s="7">
        <v>5.0105826987040553E-2</v>
      </c>
      <c r="C38" s="7">
        <v>2.8324215250604721E-2</v>
      </c>
      <c r="D38" s="7">
        <v>9.8825536398122707E-2</v>
      </c>
      <c r="E38" s="7">
        <v>1.9568517178130629E-2</v>
      </c>
      <c r="F38" s="7">
        <v>1.3070559518318351E-2</v>
      </c>
      <c r="G38" s="7">
        <v>4.3482692483184787E-2</v>
      </c>
      <c r="H38" s="7">
        <v>1.1766982572953459E-2</v>
      </c>
      <c r="I38" s="7">
        <v>2.7942864578462338E-2</v>
      </c>
      <c r="J38" s="7">
        <v>4.0964918623857963E-3</v>
      </c>
      <c r="K38" s="7">
        <v>2.3912942190547889E-2</v>
      </c>
      <c r="L38" s="7">
        <v>6.6186689049271608E-2</v>
      </c>
      <c r="M38" s="7">
        <v>1.9904528143287439E-2</v>
      </c>
      <c r="N38" s="7">
        <v>2.043218132152947E-2</v>
      </c>
      <c r="O38" s="7">
        <v>2.533495394149143E-2</v>
      </c>
      <c r="P38" s="7">
        <v>3.8534131553756659E-3</v>
      </c>
      <c r="Q38" s="7">
        <v>3.4499826951440778E-2</v>
      </c>
      <c r="R38" s="7">
        <v>3.8551747623127117E-2</v>
      </c>
      <c r="S38" s="7">
        <v>0.1203037223845228</v>
      </c>
      <c r="T38" s="7">
        <v>4.3458608064356648E-2</v>
      </c>
      <c r="U38" s="7">
        <v>6.1182909288835477E-2</v>
      </c>
      <c r="V38" s="7">
        <v>7.9098042166718327E-2</v>
      </c>
      <c r="W38" s="7">
        <v>8.597379513406106E-2</v>
      </c>
      <c r="X38" s="7">
        <v>8.2820962592509817E-2</v>
      </c>
      <c r="Y38" s="7">
        <v>4.2651331316548503E-2</v>
      </c>
      <c r="Z38" s="7">
        <v>5.0188752788667003E-2</v>
      </c>
      <c r="AA38" s="7">
        <v>6.2395478156716998E-2</v>
      </c>
      <c r="AB38" s="7">
        <v>4.1401513771428908E-2</v>
      </c>
      <c r="AC38" s="7">
        <v>0.16242697916827789</v>
      </c>
      <c r="AD38" s="7">
        <v>2.7708473711194289E-3</v>
      </c>
      <c r="AE38" s="7">
        <v>0.14659172438036269</v>
      </c>
      <c r="AF38" s="7">
        <v>2.608979166084827E-2</v>
      </c>
      <c r="AG38" s="7">
        <v>9.8541720347063034E-3</v>
      </c>
      <c r="AH38" s="7">
        <v>2.4397949953160341E-2</v>
      </c>
      <c r="AI38" s="7">
        <v>2.4599079524265242E-2</v>
      </c>
      <c r="AJ38" s="7">
        <v>6.4633511052820392E-2</v>
      </c>
      <c r="AK38" s="7">
        <v>5.8270971657076592E-2</v>
      </c>
      <c r="AL38" s="7">
        <v>0</v>
      </c>
      <c r="AM38" s="7">
        <v>0.19913877882987169</v>
      </c>
      <c r="AN38" s="7">
        <v>3.7040092240046779E-3</v>
      </c>
      <c r="AO38" s="7">
        <v>1.303757667430341E-2</v>
      </c>
      <c r="AP38" s="7">
        <v>5.5895851370414804E-4</v>
      </c>
      <c r="AQ38" s="7">
        <v>6.7005330603098984E-3</v>
      </c>
      <c r="AR38" s="7">
        <v>9.4786192604387812E-5</v>
      </c>
      <c r="AS38" s="7">
        <v>5.0187474301747532E-2</v>
      </c>
      <c r="AT38" s="7">
        <v>2.093664569640177E-2</v>
      </c>
      <c r="AU38" s="7">
        <v>9.2036173535569102E-2</v>
      </c>
      <c r="AV38" s="7">
        <v>0.11532038826573809</v>
      </c>
      <c r="AW38" s="7">
        <v>3.2090281707431771E-2</v>
      </c>
      <c r="AX38" s="7">
        <v>4.639130711801006E-2</v>
      </c>
      <c r="AY38" s="7">
        <v>2.46049278491039E-3</v>
      </c>
      <c r="AZ38" s="7">
        <v>8.2681872772628791E-3</v>
      </c>
      <c r="BA38" s="7">
        <v>1.482737757185416E-2</v>
      </c>
      <c r="BB38" s="7">
        <v>3.517887115262365E-2</v>
      </c>
      <c r="BC38" s="7">
        <v>3.969029485282282E-2</v>
      </c>
      <c r="BD38" s="7">
        <v>5.1357973267941177E-2</v>
      </c>
      <c r="BE38" s="7">
        <v>1.133299316521025E-2</v>
      </c>
      <c r="BF38" s="7">
        <v>5.2994932421356222E-2</v>
      </c>
      <c r="BG38" s="7">
        <v>7.0601126278408768E-3</v>
      </c>
      <c r="BH38" s="7">
        <v>0.10758938276821101</v>
      </c>
      <c r="BI38" s="7">
        <v>4.8039676375208597E-2</v>
      </c>
      <c r="BJ38" s="7">
        <v>7.1425816264904005E-2</v>
      </c>
      <c r="BK38" s="7">
        <v>4.6168467256083479E-2</v>
      </c>
      <c r="BL38" s="7">
        <v>7.1068166711695274E-2</v>
      </c>
      <c r="BM38" s="7">
        <v>3.9637770946149703E-3</v>
      </c>
      <c r="BN38" s="7">
        <v>1.0352268372758249E-2</v>
      </c>
      <c r="BO38" s="7">
        <v>2.9964728780712171E-2</v>
      </c>
      <c r="BP38" s="7">
        <v>3.395221408892822E-2</v>
      </c>
      <c r="BQ38" s="7">
        <v>2.9039441933730141E-2</v>
      </c>
      <c r="BR38" s="7">
        <v>9.0721926124364156E-3</v>
      </c>
      <c r="BS38" s="7">
        <v>0.27163572884857079</v>
      </c>
      <c r="BT38" s="7">
        <v>5.2326073747949932E-2</v>
      </c>
      <c r="BU38" s="7">
        <v>9.087136402951685E-3</v>
      </c>
      <c r="BV38" s="7">
        <v>3.8211730997994797E-2</v>
      </c>
      <c r="BW38" s="7">
        <v>2.598096832625061E-2</v>
      </c>
      <c r="BX38" s="7">
        <v>6.3741432542012413E-3</v>
      </c>
      <c r="BY38" s="7">
        <v>4.7274903899314012E-2</v>
      </c>
      <c r="BZ38" s="7">
        <v>3.9985712370185118E-2</v>
      </c>
    </row>
    <row r="39" spans="1:78">
      <c r="A39" s="4" t="s">
        <v>145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2.225985606750959E-5</v>
      </c>
      <c r="L39" s="7">
        <v>0</v>
      </c>
      <c r="M39" s="7">
        <v>7.9340801775853597E-7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8.0064383001039222E-7</v>
      </c>
      <c r="U39" s="7">
        <v>1.45241599746568E-6</v>
      </c>
      <c r="V39" s="7">
        <v>0</v>
      </c>
      <c r="W39" s="7">
        <v>1.7985574121980871E-5</v>
      </c>
      <c r="X39" s="7">
        <v>8.1527235011710169E-7</v>
      </c>
      <c r="Y39" s="7">
        <v>0</v>
      </c>
      <c r="Z39" s="7">
        <v>0</v>
      </c>
      <c r="AA39" s="7">
        <v>1.283562885267777E-6</v>
      </c>
      <c r="AB39" s="7">
        <v>1.3602208641457059E-4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3.7672496894643149E-7</v>
      </c>
      <c r="AI39" s="7">
        <v>1.462972679661692E-5</v>
      </c>
      <c r="AJ39" s="7">
        <v>0</v>
      </c>
      <c r="AK39" s="7">
        <v>5.4785754794387472E-5</v>
      </c>
      <c r="AL39" s="7">
        <v>6.1334195496024616E-6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7.9636667894074171E-6</v>
      </c>
      <c r="BC39" s="7">
        <v>0</v>
      </c>
      <c r="BD39" s="7">
        <v>0</v>
      </c>
      <c r="BE39" s="7">
        <v>0</v>
      </c>
      <c r="BF39" s="7">
        <v>0</v>
      </c>
      <c r="BG39" s="7">
        <v>6.4683690106993229E-6</v>
      </c>
      <c r="BH39" s="7">
        <v>3.640910204765586E-6</v>
      </c>
      <c r="BI39" s="7">
        <v>0</v>
      </c>
      <c r="BJ39" s="7">
        <v>0</v>
      </c>
      <c r="BK39" s="7">
        <v>0</v>
      </c>
      <c r="BL39" s="7">
        <v>1.3063875407791169E-4</v>
      </c>
      <c r="BM39" s="7">
        <v>0</v>
      </c>
      <c r="BN39" s="7">
        <v>3.4588177340343251E-6</v>
      </c>
      <c r="BO39" s="7">
        <v>1.8257032033072371E-6</v>
      </c>
      <c r="BP39" s="7">
        <v>0</v>
      </c>
      <c r="BQ39" s="7">
        <v>1.4572979689438979E-5</v>
      </c>
      <c r="BR39" s="7">
        <v>9.00729881466302E-7</v>
      </c>
      <c r="BS39" s="7">
        <v>0</v>
      </c>
      <c r="BT39" s="7">
        <v>9.1329020251087917E-7</v>
      </c>
      <c r="BU39" s="7">
        <v>0</v>
      </c>
      <c r="BV39" s="7">
        <v>0</v>
      </c>
      <c r="BW39" s="7">
        <v>8.2660463734340057E-5</v>
      </c>
      <c r="BX39" s="7">
        <v>0</v>
      </c>
      <c r="BY39" s="7">
        <v>1.121188329127059E-6</v>
      </c>
      <c r="BZ39" s="7">
        <v>9.2985103528625266E-5</v>
      </c>
    </row>
    <row r="40" spans="1:78">
      <c r="A40" s="4" t="s">
        <v>147</v>
      </c>
      <c r="B40" s="7">
        <v>2.7735000135421111E-2</v>
      </c>
      <c r="C40" s="7">
        <v>2.5040635157996882E-2</v>
      </c>
      <c r="D40" s="7">
        <v>7.9570378459888156E-3</v>
      </c>
      <c r="E40" s="7">
        <v>1.302756943794767E-2</v>
      </c>
      <c r="F40" s="7">
        <v>4.7488880298474617E-2</v>
      </c>
      <c r="G40" s="7">
        <v>0.16265304307729239</v>
      </c>
      <c r="H40" s="7">
        <v>4.787700324426671E-4</v>
      </c>
      <c r="I40" s="7">
        <v>6.8189364775059824E-2</v>
      </c>
      <c r="J40" s="7">
        <v>3.9176693287368537E-2</v>
      </c>
      <c r="K40" s="7">
        <v>4.4073026913691027E-2</v>
      </c>
      <c r="L40" s="7">
        <v>4.5245484007157742E-2</v>
      </c>
      <c r="M40" s="7">
        <v>7.7287512791064878E-4</v>
      </c>
      <c r="N40" s="7">
        <v>0.2383580764873626</v>
      </c>
      <c r="O40" s="7">
        <v>6.153480835986172E-3</v>
      </c>
      <c r="P40" s="7">
        <v>1.4344651821068051E-4</v>
      </c>
      <c r="Q40" s="7">
        <v>6.6636478003865582E-3</v>
      </c>
      <c r="R40" s="7">
        <v>1.3534177749529841E-2</v>
      </c>
      <c r="S40" s="7">
        <v>9.5501912271489303E-4</v>
      </c>
      <c r="T40" s="7">
        <v>6.2384790688877458E-2</v>
      </c>
      <c r="U40" s="7">
        <v>2.2061814352075972E-2</v>
      </c>
      <c r="V40" s="7">
        <v>4.1003052293167022E-3</v>
      </c>
      <c r="W40" s="7">
        <v>5.5827416305911336E-3</v>
      </c>
      <c r="X40" s="7">
        <v>3.3747811009100043E-2</v>
      </c>
      <c r="Y40" s="7">
        <v>3.445689594558593E-2</v>
      </c>
      <c r="Z40" s="7">
        <v>1.6739804204918819E-2</v>
      </c>
      <c r="AA40" s="7">
        <v>3.0103358534393679E-2</v>
      </c>
      <c r="AB40" s="7">
        <v>2.7965114778457891E-2</v>
      </c>
      <c r="AC40" s="7">
        <v>2.4142991116402741E-2</v>
      </c>
      <c r="AD40" s="7">
        <v>7.8413020939906881E-3</v>
      </c>
      <c r="AE40" s="7">
        <v>4.4503015102118028E-4</v>
      </c>
      <c r="AF40" s="7">
        <v>3.9413482388988313E-2</v>
      </c>
      <c r="AG40" s="7">
        <v>7.9060824953084516E-2</v>
      </c>
      <c r="AH40" s="7">
        <v>5.7341790717592607E-2</v>
      </c>
      <c r="AI40" s="7">
        <v>1.7116342288000921E-2</v>
      </c>
      <c r="AJ40" s="7">
        <v>1.413145037172911E-2</v>
      </c>
      <c r="AK40" s="7">
        <v>1.9659657393524429E-2</v>
      </c>
      <c r="AL40" s="7">
        <v>8.6756926159886165E-3</v>
      </c>
      <c r="AM40" s="7">
        <v>2.590649338436752E-2</v>
      </c>
      <c r="AN40" s="7">
        <v>0</v>
      </c>
      <c r="AO40" s="7">
        <v>1.298150359053055E-3</v>
      </c>
      <c r="AP40" s="7">
        <v>8.2998484970337513E-3</v>
      </c>
      <c r="AQ40" s="7">
        <v>5.9812054826886903E-2</v>
      </c>
      <c r="AR40" s="7">
        <v>2.2946501288127269E-4</v>
      </c>
      <c r="AS40" s="7">
        <v>1.801638975348344E-2</v>
      </c>
      <c r="AT40" s="7">
        <v>0.602422194959775</v>
      </c>
      <c r="AU40" s="7">
        <v>1.465507349479822E-3</v>
      </c>
      <c r="AV40" s="7">
        <v>3.5528102536704891E-3</v>
      </c>
      <c r="AW40" s="7">
        <v>6.1130194590095763E-2</v>
      </c>
      <c r="AX40" s="7">
        <v>6.9486474769594911E-4</v>
      </c>
      <c r="AY40" s="7">
        <v>5.6329823255974118E-2</v>
      </c>
      <c r="AZ40" s="7">
        <v>6.5588414768157008E-2</v>
      </c>
      <c r="BA40" s="7">
        <v>3.1008779541986859E-3</v>
      </c>
      <c r="BB40" s="7">
        <v>5.9066753020265997E-2</v>
      </c>
      <c r="BC40" s="7">
        <v>9.2183890660645796E-3</v>
      </c>
      <c r="BD40" s="7">
        <v>3.2086704684611091E-2</v>
      </c>
      <c r="BE40" s="7">
        <v>1.1664162203449679E-2</v>
      </c>
      <c r="BF40" s="7">
        <v>2.056348771567542E-2</v>
      </c>
      <c r="BG40" s="7">
        <v>5.5670875275066679E-2</v>
      </c>
      <c r="BH40" s="7">
        <v>1.013150619884761E-2</v>
      </c>
      <c r="BI40" s="7">
        <v>1.261052246733161E-2</v>
      </c>
      <c r="BJ40" s="7">
        <v>7.6199934351308344E-3</v>
      </c>
      <c r="BK40" s="7">
        <v>6.754853465415463E-3</v>
      </c>
      <c r="BL40" s="7">
        <v>2.934578510796795E-2</v>
      </c>
      <c r="BM40" s="7">
        <v>2.6668500781989739E-3</v>
      </c>
      <c r="BN40" s="7">
        <v>9.1971246648174326E-2</v>
      </c>
      <c r="BO40" s="7">
        <v>6.4851119514114427E-3</v>
      </c>
      <c r="BP40" s="7">
        <v>2.422237755499303E-2</v>
      </c>
      <c r="BQ40" s="7">
        <v>7.4461954363857288E-3</v>
      </c>
      <c r="BR40" s="7">
        <v>0.14099091262818389</v>
      </c>
      <c r="BS40" s="7">
        <v>3.8411669574383881E-3</v>
      </c>
      <c r="BT40" s="7">
        <v>3.2659066854553283E-2</v>
      </c>
      <c r="BU40" s="7">
        <v>0.26545976964220003</v>
      </c>
      <c r="BV40" s="7">
        <v>2.0512145970166609E-3</v>
      </c>
      <c r="BW40" s="7">
        <v>8.4121329031270842E-2</v>
      </c>
      <c r="BX40" s="7">
        <v>3.5720021893172298E-2</v>
      </c>
      <c r="BY40" s="7">
        <v>1.7500361026690638E-2</v>
      </c>
      <c r="BZ40" s="7">
        <v>1.7456079646240151E-2</v>
      </c>
    </row>
    <row r="41" spans="1:78">
      <c r="A41" s="4" t="s">
        <v>149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9.7857094367648414E-3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2.735159765009675E-5</v>
      </c>
      <c r="Y41" s="7">
        <v>0</v>
      </c>
      <c r="Z41" s="7">
        <v>0</v>
      </c>
      <c r="AA41" s="7">
        <v>1.0118765912728481E-3</v>
      </c>
      <c r="AB41" s="7">
        <v>1.714807005938349E-6</v>
      </c>
      <c r="AC41" s="7">
        <v>0</v>
      </c>
      <c r="AD41" s="7">
        <v>0</v>
      </c>
      <c r="AE41" s="7">
        <v>0</v>
      </c>
      <c r="AF41" s="7">
        <v>1.11140525860542E-7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5.2970243761830986E-6</v>
      </c>
      <c r="AM41" s="7">
        <v>0</v>
      </c>
      <c r="AN41" s="7">
        <v>0</v>
      </c>
      <c r="AO41" s="7">
        <v>0</v>
      </c>
      <c r="AP41" s="7">
        <v>0</v>
      </c>
      <c r="AQ41" s="7">
        <v>7.0090556364270229E-9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1.433467483955227E-4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6.8544805045483636E-3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1.9078723576521539E-7</v>
      </c>
      <c r="BU41" s="7">
        <v>0</v>
      </c>
      <c r="BV41" s="7">
        <v>0</v>
      </c>
      <c r="BW41" s="7">
        <v>1.2518302187017891E-4</v>
      </c>
      <c r="BX41" s="7">
        <v>0</v>
      </c>
      <c r="BY41" s="7">
        <v>0</v>
      </c>
      <c r="BZ41" s="7">
        <v>2.9905428355059759E-4</v>
      </c>
    </row>
    <row r="42" spans="1:78">
      <c r="A42" s="4" t="s">
        <v>151</v>
      </c>
      <c r="B42" s="7">
        <v>3.7536010608367199E-7</v>
      </c>
      <c r="C42" s="7">
        <v>8.3739379776334616E-7</v>
      </c>
      <c r="D42" s="7">
        <v>3.4218417670586223E-4</v>
      </c>
      <c r="E42" s="7">
        <v>1.5208692279948351E-8</v>
      </c>
      <c r="F42" s="7">
        <v>0</v>
      </c>
      <c r="G42" s="7">
        <v>0</v>
      </c>
      <c r="H42" s="7">
        <v>0</v>
      </c>
      <c r="I42" s="7">
        <v>2.1881926462200891E-6</v>
      </c>
      <c r="J42" s="7">
        <v>0</v>
      </c>
      <c r="K42" s="7">
        <v>8.8934776533680195E-6</v>
      </c>
      <c r="L42" s="7">
        <v>0</v>
      </c>
      <c r="M42" s="7">
        <v>1.7716539473465331E-7</v>
      </c>
      <c r="N42" s="7">
        <v>1.619661657113804E-2</v>
      </c>
      <c r="O42" s="7">
        <v>0</v>
      </c>
      <c r="P42" s="7">
        <v>0</v>
      </c>
      <c r="Q42" s="7">
        <v>0</v>
      </c>
      <c r="R42" s="7">
        <v>7.8118272436746888E-7</v>
      </c>
      <c r="S42" s="7">
        <v>0</v>
      </c>
      <c r="T42" s="7">
        <v>8.6053249927273248E-6</v>
      </c>
      <c r="U42" s="7">
        <v>3.4584452837413949E-5</v>
      </c>
      <c r="V42" s="7">
        <v>1.040671042734809E-6</v>
      </c>
      <c r="W42" s="7">
        <v>0</v>
      </c>
      <c r="X42" s="7">
        <v>0</v>
      </c>
      <c r="Y42" s="7">
        <v>1.0213829168150229E-5</v>
      </c>
      <c r="Z42" s="7">
        <v>5.0308318758632905E-4</v>
      </c>
      <c r="AA42" s="7">
        <v>1.893993619261024E-5</v>
      </c>
      <c r="AB42" s="7">
        <v>4.3155173234901253E-5</v>
      </c>
      <c r="AC42" s="7">
        <v>2.6157021859049681E-4</v>
      </c>
      <c r="AD42" s="7">
        <v>2.1680076412276129E-2</v>
      </c>
      <c r="AE42" s="7">
        <v>0</v>
      </c>
      <c r="AF42" s="7">
        <v>6.6198186856211174E-4</v>
      </c>
      <c r="AG42" s="7">
        <v>1.5503170836924981E-3</v>
      </c>
      <c r="AH42" s="7">
        <v>2.336345473440297E-3</v>
      </c>
      <c r="AI42" s="7">
        <v>1.221823722723153E-5</v>
      </c>
      <c r="AJ42" s="7">
        <v>4.8316435869078202E-6</v>
      </c>
      <c r="AK42" s="7">
        <v>1.6857155321349991E-5</v>
      </c>
      <c r="AL42" s="7">
        <v>0</v>
      </c>
      <c r="AM42" s="7">
        <v>0</v>
      </c>
      <c r="AN42" s="7">
        <v>3.402525816138605E-3</v>
      </c>
      <c r="AO42" s="7">
        <v>0</v>
      </c>
      <c r="AP42" s="7">
        <v>0</v>
      </c>
      <c r="AQ42" s="7">
        <v>4.7945512910549718E-4</v>
      </c>
      <c r="AR42" s="7">
        <v>0</v>
      </c>
      <c r="AS42" s="7">
        <v>4.1922232632463338E-5</v>
      </c>
      <c r="AT42" s="7">
        <v>0</v>
      </c>
      <c r="AU42" s="7">
        <v>1.2061787301666579E-5</v>
      </c>
      <c r="AV42" s="7">
        <v>0</v>
      </c>
      <c r="AW42" s="7">
        <v>8.255236400310904E-4</v>
      </c>
      <c r="AX42" s="7">
        <v>0</v>
      </c>
      <c r="AY42" s="7">
        <v>0</v>
      </c>
      <c r="AZ42" s="7">
        <v>3.5764187959846901E-3</v>
      </c>
      <c r="BA42" s="7">
        <v>0</v>
      </c>
      <c r="BB42" s="7">
        <v>7.2990826856857158E-5</v>
      </c>
      <c r="BC42" s="7">
        <v>0</v>
      </c>
      <c r="BD42" s="7">
        <v>2.1384089029802509E-7</v>
      </c>
      <c r="BE42" s="7">
        <v>0</v>
      </c>
      <c r="BF42" s="7">
        <v>0</v>
      </c>
      <c r="BG42" s="7">
        <v>2.5047847344609471E-2</v>
      </c>
      <c r="BH42" s="7">
        <v>8.2942966172978791E-8</v>
      </c>
      <c r="BI42" s="7">
        <v>0</v>
      </c>
      <c r="BJ42" s="7">
        <v>4.77798457967066E-4</v>
      </c>
      <c r="BK42" s="7">
        <v>0</v>
      </c>
      <c r="BL42" s="7">
        <v>0</v>
      </c>
      <c r="BM42" s="7">
        <v>0</v>
      </c>
      <c r="BN42" s="7">
        <v>6.9896600182043347E-3</v>
      </c>
      <c r="BO42" s="7">
        <v>3.4241826607619438E-4</v>
      </c>
      <c r="BP42" s="7">
        <v>2.4588173837784781E-8</v>
      </c>
      <c r="BQ42" s="7">
        <v>1.6621580794378489E-6</v>
      </c>
      <c r="BR42" s="7">
        <v>1.6583787090926672E-2</v>
      </c>
      <c r="BS42" s="7">
        <v>0</v>
      </c>
      <c r="BT42" s="7">
        <v>6.8453050026034078E-4</v>
      </c>
      <c r="BU42" s="7">
        <v>1.103390156019169E-3</v>
      </c>
      <c r="BV42" s="7">
        <v>9.9582678454351439E-6</v>
      </c>
      <c r="BW42" s="7">
        <v>1.353420633315849E-4</v>
      </c>
      <c r="BX42" s="7">
        <v>8.0553927142604127E-3</v>
      </c>
      <c r="BY42" s="7">
        <v>4.4284723188390608E-7</v>
      </c>
      <c r="BZ42" s="7">
        <v>8.6799637779860657E-7</v>
      </c>
    </row>
    <row r="43" spans="1:78">
      <c r="A43" s="4" t="s">
        <v>153</v>
      </c>
      <c r="B43" s="7">
        <v>3.8294815686708969E-3</v>
      </c>
      <c r="C43" s="7">
        <v>7.0945582035502946E-3</v>
      </c>
      <c r="D43" s="7">
        <v>5.3988996946853132E-3</v>
      </c>
      <c r="E43" s="7">
        <v>6.373182684236897E-3</v>
      </c>
      <c r="F43" s="7">
        <v>3.350059110539666E-2</v>
      </c>
      <c r="G43" s="7">
        <v>1.0367513708889619E-3</v>
      </c>
      <c r="H43" s="7">
        <v>0</v>
      </c>
      <c r="I43" s="7">
        <v>1.4197973982863651E-2</v>
      </c>
      <c r="J43" s="7">
        <v>2.2594207301599022E-2</v>
      </c>
      <c r="K43" s="7">
        <v>2.979675602597728E-2</v>
      </c>
      <c r="L43" s="7">
        <v>9.4701237600092764E-3</v>
      </c>
      <c r="M43" s="7">
        <v>9.0009739892313724E-4</v>
      </c>
      <c r="N43" s="7">
        <v>4.2800187130586059E-2</v>
      </c>
      <c r="O43" s="7">
        <v>1.5733762179467391E-2</v>
      </c>
      <c r="P43" s="7">
        <v>4.7252880814245861E-4</v>
      </c>
      <c r="Q43" s="7">
        <v>8.8160036620384113E-3</v>
      </c>
      <c r="R43" s="7">
        <v>6.4458255264119883E-3</v>
      </c>
      <c r="S43" s="7">
        <v>5.501894339246409E-3</v>
      </c>
      <c r="T43" s="7">
        <v>7.6302481349100948E-2</v>
      </c>
      <c r="U43" s="7">
        <v>3.6221124173219888E-3</v>
      </c>
      <c r="V43" s="7">
        <v>2.559088035544011E-3</v>
      </c>
      <c r="W43" s="7">
        <v>4.7614740220069248E-3</v>
      </c>
      <c r="X43" s="7">
        <v>6.25101090088579E-3</v>
      </c>
      <c r="Y43" s="7">
        <v>2.0994760703399911E-3</v>
      </c>
      <c r="Z43" s="7">
        <v>3.1671418369570059E-3</v>
      </c>
      <c r="AA43" s="7">
        <v>5.8439733399423544E-3</v>
      </c>
      <c r="AB43" s="7">
        <v>7.8568939503352014E-3</v>
      </c>
      <c r="AC43" s="7">
        <v>1.2297129496198281E-3</v>
      </c>
      <c r="AD43" s="7">
        <v>2.4789432902546432E-3</v>
      </c>
      <c r="AE43" s="7">
        <v>1.7117286946452911E-2</v>
      </c>
      <c r="AF43" s="7">
        <v>8.2996299356351069E-3</v>
      </c>
      <c r="AG43" s="7">
        <v>1.259382525203586E-2</v>
      </c>
      <c r="AH43" s="7">
        <v>5.455956892970263E-2</v>
      </c>
      <c r="AI43" s="7">
        <v>3.320635266418116E-3</v>
      </c>
      <c r="AJ43" s="7">
        <v>1.0056888020804299E-2</v>
      </c>
      <c r="AK43" s="7">
        <v>1.3966153183738471E-2</v>
      </c>
      <c r="AL43" s="7">
        <v>4.8133529842604864E-3</v>
      </c>
      <c r="AM43" s="7">
        <v>9.2709194375990463E-3</v>
      </c>
      <c r="AN43" s="7">
        <v>3.3491096111219927E-2</v>
      </c>
      <c r="AO43" s="7">
        <v>1.125087944827625E-4</v>
      </c>
      <c r="AP43" s="7">
        <v>1.879780872569738E-3</v>
      </c>
      <c r="AQ43" s="7">
        <v>0</v>
      </c>
      <c r="AR43" s="7">
        <v>2.288638297931791E-5</v>
      </c>
      <c r="AS43" s="7">
        <v>1.535654590645854E-4</v>
      </c>
      <c r="AT43" s="7">
        <v>1.095825030647615E-4</v>
      </c>
      <c r="AU43" s="7">
        <v>3.1315644098053519E-3</v>
      </c>
      <c r="AV43" s="7">
        <v>3.2264631161117029E-3</v>
      </c>
      <c r="AW43" s="7">
        <v>5.8145053732995562E-2</v>
      </c>
      <c r="AX43" s="7">
        <v>2.4848627779144642E-3</v>
      </c>
      <c r="AY43" s="7">
        <v>1.4809002655956621E-2</v>
      </c>
      <c r="AZ43" s="7">
        <v>1.9141749946921489E-2</v>
      </c>
      <c r="BA43" s="7">
        <v>4.7642701278412231E-4</v>
      </c>
      <c r="BB43" s="7">
        <v>4.4657865805964696E-3</v>
      </c>
      <c r="BC43" s="7">
        <v>1.6261771216417299E-2</v>
      </c>
      <c r="BD43" s="7">
        <v>8.187204100529373E-3</v>
      </c>
      <c r="BE43" s="7">
        <v>8.8693273203799151E-3</v>
      </c>
      <c r="BF43" s="7">
        <v>4.7153530238484686E-3</v>
      </c>
      <c r="BG43" s="7">
        <v>1.8614019713839771E-2</v>
      </c>
      <c r="BH43" s="7">
        <v>4.5960337825106182E-2</v>
      </c>
      <c r="BI43" s="7">
        <v>1.5147389482001919E-4</v>
      </c>
      <c r="BJ43" s="7">
        <v>4.7931802845054394E-3</v>
      </c>
      <c r="BK43" s="7">
        <v>9.0543376824433509E-3</v>
      </c>
      <c r="BL43" s="7">
        <v>4.850130053747758E-2</v>
      </c>
      <c r="BM43" s="7">
        <v>1.063390271129779E-3</v>
      </c>
      <c r="BN43" s="7">
        <v>9.5269002521490669E-3</v>
      </c>
      <c r="BO43" s="7">
        <v>0.145361273147183</v>
      </c>
      <c r="BP43" s="7">
        <v>1.073399235262723E-3</v>
      </c>
      <c r="BQ43" s="7">
        <v>9.0483782326868465E-3</v>
      </c>
      <c r="BR43" s="7">
        <v>1.6062909866756219E-2</v>
      </c>
      <c r="BS43" s="7">
        <v>1.2597255590455531E-3</v>
      </c>
      <c r="BT43" s="7">
        <v>1.555462784294403E-2</v>
      </c>
      <c r="BU43" s="7">
        <v>7.0742740827307573E-3</v>
      </c>
      <c r="BV43" s="7">
        <v>2.6938466119695338E-3</v>
      </c>
      <c r="BW43" s="7">
        <v>3.4717444887905208E-2</v>
      </c>
      <c r="BX43" s="7">
        <v>3.005795802159027E-2</v>
      </c>
      <c r="BY43" s="7">
        <v>4.2194930190029298E-3</v>
      </c>
      <c r="BZ43" s="7">
        <v>1.9011296031717341E-2</v>
      </c>
    </row>
    <row r="44" spans="1:78">
      <c r="A44" s="4" t="s">
        <v>155</v>
      </c>
      <c r="B44" s="7">
        <v>0</v>
      </c>
      <c r="C44" s="7">
        <v>1.6083062604234949E-5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2.866389591594152E-8</v>
      </c>
      <c r="L44" s="7">
        <v>0</v>
      </c>
      <c r="M44" s="7">
        <v>1.9599793669463609E-7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8.3107903971892446E-7</v>
      </c>
      <c r="BR44" s="7">
        <v>1.919423568683638E-5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</row>
    <row r="45" spans="1:78">
      <c r="A45" s="4" t="s">
        <v>157</v>
      </c>
      <c r="B45" s="7">
        <v>6.9788258566528109E-5</v>
      </c>
      <c r="C45" s="7">
        <v>2.70408131500614E-5</v>
      </c>
      <c r="D45" s="7">
        <v>8.3523077248633562E-5</v>
      </c>
      <c r="E45" s="7">
        <v>1.4121659787892219E-5</v>
      </c>
      <c r="F45" s="7">
        <v>0</v>
      </c>
      <c r="G45" s="7">
        <v>2.801176306837125E-5</v>
      </c>
      <c r="H45" s="7">
        <v>3.117225166541214E-2</v>
      </c>
      <c r="I45" s="7">
        <v>1.220092995973878E-5</v>
      </c>
      <c r="J45" s="7">
        <v>0</v>
      </c>
      <c r="K45" s="7">
        <v>1.741432762073037E-5</v>
      </c>
      <c r="L45" s="7">
        <v>1.2204698781268099E-4</v>
      </c>
      <c r="M45" s="7">
        <v>4.571805640790445E-8</v>
      </c>
      <c r="N45" s="7">
        <v>5.1589052736051506E-6</v>
      </c>
      <c r="O45" s="7">
        <v>6.160511332817561E-5</v>
      </c>
      <c r="P45" s="7">
        <v>0</v>
      </c>
      <c r="Q45" s="7">
        <v>0</v>
      </c>
      <c r="R45" s="7">
        <v>0</v>
      </c>
      <c r="S45" s="7">
        <v>1.1963981340548709E-5</v>
      </c>
      <c r="T45" s="7">
        <v>1.1229253181079571E-4</v>
      </c>
      <c r="U45" s="7">
        <v>2.0364605704807759E-4</v>
      </c>
      <c r="V45" s="7">
        <v>7.8802141620258257E-4</v>
      </c>
      <c r="W45" s="7">
        <v>1.4047667805626451E-5</v>
      </c>
      <c r="X45" s="7">
        <v>8.931751578086184E-6</v>
      </c>
      <c r="Y45" s="7">
        <v>6.4181736156031779E-3</v>
      </c>
      <c r="Z45" s="7">
        <v>1.1003785603386339E-5</v>
      </c>
      <c r="AA45" s="7">
        <v>4.4861360395505468E-5</v>
      </c>
      <c r="AB45" s="7">
        <v>1.2719958085800119E-3</v>
      </c>
      <c r="AC45" s="7">
        <v>1.4978659808007429E-4</v>
      </c>
      <c r="AD45" s="7">
        <v>2.6120778695174108E-4</v>
      </c>
      <c r="AE45" s="7">
        <v>1.085140879252983E-3</v>
      </c>
      <c r="AF45" s="7">
        <v>2.2460500011682789E-4</v>
      </c>
      <c r="AG45" s="7">
        <v>2.2222635606652E-7</v>
      </c>
      <c r="AH45" s="7">
        <v>3.7169425992312518E-6</v>
      </c>
      <c r="AI45" s="7">
        <v>1.9541138567880499E-5</v>
      </c>
      <c r="AJ45" s="7">
        <v>1.2320291594701801E-3</v>
      </c>
      <c r="AK45" s="7">
        <v>3.3714310642699982E-5</v>
      </c>
      <c r="AL45" s="7">
        <v>8.7727579060815894E-5</v>
      </c>
      <c r="AM45" s="7">
        <v>0</v>
      </c>
      <c r="AN45" s="7">
        <v>1.086999661594974E-5</v>
      </c>
      <c r="AO45" s="7">
        <v>2.5294504486023588E-2</v>
      </c>
      <c r="AP45" s="7">
        <v>0</v>
      </c>
      <c r="AQ45" s="7">
        <v>3.0658965945145302E-7</v>
      </c>
      <c r="AR45" s="7">
        <v>0</v>
      </c>
      <c r="AS45" s="7">
        <v>0</v>
      </c>
      <c r="AT45" s="7">
        <v>6.9346200991068496E-6</v>
      </c>
      <c r="AU45" s="7">
        <v>0.1134179893478959</v>
      </c>
      <c r="AV45" s="7">
        <v>0</v>
      </c>
      <c r="AW45" s="7">
        <v>0</v>
      </c>
      <c r="AX45" s="7">
        <v>8.4106446548163583E-5</v>
      </c>
      <c r="AY45" s="7">
        <v>0</v>
      </c>
      <c r="AZ45" s="7">
        <v>7.6702539197027785E-6</v>
      </c>
      <c r="BA45" s="7">
        <v>3.5708593692589411E-4</v>
      </c>
      <c r="BB45" s="7">
        <v>2.210107070667329E-3</v>
      </c>
      <c r="BC45" s="7">
        <v>2.217142767683051E-4</v>
      </c>
      <c r="BD45" s="7">
        <v>1.526573790742153E-3</v>
      </c>
      <c r="BE45" s="7">
        <v>2.4918094444479998E-4</v>
      </c>
      <c r="BF45" s="7">
        <v>7.4320980231635926E-5</v>
      </c>
      <c r="BG45" s="7">
        <v>0</v>
      </c>
      <c r="BH45" s="7">
        <v>8.8460103474622795E-5</v>
      </c>
      <c r="BI45" s="7">
        <v>5.952018863011319E-5</v>
      </c>
      <c r="BJ45" s="7">
        <v>1.580638835677432E-4</v>
      </c>
      <c r="BK45" s="7">
        <v>9.0631020893172706E-3</v>
      </c>
      <c r="BL45" s="7">
        <v>0</v>
      </c>
      <c r="BM45" s="7">
        <v>0</v>
      </c>
      <c r="BN45" s="7">
        <v>2.4356541270717288E-6</v>
      </c>
      <c r="BO45" s="7">
        <v>4.9767307647220682E-3</v>
      </c>
      <c r="BP45" s="7">
        <v>5.4636579902068636E-4</v>
      </c>
      <c r="BQ45" s="7">
        <v>2.9932713890264608E-3</v>
      </c>
      <c r="BR45" s="7">
        <v>5.4571828128646834E-6</v>
      </c>
      <c r="BS45" s="7">
        <v>0</v>
      </c>
      <c r="BT45" s="7">
        <v>4.0456018589153573E-5</v>
      </c>
      <c r="BU45" s="7">
        <v>6.8352910829677358E-7</v>
      </c>
      <c r="BV45" s="7">
        <v>6.3051236254379052E-4</v>
      </c>
      <c r="BW45" s="7">
        <v>2.539621359082926E-5</v>
      </c>
      <c r="BX45" s="7">
        <v>9.2720588751398118E-5</v>
      </c>
      <c r="BY45" s="7">
        <v>3.0470543485066451E-5</v>
      </c>
      <c r="BZ45" s="7">
        <v>2.7472376453570991E-4</v>
      </c>
    </row>
    <row r="46" spans="1:78">
      <c r="A46" s="4" t="s">
        <v>159</v>
      </c>
      <c r="B46" s="7">
        <v>2.2761225951152631E-4</v>
      </c>
      <c r="C46" s="7">
        <v>1.620769487099934E-6</v>
      </c>
      <c r="D46" s="7">
        <v>1.4385575199895971E-6</v>
      </c>
      <c r="E46" s="7">
        <v>1.1070928274826109E-3</v>
      </c>
      <c r="F46" s="7">
        <v>1.3784672244651419E-4</v>
      </c>
      <c r="G46" s="7">
        <v>7.1376203059891376E-4</v>
      </c>
      <c r="H46" s="7">
        <v>0</v>
      </c>
      <c r="I46" s="7">
        <v>6.5233210521256093E-4</v>
      </c>
      <c r="J46" s="7">
        <v>0</v>
      </c>
      <c r="K46" s="7">
        <v>1.8470113466667029E-5</v>
      </c>
      <c r="L46" s="7">
        <v>1.022613401742612E-3</v>
      </c>
      <c r="M46" s="7">
        <v>2.444587594408539E-5</v>
      </c>
      <c r="N46" s="7">
        <v>6.5360451022437482E-6</v>
      </c>
      <c r="O46" s="7">
        <v>4.6109857609740482E-4</v>
      </c>
      <c r="P46" s="7">
        <v>9.3776320650394197E-4</v>
      </c>
      <c r="Q46" s="7">
        <v>4.1710625763939808E-4</v>
      </c>
      <c r="R46" s="7">
        <v>0</v>
      </c>
      <c r="S46" s="7">
        <v>1.3074101517362481E-4</v>
      </c>
      <c r="T46" s="7">
        <v>1.251085793385457E-5</v>
      </c>
      <c r="U46" s="7">
        <v>3.0716644068934147E-5</v>
      </c>
      <c r="V46" s="7">
        <v>4.0883362822268898E-4</v>
      </c>
      <c r="W46" s="7">
        <v>3.5846287984737981E-5</v>
      </c>
      <c r="X46" s="7">
        <v>8.0767888430625462E-5</v>
      </c>
      <c r="Y46" s="7">
        <v>2.0325910472468551E-6</v>
      </c>
      <c r="Z46" s="7">
        <v>2.759931299703062E-4</v>
      </c>
      <c r="AA46" s="7">
        <v>1.075180245014597E-3</v>
      </c>
      <c r="AB46" s="7">
        <v>1.140499179247338E-4</v>
      </c>
      <c r="AC46" s="7">
        <v>2.2614912792231549E-4</v>
      </c>
      <c r="AD46" s="7">
        <v>0</v>
      </c>
      <c r="AE46" s="7">
        <v>9.9965357671314369E-4</v>
      </c>
      <c r="AF46" s="7">
        <v>5.3032035600667935E-4</v>
      </c>
      <c r="AG46" s="7">
        <v>3.015353998076513E-5</v>
      </c>
      <c r="AH46" s="7">
        <v>2.2383575820732481E-4</v>
      </c>
      <c r="AI46" s="7">
        <v>2.5090294271845799E-4</v>
      </c>
      <c r="AJ46" s="7">
        <v>1.3029637325238589E-3</v>
      </c>
      <c r="AK46" s="7">
        <v>4.8464321548881227E-4</v>
      </c>
      <c r="AL46" s="7">
        <v>1.0732889534807791E-3</v>
      </c>
      <c r="AM46" s="7">
        <v>0</v>
      </c>
      <c r="AN46" s="7">
        <v>9.720840448636563E-7</v>
      </c>
      <c r="AO46" s="7">
        <v>3.0652429197184429E-4</v>
      </c>
      <c r="AP46" s="7">
        <v>1.5426354071516619E-4</v>
      </c>
      <c r="AQ46" s="7">
        <v>4.1308208541136032E-7</v>
      </c>
      <c r="AR46" s="7">
        <v>0</v>
      </c>
      <c r="AS46" s="7">
        <v>2.2975291128044129E-3</v>
      </c>
      <c r="AT46" s="7">
        <v>0</v>
      </c>
      <c r="AU46" s="7">
        <v>8.7808026758485059E-5</v>
      </c>
      <c r="AV46" s="7">
        <v>4.4622628546430189E-5</v>
      </c>
      <c r="AW46" s="7">
        <v>1.1764047201435949E-5</v>
      </c>
      <c r="AX46" s="7">
        <v>0</v>
      </c>
      <c r="AY46" s="7">
        <v>3.0926584081975088E-4</v>
      </c>
      <c r="AZ46" s="7">
        <v>1.011786514282516E-5</v>
      </c>
      <c r="BA46" s="7">
        <v>9.8285303783757889E-4</v>
      </c>
      <c r="BB46" s="7">
        <v>3.4316449059834583E-4</v>
      </c>
      <c r="BC46" s="7">
        <v>9.5520246995430151E-6</v>
      </c>
      <c r="BD46" s="7">
        <v>2.5353002935235293E-4</v>
      </c>
      <c r="BE46" s="7">
        <v>1.255037297311926E-6</v>
      </c>
      <c r="BF46" s="7">
        <v>5.8694077876009939E-5</v>
      </c>
      <c r="BG46" s="7">
        <v>1.9320092115011041E-4</v>
      </c>
      <c r="BH46" s="7">
        <v>2.824351003304019E-6</v>
      </c>
      <c r="BI46" s="7">
        <v>4.1779740129786459E-4</v>
      </c>
      <c r="BJ46" s="7">
        <v>2.9445747124529878E-4</v>
      </c>
      <c r="BK46" s="7">
        <v>1.421954492905483E-4</v>
      </c>
      <c r="BL46" s="7">
        <v>5.2968710126121647E-4</v>
      </c>
      <c r="BM46" s="7">
        <v>3.8296981863746233E-5</v>
      </c>
      <c r="BN46" s="7">
        <v>0</v>
      </c>
      <c r="BO46" s="7">
        <v>1.7338375191587421E-6</v>
      </c>
      <c r="BP46" s="7">
        <v>3.7429667455056979E-4</v>
      </c>
      <c r="BQ46" s="7">
        <v>4.9878622093210635E-4</v>
      </c>
      <c r="BR46" s="7">
        <v>5.3166232968217006E-6</v>
      </c>
      <c r="BS46" s="7">
        <v>2.8529091226018029E-5</v>
      </c>
      <c r="BT46" s="7">
        <v>1.156336550681349E-5</v>
      </c>
      <c r="BU46" s="7">
        <v>1.6596736178442081E-5</v>
      </c>
      <c r="BV46" s="7">
        <v>1.0928482633066389E-4</v>
      </c>
      <c r="BW46" s="7">
        <v>4.9841469853222534E-7</v>
      </c>
      <c r="BX46" s="7">
        <v>9.2424698789163491E-7</v>
      </c>
      <c r="BY46" s="7">
        <v>7.1181921327604237E-4</v>
      </c>
      <c r="BZ46" s="7">
        <v>2.3239045020472261E-4</v>
      </c>
    </row>
    <row r="47" spans="1:78">
      <c r="A47" s="4" t="s">
        <v>161</v>
      </c>
      <c r="B47" s="7">
        <v>0</v>
      </c>
      <c r="C47" s="7">
        <v>3.4156044726710162E-6</v>
      </c>
      <c r="D47" s="7">
        <v>2.0806527010973241E-4</v>
      </c>
      <c r="E47" s="7">
        <v>4.1081347293484967E-5</v>
      </c>
      <c r="F47" s="7">
        <v>0</v>
      </c>
      <c r="G47" s="7">
        <v>4.1216278614934143E-5</v>
      </c>
      <c r="H47" s="7">
        <v>1.5549903651835921E-2</v>
      </c>
      <c r="I47" s="7">
        <v>0</v>
      </c>
      <c r="J47" s="7">
        <v>0</v>
      </c>
      <c r="K47" s="7">
        <v>8.3935833117329212E-6</v>
      </c>
      <c r="L47" s="7">
        <v>1.6661441695993049E-7</v>
      </c>
      <c r="M47" s="7">
        <v>2.5886026425550472E-7</v>
      </c>
      <c r="N47" s="7">
        <v>4.9033610159341717E-7</v>
      </c>
      <c r="O47" s="7">
        <v>0</v>
      </c>
      <c r="P47" s="7">
        <v>0</v>
      </c>
      <c r="Q47" s="7">
        <v>0</v>
      </c>
      <c r="R47" s="7">
        <v>0</v>
      </c>
      <c r="S47" s="7">
        <v>1.6667395054117539E-4</v>
      </c>
      <c r="T47" s="7">
        <v>6.654154702048092E-6</v>
      </c>
      <c r="U47" s="7">
        <v>2.4826160617817389E-5</v>
      </c>
      <c r="V47" s="7">
        <v>3.4604848013322599E-4</v>
      </c>
      <c r="W47" s="7">
        <v>0</v>
      </c>
      <c r="X47" s="7">
        <v>4.0233837841335799E-5</v>
      </c>
      <c r="Y47" s="7">
        <v>9.5125556789826763E-3</v>
      </c>
      <c r="Z47" s="7">
        <v>4.0611700556141968E-5</v>
      </c>
      <c r="AA47" s="7">
        <v>3.9505450184482968E-4</v>
      </c>
      <c r="AB47" s="7">
        <v>2.968398348324514E-5</v>
      </c>
      <c r="AC47" s="7">
        <v>4.1723999727135528E-6</v>
      </c>
      <c r="AD47" s="7">
        <v>6.155001719624915E-5</v>
      </c>
      <c r="AE47" s="7">
        <v>1.20343793974463E-4</v>
      </c>
      <c r="AF47" s="7">
        <v>1.884943318594792E-6</v>
      </c>
      <c r="AG47" s="7">
        <v>0</v>
      </c>
      <c r="AH47" s="7">
        <v>1.3180389882335771E-6</v>
      </c>
      <c r="AI47" s="7">
        <v>3.4484375649271849E-6</v>
      </c>
      <c r="AJ47" s="7">
        <v>3.7754107228880132E-3</v>
      </c>
      <c r="AK47" s="7">
        <v>1.6857155321349991E-5</v>
      </c>
      <c r="AL47" s="7">
        <v>5.0352310767052915E-4</v>
      </c>
      <c r="AM47" s="7">
        <v>0</v>
      </c>
      <c r="AN47" s="7">
        <v>1.7887795577989651E-6</v>
      </c>
      <c r="AO47" s="7">
        <v>6.1399582876168785E-5</v>
      </c>
      <c r="AP47" s="7">
        <v>0</v>
      </c>
      <c r="AQ47" s="7">
        <v>1.840442350984386E-7</v>
      </c>
      <c r="AR47" s="7">
        <v>0</v>
      </c>
      <c r="AS47" s="7">
        <v>1.7093089353641708E-2</v>
      </c>
      <c r="AT47" s="7">
        <v>2.0676699623143672E-6</v>
      </c>
      <c r="AU47" s="7">
        <v>0</v>
      </c>
      <c r="AV47" s="7">
        <v>0</v>
      </c>
      <c r="AW47" s="7">
        <v>1.180227094874353E-5</v>
      </c>
      <c r="AX47" s="7">
        <v>2.441408921707567E-6</v>
      </c>
      <c r="AY47" s="7">
        <v>0</v>
      </c>
      <c r="AZ47" s="7">
        <v>1.4469448015021169E-5</v>
      </c>
      <c r="BA47" s="7">
        <v>4.6546868014922931E-5</v>
      </c>
      <c r="BB47" s="7">
        <v>1.5687348974898429E-4</v>
      </c>
      <c r="BC47" s="7">
        <v>2.5030474974797E-4</v>
      </c>
      <c r="BD47" s="7">
        <v>2.2500973291928041E-5</v>
      </c>
      <c r="BE47" s="7">
        <v>1.215665701820848E-4</v>
      </c>
      <c r="BF47" s="7">
        <v>1.866743312902922E-7</v>
      </c>
      <c r="BG47" s="7">
        <v>2.1181196715068011E-4</v>
      </c>
      <c r="BH47" s="7">
        <v>1.614599240648305E-5</v>
      </c>
      <c r="BI47" s="7">
        <v>3.2073996559902879E-6</v>
      </c>
      <c r="BJ47" s="7">
        <v>1.9638686042925099E-4</v>
      </c>
      <c r="BK47" s="7">
        <v>3.0880654416236698E-2</v>
      </c>
      <c r="BL47" s="7">
        <v>1.735926607792735E-6</v>
      </c>
      <c r="BM47" s="7">
        <v>0</v>
      </c>
      <c r="BN47" s="7">
        <v>1.448774950848856E-5</v>
      </c>
      <c r="BO47" s="7">
        <v>2.9240328249301341E-5</v>
      </c>
      <c r="BP47" s="7">
        <v>2.7074197164039281E-6</v>
      </c>
      <c r="BQ47" s="7">
        <v>2.1192528121453561E-5</v>
      </c>
      <c r="BR47" s="7">
        <v>9.0624763713372306E-5</v>
      </c>
      <c r="BS47" s="7">
        <v>0</v>
      </c>
      <c r="BT47" s="7">
        <v>1.2157750697194211E-3</v>
      </c>
      <c r="BU47" s="7">
        <v>1.5221170238412721E-7</v>
      </c>
      <c r="BV47" s="7">
        <v>2.298219875009091E-3</v>
      </c>
      <c r="BW47" s="7">
        <v>1.4616972494481789E-5</v>
      </c>
      <c r="BX47" s="7">
        <v>4.7816853938762151E-6</v>
      </c>
      <c r="BY47" s="7">
        <v>2.1489091008570689E-6</v>
      </c>
      <c r="BZ47" s="7">
        <v>7.5134832473722663E-5</v>
      </c>
    </row>
    <row r="48" spans="1:78">
      <c r="A48" s="4" t="s">
        <v>163</v>
      </c>
      <c r="B48" s="7">
        <v>2.267822664532986E-3</v>
      </c>
      <c r="C48" s="7">
        <v>2.259004459300781E-6</v>
      </c>
      <c r="D48" s="7">
        <v>7.7147212771296674E-5</v>
      </c>
      <c r="E48" s="7">
        <v>1.014019243009858E-6</v>
      </c>
      <c r="F48" s="7">
        <v>0</v>
      </c>
      <c r="G48" s="7">
        <v>3.9347343622775461E-6</v>
      </c>
      <c r="H48" s="7">
        <v>0</v>
      </c>
      <c r="I48" s="7">
        <v>2.5415776541674249E-4</v>
      </c>
      <c r="J48" s="7">
        <v>0</v>
      </c>
      <c r="K48" s="7">
        <v>1.158939777251731E-3</v>
      </c>
      <c r="L48" s="7">
        <v>3.5172679843297551E-4</v>
      </c>
      <c r="M48" s="7">
        <v>2.8904305877722809E-7</v>
      </c>
      <c r="N48" s="7">
        <v>3.7712878890949048E-4</v>
      </c>
      <c r="O48" s="7">
        <v>1.101759683580374E-4</v>
      </c>
      <c r="P48" s="7">
        <v>0</v>
      </c>
      <c r="Q48" s="7">
        <v>1.3774085308960649E-5</v>
      </c>
      <c r="R48" s="7">
        <v>0</v>
      </c>
      <c r="S48" s="7">
        <v>6.5191891229323241E-4</v>
      </c>
      <c r="T48" s="7">
        <v>2.168806225556141E-4</v>
      </c>
      <c r="U48" s="7">
        <v>3.4951933444127829E-4</v>
      </c>
      <c r="V48" s="7">
        <v>1.314327335932128E-4</v>
      </c>
      <c r="W48" s="7">
        <v>5.5179983230866897E-5</v>
      </c>
      <c r="X48" s="7">
        <v>1.216675763898911E-2</v>
      </c>
      <c r="Y48" s="7">
        <v>3.615992881685373E-6</v>
      </c>
      <c r="Z48" s="7">
        <v>3.7696505866224262E-5</v>
      </c>
      <c r="AA48" s="7">
        <v>2.4348097598464749E-2</v>
      </c>
      <c r="AB48" s="7">
        <v>1.269037446923156E-3</v>
      </c>
      <c r="AC48" s="7">
        <v>0</v>
      </c>
      <c r="AD48" s="7">
        <v>0</v>
      </c>
      <c r="AE48" s="7">
        <v>0</v>
      </c>
      <c r="AF48" s="7">
        <v>1.7249676456711281E-7</v>
      </c>
      <c r="AG48" s="7">
        <v>8.6249591528426187E-6</v>
      </c>
      <c r="AH48" s="7">
        <v>0</v>
      </c>
      <c r="AI48" s="7">
        <v>5.4789947723868436E-4</v>
      </c>
      <c r="AJ48" s="7">
        <v>0</v>
      </c>
      <c r="AK48" s="7">
        <v>0</v>
      </c>
      <c r="AL48" s="7">
        <v>2.9475944685380771E-4</v>
      </c>
      <c r="AM48" s="7">
        <v>6.8599819245337484E-3</v>
      </c>
      <c r="AN48" s="7">
        <v>2.271930498187209E-5</v>
      </c>
      <c r="AO48" s="7">
        <v>0</v>
      </c>
      <c r="AP48" s="7">
        <v>0</v>
      </c>
      <c r="AQ48" s="7">
        <v>2.8067650246787551E-5</v>
      </c>
      <c r="AR48" s="7">
        <v>0</v>
      </c>
      <c r="AS48" s="7">
        <v>0</v>
      </c>
      <c r="AT48" s="7">
        <v>1.8251639599362079E-5</v>
      </c>
      <c r="AU48" s="7">
        <v>0</v>
      </c>
      <c r="AV48" s="7">
        <v>0</v>
      </c>
      <c r="AW48" s="7">
        <v>2.731600510885209E-5</v>
      </c>
      <c r="AX48" s="7">
        <v>0</v>
      </c>
      <c r="AY48" s="7">
        <v>0</v>
      </c>
      <c r="AZ48" s="7">
        <v>6.949675372165499E-6</v>
      </c>
      <c r="BA48" s="7">
        <v>1.9628425990468841E-5</v>
      </c>
      <c r="BB48" s="7">
        <v>3.1948989343716372E-4</v>
      </c>
      <c r="BC48" s="7">
        <v>3.6356209373429688E-5</v>
      </c>
      <c r="BD48" s="7">
        <v>3.0840842962166117E-5</v>
      </c>
      <c r="BE48" s="7">
        <v>0</v>
      </c>
      <c r="BF48" s="7">
        <v>3.2576523605459312E-5</v>
      </c>
      <c r="BG48" s="7">
        <v>0</v>
      </c>
      <c r="BH48" s="7">
        <v>2.7571600504482021E-4</v>
      </c>
      <c r="BI48" s="7">
        <v>6.0134434211301904E-6</v>
      </c>
      <c r="BJ48" s="7">
        <v>4.862744480134788E-6</v>
      </c>
      <c r="BK48" s="7">
        <v>0</v>
      </c>
      <c r="BL48" s="7">
        <v>0</v>
      </c>
      <c r="BM48" s="7">
        <v>7.6161496375440753E-4</v>
      </c>
      <c r="BN48" s="7">
        <v>4.9548902230511737E-5</v>
      </c>
      <c r="BO48" s="7">
        <v>2.4859802713617829E-5</v>
      </c>
      <c r="BP48" s="7">
        <v>1.7640393083062991E-5</v>
      </c>
      <c r="BQ48" s="7">
        <v>5.5405292663893088E-6</v>
      </c>
      <c r="BR48" s="7">
        <v>9.9953618727949368E-6</v>
      </c>
      <c r="BS48" s="7">
        <v>1.502122812009319E-3</v>
      </c>
      <c r="BT48" s="7">
        <v>5.1865592993745888E-4</v>
      </c>
      <c r="BU48" s="7">
        <v>2.768296960257083E-5</v>
      </c>
      <c r="BV48" s="7">
        <v>3.4227163280029162E-5</v>
      </c>
      <c r="BW48" s="7">
        <v>4.6602338060407829E-4</v>
      </c>
      <c r="BX48" s="7">
        <v>6.8574881349331505E-4</v>
      </c>
      <c r="BY48" s="7">
        <v>3.723235422916986E-5</v>
      </c>
      <c r="BZ48" s="7">
        <v>3.9180858302450568E-4</v>
      </c>
    </row>
    <row r="49" spans="1:78">
      <c r="A49" s="4" t="s">
        <v>165</v>
      </c>
      <c r="B49" s="7">
        <v>4.114725908335623E-2</v>
      </c>
      <c r="C49" s="7">
        <v>1.6174241200743629E-2</v>
      </c>
      <c r="D49" s="7">
        <v>6.344889117003252E-3</v>
      </c>
      <c r="E49" s="7">
        <v>5.1192362743598943E-3</v>
      </c>
      <c r="F49" s="7">
        <v>0</v>
      </c>
      <c r="G49" s="7">
        <v>3.9929420942261099E-7</v>
      </c>
      <c r="H49" s="7">
        <v>0</v>
      </c>
      <c r="I49" s="7">
        <v>6.0411302722511738E-2</v>
      </c>
      <c r="J49" s="7">
        <v>2.1821878220974929E-3</v>
      </c>
      <c r="K49" s="7">
        <v>0.1006221218284607</v>
      </c>
      <c r="L49" s="7">
        <v>1.473873942018191E-3</v>
      </c>
      <c r="M49" s="7">
        <v>2.6913672744182638E-3</v>
      </c>
      <c r="N49" s="7">
        <v>2.474232349033334E-2</v>
      </c>
      <c r="O49" s="7">
        <v>5.4780775001622454E-3</v>
      </c>
      <c r="P49" s="7">
        <v>0</v>
      </c>
      <c r="Q49" s="7">
        <v>3.0908431383251909E-2</v>
      </c>
      <c r="R49" s="7">
        <v>8.219522645007489E-2</v>
      </c>
      <c r="S49" s="7">
        <v>5.3699251527423823E-5</v>
      </c>
      <c r="T49" s="7">
        <v>2.8301725066302279E-3</v>
      </c>
      <c r="U49" s="7">
        <v>1.151990243244065E-2</v>
      </c>
      <c r="V49" s="7">
        <v>7.2451116711081077E-3</v>
      </c>
      <c r="W49" s="7">
        <v>8.4260334815632471E-3</v>
      </c>
      <c r="X49" s="7">
        <v>3.6174285071813072E-3</v>
      </c>
      <c r="Y49" s="7">
        <v>4.1507508648616553E-3</v>
      </c>
      <c r="Z49" s="7">
        <v>2.0865123019536899E-3</v>
      </c>
      <c r="AA49" s="7">
        <v>2.0664210521650229E-3</v>
      </c>
      <c r="AB49" s="7">
        <v>1.140218914259738E-2</v>
      </c>
      <c r="AC49" s="7">
        <v>1.165727722289578E-4</v>
      </c>
      <c r="AD49" s="7">
        <v>9.8215030838316283E-5</v>
      </c>
      <c r="AE49" s="7">
        <v>7.390982021279938E-4</v>
      </c>
      <c r="AF49" s="7">
        <v>1.087387790966957E-4</v>
      </c>
      <c r="AG49" s="7">
        <v>5.8889356326621532E-3</v>
      </c>
      <c r="AH49" s="7">
        <v>4.8041200390598458E-4</v>
      </c>
      <c r="AI49" s="7">
        <v>3.368181893773867E-3</v>
      </c>
      <c r="AJ49" s="7">
        <v>2.1300201654979251E-3</v>
      </c>
      <c r="AK49" s="7">
        <v>1.416001046993399E-3</v>
      </c>
      <c r="AL49" s="7">
        <v>3.3724034188110852E-3</v>
      </c>
      <c r="AM49" s="7">
        <v>1.4761692512374689E-2</v>
      </c>
      <c r="AN49" s="7">
        <v>4.7692291585222299E-3</v>
      </c>
      <c r="AO49" s="7">
        <v>0</v>
      </c>
      <c r="AP49" s="7">
        <v>8.3560356331879449E-6</v>
      </c>
      <c r="AQ49" s="7">
        <v>5.8406327220190714E-3</v>
      </c>
      <c r="AR49" s="7">
        <v>0</v>
      </c>
      <c r="AS49" s="7">
        <v>1.770639736717294E-3</v>
      </c>
      <c r="AT49" s="7">
        <v>1.885869421699381E-3</v>
      </c>
      <c r="AU49" s="7">
        <v>7.9571801062196164E-5</v>
      </c>
      <c r="AV49" s="7">
        <v>8.9348504217856616E-4</v>
      </c>
      <c r="AW49" s="7">
        <v>0</v>
      </c>
      <c r="AX49" s="7">
        <v>1.027913180062387E-3</v>
      </c>
      <c r="AY49" s="7">
        <v>2.286534584626474E-4</v>
      </c>
      <c r="AZ49" s="7">
        <v>1.2441924717616459E-3</v>
      </c>
      <c r="BA49" s="7">
        <v>5.3413834256396079E-4</v>
      </c>
      <c r="BB49" s="7">
        <v>1.8121572981036069E-3</v>
      </c>
      <c r="BC49" s="7">
        <v>1.4095478189535659E-3</v>
      </c>
      <c r="BD49" s="7">
        <v>1.277481387695161E-2</v>
      </c>
      <c r="BE49" s="7">
        <v>5.3171229955519201E-4</v>
      </c>
      <c r="BF49" s="7">
        <v>2.8470716847463391E-2</v>
      </c>
      <c r="BG49" s="7">
        <v>2.4864801183981191E-3</v>
      </c>
      <c r="BH49" s="7">
        <v>2.2292945681352439E-3</v>
      </c>
      <c r="BI49" s="7">
        <v>4.1943281785733759E-4</v>
      </c>
      <c r="BJ49" s="7">
        <v>8.3036954541922396E-4</v>
      </c>
      <c r="BK49" s="7">
        <v>0</v>
      </c>
      <c r="BL49" s="7">
        <v>0</v>
      </c>
      <c r="BM49" s="7">
        <v>0</v>
      </c>
      <c r="BN49" s="7">
        <v>2.6643343868586519E-2</v>
      </c>
      <c r="BO49" s="7">
        <v>3.0687286430622021E-4</v>
      </c>
      <c r="BP49" s="7">
        <v>2.1434777603152261E-4</v>
      </c>
      <c r="BQ49" s="7">
        <v>1.8938917031545331E-3</v>
      </c>
      <c r="BR49" s="7">
        <v>6.7834756506838017E-3</v>
      </c>
      <c r="BS49" s="7">
        <v>4.0569006602484428E-4</v>
      </c>
      <c r="BT49" s="7">
        <v>4.67580635739933E-2</v>
      </c>
      <c r="BU49" s="7">
        <v>9.1217236680128776E-3</v>
      </c>
      <c r="BV49" s="7">
        <v>1.399205872372903E-3</v>
      </c>
      <c r="BW49" s="7">
        <v>0.31952095851941648</v>
      </c>
      <c r="BX49" s="7">
        <v>5.2365866687055474E-4</v>
      </c>
      <c r="BY49" s="7">
        <v>7.9089873093026002E-3</v>
      </c>
      <c r="BZ49" s="7">
        <v>1.6664646547115941E-2</v>
      </c>
    </row>
    <row r="50" spans="1:78">
      <c r="A50" s="4" t="s">
        <v>167</v>
      </c>
      <c r="B50" s="7">
        <v>0</v>
      </c>
      <c r="C50" s="7">
        <v>9.1954175416935047E-7</v>
      </c>
      <c r="D50" s="7">
        <v>1.105585433037725E-5</v>
      </c>
      <c r="E50" s="7">
        <v>0</v>
      </c>
      <c r="F50" s="7">
        <v>0</v>
      </c>
      <c r="G50" s="7">
        <v>0</v>
      </c>
      <c r="H50" s="7">
        <v>0</v>
      </c>
      <c r="I50" s="7">
        <v>1.6533011104774009E-7</v>
      </c>
      <c r="J50" s="7">
        <v>0</v>
      </c>
      <c r="K50" s="7">
        <v>2.2180280061282991E-4</v>
      </c>
      <c r="L50" s="7">
        <v>1.422452410417605E-5</v>
      </c>
      <c r="M50" s="7">
        <v>0</v>
      </c>
      <c r="N50" s="7">
        <v>2.232983850056597E-5</v>
      </c>
      <c r="O50" s="7">
        <v>2.033357131338116E-4</v>
      </c>
      <c r="P50" s="7">
        <v>0</v>
      </c>
      <c r="Q50" s="7">
        <v>1.7246641810131149E-4</v>
      </c>
      <c r="R50" s="7">
        <v>0</v>
      </c>
      <c r="S50" s="7">
        <v>0</v>
      </c>
      <c r="T50" s="7">
        <v>3.8321086664452742E-6</v>
      </c>
      <c r="U50" s="7">
        <v>1.7082957351199019E-7</v>
      </c>
      <c r="V50" s="7">
        <v>0</v>
      </c>
      <c r="W50" s="7">
        <v>3.4087490591013219E-6</v>
      </c>
      <c r="X50" s="7">
        <v>5.025290498178259E-6</v>
      </c>
      <c r="Y50" s="7">
        <v>0</v>
      </c>
      <c r="Z50" s="7">
        <v>0</v>
      </c>
      <c r="AA50" s="7">
        <v>0</v>
      </c>
      <c r="AB50" s="7">
        <v>3.7619782581854979E-6</v>
      </c>
      <c r="AC50" s="7">
        <v>0</v>
      </c>
      <c r="AD50" s="7">
        <v>1.5446841033508801E-3</v>
      </c>
      <c r="AE50" s="7">
        <v>5.9748078437759497E-6</v>
      </c>
      <c r="AF50" s="7">
        <v>4.2100031195973302E-5</v>
      </c>
      <c r="AG50" s="7">
        <v>0</v>
      </c>
      <c r="AH50" s="7">
        <v>1.136087985059745E-8</v>
      </c>
      <c r="AI50" s="7">
        <v>0</v>
      </c>
      <c r="AJ50" s="7">
        <v>2.9952849352775122E-6</v>
      </c>
      <c r="AK50" s="7">
        <v>4.2142888303374977E-6</v>
      </c>
      <c r="AL50" s="7">
        <v>2.419300383230949E-5</v>
      </c>
      <c r="AM50" s="7">
        <v>0</v>
      </c>
      <c r="AN50" s="7">
        <v>0</v>
      </c>
      <c r="AO50" s="7">
        <v>0</v>
      </c>
      <c r="AP50" s="7">
        <v>0</v>
      </c>
      <c r="AQ50" s="7">
        <v>1.0332704599506931E-6</v>
      </c>
      <c r="AR50" s="7">
        <v>0</v>
      </c>
      <c r="AS50" s="7">
        <v>0</v>
      </c>
      <c r="AT50" s="7">
        <v>0</v>
      </c>
      <c r="AU50" s="7">
        <v>0</v>
      </c>
      <c r="AV50" s="7">
        <v>1.4247161046039049E-5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1.007173985602124E-5</v>
      </c>
      <c r="BC50" s="7">
        <v>5.4333538686397617E-6</v>
      </c>
      <c r="BD50" s="7">
        <v>2.0383146527796101E-4</v>
      </c>
      <c r="BE50" s="7">
        <v>1.6372863817991321E-5</v>
      </c>
      <c r="BF50" s="7">
        <v>1.1060740375415211E-5</v>
      </c>
      <c r="BG50" s="7">
        <v>0</v>
      </c>
      <c r="BH50" s="7">
        <v>1.4279060642020571E-6</v>
      </c>
      <c r="BI50" s="7">
        <v>4.123811033332799E-7</v>
      </c>
      <c r="BJ50" s="7">
        <v>0</v>
      </c>
      <c r="BK50" s="7">
        <v>0</v>
      </c>
      <c r="BL50" s="7">
        <v>0</v>
      </c>
      <c r="BM50" s="7">
        <v>0</v>
      </c>
      <c r="BN50" s="7">
        <v>1.2623387620135579E-7</v>
      </c>
      <c r="BO50" s="7">
        <v>0</v>
      </c>
      <c r="BP50" s="7">
        <v>0</v>
      </c>
      <c r="BQ50" s="7">
        <v>1.856077549408049E-5</v>
      </c>
      <c r="BR50" s="7">
        <v>0</v>
      </c>
      <c r="BS50" s="7">
        <v>1.071083518609391E-4</v>
      </c>
      <c r="BT50" s="7">
        <v>1.7129375732833471E-6</v>
      </c>
      <c r="BU50" s="7">
        <v>0</v>
      </c>
      <c r="BV50" s="7">
        <v>2.1271063248153662E-6</v>
      </c>
      <c r="BW50" s="7">
        <v>1.660831451746784E-5</v>
      </c>
      <c r="BX50" s="7">
        <v>0</v>
      </c>
      <c r="BY50" s="7">
        <v>1.4478103838014739E-5</v>
      </c>
      <c r="BZ50" s="7">
        <v>6.4669595214256152E-5</v>
      </c>
    </row>
    <row r="51" spans="1:78">
      <c r="A51" s="4" t="s">
        <v>169</v>
      </c>
      <c r="B51" s="7">
        <v>0</v>
      </c>
      <c r="C51" s="7">
        <v>0</v>
      </c>
      <c r="D51" s="7">
        <v>1.39742078438019E-8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2.9619201198389192E-7</v>
      </c>
      <c r="L51" s="7">
        <v>8.9402804245937404E-7</v>
      </c>
      <c r="M51" s="7">
        <v>0</v>
      </c>
      <c r="N51" s="7">
        <v>1.0763818527808291E-5</v>
      </c>
      <c r="O51" s="7">
        <v>0</v>
      </c>
      <c r="P51" s="7">
        <v>0</v>
      </c>
      <c r="Q51" s="7">
        <v>3.296680090009636E-6</v>
      </c>
      <c r="R51" s="7">
        <v>0</v>
      </c>
      <c r="S51" s="7">
        <v>0</v>
      </c>
      <c r="T51" s="7">
        <v>3.8052928443875103E-7</v>
      </c>
      <c r="U51" s="7">
        <v>4.5714925515835008E-4</v>
      </c>
      <c r="V51" s="7">
        <v>0</v>
      </c>
      <c r="W51" s="7">
        <v>0</v>
      </c>
      <c r="X51" s="7">
        <v>0</v>
      </c>
      <c r="Y51" s="7">
        <v>0</v>
      </c>
      <c r="Z51" s="7">
        <v>3.1234167940450948E-7</v>
      </c>
      <c r="AA51" s="7">
        <v>8.0841385220459244E-6</v>
      </c>
      <c r="AB51" s="7">
        <v>1.052165742889213E-5</v>
      </c>
      <c r="AC51" s="7">
        <v>0</v>
      </c>
      <c r="AD51" s="7">
        <v>1.668906161947635E-4</v>
      </c>
      <c r="AE51" s="7">
        <v>0</v>
      </c>
      <c r="AF51" s="7">
        <v>0</v>
      </c>
      <c r="AG51" s="7">
        <v>1.9613891426740682E-5</v>
      </c>
      <c r="AH51" s="7">
        <v>2.7361651446141669E-7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4.6002347202528768E-6</v>
      </c>
      <c r="AO51" s="7">
        <v>0</v>
      </c>
      <c r="AP51" s="7">
        <v>2.651182249744366E-3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7.5816952793543242E-6</v>
      </c>
      <c r="BA51" s="7">
        <v>0</v>
      </c>
      <c r="BB51" s="7">
        <v>8.2240978161251299E-6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1.5155851516670791E-6</v>
      </c>
      <c r="BJ51" s="7">
        <v>0</v>
      </c>
      <c r="BK51" s="7">
        <v>0</v>
      </c>
      <c r="BL51" s="7">
        <v>0</v>
      </c>
      <c r="BM51" s="7">
        <v>0</v>
      </c>
      <c r="BN51" s="7">
        <v>7.4411615569321721E-7</v>
      </c>
      <c r="BO51" s="7">
        <v>0</v>
      </c>
      <c r="BP51" s="7">
        <v>0</v>
      </c>
      <c r="BQ51" s="7">
        <v>0</v>
      </c>
      <c r="BR51" s="7">
        <v>4.260931207422535E-7</v>
      </c>
      <c r="BS51" s="7">
        <v>0</v>
      </c>
      <c r="BT51" s="7">
        <v>0</v>
      </c>
      <c r="BU51" s="7">
        <v>4.7847139372152914E-6</v>
      </c>
      <c r="BV51" s="7">
        <v>0</v>
      </c>
      <c r="BW51" s="7">
        <v>1.615330066501171E-6</v>
      </c>
      <c r="BX51" s="7">
        <v>0</v>
      </c>
      <c r="BY51" s="7">
        <v>2.4481887272955649E-6</v>
      </c>
      <c r="BZ51" s="7">
        <v>2.7607560145720299E-6</v>
      </c>
    </row>
    <row r="52" spans="1:78">
      <c r="A52" s="4" t="s">
        <v>171</v>
      </c>
      <c r="B52" s="7">
        <v>7.6268749929655181E-5</v>
      </c>
      <c r="C52" s="7">
        <v>1.288856931157755E-3</v>
      </c>
      <c r="D52" s="7">
        <v>4.2826162561481553E-4</v>
      </c>
      <c r="E52" s="7">
        <v>1.140508432545809E-4</v>
      </c>
      <c r="F52" s="7">
        <v>2.2984822095587279E-4</v>
      </c>
      <c r="G52" s="7">
        <v>5.9634666257377383E-4</v>
      </c>
      <c r="H52" s="7">
        <v>0</v>
      </c>
      <c r="I52" s="7">
        <v>1.794815040822577E-3</v>
      </c>
      <c r="J52" s="7">
        <v>0.3686353730698676</v>
      </c>
      <c r="K52" s="7">
        <v>3.6708602123441758E-3</v>
      </c>
      <c r="L52" s="7">
        <v>8.4791765520461583E-4</v>
      </c>
      <c r="M52" s="7">
        <v>1.8239221774395089E-5</v>
      </c>
      <c r="N52" s="7">
        <v>2.6782558438879218E-3</v>
      </c>
      <c r="O52" s="7">
        <v>1.6311519569420101E-2</v>
      </c>
      <c r="P52" s="7">
        <v>9.6429245178867478E-4</v>
      </c>
      <c r="Q52" s="7">
        <v>3.5860638768917252E-4</v>
      </c>
      <c r="R52" s="7">
        <v>2.777451777448292E-4</v>
      </c>
      <c r="S52" s="7">
        <v>0</v>
      </c>
      <c r="T52" s="7">
        <v>2.294310657506016E-4</v>
      </c>
      <c r="U52" s="7">
        <v>1.9170722932039541E-3</v>
      </c>
      <c r="V52" s="7">
        <v>6.6310390787847632E-5</v>
      </c>
      <c r="W52" s="7">
        <v>2.1844554725795788E-5</v>
      </c>
      <c r="X52" s="7">
        <v>8.944474379210649E-4</v>
      </c>
      <c r="Y52" s="7">
        <v>3.4468587485009028E-4</v>
      </c>
      <c r="Z52" s="7">
        <v>7.2151827993780057E-4</v>
      </c>
      <c r="AA52" s="7">
        <v>2.981324483488707E-3</v>
      </c>
      <c r="AB52" s="7">
        <v>1.194062809980095E-3</v>
      </c>
      <c r="AC52" s="7">
        <v>6.6771107625869942E-5</v>
      </c>
      <c r="AD52" s="7">
        <v>4.3809342794357631E-3</v>
      </c>
      <c r="AE52" s="7">
        <v>2.4602149944959789E-5</v>
      </c>
      <c r="AF52" s="7">
        <v>5.7929776294290298E-5</v>
      </c>
      <c r="AG52" s="7">
        <v>1.4099526368908219E-2</v>
      </c>
      <c r="AH52" s="7">
        <v>1.9663543803093422E-3</v>
      </c>
      <c r="AI52" s="7">
        <v>4.3176995035022758E-4</v>
      </c>
      <c r="AJ52" s="7">
        <v>2.6599355969269021E-4</v>
      </c>
      <c r="AK52" s="7">
        <v>4.2142888303374977E-6</v>
      </c>
      <c r="AL52" s="7">
        <v>2.460116617057325E-4</v>
      </c>
      <c r="AM52" s="7">
        <v>4.9955739815703848E-5</v>
      </c>
      <c r="AN52" s="7">
        <v>1.087470543256463E-2</v>
      </c>
      <c r="AO52" s="7">
        <v>0</v>
      </c>
      <c r="AP52" s="7">
        <v>1.274580962352994E-2</v>
      </c>
      <c r="AQ52" s="7">
        <v>3.0262750812975152E-4</v>
      </c>
      <c r="AR52" s="7">
        <v>0</v>
      </c>
      <c r="AS52" s="7">
        <v>1.5513984115631989E-6</v>
      </c>
      <c r="AT52" s="7">
        <v>2.6010824986792608E-5</v>
      </c>
      <c r="AU52" s="7">
        <v>0</v>
      </c>
      <c r="AV52" s="7">
        <v>8.0276609631388396E-5</v>
      </c>
      <c r="AW52" s="7">
        <v>8.2064583259034551E-3</v>
      </c>
      <c r="AX52" s="7">
        <v>1.847126875337571E-3</v>
      </c>
      <c r="AY52" s="7">
        <v>1.4980817040735909E-4</v>
      </c>
      <c r="AZ52" s="7">
        <v>0</v>
      </c>
      <c r="BA52" s="7">
        <v>9.1301311960056893E-5</v>
      </c>
      <c r="BB52" s="7">
        <v>5.2038025341407364E-3</v>
      </c>
      <c r="BC52" s="7">
        <v>2.9619375214530647E-4</v>
      </c>
      <c r="BD52" s="7">
        <v>2.711759999928984E-3</v>
      </c>
      <c r="BE52" s="7">
        <v>2.1019208716051879E-3</v>
      </c>
      <c r="BF52" s="7">
        <v>9.9491245022139243E-4</v>
      </c>
      <c r="BG52" s="7">
        <v>1.303931304093409E-2</v>
      </c>
      <c r="BH52" s="7">
        <v>5.2301546386854963E-4</v>
      </c>
      <c r="BI52" s="7">
        <v>5.9351004836739538E-5</v>
      </c>
      <c r="BJ52" s="7">
        <v>2.6504404439902599E-3</v>
      </c>
      <c r="BK52" s="7">
        <v>3.1497406281844769E-4</v>
      </c>
      <c r="BL52" s="7">
        <v>6.4761403748761568E-4</v>
      </c>
      <c r="BM52" s="7">
        <v>4.8336389628240409E-4</v>
      </c>
      <c r="BN52" s="7">
        <v>2.9205126685206528E-2</v>
      </c>
      <c r="BO52" s="7">
        <v>8.1710119942624614E-5</v>
      </c>
      <c r="BP52" s="7">
        <v>2.7399300464707129E-4</v>
      </c>
      <c r="BQ52" s="7">
        <v>6.0654953372607046E-4</v>
      </c>
      <c r="BR52" s="7">
        <v>4.7944952564523413E-3</v>
      </c>
      <c r="BS52" s="7">
        <v>1.329860163276194E-3</v>
      </c>
      <c r="BT52" s="7">
        <v>1.765926654242834E-4</v>
      </c>
      <c r="BU52" s="7">
        <v>1.9676467933635619E-3</v>
      </c>
      <c r="BV52" s="7">
        <v>3.2764361411083198E-4</v>
      </c>
      <c r="BW52" s="7">
        <v>2.9008229699085991E-3</v>
      </c>
      <c r="BX52" s="7">
        <v>3.4471858117576478E-3</v>
      </c>
      <c r="BY52" s="7">
        <v>1.678404436094152E-4</v>
      </c>
      <c r="BZ52" s="7">
        <v>7.1761798845889702E-4</v>
      </c>
    </row>
    <row r="53" spans="1:78">
      <c r="A53" s="4" t="s">
        <v>173</v>
      </c>
      <c r="B53" s="7">
        <v>0</v>
      </c>
      <c r="C53" s="7">
        <v>0</v>
      </c>
      <c r="D53" s="7">
        <v>5.0345631680021136E-6</v>
      </c>
      <c r="E53" s="7">
        <v>4.3585956693160051E-7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5.8626545716635574E-6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4.1328795727412148E-7</v>
      </c>
      <c r="V53" s="7">
        <v>3.9884623161108361E-6</v>
      </c>
      <c r="W53" s="7">
        <v>0</v>
      </c>
      <c r="X53" s="7">
        <v>0</v>
      </c>
      <c r="Y53" s="7">
        <v>0</v>
      </c>
      <c r="Z53" s="7">
        <v>0</v>
      </c>
      <c r="AA53" s="7">
        <v>2.4629325180593908E-4</v>
      </c>
      <c r="AB53" s="7">
        <v>5.305304498397715E-5</v>
      </c>
      <c r="AC53" s="7">
        <v>0</v>
      </c>
      <c r="AD53" s="7">
        <v>0</v>
      </c>
      <c r="AE53" s="7">
        <v>0</v>
      </c>
      <c r="AF53" s="7">
        <v>6.72400181456279E-7</v>
      </c>
      <c r="AG53" s="7">
        <v>0</v>
      </c>
      <c r="AH53" s="7">
        <v>5.4583418765295878E-10</v>
      </c>
      <c r="AI53" s="7">
        <v>0</v>
      </c>
      <c r="AJ53" s="7">
        <v>0</v>
      </c>
      <c r="AK53" s="7">
        <v>8.4285776606749954E-6</v>
      </c>
      <c r="AL53" s="7">
        <v>3.5585977639104592E-5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8.1012546481285657E-7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9.1409044733061471E-5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1.523645373137324E-6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3.3734504611067869E-6</v>
      </c>
      <c r="BX53" s="7">
        <v>0</v>
      </c>
      <c r="BY53" s="7">
        <v>3.140020117438811E-6</v>
      </c>
      <c r="BZ53" s="7">
        <v>3.519627342000851E-5</v>
      </c>
    </row>
    <row r="54" spans="1:78">
      <c r="A54" s="4" t="s">
        <v>175</v>
      </c>
      <c r="B54" s="7">
        <v>6.941297947924566E-4</v>
      </c>
      <c r="C54" s="7">
        <v>4.2606480241245328E-3</v>
      </c>
      <c r="D54" s="7">
        <v>1.375244764874127E-3</v>
      </c>
      <c r="E54" s="7">
        <v>6.6361679207475543E-2</v>
      </c>
      <c r="F54" s="7">
        <v>2.4154386434917848E-3</v>
      </c>
      <c r="G54" s="7">
        <v>7.7782029673414341E-3</v>
      </c>
      <c r="H54" s="7">
        <v>3.511956000985503E-3</v>
      </c>
      <c r="I54" s="7">
        <v>1.637752515916186E-3</v>
      </c>
      <c r="J54" s="7">
        <v>1.0371867723494859E-2</v>
      </c>
      <c r="K54" s="7">
        <v>3.361512140114261E-3</v>
      </c>
      <c r="L54" s="7">
        <v>7.8911839404234418E-3</v>
      </c>
      <c r="M54" s="7">
        <v>4.5801838947133559E-4</v>
      </c>
      <c r="N54" s="7">
        <v>3.5226833833657198E-3</v>
      </c>
      <c r="O54" s="7">
        <v>1.336626859301151E-2</v>
      </c>
      <c r="P54" s="7">
        <v>1.9811428693797262E-3</v>
      </c>
      <c r="Q54" s="7">
        <v>1.019389032336506E-3</v>
      </c>
      <c r="R54" s="7">
        <v>3.4104601966481428E-3</v>
      </c>
      <c r="S54" s="7">
        <v>5.1392182088890147E-3</v>
      </c>
      <c r="T54" s="7">
        <v>3.8103591193405658E-3</v>
      </c>
      <c r="U54" s="7">
        <v>2.7975776081043541E-2</v>
      </c>
      <c r="V54" s="7">
        <v>3.2835223924556137E-2</v>
      </c>
      <c r="W54" s="7">
        <v>2.4805305127407959E-3</v>
      </c>
      <c r="X54" s="7">
        <v>1.027360446799854E-2</v>
      </c>
      <c r="Y54" s="7">
        <v>5.5503826485865174E-3</v>
      </c>
      <c r="Z54" s="7">
        <v>1.406869092588389E-2</v>
      </c>
      <c r="AA54" s="7">
        <v>2.0120517163631241E-2</v>
      </c>
      <c r="AB54" s="7">
        <v>8.8956952787540844E-3</v>
      </c>
      <c r="AC54" s="7">
        <v>1.8065980466895299E-2</v>
      </c>
      <c r="AD54" s="7">
        <v>3.2515023428938881E-3</v>
      </c>
      <c r="AE54" s="7">
        <v>4.4464850758589962E-2</v>
      </c>
      <c r="AF54" s="7">
        <v>1.8947464686783211E-2</v>
      </c>
      <c r="AG54" s="7">
        <v>1.223868176966694E-3</v>
      </c>
      <c r="AH54" s="7">
        <v>5.902215389827329E-3</v>
      </c>
      <c r="AI54" s="7">
        <v>1.4631884507049501E-2</v>
      </c>
      <c r="AJ54" s="7">
        <v>5.4683700800249667E-2</v>
      </c>
      <c r="AK54" s="7">
        <v>2.1269515726713348E-2</v>
      </c>
      <c r="AL54" s="7">
        <v>3.6110845656744189E-2</v>
      </c>
      <c r="AM54" s="7">
        <v>1.0955542293722731E-2</v>
      </c>
      <c r="AN54" s="7">
        <v>2.102628865818924E-3</v>
      </c>
      <c r="AO54" s="7">
        <v>2.4284244759939081E-3</v>
      </c>
      <c r="AP54" s="7">
        <v>1.3059278291550249E-4</v>
      </c>
      <c r="AQ54" s="7">
        <v>2.1524086344046848E-3</v>
      </c>
      <c r="AR54" s="7">
        <v>6.5704056610526454E-5</v>
      </c>
      <c r="AS54" s="7">
        <v>7.484089585381945E-2</v>
      </c>
      <c r="AT54" s="7">
        <v>7.4596247748118516E-3</v>
      </c>
      <c r="AU54" s="7">
        <v>2.3691018294060111E-2</v>
      </c>
      <c r="AV54" s="7">
        <v>8.1067469748372491E-4</v>
      </c>
      <c r="AW54" s="7">
        <v>1.444083028465811E-4</v>
      </c>
      <c r="AX54" s="7">
        <v>2.0975337528772071E-3</v>
      </c>
      <c r="AY54" s="7">
        <v>0</v>
      </c>
      <c r="AZ54" s="7">
        <v>5.2581549669944412E-3</v>
      </c>
      <c r="BA54" s="7">
        <v>2.9732363919552228E-3</v>
      </c>
      <c r="BB54" s="7">
        <v>0</v>
      </c>
      <c r="BC54" s="7">
        <v>1.0104356256396821E-2</v>
      </c>
      <c r="BD54" s="7">
        <v>8.4435457522283475E-3</v>
      </c>
      <c r="BE54" s="7">
        <v>3.812454709236622E-3</v>
      </c>
      <c r="BF54" s="7">
        <v>4.6846385595228422E-4</v>
      </c>
      <c r="BG54" s="7">
        <v>2.6741604964216478E-3</v>
      </c>
      <c r="BH54" s="7">
        <v>1.049954773560095E-2</v>
      </c>
      <c r="BI54" s="7">
        <v>4.8587105630909573E-2</v>
      </c>
      <c r="BJ54" s="7">
        <v>1.3293896994331519E-2</v>
      </c>
      <c r="BK54" s="7">
        <v>4.0673085930809823E-3</v>
      </c>
      <c r="BL54" s="7">
        <v>7.6310208992597904E-3</v>
      </c>
      <c r="BM54" s="7">
        <v>9.8858046040851327E-2</v>
      </c>
      <c r="BN54" s="7">
        <v>6.9308800739412346E-3</v>
      </c>
      <c r="BO54" s="7">
        <v>2.1240351827749482E-3</v>
      </c>
      <c r="BP54" s="7">
        <v>4.7614715480848446E-3</v>
      </c>
      <c r="BQ54" s="7">
        <v>4.6050254497578498E-2</v>
      </c>
      <c r="BR54" s="7">
        <v>1.614033708120579E-2</v>
      </c>
      <c r="BS54" s="7">
        <v>4.902699828709463E-3</v>
      </c>
      <c r="BT54" s="7">
        <v>1.6175373193229739E-3</v>
      </c>
      <c r="BU54" s="7">
        <v>1.12527689446728E-2</v>
      </c>
      <c r="BV54" s="7">
        <v>6.1298999093246861E-3</v>
      </c>
      <c r="BW54" s="7">
        <v>3.4050404851223258E-3</v>
      </c>
      <c r="BX54" s="7">
        <v>7.8924075415304814E-4</v>
      </c>
      <c r="BY54" s="7">
        <v>2.6106644281317492E-3</v>
      </c>
      <c r="BZ54" s="7">
        <v>5.1482756237010334E-3</v>
      </c>
    </row>
    <row r="55" spans="1:78">
      <c r="A55" s="4" t="s">
        <v>177</v>
      </c>
      <c r="B55" s="7">
        <v>5.2750790550908165E-4</v>
      </c>
      <c r="C55" s="7">
        <v>8.430557157814635E-4</v>
      </c>
      <c r="D55" s="7">
        <v>1.1848109492729001E-4</v>
      </c>
      <c r="E55" s="7">
        <v>6.6041939163322052E-4</v>
      </c>
      <c r="F55" s="7">
        <v>2.4374895785427199E-6</v>
      </c>
      <c r="G55" s="7">
        <v>3.497726597366383E-5</v>
      </c>
      <c r="H55" s="7">
        <v>0</v>
      </c>
      <c r="I55" s="7">
        <v>1.4856801508321361E-4</v>
      </c>
      <c r="J55" s="7">
        <v>3.616627235452384E-3</v>
      </c>
      <c r="K55" s="7">
        <v>4.666038883792429E-4</v>
      </c>
      <c r="L55" s="7">
        <v>9.4120810632690138E-5</v>
      </c>
      <c r="M55" s="7">
        <v>2.345216846584363E-4</v>
      </c>
      <c r="N55" s="7">
        <v>2.4346321587655231E-4</v>
      </c>
      <c r="O55" s="7">
        <v>6.0422353429264633E-5</v>
      </c>
      <c r="P55" s="7">
        <v>1.091784496815287E-4</v>
      </c>
      <c r="Q55" s="7">
        <v>8.2466011638989055E-5</v>
      </c>
      <c r="R55" s="7">
        <v>0</v>
      </c>
      <c r="S55" s="7">
        <v>6.0882270980924368E-3</v>
      </c>
      <c r="T55" s="7">
        <v>2.8922779505160099E-5</v>
      </c>
      <c r="U55" s="7">
        <v>1.4039112167417349E-4</v>
      </c>
      <c r="V55" s="7">
        <v>7.7443154824464932E-3</v>
      </c>
      <c r="W55" s="7">
        <v>5.6680140500607628E-5</v>
      </c>
      <c r="X55" s="7">
        <v>9.8417515993201176E-4</v>
      </c>
      <c r="Y55" s="7">
        <v>4.7312839499869062E-3</v>
      </c>
      <c r="Z55" s="7">
        <v>1.114610247104877E-3</v>
      </c>
      <c r="AA55" s="7">
        <v>6.4885265120754384E-4</v>
      </c>
      <c r="AB55" s="7">
        <v>6.5404632771687158E-4</v>
      </c>
      <c r="AC55" s="7">
        <v>4.0421390709944948E-4</v>
      </c>
      <c r="AD55" s="7">
        <v>2.1346813674674999E-5</v>
      </c>
      <c r="AE55" s="7">
        <v>8.7471600314391589E-3</v>
      </c>
      <c r="AF55" s="7">
        <v>5.4755602875713219E-5</v>
      </c>
      <c r="AG55" s="7">
        <v>4.089287018806674E-5</v>
      </c>
      <c r="AH55" s="7">
        <v>2.195607140794011E-4</v>
      </c>
      <c r="AI55" s="7">
        <v>2.4269275330394651E-4</v>
      </c>
      <c r="AJ55" s="7">
        <v>4.5444214954667397E-2</v>
      </c>
      <c r="AK55" s="7">
        <v>2.9500021812362492E-4</v>
      </c>
      <c r="AL55" s="7">
        <v>2.1905373085662982E-3</v>
      </c>
      <c r="AM55" s="7">
        <v>7.0506029031090944E-6</v>
      </c>
      <c r="AN55" s="7">
        <v>2.696901121055756E-5</v>
      </c>
      <c r="AO55" s="7">
        <v>7.439406340536437E-6</v>
      </c>
      <c r="AP55" s="7">
        <v>0</v>
      </c>
      <c r="AQ55" s="7">
        <v>3.693363081987301E-4</v>
      </c>
      <c r="AR55" s="7">
        <v>0</v>
      </c>
      <c r="AS55" s="7">
        <v>4.7703087869150392E-3</v>
      </c>
      <c r="AT55" s="7">
        <v>2.4742213845072459E-3</v>
      </c>
      <c r="AU55" s="7">
        <v>1.930741312024357E-3</v>
      </c>
      <c r="AV55" s="7">
        <v>1.118821077114479E-5</v>
      </c>
      <c r="AW55" s="7">
        <v>4.785572772611359E-5</v>
      </c>
      <c r="AX55" s="7">
        <v>3.3997639145014621E-3</v>
      </c>
      <c r="AY55" s="7">
        <v>8.6067460722662781E-5</v>
      </c>
      <c r="AZ55" s="7">
        <v>2.1945108637170071E-4</v>
      </c>
      <c r="BA55" s="7">
        <v>9.4662590759110626E-5</v>
      </c>
      <c r="BB55" s="7">
        <v>2.8229892832780739E-3</v>
      </c>
      <c r="BC55" s="7">
        <v>0</v>
      </c>
      <c r="BD55" s="7">
        <v>3.8183551288029251E-4</v>
      </c>
      <c r="BE55" s="7">
        <v>3.0583555035557423E-4</v>
      </c>
      <c r="BF55" s="7">
        <v>5.1421691848888441E-4</v>
      </c>
      <c r="BG55" s="7">
        <v>3.9222626853468708E-5</v>
      </c>
      <c r="BH55" s="7">
        <v>5.3950681362556333E-4</v>
      </c>
      <c r="BI55" s="7">
        <v>2.289590881497927E-5</v>
      </c>
      <c r="BJ55" s="7">
        <v>1.61833394928483E-3</v>
      </c>
      <c r="BK55" s="7">
        <v>9.4811350088720389E-4</v>
      </c>
      <c r="BL55" s="7">
        <v>5.1675440589857169E-5</v>
      </c>
      <c r="BM55" s="7">
        <v>5.0244262214296929E-5</v>
      </c>
      <c r="BN55" s="7">
        <v>2.229157124396463E-3</v>
      </c>
      <c r="BO55" s="7">
        <v>5.9934247914585497E-6</v>
      </c>
      <c r="BP55" s="7">
        <v>1.2458191021707599E-4</v>
      </c>
      <c r="BQ55" s="7">
        <v>4.4133092578509921E-3</v>
      </c>
      <c r="BR55" s="7">
        <v>1.9677341446162351E-5</v>
      </c>
      <c r="BS55" s="7">
        <v>4.3506833190970238E-5</v>
      </c>
      <c r="BT55" s="7">
        <v>1.291160913138303E-3</v>
      </c>
      <c r="BU55" s="7">
        <v>4.2925729792416128E-5</v>
      </c>
      <c r="BV55" s="7">
        <v>7.1589759995829021E-6</v>
      </c>
      <c r="BW55" s="7">
        <v>6.8628800301388391E-4</v>
      </c>
      <c r="BX55" s="7">
        <v>2.9758922074442548E-5</v>
      </c>
      <c r="BY55" s="7">
        <v>5.1445893881400686E-6</v>
      </c>
      <c r="BZ55" s="7">
        <v>2.413758527708622E-4</v>
      </c>
    </row>
    <row r="56" spans="1:78">
      <c r="A56" s="4" t="s">
        <v>179</v>
      </c>
      <c r="B56" s="7">
        <v>2.1843235942348491E-5</v>
      </c>
      <c r="C56" s="7">
        <v>1.026423693543245E-3</v>
      </c>
      <c r="D56" s="7">
        <v>5.965472477453708E-5</v>
      </c>
      <c r="E56" s="7">
        <v>8.4371957982968915E-6</v>
      </c>
      <c r="F56" s="7">
        <v>0</v>
      </c>
      <c r="G56" s="7">
        <v>0</v>
      </c>
      <c r="H56" s="7">
        <v>0</v>
      </c>
      <c r="I56" s="7">
        <v>6.6726800583283459E-4</v>
      </c>
      <c r="J56" s="7">
        <v>1.0678334746151409E-4</v>
      </c>
      <c r="K56" s="7">
        <v>1.419262036588732E-5</v>
      </c>
      <c r="L56" s="7">
        <v>3.3824056412287908E-6</v>
      </c>
      <c r="M56" s="7">
        <v>2.429250486372947E-5</v>
      </c>
      <c r="N56" s="7">
        <v>1.255521031786688E-6</v>
      </c>
      <c r="O56" s="7">
        <v>5.0059057741456351E-4</v>
      </c>
      <c r="P56" s="7">
        <v>0</v>
      </c>
      <c r="Q56" s="7">
        <v>1.3877677969782E-6</v>
      </c>
      <c r="R56" s="7">
        <v>0</v>
      </c>
      <c r="S56" s="7">
        <v>0</v>
      </c>
      <c r="T56" s="7">
        <v>0</v>
      </c>
      <c r="U56" s="7">
        <v>2.480748742377037E-5</v>
      </c>
      <c r="V56" s="7">
        <v>6.6246840598822309E-5</v>
      </c>
      <c r="W56" s="7">
        <v>2.3235510810007011E-5</v>
      </c>
      <c r="X56" s="7">
        <v>1.474040441381572E-5</v>
      </c>
      <c r="Y56" s="7">
        <v>0</v>
      </c>
      <c r="Z56" s="7">
        <v>0</v>
      </c>
      <c r="AA56" s="7">
        <v>1.902529042592034E-6</v>
      </c>
      <c r="AB56" s="7">
        <v>3.8780488300506713E-4</v>
      </c>
      <c r="AC56" s="7">
        <v>4.3746586921783253E-5</v>
      </c>
      <c r="AD56" s="7">
        <v>1.9820442780549879E-4</v>
      </c>
      <c r="AE56" s="7">
        <v>0</v>
      </c>
      <c r="AF56" s="7">
        <v>4.1604144397688734E-6</v>
      </c>
      <c r="AG56" s="7">
        <v>2.9090718277838291E-5</v>
      </c>
      <c r="AH56" s="7">
        <v>3.4517421703561761E-5</v>
      </c>
      <c r="AI56" s="7">
        <v>1.431623177858958E-5</v>
      </c>
      <c r="AJ56" s="7">
        <v>0</v>
      </c>
      <c r="AK56" s="7">
        <v>0</v>
      </c>
      <c r="AL56" s="7">
        <v>9.2080968779757006E-7</v>
      </c>
      <c r="AM56" s="7">
        <v>0</v>
      </c>
      <c r="AN56" s="7">
        <v>6.7503838520883998E-6</v>
      </c>
      <c r="AO56" s="7">
        <v>1.546166766015264E-4</v>
      </c>
      <c r="AP56" s="7">
        <v>0</v>
      </c>
      <c r="AQ56" s="7">
        <v>5.4919342389939476E-7</v>
      </c>
      <c r="AR56" s="7">
        <v>0</v>
      </c>
      <c r="AS56" s="7">
        <v>3.677388827409066E-7</v>
      </c>
      <c r="AT56" s="7">
        <v>0</v>
      </c>
      <c r="AU56" s="7">
        <v>0</v>
      </c>
      <c r="AV56" s="7">
        <v>0</v>
      </c>
      <c r="AW56" s="7">
        <v>1.162969100423299E-5</v>
      </c>
      <c r="AX56" s="7">
        <v>0</v>
      </c>
      <c r="AY56" s="7">
        <v>0</v>
      </c>
      <c r="AZ56" s="7">
        <v>9.4381934529507005E-5</v>
      </c>
      <c r="BA56" s="7">
        <v>0</v>
      </c>
      <c r="BB56" s="7">
        <v>3.0877118606173388E-5</v>
      </c>
      <c r="BC56" s="7">
        <v>0</v>
      </c>
      <c r="BD56" s="7">
        <v>0</v>
      </c>
      <c r="BE56" s="7">
        <v>1.949506085874209E-4</v>
      </c>
      <c r="BF56" s="7">
        <v>1.6403161133941201E-4</v>
      </c>
      <c r="BG56" s="7">
        <v>4.1208720022861289E-5</v>
      </c>
      <c r="BH56" s="7">
        <v>1.036787077162235E-7</v>
      </c>
      <c r="BI56" s="7">
        <v>7.805358420209286E-6</v>
      </c>
      <c r="BJ56" s="7">
        <v>0</v>
      </c>
      <c r="BK56" s="7">
        <v>0</v>
      </c>
      <c r="BL56" s="7">
        <v>9.6525299222179113E-6</v>
      </c>
      <c r="BM56" s="7">
        <v>0</v>
      </c>
      <c r="BN56" s="7">
        <v>2.919464184677431E-5</v>
      </c>
      <c r="BO56" s="7">
        <v>1.1977544855730719E-7</v>
      </c>
      <c r="BP56" s="7">
        <v>3.0788558082085549E-7</v>
      </c>
      <c r="BQ56" s="7">
        <v>2.00844222681757E-5</v>
      </c>
      <c r="BR56" s="7">
        <v>6.5612653768044632E-4</v>
      </c>
      <c r="BS56" s="7">
        <v>0</v>
      </c>
      <c r="BT56" s="7">
        <v>6.6659401156924841E-6</v>
      </c>
      <c r="BU56" s="7">
        <v>8.4415793978962171E-6</v>
      </c>
      <c r="BV56" s="7">
        <v>0</v>
      </c>
      <c r="BW56" s="7">
        <v>3.8192667321257948E-5</v>
      </c>
      <c r="BX56" s="7">
        <v>1.6056826761779281E-5</v>
      </c>
      <c r="BY56" s="7">
        <v>4.0467187781358128E-5</v>
      </c>
      <c r="BZ56" s="7">
        <v>3.7328161712321998E-4</v>
      </c>
    </row>
    <row r="57" spans="1:78">
      <c r="A57" s="4" t="s">
        <v>181</v>
      </c>
      <c r="B57" s="7">
        <v>5.4851478436636607E-4</v>
      </c>
      <c r="C57" s="7">
        <v>4.6866405390750667E-5</v>
      </c>
      <c r="D57" s="7">
        <v>0</v>
      </c>
      <c r="E57" s="7">
        <v>1.7030162261759821E-7</v>
      </c>
      <c r="F57" s="7">
        <v>1.658142933116014E-3</v>
      </c>
      <c r="G57" s="7">
        <v>0</v>
      </c>
      <c r="H57" s="7">
        <v>0</v>
      </c>
      <c r="I57" s="7">
        <v>0</v>
      </c>
      <c r="J57" s="7">
        <v>0</v>
      </c>
      <c r="K57" s="7">
        <v>4.3041027231865891E-7</v>
      </c>
      <c r="L57" s="7">
        <v>0</v>
      </c>
      <c r="M57" s="7">
        <v>3.7109904387539298E-5</v>
      </c>
      <c r="N57" s="7">
        <v>7.649436230566596E-8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5.6824003884310133E-7</v>
      </c>
      <c r="U57" s="7">
        <v>2.9658113866536901E-6</v>
      </c>
      <c r="V57" s="7">
        <v>0</v>
      </c>
      <c r="W57" s="7">
        <v>0</v>
      </c>
      <c r="X57" s="7">
        <v>1.852890556293644E-6</v>
      </c>
      <c r="Y57" s="7">
        <v>0</v>
      </c>
      <c r="Z57" s="7">
        <v>0</v>
      </c>
      <c r="AA57" s="7">
        <v>0</v>
      </c>
      <c r="AB57" s="7">
        <v>2.095982241843089E-5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2.1542677811152331E-6</v>
      </c>
      <c r="AJ57" s="7">
        <v>0</v>
      </c>
      <c r="AK57" s="7">
        <v>0</v>
      </c>
      <c r="AL57" s="7">
        <v>3.1724433537805628E-6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2.0628018946117139E-6</v>
      </c>
      <c r="AW57" s="7">
        <v>0</v>
      </c>
      <c r="AX57" s="7">
        <v>0</v>
      </c>
      <c r="AY57" s="7">
        <v>0</v>
      </c>
      <c r="AZ57" s="7">
        <v>8.3030207157594178E-8</v>
      </c>
      <c r="BA57" s="7">
        <v>0</v>
      </c>
      <c r="BB57" s="7">
        <v>8.7987114944500029E-7</v>
      </c>
      <c r="BC57" s="7">
        <v>9.9244789414812606E-6</v>
      </c>
      <c r="BD57" s="7">
        <v>0</v>
      </c>
      <c r="BE57" s="7">
        <v>0</v>
      </c>
      <c r="BF57" s="7">
        <v>0</v>
      </c>
      <c r="BG57" s="7">
        <v>5.3179543879910539E-7</v>
      </c>
      <c r="BH57" s="7">
        <v>0</v>
      </c>
      <c r="BI57" s="7">
        <v>0</v>
      </c>
      <c r="BJ57" s="7">
        <v>0</v>
      </c>
      <c r="BK57" s="7">
        <v>0</v>
      </c>
      <c r="BL57" s="7">
        <v>3.884329311870829E-6</v>
      </c>
      <c r="BM57" s="7">
        <v>6.3385776014530105E-5</v>
      </c>
      <c r="BN57" s="7">
        <v>0</v>
      </c>
      <c r="BO57" s="7">
        <v>2.0466424374739161E-7</v>
      </c>
      <c r="BP57" s="7">
        <v>3.5023876381144473E-5</v>
      </c>
      <c r="BQ57" s="7">
        <v>1.38512706300525E-7</v>
      </c>
      <c r="BR57" s="7">
        <v>1.27404644947481E-7</v>
      </c>
      <c r="BS57" s="7">
        <v>0</v>
      </c>
      <c r="BT57" s="7">
        <v>4.479352491878971E-7</v>
      </c>
      <c r="BU57" s="7">
        <v>0</v>
      </c>
      <c r="BV57" s="7">
        <v>0</v>
      </c>
      <c r="BW57" s="7">
        <v>4.9730280283506593E-4</v>
      </c>
      <c r="BX57" s="7">
        <v>0</v>
      </c>
      <c r="BY57" s="7">
        <v>1.2506888370927679E-7</v>
      </c>
      <c r="BZ57" s="7">
        <v>4.6222170615683409E-4</v>
      </c>
    </row>
    <row r="58" spans="1:78">
      <c r="A58" s="4" t="s">
        <v>183</v>
      </c>
      <c r="B58" s="7">
        <v>4.5567043840312463E-5</v>
      </c>
      <c r="C58" s="7">
        <v>0</v>
      </c>
      <c r="D58" s="7">
        <v>0</v>
      </c>
      <c r="E58" s="7">
        <v>2.7999450298589171E-6</v>
      </c>
      <c r="F58" s="7">
        <v>0</v>
      </c>
      <c r="G58" s="7">
        <v>0</v>
      </c>
      <c r="H58" s="7">
        <v>0</v>
      </c>
      <c r="I58" s="7">
        <v>8.3529526692747117E-7</v>
      </c>
      <c r="J58" s="7">
        <v>0</v>
      </c>
      <c r="K58" s="7">
        <v>2.9095056480717941E-6</v>
      </c>
      <c r="L58" s="7">
        <v>0</v>
      </c>
      <c r="M58" s="7">
        <v>1.064771124189271E-4</v>
      </c>
      <c r="N58" s="7">
        <v>2.5233245968268719E-5</v>
      </c>
      <c r="O58" s="7">
        <v>0</v>
      </c>
      <c r="P58" s="7">
        <v>0</v>
      </c>
      <c r="Q58" s="7">
        <v>1.0014854471997519E-3</v>
      </c>
      <c r="R58" s="7">
        <v>7.7085375278972114E-6</v>
      </c>
      <c r="S58" s="7">
        <v>0</v>
      </c>
      <c r="T58" s="7">
        <v>0</v>
      </c>
      <c r="U58" s="7">
        <v>4.5317247617876548E-6</v>
      </c>
      <c r="V58" s="7">
        <v>8.7795554951034837E-7</v>
      </c>
      <c r="W58" s="7">
        <v>0</v>
      </c>
      <c r="X58" s="7">
        <v>2.4684421976901891E-6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8.236164333470687E-6</v>
      </c>
      <c r="AI58" s="7">
        <v>0</v>
      </c>
      <c r="AJ58" s="7">
        <v>0</v>
      </c>
      <c r="AK58" s="7">
        <v>0</v>
      </c>
      <c r="AL58" s="7">
        <v>1.7946745712163969E-6</v>
      </c>
      <c r="AM58" s="7">
        <v>0</v>
      </c>
      <c r="AN58" s="7">
        <v>1.425585237699395E-6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7.3983945432332628E-5</v>
      </c>
      <c r="AX58" s="7">
        <v>0</v>
      </c>
      <c r="AY58" s="7">
        <v>0</v>
      </c>
      <c r="AZ58" s="7">
        <v>0</v>
      </c>
      <c r="BA58" s="7">
        <v>0</v>
      </c>
      <c r="BB58" s="7">
        <v>2.5925895458388761E-6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1.308432441634445E-7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5.5405362711787442E-7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1.7800246935042329E-4</v>
      </c>
      <c r="BX58" s="7">
        <v>0</v>
      </c>
      <c r="BY58" s="7">
        <v>7.2009954245036937E-6</v>
      </c>
      <c r="BZ58" s="7">
        <v>2.0592283920665009E-4</v>
      </c>
    </row>
    <row r="59" spans="1:78">
      <c r="A59" s="4" t="s">
        <v>185</v>
      </c>
      <c r="B59" s="7">
        <v>2.2505552489557239E-4</v>
      </c>
      <c r="C59" s="7">
        <v>5.7075938302349367E-4</v>
      </c>
      <c r="D59" s="7">
        <v>3.6748819528115828E-4</v>
      </c>
      <c r="E59" s="7">
        <v>1.5374034278280531E-3</v>
      </c>
      <c r="F59" s="7">
        <v>0</v>
      </c>
      <c r="G59" s="7">
        <v>1.3965161947795389E-2</v>
      </c>
      <c r="H59" s="7">
        <v>0</v>
      </c>
      <c r="I59" s="7">
        <v>4.4900470423130971E-3</v>
      </c>
      <c r="J59" s="7">
        <v>1.0573936916256699E-3</v>
      </c>
      <c r="K59" s="7">
        <v>1.2652092615785711E-3</v>
      </c>
      <c r="L59" s="7">
        <v>8.3545273943328726E-4</v>
      </c>
      <c r="M59" s="7">
        <v>6.3478586036200549E-6</v>
      </c>
      <c r="N59" s="7">
        <v>2.448754731327819E-2</v>
      </c>
      <c r="O59" s="7">
        <v>8.786622734067254E-3</v>
      </c>
      <c r="P59" s="7">
        <v>0</v>
      </c>
      <c r="Q59" s="7">
        <v>1.0943857684232029E-4</v>
      </c>
      <c r="R59" s="7">
        <v>2.5627567253679671E-5</v>
      </c>
      <c r="S59" s="7">
        <v>0</v>
      </c>
      <c r="T59" s="7">
        <v>1.0240247355271989E-3</v>
      </c>
      <c r="U59" s="7">
        <v>2.6269371217289331E-3</v>
      </c>
      <c r="V59" s="7">
        <v>5.2326935978283262E-5</v>
      </c>
      <c r="W59" s="7">
        <v>4.4198394282694553E-5</v>
      </c>
      <c r="X59" s="7">
        <v>1.278686034158705E-3</v>
      </c>
      <c r="Y59" s="7">
        <v>5.65003127257666E-4</v>
      </c>
      <c r="Z59" s="7">
        <v>5.8280770661243526E-3</v>
      </c>
      <c r="AA59" s="7">
        <v>2.4906013215531949E-3</v>
      </c>
      <c r="AB59" s="7">
        <v>5.1468518554181374E-3</v>
      </c>
      <c r="AC59" s="7">
        <v>1.335676555364606E-5</v>
      </c>
      <c r="AD59" s="7">
        <v>4.3874276755778513E-2</v>
      </c>
      <c r="AE59" s="7">
        <v>2.522237221247979E-6</v>
      </c>
      <c r="AF59" s="7">
        <v>1.8847032550589329E-3</v>
      </c>
      <c r="AG59" s="7">
        <v>1.255858144023243E-2</v>
      </c>
      <c r="AH59" s="7">
        <v>6.01497146357911E-3</v>
      </c>
      <c r="AI59" s="7">
        <v>7.5588279250782438E-4</v>
      </c>
      <c r="AJ59" s="7">
        <v>6.5926855742337091E-5</v>
      </c>
      <c r="AK59" s="7">
        <v>6.7007192402366222E-4</v>
      </c>
      <c r="AL59" s="7">
        <v>1.8975423887394891E-3</v>
      </c>
      <c r="AM59" s="7">
        <v>0</v>
      </c>
      <c r="AN59" s="7">
        <v>4.7247662464083851E-2</v>
      </c>
      <c r="AO59" s="7">
        <v>0</v>
      </c>
      <c r="AP59" s="7">
        <v>2.157583511821869E-4</v>
      </c>
      <c r="AQ59" s="7">
        <v>0.23777246965235349</v>
      </c>
      <c r="AR59" s="7">
        <v>0</v>
      </c>
      <c r="AS59" s="7">
        <v>5.916948502085409E-2</v>
      </c>
      <c r="AT59" s="7">
        <v>0</v>
      </c>
      <c r="AU59" s="7">
        <v>1.6333822278549179E-3</v>
      </c>
      <c r="AV59" s="7">
        <v>4.4102799443486843E-2</v>
      </c>
      <c r="AW59" s="7">
        <v>3.502710626223364E-3</v>
      </c>
      <c r="AX59" s="7">
        <v>3.6619395012934829E-7</v>
      </c>
      <c r="AY59" s="7">
        <v>8.4054138335715634E-4</v>
      </c>
      <c r="AZ59" s="7">
        <v>6.9866457707909627E-2</v>
      </c>
      <c r="BA59" s="7">
        <v>0</v>
      </c>
      <c r="BB59" s="7">
        <v>8.9346722169969302E-3</v>
      </c>
      <c r="BC59" s="7">
        <v>6.0022377896100832E-4</v>
      </c>
      <c r="BD59" s="7">
        <v>6.8775694759017287E-4</v>
      </c>
      <c r="BE59" s="7">
        <v>6.7269333097030343E-6</v>
      </c>
      <c r="BF59" s="7">
        <v>1.0088932584486079E-4</v>
      </c>
      <c r="BG59" s="7">
        <v>0</v>
      </c>
      <c r="BH59" s="7">
        <v>2.2137298915175432E-3</v>
      </c>
      <c r="BI59" s="7">
        <v>1.9560666833131871E-3</v>
      </c>
      <c r="BJ59" s="7">
        <v>7.3358252140196036E-5</v>
      </c>
      <c r="BK59" s="7">
        <v>8.4014588038801415E-6</v>
      </c>
      <c r="BL59" s="7">
        <v>0</v>
      </c>
      <c r="BM59" s="7">
        <v>3.572495721234702E-4</v>
      </c>
      <c r="BN59" s="7">
        <v>4.0786139797386198E-2</v>
      </c>
      <c r="BO59" s="7">
        <v>7.4903966764931014E-4</v>
      </c>
      <c r="BP59" s="7">
        <v>1.2385940178852011E-4</v>
      </c>
      <c r="BQ59" s="7">
        <v>2.3441982877521412E-3</v>
      </c>
      <c r="BR59" s="7">
        <v>7.3104024774463356E-3</v>
      </c>
      <c r="BS59" s="7">
        <v>6.7735871882593657E-5</v>
      </c>
      <c r="BT59" s="7">
        <v>8.6571358952810731E-3</v>
      </c>
      <c r="BU59" s="7">
        <v>3.4637123679641557E-2</v>
      </c>
      <c r="BV59" s="7">
        <v>2.5790419540035601E-5</v>
      </c>
      <c r="BW59" s="7">
        <v>4.828547461246095E-3</v>
      </c>
      <c r="BX59" s="7">
        <v>2.73995477114592E-2</v>
      </c>
      <c r="BY59" s="7">
        <v>4.0369327998924571E-4</v>
      </c>
      <c r="BZ59" s="7">
        <v>3.1887888586667042E-4</v>
      </c>
    </row>
    <row r="60" spans="1:78">
      <c r="A60" s="4" t="s">
        <v>187</v>
      </c>
      <c r="B60" s="7">
        <v>2.8196123503731402E-3</v>
      </c>
      <c r="C60" s="7">
        <v>9.6375181949332409E-3</v>
      </c>
      <c r="D60" s="7">
        <v>4.5972213534523403E-2</v>
      </c>
      <c r="E60" s="7">
        <v>2.785150369012941E-3</v>
      </c>
      <c r="F60" s="7">
        <v>4.6983003726368607E-5</v>
      </c>
      <c r="G60" s="7">
        <v>2.300985320336285E-3</v>
      </c>
      <c r="H60" s="7">
        <v>0.1295405889790639</v>
      </c>
      <c r="I60" s="7">
        <v>1.416651479643926E-2</v>
      </c>
      <c r="J60" s="7">
        <v>9.537820437617668E-4</v>
      </c>
      <c r="K60" s="7">
        <v>5.1435954822520464E-3</v>
      </c>
      <c r="L60" s="7">
        <v>3.0257045338307219E-2</v>
      </c>
      <c r="M60" s="7">
        <v>2.7127320799180031E-4</v>
      </c>
      <c r="N60" s="7">
        <v>7.955951070782492E-3</v>
      </c>
      <c r="O60" s="7">
        <v>2.9287016784230601E-3</v>
      </c>
      <c r="P60" s="7">
        <v>6.1543355380858371E-5</v>
      </c>
      <c r="Q60" s="7">
        <v>2.208268504898065E-3</v>
      </c>
      <c r="R60" s="7">
        <v>6.1168542915167627E-3</v>
      </c>
      <c r="S60" s="7">
        <v>1.383781540165695E-5</v>
      </c>
      <c r="T60" s="7">
        <v>1.8194498873291731E-2</v>
      </c>
      <c r="U60" s="7">
        <v>7.6920780728236729E-2</v>
      </c>
      <c r="V60" s="7">
        <v>2.7726573042332881E-2</v>
      </c>
      <c r="W60" s="7">
        <v>8.2228463271859127E-3</v>
      </c>
      <c r="X60" s="7">
        <v>1.475432357014052E-2</v>
      </c>
      <c r="Y60" s="7">
        <v>1.3903251669053899E-2</v>
      </c>
      <c r="Z60" s="7">
        <v>1.230234042666223E-2</v>
      </c>
      <c r="AA60" s="7">
        <v>3.0569739092724531E-2</v>
      </c>
      <c r="AB60" s="7">
        <v>2.1659921245564619E-2</v>
      </c>
      <c r="AC60" s="7">
        <v>4.5047411615870272E-3</v>
      </c>
      <c r="AD60" s="7">
        <v>5.23277370851588E-5</v>
      </c>
      <c r="AE60" s="7">
        <v>3.060753474652448E-2</v>
      </c>
      <c r="AF60" s="7">
        <v>0.10959314521552239</v>
      </c>
      <c r="AG60" s="7">
        <v>4.8530371358735508E-4</v>
      </c>
      <c r="AH60" s="7">
        <v>3.91542625741932E-4</v>
      </c>
      <c r="AI60" s="7">
        <v>9.9282574306754738E-3</v>
      </c>
      <c r="AJ60" s="7">
        <v>1.355007908735084E-2</v>
      </c>
      <c r="AK60" s="7">
        <v>8.6814349904952462E-4</v>
      </c>
      <c r="AL60" s="7">
        <v>2.793018600783731E-2</v>
      </c>
      <c r="AM60" s="7">
        <v>1.260736084974586E-2</v>
      </c>
      <c r="AN60" s="7">
        <v>3.4786049518429792E-3</v>
      </c>
      <c r="AO60" s="7">
        <v>8.7245974691748489E-3</v>
      </c>
      <c r="AP60" s="7">
        <v>0</v>
      </c>
      <c r="AQ60" s="7">
        <v>5.5816006355536209E-3</v>
      </c>
      <c r="AR60" s="7">
        <v>0</v>
      </c>
      <c r="AS60" s="7">
        <v>8.0339741334804565E-2</v>
      </c>
      <c r="AT60" s="7">
        <v>2.2306389888389621E-4</v>
      </c>
      <c r="AU60" s="7">
        <v>0.1492909190910065</v>
      </c>
      <c r="AV60" s="7">
        <v>2.25895245993652E-2</v>
      </c>
      <c r="AW60" s="7">
        <v>3.0203908392652571E-3</v>
      </c>
      <c r="AX60" s="7">
        <v>3.8167324699774733E-5</v>
      </c>
      <c r="AY60" s="7">
        <v>4.4533469120867487E-5</v>
      </c>
      <c r="AZ60" s="7">
        <v>7.8265243403518832E-4</v>
      </c>
      <c r="BA60" s="7">
        <v>1.8188468574914271E-3</v>
      </c>
      <c r="BB60" s="7">
        <v>1.8862257422528811E-2</v>
      </c>
      <c r="BC60" s="7">
        <v>2.010503726226728E-2</v>
      </c>
      <c r="BD60" s="7">
        <v>3.2751239940535149E-3</v>
      </c>
      <c r="BE60" s="7">
        <v>1.027394630740057E-3</v>
      </c>
      <c r="BF60" s="7">
        <v>2.7878805528943649E-2</v>
      </c>
      <c r="BG60" s="7">
        <v>1.4700887992353639E-3</v>
      </c>
      <c r="BH60" s="7">
        <v>0</v>
      </c>
      <c r="BI60" s="7">
        <v>7.7820594418092264E-3</v>
      </c>
      <c r="BJ60" s="7">
        <v>3.0811050543568062E-2</v>
      </c>
      <c r="BK60" s="7">
        <v>2.6146842087077949E-2</v>
      </c>
      <c r="BL60" s="7">
        <v>6.551497994780899E-4</v>
      </c>
      <c r="BM60" s="7">
        <v>1.6353638925418171E-3</v>
      </c>
      <c r="BN60" s="7">
        <v>2.80425738265768E-3</v>
      </c>
      <c r="BO60" s="7">
        <v>5.1668441865376703E-2</v>
      </c>
      <c r="BP60" s="7">
        <v>8.4734813371511331E-3</v>
      </c>
      <c r="BQ60" s="7">
        <v>1.030967991106089E-2</v>
      </c>
      <c r="BR60" s="7">
        <v>1.310525290967495E-3</v>
      </c>
      <c r="BS60" s="7">
        <v>1.861549806095231E-2</v>
      </c>
      <c r="BT60" s="7">
        <v>2.3262494381087791E-2</v>
      </c>
      <c r="BU60" s="7">
        <v>1.748335751158184E-3</v>
      </c>
      <c r="BV60" s="7">
        <v>3.7485055675199497E-2</v>
      </c>
      <c r="BW60" s="7">
        <v>4.8922550380664006E-3</v>
      </c>
      <c r="BX60" s="7">
        <v>4.0972359286440864E-3</v>
      </c>
      <c r="BY60" s="7">
        <v>4.8583085698207761E-3</v>
      </c>
      <c r="BZ60" s="7">
        <v>5.4637648640511703E-3</v>
      </c>
    </row>
    <row r="61" spans="1:78">
      <c r="A61" s="4" t="s">
        <v>189</v>
      </c>
      <c r="B61" s="7">
        <v>1.2185332218761309E-3</v>
      </c>
      <c r="C61" s="7">
        <v>3.4870812270995611E-4</v>
      </c>
      <c r="D61" s="7">
        <v>1.013575235847454E-3</v>
      </c>
      <c r="E61" s="7">
        <v>6.8037891400397474E-3</v>
      </c>
      <c r="F61" s="7">
        <v>3.1918040414045071E-5</v>
      </c>
      <c r="G61" s="7">
        <v>6.0291037481042685E-7</v>
      </c>
      <c r="H61" s="7">
        <v>0</v>
      </c>
      <c r="I61" s="7">
        <v>3.2219975082457631E-3</v>
      </c>
      <c r="J61" s="7">
        <v>0</v>
      </c>
      <c r="K61" s="7">
        <v>3.1829432795376278E-4</v>
      </c>
      <c r="L61" s="7">
        <v>6.242630510497474E-3</v>
      </c>
      <c r="M61" s="7">
        <v>5.8306252957968736E-4</v>
      </c>
      <c r="N61" s="7">
        <v>5.5403925520161081E-4</v>
      </c>
      <c r="O61" s="7">
        <v>8.664261458297488E-3</v>
      </c>
      <c r="P61" s="7">
        <v>7.7556052996389689E-4</v>
      </c>
      <c r="Q61" s="7">
        <v>7.6945623999038695E-5</v>
      </c>
      <c r="R61" s="7">
        <v>7.9061203384098665E-4</v>
      </c>
      <c r="S61" s="7">
        <v>7.5470069146651979E-3</v>
      </c>
      <c r="T61" s="7">
        <v>8.9433895075217453E-4</v>
      </c>
      <c r="U61" s="7">
        <v>2.9569607323836791E-3</v>
      </c>
      <c r="V61" s="7">
        <v>7.0364597310904872E-5</v>
      </c>
      <c r="W61" s="7">
        <v>7.6653578102811755E-4</v>
      </c>
      <c r="X61" s="7">
        <v>1.6092381221533381E-2</v>
      </c>
      <c r="Y61" s="7">
        <v>2.0411623188457801E-4</v>
      </c>
      <c r="Z61" s="7">
        <v>1.3924406648274381E-3</v>
      </c>
      <c r="AA61" s="7">
        <v>7.8014069535766832E-3</v>
      </c>
      <c r="AB61" s="7">
        <v>3.3198390170507031E-3</v>
      </c>
      <c r="AC61" s="7">
        <v>8.1716276422473921E-2</v>
      </c>
      <c r="AD61" s="7">
        <v>2.4732520045589722E-4</v>
      </c>
      <c r="AE61" s="7">
        <v>1.1161933407801511E-4</v>
      </c>
      <c r="AF61" s="7">
        <v>6.3571269386971407E-5</v>
      </c>
      <c r="AG61" s="7">
        <v>1.1700926194704231E-3</v>
      </c>
      <c r="AH61" s="7">
        <v>1.52625444310752E-3</v>
      </c>
      <c r="AI61" s="7">
        <v>3.958065246099384E-5</v>
      </c>
      <c r="AJ61" s="7">
        <v>1.4906672393246351E-4</v>
      </c>
      <c r="AK61" s="7">
        <v>9.2714354267424957E-4</v>
      </c>
      <c r="AL61" s="7">
        <v>3.5664224970090599E-3</v>
      </c>
      <c r="AM61" s="7">
        <v>4.5076680580373477E-5</v>
      </c>
      <c r="AN61" s="7">
        <v>5.7960065917948367E-5</v>
      </c>
      <c r="AO61" s="7">
        <v>6.2328368645644698E-3</v>
      </c>
      <c r="AP61" s="7">
        <v>0</v>
      </c>
      <c r="AQ61" s="7">
        <v>1.74705007610753E-4</v>
      </c>
      <c r="AR61" s="7">
        <v>0</v>
      </c>
      <c r="AS61" s="7">
        <v>2.004061992537084E-4</v>
      </c>
      <c r="AT61" s="7">
        <v>1.431190271177601E-5</v>
      </c>
      <c r="AU61" s="7">
        <v>4.6941973187438923E-5</v>
      </c>
      <c r="AV61" s="7">
        <v>2.4686826747791269E-3</v>
      </c>
      <c r="AW61" s="7">
        <v>1.937409933106325E-4</v>
      </c>
      <c r="AX61" s="7">
        <v>1.273599142539134E-5</v>
      </c>
      <c r="AY61" s="7">
        <v>0</v>
      </c>
      <c r="AZ61" s="7">
        <v>1.6972993117739881E-4</v>
      </c>
      <c r="BA61" s="7">
        <v>2.556625455978625E-5</v>
      </c>
      <c r="BB61" s="7">
        <v>7.594451708764769E-4</v>
      </c>
      <c r="BC61" s="7">
        <v>5.6167577511692538E-4</v>
      </c>
      <c r="BD61" s="7">
        <v>7.3443009839338716E-5</v>
      </c>
      <c r="BE61" s="7">
        <v>7.110683063061698E-4</v>
      </c>
      <c r="BF61" s="7">
        <v>1.007283200147951E-4</v>
      </c>
      <c r="BG61" s="7">
        <v>3.6910944639913408E-5</v>
      </c>
      <c r="BH61" s="7">
        <v>4.6994197587582961E-4</v>
      </c>
      <c r="BI61" s="7">
        <v>0</v>
      </c>
      <c r="BJ61" s="7">
        <v>8.1122840202418564E-4</v>
      </c>
      <c r="BK61" s="7">
        <v>2.123713544824474E-4</v>
      </c>
      <c r="BL61" s="7">
        <v>2.0163953447416979E-5</v>
      </c>
      <c r="BM61" s="7">
        <v>4.9086932442416061E-4</v>
      </c>
      <c r="BN61" s="7">
        <v>9.7803837707623642E-4</v>
      </c>
      <c r="BO61" s="7">
        <v>1.5893156704927241E-4</v>
      </c>
      <c r="BP61" s="7">
        <v>1.1243179714576679E-3</v>
      </c>
      <c r="BQ61" s="7">
        <v>7.5783370793527632E-3</v>
      </c>
      <c r="BR61" s="7">
        <v>4.2856427712018339E-4</v>
      </c>
      <c r="BS61" s="7">
        <v>1.5364587631124719E-2</v>
      </c>
      <c r="BT61" s="7">
        <v>1.06392087269612E-4</v>
      </c>
      <c r="BU61" s="7">
        <v>6.6883389411235479E-5</v>
      </c>
      <c r="BV61" s="7">
        <v>1.8309130436627321E-4</v>
      </c>
      <c r="BW61" s="7">
        <v>2.7802960402299151E-4</v>
      </c>
      <c r="BX61" s="7">
        <v>7.554700388942688E-5</v>
      </c>
      <c r="BY61" s="7">
        <v>3.7408909483943112E-2</v>
      </c>
      <c r="BZ61" s="7">
        <v>5.2732616997424641E-3</v>
      </c>
    </row>
    <row r="62" spans="1:78">
      <c r="A62" s="4" t="s">
        <v>191</v>
      </c>
      <c r="B62" s="7">
        <v>3.5225913427107912E-4</v>
      </c>
      <c r="C62" s="7">
        <v>2.304365888767026E-4</v>
      </c>
      <c r="D62" s="7">
        <v>2.622383296087661E-2</v>
      </c>
      <c r="E62" s="7">
        <v>1.4157394659168681E-3</v>
      </c>
      <c r="F62" s="7">
        <v>4.9695124254740158E-6</v>
      </c>
      <c r="G62" s="7">
        <v>2.8383275967827459E-3</v>
      </c>
      <c r="H62" s="7">
        <v>0</v>
      </c>
      <c r="I62" s="7">
        <v>4.732687890582475E-4</v>
      </c>
      <c r="J62" s="7">
        <v>2.4581400840253131E-5</v>
      </c>
      <c r="K62" s="7">
        <v>3.7829334095809301E-4</v>
      </c>
      <c r="L62" s="7">
        <v>2.6156206114437688E-3</v>
      </c>
      <c r="M62" s="7">
        <v>3.5723469451891889E-4</v>
      </c>
      <c r="N62" s="7">
        <v>3.8577101096150179E-3</v>
      </c>
      <c r="O62" s="7">
        <v>3.9596021152263681E-4</v>
      </c>
      <c r="P62" s="7">
        <v>3.3424142583755581E-3</v>
      </c>
      <c r="Q62" s="7">
        <v>2.3675144194684528E-3</v>
      </c>
      <c r="R62" s="7">
        <v>8.9485349057098412E-5</v>
      </c>
      <c r="S62" s="7">
        <v>1.4090922252804131E-3</v>
      </c>
      <c r="T62" s="7">
        <v>1.002239497840276E-2</v>
      </c>
      <c r="U62" s="7">
        <v>1.886024245788654E-2</v>
      </c>
      <c r="V62" s="7">
        <v>1.805149873551385E-2</v>
      </c>
      <c r="W62" s="7">
        <v>3.4430878958349588E-3</v>
      </c>
      <c r="X62" s="7">
        <v>1.206809972475931E-2</v>
      </c>
      <c r="Y62" s="7">
        <v>5.5035758706228786E-3</v>
      </c>
      <c r="Z62" s="7">
        <v>9.0747082632396097E-3</v>
      </c>
      <c r="AA62" s="7">
        <v>1.3157991916804199E-3</v>
      </c>
      <c r="AB62" s="7">
        <v>1.928362265539801E-2</v>
      </c>
      <c r="AC62" s="7">
        <v>7.2770208224853892E-4</v>
      </c>
      <c r="AD62" s="7">
        <v>3.4483803479606179E-4</v>
      </c>
      <c r="AE62" s="7">
        <v>1.428268511720628E-3</v>
      </c>
      <c r="AF62" s="7">
        <v>1.869926010740516E-3</v>
      </c>
      <c r="AG62" s="7">
        <v>3.7615192469676921E-4</v>
      </c>
      <c r="AH62" s="7">
        <v>1.4440046679249159E-3</v>
      </c>
      <c r="AI62" s="7">
        <v>2.6840732165754052E-4</v>
      </c>
      <c r="AJ62" s="7">
        <v>9.8192015854797819E-4</v>
      </c>
      <c r="AK62" s="7">
        <v>1.346043852409797E-2</v>
      </c>
      <c r="AL62" s="7">
        <v>1.0985495450347559E-2</v>
      </c>
      <c r="AM62" s="7">
        <v>8.6184613627452846E-5</v>
      </c>
      <c r="AN62" s="7">
        <v>1.5502393435951769E-4</v>
      </c>
      <c r="AO62" s="7">
        <v>8.9465884131056972E-6</v>
      </c>
      <c r="AP62" s="7">
        <v>0</v>
      </c>
      <c r="AQ62" s="7">
        <v>3.9165714328978354E-3</v>
      </c>
      <c r="AR62" s="7">
        <v>0</v>
      </c>
      <c r="AS62" s="7">
        <v>1.061479434215635E-2</v>
      </c>
      <c r="AT62" s="7">
        <v>4.9343826943045173E-5</v>
      </c>
      <c r="AU62" s="7">
        <v>1.500513522590346E-2</v>
      </c>
      <c r="AV62" s="7">
        <v>2.937504928671572E-3</v>
      </c>
      <c r="AW62" s="7">
        <v>3.2039750729564119E-4</v>
      </c>
      <c r="AX62" s="7">
        <v>2.4190261521020041E-4</v>
      </c>
      <c r="AY62" s="7">
        <v>0</v>
      </c>
      <c r="AZ62" s="7">
        <v>6.2963554226030439E-4</v>
      </c>
      <c r="BA62" s="7">
        <v>1.2215757332168239E-5</v>
      </c>
      <c r="BB62" s="7">
        <v>6.3407532720793289E-3</v>
      </c>
      <c r="BC62" s="7">
        <v>2.2399519746364571E-2</v>
      </c>
      <c r="BD62" s="7">
        <v>4.7577650426633032E-3</v>
      </c>
      <c r="BE62" s="7">
        <v>9.8679801430248481E-5</v>
      </c>
      <c r="BF62" s="7">
        <v>1.336270218237839E-4</v>
      </c>
      <c r="BG62" s="7">
        <v>1.3953299370395569E-5</v>
      </c>
      <c r="BH62" s="7">
        <v>2.9415201699606069E-2</v>
      </c>
      <c r="BI62" s="7">
        <v>5.7471224383348618E-3</v>
      </c>
      <c r="BJ62" s="7">
        <v>0</v>
      </c>
      <c r="BK62" s="7">
        <v>1.024455707580941E-3</v>
      </c>
      <c r="BL62" s="7">
        <v>7.4638655578905299E-3</v>
      </c>
      <c r="BM62" s="7">
        <v>2.327027031453874E-3</v>
      </c>
      <c r="BN62" s="7">
        <v>1.0721904596524071E-3</v>
      </c>
      <c r="BO62" s="7">
        <v>6.3999364831644418E-3</v>
      </c>
      <c r="BP62" s="7">
        <v>5.5908853120135004E-3</v>
      </c>
      <c r="BQ62" s="7">
        <v>8.7000173921946333E-4</v>
      </c>
      <c r="BR62" s="7">
        <v>1.522229948188097E-3</v>
      </c>
      <c r="BS62" s="7">
        <v>4.7639279820619121E-3</v>
      </c>
      <c r="BT62" s="7">
        <v>1.679208049019499E-2</v>
      </c>
      <c r="BU62" s="7">
        <v>1.534800697873689E-3</v>
      </c>
      <c r="BV62" s="7">
        <v>2.564376141358465E-3</v>
      </c>
      <c r="BW62" s="7">
        <v>4.2510670783104838E-3</v>
      </c>
      <c r="BX62" s="7">
        <v>7.7097087829104176E-5</v>
      </c>
      <c r="BY62" s="7">
        <v>3.4253124944326639E-3</v>
      </c>
      <c r="BZ62" s="7">
        <v>3.784412986202931E-3</v>
      </c>
    </row>
    <row r="63" spans="1:78">
      <c r="A63" s="4" t="s">
        <v>193</v>
      </c>
      <c r="B63" s="7">
        <v>4.9132575147673441E-3</v>
      </c>
      <c r="C63" s="7">
        <v>1.134875823472239E-4</v>
      </c>
      <c r="D63" s="7">
        <v>1.2517935481139771E-4</v>
      </c>
      <c r="E63" s="7">
        <v>6.4746497794267711E-7</v>
      </c>
      <c r="F63" s="7">
        <v>0</v>
      </c>
      <c r="G63" s="7">
        <v>1.317107470165601E-3</v>
      </c>
      <c r="H63" s="7">
        <v>0</v>
      </c>
      <c r="I63" s="7">
        <v>5.5304651087806811E-4</v>
      </c>
      <c r="J63" s="7">
        <v>0</v>
      </c>
      <c r="K63" s="7">
        <v>3.7849580681524869E-4</v>
      </c>
      <c r="L63" s="7">
        <v>1.0989769436593069E-5</v>
      </c>
      <c r="M63" s="7">
        <v>9.511384828274157E-7</v>
      </c>
      <c r="N63" s="7">
        <v>2.1567500994584701E-4</v>
      </c>
      <c r="O63" s="7">
        <v>0</v>
      </c>
      <c r="P63" s="7">
        <v>0</v>
      </c>
      <c r="Q63" s="7">
        <v>4.9533932565324117E-2</v>
      </c>
      <c r="R63" s="7">
        <v>0</v>
      </c>
      <c r="S63" s="7">
        <v>2.9307360953491422E-4</v>
      </c>
      <c r="T63" s="7">
        <v>3.8142952989354743E-5</v>
      </c>
      <c r="U63" s="7">
        <v>2.0234069132813991E-4</v>
      </c>
      <c r="V63" s="7">
        <v>8.640938969463526E-6</v>
      </c>
      <c r="W63" s="7">
        <v>8.1547866136586432E-4</v>
      </c>
      <c r="X63" s="7">
        <v>5.6272654268389415E-7</v>
      </c>
      <c r="Y63" s="7">
        <v>2.462927327378895E-3</v>
      </c>
      <c r="Z63" s="7">
        <v>1.2062880104363369E-5</v>
      </c>
      <c r="AA63" s="7">
        <v>1.174296436461983E-4</v>
      </c>
      <c r="AB63" s="7">
        <v>5.695230453712423E-5</v>
      </c>
      <c r="AC63" s="7">
        <v>0</v>
      </c>
      <c r="AD63" s="7">
        <v>0</v>
      </c>
      <c r="AE63" s="7">
        <v>1.202135472982838E-3</v>
      </c>
      <c r="AF63" s="7">
        <v>1.3199048851197971E-5</v>
      </c>
      <c r="AG63" s="7">
        <v>1.774235902804134E-4</v>
      </c>
      <c r="AH63" s="7">
        <v>8.7510970258037376E-4</v>
      </c>
      <c r="AI63" s="7">
        <v>4.9033738289230661E-7</v>
      </c>
      <c r="AJ63" s="7">
        <v>1.7845666784557809E-3</v>
      </c>
      <c r="AK63" s="7">
        <v>7.5857198946074962E-5</v>
      </c>
      <c r="AL63" s="7">
        <v>3.3851125730824827E-4</v>
      </c>
      <c r="AM63" s="7">
        <v>0</v>
      </c>
      <c r="AN63" s="7">
        <v>6.6961779645483433E-6</v>
      </c>
      <c r="AO63" s="7">
        <v>0.25247684067669962</v>
      </c>
      <c r="AP63" s="7">
        <v>0</v>
      </c>
      <c r="AQ63" s="7">
        <v>5.5168050815748181E-7</v>
      </c>
      <c r="AR63" s="7">
        <v>0</v>
      </c>
      <c r="AS63" s="7">
        <v>4.9116124526082331E-4</v>
      </c>
      <c r="AT63" s="7">
        <v>0</v>
      </c>
      <c r="AU63" s="7">
        <v>1.9388920204406392E-2</v>
      </c>
      <c r="AV63" s="7">
        <v>8.6841155064538446E-7</v>
      </c>
      <c r="AW63" s="7">
        <v>0</v>
      </c>
      <c r="AX63" s="7">
        <v>0</v>
      </c>
      <c r="AY63" s="7">
        <v>0</v>
      </c>
      <c r="AZ63" s="7">
        <v>0</v>
      </c>
      <c r="BA63" s="7">
        <v>2.156553623464854E-4</v>
      </c>
      <c r="BB63" s="7">
        <v>7.9282212447116571E-5</v>
      </c>
      <c r="BC63" s="7">
        <v>4.9967734895186222E-6</v>
      </c>
      <c r="BD63" s="7">
        <v>0</v>
      </c>
      <c r="BE63" s="7">
        <v>2.8594409823616138E-5</v>
      </c>
      <c r="BF63" s="7">
        <v>4.6589276938213678E-5</v>
      </c>
      <c r="BG63" s="7">
        <v>0</v>
      </c>
      <c r="BH63" s="7">
        <v>3.2670805360194069E-4</v>
      </c>
      <c r="BI63" s="7">
        <v>2.9296606967217761E-5</v>
      </c>
      <c r="BJ63" s="7">
        <v>3.9330908420201177E-2</v>
      </c>
      <c r="BK63" s="7">
        <v>0</v>
      </c>
      <c r="BL63" s="7">
        <v>0</v>
      </c>
      <c r="BM63" s="7">
        <v>2.6768957729044551E-6</v>
      </c>
      <c r="BN63" s="7">
        <v>0</v>
      </c>
      <c r="BO63" s="7">
        <v>4.7118270501803301E-5</v>
      </c>
      <c r="BP63" s="7">
        <v>2.2707579130630701E-6</v>
      </c>
      <c r="BQ63" s="7">
        <v>4.4047212921387078E-5</v>
      </c>
      <c r="BR63" s="7">
        <v>6.4724408282063267E-5</v>
      </c>
      <c r="BS63" s="7">
        <v>2.4169628081516489E-4</v>
      </c>
      <c r="BT63" s="7">
        <v>4.2727572893660262E-3</v>
      </c>
      <c r="BU63" s="7">
        <v>1.367058216593547E-6</v>
      </c>
      <c r="BV63" s="7">
        <v>1.1837540257339289E-2</v>
      </c>
      <c r="BW63" s="7">
        <v>4.6484537970364279E-4</v>
      </c>
      <c r="BX63" s="7">
        <v>2.4958644259607138E-4</v>
      </c>
      <c r="BY63" s="7">
        <v>8.8585732438326725E-5</v>
      </c>
      <c r="BZ63" s="7">
        <v>1.1609179070166309E-2</v>
      </c>
    </row>
    <row r="64" spans="1:78">
      <c r="A64" s="4" t="s">
        <v>195</v>
      </c>
      <c r="B64" s="7">
        <v>0</v>
      </c>
      <c r="C64" s="7">
        <v>1.1539370904042949E-6</v>
      </c>
      <c r="D64" s="7">
        <v>1.1968829765916501E-5</v>
      </c>
      <c r="E64" s="7">
        <v>7.2314772996394147E-5</v>
      </c>
      <c r="F64" s="7">
        <v>0</v>
      </c>
      <c r="G64" s="7">
        <v>6.3668390901377335E-5</v>
      </c>
      <c r="H64" s="7">
        <v>0</v>
      </c>
      <c r="I64" s="7">
        <v>9.4227357407600885E-7</v>
      </c>
      <c r="J64" s="7">
        <v>0</v>
      </c>
      <c r="K64" s="7">
        <v>0</v>
      </c>
      <c r="L64" s="7">
        <v>1.096200015150807E-4</v>
      </c>
      <c r="M64" s="7">
        <v>7.0634385260981338E-4</v>
      </c>
      <c r="N64" s="7">
        <v>7.3043670252129613E-7</v>
      </c>
      <c r="O64" s="7">
        <v>4.1738389338345463E-6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2.9636668460056749E-5</v>
      </c>
      <c r="V64" s="7">
        <v>4.5538879394118489E-5</v>
      </c>
      <c r="W64" s="7">
        <v>6.3896453092669283E-3</v>
      </c>
      <c r="X64" s="7">
        <v>1.006050205849132E-6</v>
      </c>
      <c r="Y64" s="7">
        <v>0</v>
      </c>
      <c r="Z64" s="7">
        <v>2.1756252326251112E-6</v>
      </c>
      <c r="AA64" s="7">
        <v>3.0596684986935781E-5</v>
      </c>
      <c r="AB64" s="7">
        <v>9.5217627897624683E-4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1.4461774456072771E-3</v>
      </c>
      <c r="AI64" s="7">
        <v>6.4306506579787969E-4</v>
      </c>
      <c r="AJ64" s="7">
        <v>0</v>
      </c>
      <c r="AK64" s="7">
        <v>0</v>
      </c>
      <c r="AL64" s="7">
        <v>1.3226927055181491E-4</v>
      </c>
      <c r="AM64" s="7">
        <v>1.0653801603620269E-3</v>
      </c>
      <c r="AN64" s="7">
        <v>7.7694456041888648E-7</v>
      </c>
      <c r="AO64" s="7">
        <v>0</v>
      </c>
      <c r="AP64" s="7">
        <v>0</v>
      </c>
      <c r="AQ64" s="7">
        <v>1.0280701928656021E-6</v>
      </c>
      <c r="AR64" s="7">
        <v>0</v>
      </c>
      <c r="AS64" s="7">
        <v>0</v>
      </c>
      <c r="AT64" s="7">
        <v>0</v>
      </c>
      <c r="AU64" s="7">
        <v>0</v>
      </c>
      <c r="AV64" s="7">
        <v>2.7404442167345829E-5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6.4752774508639553E-4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1.8383595630634949E-4</v>
      </c>
      <c r="BN64" s="7">
        <v>2.4569156878303299E-6</v>
      </c>
      <c r="BO64" s="7">
        <v>0</v>
      </c>
      <c r="BP64" s="7">
        <v>0</v>
      </c>
      <c r="BQ64" s="7">
        <v>0</v>
      </c>
      <c r="BR64" s="7">
        <v>7.7778581905334445E-7</v>
      </c>
      <c r="BS64" s="7">
        <v>0</v>
      </c>
      <c r="BT64" s="7">
        <v>6.6863543499193624E-4</v>
      </c>
      <c r="BU64" s="7">
        <v>0</v>
      </c>
      <c r="BV64" s="7">
        <v>0</v>
      </c>
      <c r="BW64" s="7">
        <v>3.0989053581083497E-5</v>
      </c>
      <c r="BX64" s="7">
        <v>0</v>
      </c>
      <c r="BY64" s="7">
        <v>1.9418140356181949E-4</v>
      </c>
      <c r="BZ64" s="7">
        <v>7.5364370878892124E-3</v>
      </c>
    </row>
    <row r="65" spans="1:78">
      <c r="A65" s="4" t="s">
        <v>197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9.4180949309297894E-8</v>
      </c>
      <c r="L65" s="7">
        <v>0</v>
      </c>
      <c r="M65" s="7">
        <v>0</v>
      </c>
      <c r="N65" s="7">
        <v>0</v>
      </c>
      <c r="O65" s="7">
        <v>2.2686551748117079E-4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2.144486619588232E-7</v>
      </c>
      <c r="V65" s="7">
        <v>0</v>
      </c>
      <c r="W65" s="7">
        <v>0</v>
      </c>
      <c r="X65" s="7">
        <v>0</v>
      </c>
      <c r="Y65" s="7">
        <v>0</v>
      </c>
      <c r="Z65" s="7">
        <v>1.245780149406135E-6</v>
      </c>
      <c r="AA65" s="7">
        <v>1.8365526993400081E-5</v>
      </c>
      <c r="AB65" s="7">
        <v>7.4019272512429965E-7</v>
      </c>
      <c r="AC65" s="7">
        <v>2.2778006036329979E-5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1.3479187707985199E-4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3.1800953090069779E-6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2.546594842605267E-7</v>
      </c>
      <c r="BU65" s="7">
        <v>0</v>
      </c>
      <c r="BV65" s="7">
        <v>0</v>
      </c>
      <c r="BW65" s="7">
        <v>1.1710735075960939E-5</v>
      </c>
      <c r="BX65" s="7">
        <v>0</v>
      </c>
      <c r="BY65" s="7">
        <v>0</v>
      </c>
      <c r="BZ65" s="7">
        <v>1.7691050916727299E-6</v>
      </c>
    </row>
    <row r="66" spans="1:78">
      <c r="A66" s="4" t="s">
        <v>199</v>
      </c>
      <c r="B66" s="7">
        <v>4.1953560745257393E-5</v>
      </c>
      <c r="C66" s="7">
        <v>2.7440195952730659E-2</v>
      </c>
      <c r="D66" s="7">
        <v>7.6342148004431676E-5</v>
      </c>
      <c r="E66" s="7">
        <v>3.6074705730659093E-5</v>
      </c>
      <c r="F66" s="7">
        <v>2.3626926504085811E-2</v>
      </c>
      <c r="G66" s="7">
        <v>4.3754308520006741E-4</v>
      </c>
      <c r="H66" s="7">
        <v>0</v>
      </c>
      <c r="I66" s="7">
        <v>4.3605643894607674E-3</v>
      </c>
      <c r="J66" s="7">
        <v>0.13888068332402431</v>
      </c>
      <c r="K66" s="7">
        <v>6.8907327865743622E-3</v>
      </c>
      <c r="L66" s="7">
        <v>6.7213959665724161E-4</v>
      </c>
      <c r="M66" s="7">
        <v>2.3068143925555861E-5</v>
      </c>
      <c r="N66" s="7">
        <v>1.150569511906204E-2</v>
      </c>
      <c r="O66" s="7">
        <v>1.6297133637705151E-3</v>
      </c>
      <c r="P66" s="7">
        <v>2.1860928084370748E-3</v>
      </c>
      <c r="Q66" s="7">
        <v>1.459963860616628E-4</v>
      </c>
      <c r="R66" s="7">
        <v>7.3278454867928234E-4</v>
      </c>
      <c r="S66" s="7">
        <v>1.053330099352806E-3</v>
      </c>
      <c r="T66" s="7">
        <v>8.2468229906931665E-5</v>
      </c>
      <c r="U66" s="7">
        <v>2.990655296163852E-4</v>
      </c>
      <c r="V66" s="7">
        <v>4.9334219203247627E-5</v>
      </c>
      <c r="W66" s="7">
        <v>3.3081729709850299E-4</v>
      </c>
      <c r="X66" s="7">
        <v>1.8496694146445471E-4</v>
      </c>
      <c r="Y66" s="7">
        <v>7.61701072251454E-5</v>
      </c>
      <c r="Z66" s="7">
        <v>9.53039440301069E-5</v>
      </c>
      <c r="AA66" s="7">
        <v>1.296408854650396E-3</v>
      </c>
      <c r="AB66" s="7">
        <v>1.4463224765861721E-3</v>
      </c>
      <c r="AC66" s="7">
        <v>5.6301947267004977E-5</v>
      </c>
      <c r="AD66" s="7">
        <v>9.4481888520931319E-3</v>
      </c>
      <c r="AE66" s="7">
        <v>7.8416768690111336E-5</v>
      </c>
      <c r="AF66" s="7">
        <v>6.0493010242211977E-4</v>
      </c>
      <c r="AG66" s="7">
        <v>5.3338351295748633E-2</v>
      </c>
      <c r="AH66" s="7">
        <v>1.2520773884055481E-2</v>
      </c>
      <c r="AI66" s="7">
        <v>7.3507159798315346E-4</v>
      </c>
      <c r="AJ66" s="7">
        <v>2.2493622587127452E-3</v>
      </c>
      <c r="AK66" s="7">
        <v>2.671859118433974E-3</v>
      </c>
      <c r="AL66" s="7">
        <v>2.9438776319946361E-5</v>
      </c>
      <c r="AM66" s="7">
        <v>1.508360427140756E-3</v>
      </c>
      <c r="AN66" s="7">
        <v>3.5352424180547422E-4</v>
      </c>
      <c r="AO66" s="7">
        <v>2.7125711886703209E-6</v>
      </c>
      <c r="AP66" s="7">
        <v>2.7439221660765338E-3</v>
      </c>
      <c r="AQ66" s="7">
        <v>3.7167461959846971E-4</v>
      </c>
      <c r="AR66" s="7">
        <v>1.455732308240596E-3</v>
      </c>
      <c r="AS66" s="7">
        <v>1.287914910978934E-2</v>
      </c>
      <c r="AT66" s="7">
        <v>1.476840329870463E-7</v>
      </c>
      <c r="AU66" s="7">
        <v>0</v>
      </c>
      <c r="AV66" s="7">
        <v>1.9297323451956009E-4</v>
      </c>
      <c r="AW66" s="7">
        <v>6.769892085241815E-5</v>
      </c>
      <c r="AX66" s="7">
        <v>6.1564115763148241E-4</v>
      </c>
      <c r="AY66" s="7">
        <v>4.3053126713349883E-2</v>
      </c>
      <c r="AZ66" s="7">
        <v>0.16742284059291029</v>
      </c>
      <c r="BA66" s="7">
        <v>7.027603209864286E-4</v>
      </c>
      <c r="BB66" s="7">
        <v>3.347460019968987E-3</v>
      </c>
      <c r="BC66" s="7">
        <v>2.2213768949656651E-3</v>
      </c>
      <c r="BD66" s="7">
        <v>2.7970831147468172E-3</v>
      </c>
      <c r="BE66" s="7">
        <v>5.6259219283539084E-3</v>
      </c>
      <c r="BF66" s="7">
        <v>1.9336531639661049E-5</v>
      </c>
      <c r="BG66" s="7">
        <v>8.6714676397919563E-2</v>
      </c>
      <c r="BH66" s="7">
        <v>5.0966307636584101E-5</v>
      </c>
      <c r="BI66" s="7">
        <v>1.6731355719299851E-5</v>
      </c>
      <c r="BJ66" s="7">
        <v>9.4428568478848953E-5</v>
      </c>
      <c r="BK66" s="7">
        <v>5.5894720792109393E-5</v>
      </c>
      <c r="BL66" s="7">
        <v>1.025784705118962E-3</v>
      </c>
      <c r="BM66" s="7">
        <v>7.6232631067780468E-5</v>
      </c>
      <c r="BN66" s="7">
        <v>0</v>
      </c>
      <c r="BO66" s="7">
        <v>1.491495203888212E-5</v>
      </c>
      <c r="BP66" s="7">
        <v>7.7527510375826264E-7</v>
      </c>
      <c r="BQ66" s="7">
        <v>4.7787071402038018E-5</v>
      </c>
      <c r="BR66" s="7">
        <v>2.401897726022824E-3</v>
      </c>
      <c r="BS66" s="7">
        <v>5.6699780003288411E-3</v>
      </c>
      <c r="BT66" s="7">
        <v>1.7203533901865691E-4</v>
      </c>
      <c r="BU66" s="7">
        <v>1.8620069879586251E-3</v>
      </c>
      <c r="BV66" s="7">
        <v>6.3428414072096411E-5</v>
      </c>
      <c r="BW66" s="7">
        <v>1.4382257320971271E-3</v>
      </c>
      <c r="BX66" s="7">
        <v>4.3121665264671677E-3</v>
      </c>
      <c r="BY66" s="7">
        <v>6.6314425077182169E-5</v>
      </c>
      <c r="BZ66" s="7">
        <v>4.6828548764979994E-3</v>
      </c>
    </row>
    <row r="67" spans="1:78">
      <c r="A67" s="4" t="s">
        <v>201</v>
      </c>
      <c r="B67" s="7">
        <v>1.969972710858886E-2</v>
      </c>
      <c r="C67" s="7">
        <v>4.8402516758517861E-4</v>
      </c>
      <c r="D67" s="7">
        <v>5.056328899457823E-3</v>
      </c>
      <c r="E67" s="7">
        <v>1.8232270485428231E-2</v>
      </c>
      <c r="F67" s="7">
        <v>1.155684997368276E-3</v>
      </c>
      <c r="G67" s="7">
        <v>2.8662006619413168E-4</v>
      </c>
      <c r="H67" s="7">
        <v>3.4833378654710563E-5</v>
      </c>
      <c r="I67" s="7">
        <v>8.0185860270426705E-4</v>
      </c>
      <c r="J67" s="7">
        <v>2.8427132162279491E-4</v>
      </c>
      <c r="K67" s="7">
        <v>7.9290402931592521E-4</v>
      </c>
      <c r="L67" s="7">
        <v>6.1871953661194537E-3</v>
      </c>
      <c r="M67" s="7">
        <v>3.3984915123747748E-5</v>
      </c>
      <c r="N67" s="7">
        <v>3.934011667518532E-3</v>
      </c>
      <c r="O67" s="7">
        <v>5.9049361529917932E-3</v>
      </c>
      <c r="P67" s="7">
        <v>0</v>
      </c>
      <c r="Q67" s="7">
        <v>1.4424633624081349E-3</v>
      </c>
      <c r="R67" s="7">
        <v>9.639833877830784E-4</v>
      </c>
      <c r="S67" s="7">
        <v>4.9155292188115092E-5</v>
      </c>
      <c r="T67" s="7">
        <v>8.9622084683587122E-3</v>
      </c>
      <c r="U67" s="7">
        <v>1.2095783341473321E-2</v>
      </c>
      <c r="V67" s="7">
        <v>6.7021807894145261E-2</v>
      </c>
      <c r="W67" s="7">
        <v>3.1334164763055148E-4</v>
      </c>
      <c r="X67" s="7">
        <v>1.414135578247519E-2</v>
      </c>
      <c r="Y67" s="7">
        <v>1.2205283317426911E-3</v>
      </c>
      <c r="Z67" s="7">
        <v>2.8991627709219251E-3</v>
      </c>
      <c r="AA67" s="7">
        <v>6.1581059295113877E-3</v>
      </c>
      <c r="AB67" s="7">
        <v>7.6728380016210986E-3</v>
      </c>
      <c r="AC67" s="7">
        <v>1.5773701321279401E-6</v>
      </c>
      <c r="AD67" s="7">
        <v>2.0012808877819709E-5</v>
      </c>
      <c r="AE67" s="7">
        <v>1.5387921197926909E-3</v>
      </c>
      <c r="AF67" s="7">
        <v>2.1116390942841089E-2</v>
      </c>
      <c r="AG67" s="7">
        <v>2.0752720984785919E-4</v>
      </c>
      <c r="AH67" s="7">
        <v>3.9674438783124013E-3</v>
      </c>
      <c r="AI67" s="7">
        <v>9.3935729947481028E-5</v>
      </c>
      <c r="AJ67" s="7">
        <v>1.3453619354775039E-2</v>
      </c>
      <c r="AK67" s="7">
        <v>4.0035743888206231E-4</v>
      </c>
      <c r="AL67" s="7">
        <v>2.5243204802825841E-3</v>
      </c>
      <c r="AM67" s="7">
        <v>0</v>
      </c>
      <c r="AN67" s="7">
        <v>2.0020958509872262E-3</v>
      </c>
      <c r="AO67" s="7">
        <v>1.146025268936894E-3</v>
      </c>
      <c r="AP67" s="7">
        <v>0</v>
      </c>
      <c r="AQ67" s="7">
        <v>2.6685961892135762E-4</v>
      </c>
      <c r="AR67" s="7">
        <v>0</v>
      </c>
      <c r="AS67" s="7">
        <v>2.1947001277179872E-3</v>
      </c>
      <c r="AT67" s="7">
        <v>4.808699327959986E-5</v>
      </c>
      <c r="AU67" s="7">
        <v>1.447549660945186E-3</v>
      </c>
      <c r="AV67" s="7">
        <v>2.9974094733881758E-4</v>
      </c>
      <c r="AW67" s="7">
        <v>5.5013090308000067E-4</v>
      </c>
      <c r="AX67" s="7">
        <v>1.8074540479803161E-4</v>
      </c>
      <c r="AY67" s="7">
        <v>4.4965235634817221E-5</v>
      </c>
      <c r="AZ67" s="7">
        <v>5.1216677793323473E-5</v>
      </c>
      <c r="BA67" s="7">
        <v>6.0893540734906031E-5</v>
      </c>
      <c r="BB67" s="7">
        <v>4.4406919252147761E-4</v>
      </c>
      <c r="BC67" s="7">
        <v>5.0861385616577139E-3</v>
      </c>
      <c r="BD67" s="7">
        <v>6.1648406240943487E-4</v>
      </c>
      <c r="BE67" s="7">
        <v>1.1328373732074371E-4</v>
      </c>
      <c r="BF67" s="7">
        <v>2.8400004477535911E-4</v>
      </c>
      <c r="BG67" s="7">
        <v>1.8489478286791479E-4</v>
      </c>
      <c r="BH67" s="7">
        <v>3.4553795168917871E-2</v>
      </c>
      <c r="BI67" s="7">
        <v>1.99813156208037E-2</v>
      </c>
      <c r="BJ67" s="7">
        <v>2.690559850046241E-2</v>
      </c>
      <c r="BK67" s="7">
        <v>3.366079319101442E-3</v>
      </c>
      <c r="BL67" s="7">
        <v>6.5641352959204836E-5</v>
      </c>
      <c r="BM67" s="7">
        <v>0</v>
      </c>
      <c r="BN67" s="7">
        <v>9.8233698249354084E-4</v>
      </c>
      <c r="BO67" s="7">
        <v>0</v>
      </c>
      <c r="BP67" s="7">
        <v>2.6614776608689539E-2</v>
      </c>
      <c r="BQ67" s="7">
        <v>2.8131626077189099E-2</v>
      </c>
      <c r="BR67" s="7">
        <v>2.1464784603906039E-4</v>
      </c>
      <c r="BS67" s="7">
        <v>3.1932231869259732E-3</v>
      </c>
      <c r="BT67" s="7">
        <v>2.942051657017751E-2</v>
      </c>
      <c r="BU67" s="7">
        <v>2.013338500290714E-4</v>
      </c>
      <c r="BV67" s="7">
        <v>3.5386882039475948E-3</v>
      </c>
      <c r="BW67" s="7">
        <v>1.554164914333031E-3</v>
      </c>
      <c r="BX67" s="7">
        <v>3.7253719201188618E-5</v>
      </c>
      <c r="BY67" s="7">
        <v>8.3540398258431618E-3</v>
      </c>
      <c r="BZ67" s="7">
        <v>7.1146638683294047E-4</v>
      </c>
    </row>
    <row r="68" spans="1:78">
      <c r="A68" s="4" t="s">
        <v>203</v>
      </c>
      <c r="B68" s="7">
        <v>2.4495641609730999E-4</v>
      </c>
      <c r="C68" s="7">
        <v>7.9828783793818158E-4</v>
      </c>
      <c r="D68" s="7">
        <v>1.375417034234382E-2</v>
      </c>
      <c r="E68" s="7">
        <v>2.150828833994805E-4</v>
      </c>
      <c r="F68" s="7">
        <v>2.4216001397885981E-5</v>
      </c>
      <c r="G68" s="7">
        <v>1.7561201961484041E-3</v>
      </c>
      <c r="H68" s="7">
        <v>6.3046384522289184E-4</v>
      </c>
      <c r="I68" s="7">
        <v>1.5972444775315671E-3</v>
      </c>
      <c r="J68" s="7">
        <v>1.5594614914202029E-5</v>
      </c>
      <c r="K68" s="7">
        <v>3.197043994703152E-3</v>
      </c>
      <c r="L68" s="7">
        <v>4.0265048725778999E-3</v>
      </c>
      <c r="M68" s="7">
        <v>5.5486486411162708E-5</v>
      </c>
      <c r="N68" s="7">
        <v>3.3746076720557868E-3</v>
      </c>
      <c r="O68" s="7">
        <v>9.7857805272498499E-5</v>
      </c>
      <c r="P68" s="7">
        <v>0</v>
      </c>
      <c r="Q68" s="7">
        <v>5.2690904697249728E-4</v>
      </c>
      <c r="R68" s="7">
        <v>1.7178555301162579E-4</v>
      </c>
      <c r="S68" s="7">
        <v>1.670696641272851E-3</v>
      </c>
      <c r="T68" s="7">
        <v>9.2451428453621375E-3</v>
      </c>
      <c r="U68" s="7">
        <v>1.026846659465017E-2</v>
      </c>
      <c r="V68" s="7">
        <v>4.2569611826596417E-2</v>
      </c>
      <c r="W68" s="7">
        <v>4.9236668541762364E-4</v>
      </c>
      <c r="X68" s="7">
        <v>5.4998500912499899E-3</v>
      </c>
      <c r="Y68" s="7">
        <v>3.7968067231459908E-3</v>
      </c>
      <c r="Z68" s="7">
        <v>9.7986391171527125E-3</v>
      </c>
      <c r="AA68" s="7">
        <v>5.9095247039309424E-3</v>
      </c>
      <c r="AB68" s="7">
        <v>7.615780527965077E-3</v>
      </c>
      <c r="AC68" s="7">
        <v>4.7594609976409693E-4</v>
      </c>
      <c r="AD68" s="7">
        <v>8.732392342242795E-5</v>
      </c>
      <c r="AE68" s="7">
        <v>8.3514706292067517E-2</v>
      </c>
      <c r="AF68" s="7">
        <v>7.4356145963531848E-3</v>
      </c>
      <c r="AG68" s="7">
        <v>1.4973547458325579E-4</v>
      </c>
      <c r="AH68" s="7">
        <v>3.2861068286385581E-4</v>
      </c>
      <c r="AI68" s="7">
        <v>1.0256043780416909E-2</v>
      </c>
      <c r="AJ68" s="7">
        <v>1.153015127541079E-2</v>
      </c>
      <c r="AK68" s="7">
        <v>2.8235735163261241E-4</v>
      </c>
      <c r="AL68" s="7">
        <v>9.9745584046960246E-3</v>
      </c>
      <c r="AM68" s="7">
        <v>2.4322316014025041E-4</v>
      </c>
      <c r="AN68" s="7">
        <v>4.8653354011803188E-4</v>
      </c>
      <c r="AO68" s="7">
        <v>2.9717752086917958E-4</v>
      </c>
      <c r="AP68" s="7">
        <v>1.9087646522430531E-6</v>
      </c>
      <c r="AQ68" s="7">
        <v>1.8441571504716921E-4</v>
      </c>
      <c r="AR68" s="7">
        <v>0</v>
      </c>
      <c r="AS68" s="7">
        <v>1.126209521866095E-2</v>
      </c>
      <c r="AT68" s="7">
        <v>3.7795730317671751E-4</v>
      </c>
      <c r="AU68" s="7">
        <v>1.2452896899781401E-3</v>
      </c>
      <c r="AV68" s="7">
        <v>5.6236089946419326E-4</v>
      </c>
      <c r="AW68" s="7">
        <v>1.8236012425103169E-3</v>
      </c>
      <c r="AX68" s="7">
        <v>9.2488566946993299E-5</v>
      </c>
      <c r="AY68" s="7">
        <v>9.4949278001705395E-6</v>
      </c>
      <c r="AZ68" s="7">
        <v>1.220409050284728E-4</v>
      </c>
      <c r="BA68" s="7">
        <v>6.1806963715542141E-6</v>
      </c>
      <c r="BB68" s="7">
        <v>9.3534579619445615E-4</v>
      </c>
      <c r="BC68" s="7">
        <v>2.612631145605089E-3</v>
      </c>
      <c r="BD68" s="7">
        <v>3.1362372775380911E-3</v>
      </c>
      <c r="BE68" s="7">
        <v>8.9328927636418034E-5</v>
      </c>
      <c r="BF68" s="7">
        <v>5.5272092981022245E-4</v>
      </c>
      <c r="BG68" s="7">
        <v>2.2386417379814579E-4</v>
      </c>
      <c r="BH68" s="7">
        <v>2.6528006383889031E-2</v>
      </c>
      <c r="BI68" s="7">
        <v>4.1314138110045182E-4</v>
      </c>
      <c r="BJ68" s="7">
        <v>3.6396339461866753E-2</v>
      </c>
      <c r="BK68" s="7">
        <v>3.2385592063465369E-3</v>
      </c>
      <c r="BL68" s="7">
        <v>2.2973072637530141E-5</v>
      </c>
      <c r="BM68" s="7">
        <v>0</v>
      </c>
      <c r="BN68" s="7">
        <v>1.6237340938619041E-3</v>
      </c>
      <c r="BO68" s="7">
        <v>2.7242265178483642E-3</v>
      </c>
      <c r="BP68" s="7">
        <v>0</v>
      </c>
      <c r="BQ68" s="7">
        <v>1.9764456023927381E-2</v>
      </c>
      <c r="BR68" s="7">
        <v>2.8812064975617801E-4</v>
      </c>
      <c r="BS68" s="7">
        <v>2.7831418139523872E-4</v>
      </c>
      <c r="BT68" s="7">
        <v>6.5453625826888684E-3</v>
      </c>
      <c r="BU68" s="7">
        <v>7.5649814109261396E-3</v>
      </c>
      <c r="BV68" s="7">
        <v>7.38995634740935E-3</v>
      </c>
      <c r="BW68" s="7">
        <v>2.7522431851695769E-3</v>
      </c>
      <c r="BX68" s="7">
        <v>9.788852443648165E-5</v>
      </c>
      <c r="BY68" s="7">
        <v>1.3685663608507649E-3</v>
      </c>
      <c r="BZ68" s="7">
        <v>3.9237417949090332E-3</v>
      </c>
    </row>
    <row r="69" spans="1:78">
      <c r="A69" s="4" t="s">
        <v>205</v>
      </c>
      <c r="B69" s="7">
        <v>8.4389175255934008E-4</v>
      </c>
      <c r="C69" s="7">
        <v>2.3549269544849371E-3</v>
      </c>
      <c r="D69" s="7">
        <v>2.0127726587970121E-3</v>
      </c>
      <c r="E69" s="7">
        <v>2.77870295794952E-2</v>
      </c>
      <c r="F69" s="7">
        <v>3.7895483534243392E-6</v>
      </c>
      <c r="G69" s="7">
        <v>5.5631800944082902E-3</v>
      </c>
      <c r="H69" s="7">
        <v>3.1225817376234999E-4</v>
      </c>
      <c r="I69" s="7">
        <v>3.8407481503143341E-3</v>
      </c>
      <c r="J69" s="7">
        <v>4.411820107820685E-3</v>
      </c>
      <c r="K69" s="7">
        <v>2.8204158760392838E-3</v>
      </c>
      <c r="L69" s="7">
        <v>4.4909265883915916E-3</v>
      </c>
      <c r="M69" s="7">
        <v>6.4632144225712485E-4</v>
      </c>
      <c r="N69" s="7">
        <v>1.2075938148487069E-2</v>
      </c>
      <c r="O69" s="7">
        <v>1.132564353620263E-3</v>
      </c>
      <c r="P69" s="7">
        <v>1.32791799440897E-3</v>
      </c>
      <c r="Q69" s="7">
        <v>3.9775217812600269E-4</v>
      </c>
      <c r="R69" s="7">
        <v>1.180676531676175E-3</v>
      </c>
      <c r="S69" s="7">
        <v>3.0024038739341779E-3</v>
      </c>
      <c r="T69" s="7">
        <v>2.0483552991202481E-3</v>
      </c>
      <c r="U69" s="7">
        <v>5.0510442587825607E-3</v>
      </c>
      <c r="V69" s="7">
        <v>6.46928371931344E-2</v>
      </c>
      <c r="W69" s="7">
        <v>8.6263919882619607E-4</v>
      </c>
      <c r="X69" s="7">
        <v>5.1649653833755809E-3</v>
      </c>
      <c r="Y69" s="7">
        <v>3.5429835048070013E-2</v>
      </c>
      <c r="Z69" s="7">
        <v>3.0098838692229419E-2</v>
      </c>
      <c r="AA69" s="7">
        <v>1.6522516076424301E-3</v>
      </c>
      <c r="AB69" s="7">
        <v>7.3928805081514611E-3</v>
      </c>
      <c r="AC69" s="7">
        <v>2.770422290595511E-3</v>
      </c>
      <c r="AD69" s="7">
        <v>4.4640881257559459E-5</v>
      </c>
      <c r="AE69" s="7">
        <v>3.7607383931830721E-3</v>
      </c>
      <c r="AF69" s="7">
        <v>7.3059780641789322E-4</v>
      </c>
      <c r="AG69" s="7">
        <v>6.7444298073944062E-3</v>
      </c>
      <c r="AH69" s="7">
        <v>2.492762116913056E-3</v>
      </c>
      <c r="AI69" s="7">
        <v>2.0518196641280558E-3</v>
      </c>
      <c r="AJ69" s="7">
        <v>4.6514683040704392E-2</v>
      </c>
      <c r="AK69" s="7">
        <v>6.9451479923961969E-3</v>
      </c>
      <c r="AL69" s="7">
        <v>1.0179792151759679E-2</v>
      </c>
      <c r="AM69" s="7">
        <v>1.4658062104918679E-4</v>
      </c>
      <c r="AN69" s="7">
        <v>1.844549558740144E-3</v>
      </c>
      <c r="AO69" s="7">
        <v>4.1385192969820277E-3</v>
      </c>
      <c r="AP69" s="7">
        <v>0</v>
      </c>
      <c r="AQ69" s="7">
        <v>2.7723324736183853E-4</v>
      </c>
      <c r="AR69" s="7">
        <v>3.4801389911927438E-2</v>
      </c>
      <c r="AS69" s="7">
        <v>1.7113349467712709E-2</v>
      </c>
      <c r="AT69" s="7">
        <v>1.328027293981034E-3</v>
      </c>
      <c r="AU69" s="7">
        <v>1.1475306726685021E-2</v>
      </c>
      <c r="AV69" s="7">
        <v>6.4986270095032477E-4</v>
      </c>
      <c r="AW69" s="7">
        <v>3.5511603818422411E-4</v>
      </c>
      <c r="AX69" s="7">
        <v>4.9560527694128303E-5</v>
      </c>
      <c r="AY69" s="7">
        <v>1.6265221442919101E-3</v>
      </c>
      <c r="AZ69" s="7">
        <v>1.440319844480241E-3</v>
      </c>
      <c r="BA69" s="7">
        <v>3.7549178646258048E-4</v>
      </c>
      <c r="BB69" s="7">
        <v>3.8189587907524608E-3</v>
      </c>
      <c r="BC69" s="7">
        <v>5.930447147210683E-2</v>
      </c>
      <c r="BD69" s="7">
        <v>1.187292939808499E-3</v>
      </c>
      <c r="BE69" s="7">
        <v>3.3020170595499722E-4</v>
      </c>
      <c r="BF69" s="7">
        <v>2.5162304536524589E-3</v>
      </c>
      <c r="BG69" s="7">
        <v>1.388716861787008E-3</v>
      </c>
      <c r="BH69" s="7">
        <v>1.337621787492085E-2</v>
      </c>
      <c r="BI69" s="7">
        <v>5.5827449347213543E-4</v>
      </c>
      <c r="BJ69" s="7">
        <v>6.2987594237094236E-3</v>
      </c>
      <c r="BK69" s="7">
        <v>1.1224146721007099E-3</v>
      </c>
      <c r="BL69" s="7">
        <v>1.710345322603761E-2</v>
      </c>
      <c r="BM69" s="7">
        <v>3.3414948673339133E-5</v>
      </c>
      <c r="BN69" s="7">
        <v>1.428007363232525E-3</v>
      </c>
      <c r="BO69" s="7">
        <v>1.700451019493499E-3</v>
      </c>
      <c r="BP69" s="7">
        <v>1.3914729102752019E-3</v>
      </c>
      <c r="BQ69" s="7">
        <v>0</v>
      </c>
      <c r="BR69" s="7">
        <v>1.156049633985126E-3</v>
      </c>
      <c r="BS69" s="7">
        <v>3.2406192215953921E-4</v>
      </c>
      <c r="BT69" s="7">
        <v>1.7943614179593381E-3</v>
      </c>
      <c r="BU69" s="7">
        <v>1.103690985170354E-2</v>
      </c>
      <c r="BV69" s="7">
        <v>3.9800158412933388E-3</v>
      </c>
      <c r="BW69" s="7">
        <v>2.5357414624499921E-3</v>
      </c>
      <c r="BX69" s="7">
        <v>1.6207774213510199E-4</v>
      </c>
      <c r="BY69" s="7">
        <v>1.8624972880113919E-3</v>
      </c>
      <c r="BZ69" s="7">
        <v>2.37250196766422E-3</v>
      </c>
    </row>
    <row r="70" spans="1:78">
      <c r="A70" s="4" t="s">
        <v>207</v>
      </c>
      <c r="B70" s="7">
        <v>5.6917951677512967E-3</v>
      </c>
      <c r="C70" s="7">
        <v>2.4809302052413499E-2</v>
      </c>
      <c r="D70" s="7">
        <v>3.6461426352960161E-3</v>
      </c>
      <c r="E70" s="7">
        <v>5.8327736933367843E-4</v>
      </c>
      <c r="F70" s="7">
        <v>9.0890823980797619E-3</v>
      </c>
      <c r="G70" s="7">
        <v>4.6506265998627824E-3</v>
      </c>
      <c r="H70" s="7">
        <v>0</v>
      </c>
      <c r="I70" s="7">
        <v>4.9019318948473056E-3</v>
      </c>
      <c r="J70" s="7">
        <v>6.3914102420498621E-3</v>
      </c>
      <c r="K70" s="7">
        <v>1.876420089350239E-3</v>
      </c>
      <c r="L70" s="7">
        <v>1.2788634438426359E-3</v>
      </c>
      <c r="M70" s="7">
        <v>1.2351150805435509E-3</v>
      </c>
      <c r="N70" s="7">
        <v>4.7564981625542721E-2</v>
      </c>
      <c r="O70" s="7">
        <v>4.0600740880915488E-4</v>
      </c>
      <c r="P70" s="7">
        <v>1.9842568676533961E-5</v>
      </c>
      <c r="Q70" s="7">
        <v>3.5832642920304459E-3</v>
      </c>
      <c r="R70" s="7">
        <v>1.514047127280798E-3</v>
      </c>
      <c r="S70" s="7">
        <v>2.065257762557015E-6</v>
      </c>
      <c r="T70" s="7">
        <v>1.2810497291056081E-2</v>
      </c>
      <c r="U70" s="7">
        <v>1.2132571072863431E-2</v>
      </c>
      <c r="V70" s="7">
        <v>1.735988416169608E-3</v>
      </c>
      <c r="W70" s="7">
        <v>1.6103196067490809E-3</v>
      </c>
      <c r="X70" s="7">
        <v>6.2382157068700582E-3</v>
      </c>
      <c r="Y70" s="7">
        <v>2.161037077302386E-3</v>
      </c>
      <c r="Z70" s="7">
        <v>1.559206414538352E-3</v>
      </c>
      <c r="AA70" s="7">
        <v>1.623808634151163E-2</v>
      </c>
      <c r="AB70" s="7">
        <v>4.3313254606857313E-3</v>
      </c>
      <c r="AC70" s="7">
        <v>1.326772455712356E-5</v>
      </c>
      <c r="AD70" s="7">
        <v>4.8035232913697323E-2</v>
      </c>
      <c r="AE70" s="7">
        <v>2.1831823816703821E-5</v>
      </c>
      <c r="AF70" s="7">
        <v>3.3511413664995609E-3</v>
      </c>
      <c r="AG70" s="7">
        <v>1.8417292678133631E-2</v>
      </c>
      <c r="AH70" s="7">
        <v>1.296769333205738E-2</v>
      </c>
      <c r="AI70" s="7">
        <v>6.231380830975336E-4</v>
      </c>
      <c r="AJ70" s="7">
        <v>1.1093152544324469E-3</v>
      </c>
      <c r="AK70" s="7">
        <v>1.3696438698596869E-3</v>
      </c>
      <c r="AL70" s="7">
        <v>7.280926953347336E-3</v>
      </c>
      <c r="AM70" s="7">
        <v>2.8212426769663068E-4</v>
      </c>
      <c r="AN70" s="7">
        <v>9.8404877551271502E-2</v>
      </c>
      <c r="AO70" s="7">
        <v>2.0998894943208101E-6</v>
      </c>
      <c r="AP70" s="7">
        <v>5.1323857357575109E-2</v>
      </c>
      <c r="AQ70" s="7">
        <v>2.7323693254637359E-3</v>
      </c>
      <c r="AR70" s="7">
        <v>0.32974165956630602</v>
      </c>
      <c r="AS70" s="7">
        <v>9.9335465700387375E-5</v>
      </c>
      <c r="AT70" s="7">
        <v>4.4642185682682633E-5</v>
      </c>
      <c r="AU70" s="7">
        <v>1.1206272586332419E-6</v>
      </c>
      <c r="AV70" s="7">
        <v>2.444057990646328E-2</v>
      </c>
      <c r="AW70" s="7">
        <v>2.048578739871738E-2</v>
      </c>
      <c r="AX70" s="7">
        <v>2.9825853877344309E-5</v>
      </c>
      <c r="AY70" s="7">
        <v>8.7721489469802502E-2</v>
      </c>
      <c r="AZ70" s="7">
        <v>1.903379298244565E-2</v>
      </c>
      <c r="BA70" s="7">
        <v>3.2805052041989782E-6</v>
      </c>
      <c r="BB70" s="7">
        <v>3.5043335097179711E-3</v>
      </c>
      <c r="BC70" s="7">
        <v>4.9860812944167829E-4</v>
      </c>
      <c r="BD70" s="7">
        <v>3.6539197722314287E-2</v>
      </c>
      <c r="BE70" s="7">
        <v>2.4321427817309439E-3</v>
      </c>
      <c r="BF70" s="7">
        <v>5.6168562784050574E-4</v>
      </c>
      <c r="BG70" s="7">
        <v>0.16662238926749079</v>
      </c>
      <c r="BH70" s="7">
        <v>6.224233238524352E-4</v>
      </c>
      <c r="BI70" s="7">
        <v>9.562741242156585E-4</v>
      </c>
      <c r="BJ70" s="7">
        <v>3.6836428782433101E-3</v>
      </c>
      <c r="BK70" s="7">
        <v>2.101513305368905E-4</v>
      </c>
      <c r="BL70" s="7">
        <v>1.249395269591333E-2</v>
      </c>
      <c r="BM70" s="7">
        <v>1.3925659885974029E-4</v>
      </c>
      <c r="BN70" s="7">
        <v>3.3789227302527022E-2</v>
      </c>
      <c r="BO70" s="7">
        <v>3.056785984859838E-3</v>
      </c>
      <c r="BP70" s="7">
        <v>2.0200786959266009E-3</v>
      </c>
      <c r="BQ70" s="7">
        <v>8.1902886156293435E-4</v>
      </c>
      <c r="BR70" s="7">
        <v>0</v>
      </c>
      <c r="BS70" s="7">
        <v>4.9572391576056694E-3</v>
      </c>
      <c r="BT70" s="7">
        <v>1.2255793769124791E-2</v>
      </c>
      <c r="BU70" s="7">
        <v>1.3921992478143529E-2</v>
      </c>
      <c r="BV70" s="7">
        <v>4.5661332945854671E-3</v>
      </c>
      <c r="BW70" s="7">
        <v>1.1740023696748869E-2</v>
      </c>
      <c r="BX70" s="7">
        <v>3.6628939334630309E-2</v>
      </c>
      <c r="BY70" s="7">
        <v>1.251459343681989E-2</v>
      </c>
      <c r="BZ70" s="7">
        <v>5.3867473696526174E-3</v>
      </c>
    </row>
    <row r="71" spans="1:78">
      <c r="A71" s="4" t="s">
        <v>209</v>
      </c>
      <c r="B71" s="7">
        <v>7.7255660202098903E-4</v>
      </c>
      <c r="C71" s="7">
        <v>3.5909255673404481E-3</v>
      </c>
      <c r="D71" s="7">
        <v>5.9823190098124253E-5</v>
      </c>
      <c r="E71" s="7">
        <v>4.1436972508139222E-6</v>
      </c>
      <c r="F71" s="7">
        <v>0</v>
      </c>
      <c r="G71" s="7">
        <v>1.56945788762473E-6</v>
      </c>
      <c r="H71" s="7">
        <v>0</v>
      </c>
      <c r="I71" s="7">
        <v>3.9722450209901469E-6</v>
      </c>
      <c r="J71" s="7">
        <v>0</v>
      </c>
      <c r="K71" s="7">
        <v>2.3129516745013239E-3</v>
      </c>
      <c r="L71" s="7">
        <v>4.26090948719031E-3</v>
      </c>
      <c r="M71" s="7">
        <v>0</v>
      </c>
      <c r="N71" s="7">
        <v>9.0176476951505904E-6</v>
      </c>
      <c r="O71" s="7">
        <v>3.773144864881864E-3</v>
      </c>
      <c r="P71" s="7">
        <v>7.5665854193793147E-5</v>
      </c>
      <c r="Q71" s="7">
        <v>1.3118447086725571E-4</v>
      </c>
      <c r="R71" s="7">
        <v>1.8546631926539281E-3</v>
      </c>
      <c r="S71" s="7">
        <v>0</v>
      </c>
      <c r="T71" s="7">
        <v>5.3881988968596504E-4</v>
      </c>
      <c r="U71" s="7">
        <v>8.1653041552378278E-3</v>
      </c>
      <c r="V71" s="7">
        <v>8.0536310999851585E-7</v>
      </c>
      <c r="W71" s="7">
        <v>3.243165113288534E-3</v>
      </c>
      <c r="X71" s="7">
        <v>5.5900408536138048E-3</v>
      </c>
      <c r="Y71" s="7">
        <v>1.2562785085032599E-4</v>
      </c>
      <c r="Z71" s="7">
        <v>0</v>
      </c>
      <c r="AA71" s="7">
        <v>3.5339484524766519E-2</v>
      </c>
      <c r="AB71" s="7">
        <v>1.574339721714045E-3</v>
      </c>
      <c r="AC71" s="7">
        <v>0</v>
      </c>
      <c r="AD71" s="7">
        <v>0</v>
      </c>
      <c r="AE71" s="7">
        <v>0</v>
      </c>
      <c r="AF71" s="7">
        <v>1.5404076884271119E-5</v>
      </c>
      <c r="AG71" s="7">
        <v>3.0121172228903258E-4</v>
      </c>
      <c r="AH71" s="7">
        <v>7.1386327202522127E-5</v>
      </c>
      <c r="AI71" s="7">
        <v>5.6772195142185654E-4</v>
      </c>
      <c r="AJ71" s="7">
        <v>0</v>
      </c>
      <c r="AK71" s="7">
        <v>0</v>
      </c>
      <c r="AL71" s="7">
        <v>4.420941628666757E-3</v>
      </c>
      <c r="AM71" s="7">
        <v>7.5612162553228557E-3</v>
      </c>
      <c r="AN71" s="7">
        <v>2.0453516845041782E-6</v>
      </c>
      <c r="AO71" s="7">
        <v>0</v>
      </c>
      <c r="AP71" s="7">
        <v>0</v>
      </c>
      <c r="AQ71" s="7">
        <v>1.500923695955861E-4</v>
      </c>
      <c r="AR71" s="7">
        <v>0</v>
      </c>
      <c r="AS71" s="7">
        <v>0</v>
      </c>
      <c r="AT71" s="7">
        <v>1.572891830780272E-5</v>
      </c>
      <c r="AU71" s="7">
        <v>0</v>
      </c>
      <c r="AV71" s="7">
        <v>3.5292792620996009E-3</v>
      </c>
      <c r="AW71" s="7">
        <v>3.0780772180690863E-5</v>
      </c>
      <c r="AX71" s="7">
        <v>0</v>
      </c>
      <c r="AY71" s="7">
        <v>0</v>
      </c>
      <c r="AZ71" s="7">
        <v>0</v>
      </c>
      <c r="BA71" s="7">
        <v>0</v>
      </c>
      <c r="BB71" s="7">
        <v>1.4796927914180989E-2</v>
      </c>
      <c r="BC71" s="7">
        <v>3.7361582566125592E-5</v>
      </c>
      <c r="BD71" s="7">
        <v>2.6349984652762719E-3</v>
      </c>
      <c r="BE71" s="7">
        <v>0</v>
      </c>
      <c r="BF71" s="7">
        <v>7.3000249449242863E-5</v>
      </c>
      <c r="BG71" s="7">
        <v>9.9547041424727771E-5</v>
      </c>
      <c r="BH71" s="7">
        <v>6.7756309273866106E-3</v>
      </c>
      <c r="BI71" s="7">
        <v>8.4590223157304229E-8</v>
      </c>
      <c r="BJ71" s="7">
        <v>0</v>
      </c>
      <c r="BK71" s="7">
        <v>0</v>
      </c>
      <c r="BL71" s="7">
        <v>6.6492071836844288E-7</v>
      </c>
      <c r="BM71" s="7">
        <v>1.5699442768513319E-4</v>
      </c>
      <c r="BN71" s="7">
        <v>1.905955147253176E-3</v>
      </c>
      <c r="BO71" s="7">
        <v>4.4886640016761309E-7</v>
      </c>
      <c r="BP71" s="7">
        <v>8.774736911194187E-5</v>
      </c>
      <c r="BQ71" s="7">
        <v>6.9256633341839944E-7</v>
      </c>
      <c r="BR71" s="7">
        <v>3.6960359592419018E-4</v>
      </c>
      <c r="BS71" s="7">
        <v>0</v>
      </c>
      <c r="BT71" s="7">
        <v>3.7549275511104029E-3</v>
      </c>
      <c r="BU71" s="7">
        <v>1.148329919852367E-5</v>
      </c>
      <c r="BV71" s="7">
        <v>3.2968360878596478E-4</v>
      </c>
      <c r="BW71" s="7">
        <v>9.7881673310589085E-4</v>
      </c>
      <c r="BX71" s="7">
        <v>2.5376118803993819E-5</v>
      </c>
      <c r="BY71" s="7">
        <v>1.2371463827774399E-3</v>
      </c>
      <c r="BZ71" s="7">
        <v>1.020281636982882E-2</v>
      </c>
    </row>
    <row r="72" spans="1:78">
      <c r="A72" s="4" t="s">
        <v>211</v>
      </c>
      <c r="B72" s="7">
        <v>7.3357008345767832E-3</v>
      </c>
      <c r="C72" s="7">
        <v>1.1189167663204771E-3</v>
      </c>
      <c r="D72" s="7">
        <v>2.5703880170969088E-3</v>
      </c>
      <c r="E72" s="7">
        <v>1.4099366864848671E-3</v>
      </c>
      <c r="F72" s="7">
        <v>1.001507614479194E-2</v>
      </c>
      <c r="G72" s="7">
        <v>8.8222525871698692E-3</v>
      </c>
      <c r="H72" s="7">
        <v>4.1524396677217898E-2</v>
      </c>
      <c r="I72" s="7">
        <v>1.7180953857626601E-3</v>
      </c>
      <c r="J72" s="7">
        <v>2.5258421295615399E-4</v>
      </c>
      <c r="K72" s="7">
        <v>1.841655585002187E-4</v>
      </c>
      <c r="L72" s="7">
        <v>2.5983807730847451E-3</v>
      </c>
      <c r="M72" s="7">
        <v>1.760468542936175E-3</v>
      </c>
      <c r="N72" s="7">
        <v>2.333290400603029E-4</v>
      </c>
      <c r="O72" s="7">
        <v>2.266290432527452E-2</v>
      </c>
      <c r="P72" s="7">
        <v>7.9522252768987108E-3</v>
      </c>
      <c r="Q72" s="7">
        <v>7.9399329007742627E-4</v>
      </c>
      <c r="R72" s="7">
        <v>2.8992989228335199E-4</v>
      </c>
      <c r="S72" s="7">
        <v>2.8501733908336701E-5</v>
      </c>
      <c r="T72" s="7">
        <v>1.1933851675086399E-3</v>
      </c>
      <c r="U72" s="7">
        <v>5.6690989177114477E-3</v>
      </c>
      <c r="V72" s="7">
        <v>6.5078138609115576E-3</v>
      </c>
      <c r="W72" s="7">
        <v>3.7962843272973272E-2</v>
      </c>
      <c r="X72" s="7">
        <v>6.8075520132673522E-3</v>
      </c>
      <c r="Y72" s="7">
        <v>6.58810713995039E-4</v>
      </c>
      <c r="Z72" s="7">
        <v>4.4493615159867956E-3</v>
      </c>
      <c r="AA72" s="7">
        <v>7.379305292818974E-3</v>
      </c>
      <c r="AB72" s="7">
        <v>4.4552307026869582E-3</v>
      </c>
      <c r="AC72" s="7">
        <v>3.2912306086618187E-2</v>
      </c>
      <c r="AD72" s="7">
        <v>2.483700570199186E-5</v>
      </c>
      <c r="AE72" s="7">
        <v>7.8294791644165744E-3</v>
      </c>
      <c r="AF72" s="7">
        <v>2.8854336666071668E-3</v>
      </c>
      <c r="AG72" s="7">
        <v>3.9550977271325932E-4</v>
      </c>
      <c r="AH72" s="7">
        <v>3.712936772570675E-3</v>
      </c>
      <c r="AI72" s="7">
        <v>8.7122294384151394E-3</v>
      </c>
      <c r="AJ72" s="7">
        <v>2.8862648255543262E-4</v>
      </c>
      <c r="AK72" s="7">
        <v>8.858435121369421E-3</v>
      </c>
      <c r="AL72" s="7">
        <v>8.9277097820383618E-3</v>
      </c>
      <c r="AM72" s="7">
        <v>4.1652424134451853E-2</v>
      </c>
      <c r="AN72" s="7">
        <v>8.3884718883718394E-5</v>
      </c>
      <c r="AO72" s="7">
        <v>1.476881552657962E-2</v>
      </c>
      <c r="AP72" s="7">
        <v>9.3204839561571615E-5</v>
      </c>
      <c r="AQ72" s="7">
        <v>1.094421078899985E-4</v>
      </c>
      <c r="AR72" s="7">
        <v>3.4930501843294159E-4</v>
      </c>
      <c r="AS72" s="7">
        <v>2.2225103807252682E-3</v>
      </c>
      <c r="AT72" s="7">
        <v>2.246450094082501E-3</v>
      </c>
      <c r="AU72" s="7">
        <v>4.5814454113904488E-2</v>
      </c>
      <c r="AV72" s="7">
        <v>3.214149379280818E-2</v>
      </c>
      <c r="AW72" s="7">
        <v>8.0768547793656266E-4</v>
      </c>
      <c r="AX72" s="7">
        <v>2.066080331692339E-3</v>
      </c>
      <c r="AY72" s="7">
        <v>1.8416193355817469E-3</v>
      </c>
      <c r="AZ72" s="7">
        <v>6.9734469980747442E-5</v>
      </c>
      <c r="BA72" s="7">
        <v>1.2344253150995551E-3</v>
      </c>
      <c r="BB72" s="7">
        <v>4.7958899726995314E-3</v>
      </c>
      <c r="BC72" s="7">
        <v>1.223654499166842E-3</v>
      </c>
      <c r="BD72" s="7">
        <v>2.9471055091213178E-3</v>
      </c>
      <c r="BE72" s="7">
        <v>5.3906412601203817E-3</v>
      </c>
      <c r="BF72" s="7">
        <v>5.5292085266882771E-3</v>
      </c>
      <c r="BG72" s="7">
        <v>4.5276774246872129E-4</v>
      </c>
      <c r="BH72" s="7">
        <v>5.853324449233489E-3</v>
      </c>
      <c r="BI72" s="7">
        <v>7.5458505568342366E-5</v>
      </c>
      <c r="BJ72" s="7">
        <v>2.5681744749951239E-2</v>
      </c>
      <c r="BK72" s="7">
        <v>3.7085857056747322E-2</v>
      </c>
      <c r="BL72" s="7">
        <v>6.8922899306959884E-3</v>
      </c>
      <c r="BM72" s="7">
        <v>8.3958143993588998E-3</v>
      </c>
      <c r="BN72" s="7">
        <v>6.3322643975809211E-4</v>
      </c>
      <c r="BO72" s="7">
        <v>1.4556392863880861E-3</v>
      </c>
      <c r="BP72" s="7">
        <v>3.1693317276996241E-3</v>
      </c>
      <c r="BQ72" s="7">
        <v>1.9693814278933068E-3</v>
      </c>
      <c r="BR72" s="7">
        <v>3.8677303493086037E-4</v>
      </c>
      <c r="BS72" s="7">
        <v>3.5614580504080333E-2</v>
      </c>
      <c r="BT72" s="7">
        <v>0</v>
      </c>
      <c r="BU72" s="7">
        <v>1.632613092343547E-4</v>
      </c>
      <c r="BV72" s="7">
        <v>2.454627865426082E-2</v>
      </c>
      <c r="BW72" s="7">
        <v>5.4858136582819957E-4</v>
      </c>
      <c r="BX72" s="7">
        <v>1.281974630363875E-4</v>
      </c>
      <c r="BY72" s="7">
        <v>1.008045895025058E-2</v>
      </c>
      <c r="BZ72" s="7">
        <v>1.540225260359651E-2</v>
      </c>
    </row>
    <row r="73" spans="1:78">
      <c r="A73" s="4" t="s">
        <v>213</v>
      </c>
      <c r="B73" s="7">
        <v>9.3409066857398464E-3</v>
      </c>
      <c r="C73" s="7">
        <v>2.039114322036319E-2</v>
      </c>
      <c r="D73" s="7">
        <v>9.6836175043418064E-3</v>
      </c>
      <c r="E73" s="7">
        <v>1.4820351226051639E-3</v>
      </c>
      <c r="F73" s="7">
        <v>6.6555541253030129E-3</v>
      </c>
      <c r="G73" s="7">
        <v>9.3482537691881595E-4</v>
      </c>
      <c r="H73" s="7">
        <v>1.84051907055444E-3</v>
      </c>
      <c r="I73" s="7">
        <v>1.1645844377491121E-2</v>
      </c>
      <c r="J73" s="7">
        <v>1.152269679858943E-2</v>
      </c>
      <c r="K73" s="7">
        <v>1.3956231261067171E-2</v>
      </c>
      <c r="L73" s="7">
        <v>1.669659666532558E-2</v>
      </c>
      <c r="M73" s="7">
        <v>1.110536647955777E-3</v>
      </c>
      <c r="N73" s="7">
        <v>2.7843120919705242E-2</v>
      </c>
      <c r="O73" s="7">
        <v>1.006506126079823E-2</v>
      </c>
      <c r="P73" s="7">
        <v>7.241366691167877E-4</v>
      </c>
      <c r="Q73" s="7">
        <v>2.6860613552825419E-2</v>
      </c>
      <c r="R73" s="7">
        <v>7.2619978589942794E-3</v>
      </c>
      <c r="S73" s="7">
        <v>6.2646293345102111E-3</v>
      </c>
      <c r="T73" s="7">
        <v>1.025125461175475E-3</v>
      </c>
      <c r="U73" s="7">
        <v>3.8447418551742808E-3</v>
      </c>
      <c r="V73" s="7">
        <v>8.6433339641234473E-3</v>
      </c>
      <c r="W73" s="7">
        <v>8.3874039069756537E-4</v>
      </c>
      <c r="X73" s="7">
        <v>2.768900613305651E-3</v>
      </c>
      <c r="Y73" s="7">
        <v>3.3996366972790688E-3</v>
      </c>
      <c r="Z73" s="7">
        <v>8.2432597993185829E-3</v>
      </c>
      <c r="AA73" s="7">
        <v>2.5072624101873798E-3</v>
      </c>
      <c r="AB73" s="7">
        <v>4.135745945270497E-3</v>
      </c>
      <c r="AC73" s="7">
        <v>1.688028134798589E-3</v>
      </c>
      <c r="AD73" s="7">
        <v>3.436814354437881E-2</v>
      </c>
      <c r="AE73" s="7">
        <v>1.297513253282063E-2</v>
      </c>
      <c r="AF73" s="7">
        <v>3.18156870916784E-3</v>
      </c>
      <c r="AG73" s="7">
        <v>7.5703646560979854E-3</v>
      </c>
      <c r="AH73" s="7">
        <v>7.3114589824431883E-3</v>
      </c>
      <c r="AI73" s="7">
        <v>4.1017422898966408E-3</v>
      </c>
      <c r="AJ73" s="7">
        <v>2.434920036298637E-3</v>
      </c>
      <c r="AK73" s="7">
        <v>8.099863131908672E-3</v>
      </c>
      <c r="AL73" s="7">
        <v>2.4241214852358949E-3</v>
      </c>
      <c r="AM73" s="7">
        <v>5.0110537542808198E-3</v>
      </c>
      <c r="AN73" s="7">
        <v>3.4459277474263791E-2</v>
      </c>
      <c r="AO73" s="7">
        <v>1.5575582814566439E-4</v>
      </c>
      <c r="AP73" s="7">
        <v>0.2164721929874496</v>
      </c>
      <c r="AQ73" s="7">
        <v>4.9463513831415886E-3</v>
      </c>
      <c r="AR73" s="7">
        <v>1.2889252894665021E-5</v>
      </c>
      <c r="AS73" s="7">
        <v>2.0675659008504042E-3</v>
      </c>
      <c r="AT73" s="7">
        <v>1.350858821611918E-3</v>
      </c>
      <c r="AU73" s="7">
        <v>1.0113854875116389E-2</v>
      </c>
      <c r="AV73" s="7">
        <v>2.6684620565944782E-3</v>
      </c>
      <c r="AW73" s="7">
        <v>2.7239208037397308E-2</v>
      </c>
      <c r="AX73" s="7">
        <v>3.8207974276174021E-5</v>
      </c>
      <c r="AY73" s="7">
        <v>1.9358509014362529E-3</v>
      </c>
      <c r="AZ73" s="7">
        <v>3.4037209330450277E-2</v>
      </c>
      <c r="BA73" s="7">
        <v>6.0022656422688587E-5</v>
      </c>
      <c r="BB73" s="7">
        <v>7.7404266595580999E-3</v>
      </c>
      <c r="BC73" s="7">
        <v>5.1703525800585936E-3</v>
      </c>
      <c r="BD73" s="7">
        <v>2.0058121727888019E-2</v>
      </c>
      <c r="BE73" s="7">
        <v>5.3489530906855277E-3</v>
      </c>
      <c r="BF73" s="7">
        <v>2.4488388883011691E-2</v>
      </c>
      <c r="BG73" s="7">
        <v>3.7525041753764761E-2</v>
      </c>
      <c r="BH73" s="7">
        <v>2.3935489551345342E-2</v>
      </c>
      <c r="BI73" s="7">
        <v>2.7581282854069011E-3</v>
      </c>
      <c r="BJ73" s="7">
        <v>9.8856611888848856E-3</v>
      </c>
      <c r="BK73" s="7">
        <v>2.4983220948515991E-3</v>
      </c>
      <c r="BL73" s="7">
        <v>9.0315242405043811E-3</v>
      </c>
      <c r="BM73" s="7">
        <v>1.089910747265378E-3</v>
      </c>
      <c r="BN73" s="7">
        <v>1.7310714007096589E-2</v>
      </c>
      <c r="BO73" s="7">
        <v>1.829622441416003E-4</v>
      </c>
      <c r="BP73" s="7">
        <v>4.21605850116967E-3</v>
      </c>
      <c r="BQ73" s="7">
        <v>4.5033428713886804E-3</v>
      </c>
      <c r="BR73" s="7">
        <v>1.6030238367662639E-2</v>
      </c>
      <c r="BS73" s="7">
        <v>3.8825915129589968E-3</v>
      </c>
      <c r="BT73" s="7">
        <v>3.4812266712107871E-3</v>
      </c>
      <c r="BU73" s="7">
        <v>0</v>
      </c>
      <c r="BV73" s="7">
        <v>3.414099110800351E-3</v>
      </c>
      <c r="BW73" s="7">
        <v>2.8929329818270729E-2</v>
      </c>
      <c r="BX73" s="7">
        <v>2.628076427062543E-2</v>
      </c>
      <c r="BY73" s="7">
        <v>6.2523743327422996E-3</v>
      </c>
      <c r="BZ73" s="7">
        <v>4.5577511850806249E-3</v>
      </c>
    </row>
    <row r="74" spans="1:78">
      <c r="A74" s="4" t="s">
        <v>215</v>
      </c>
      <c r="B74" s="7">
        <v>0</v>
      </c>
      <c r="C74" s="7">
        <v>7.6871923530386852E-6</v>
      </c>
      <c r="D74" s="7">
        <v>1.3099956925034551E-5</v>
      </c>
      <c r="E74" s="7">
        <v>9.8025352566684303E-7</v>
      </c>
      <c r="F74" s="7">
        <v>7.4939769037196865E-7</v>
      </c>
      <c r="G74" s="7">
        <v>6.3465971385862091E-5</v>
      </c>
      <c r="H74" s="7">
        <v>6.3249011679754135E-4</v>
      </c>
      <c r="I74" s="7">
        <v>0</v>
      </c>
      <c r="J74" s="7">
        <v>0</v>
      </c>
      <c r="K74" s="7">
        <v>5.3036918416909884E-6</v>
      </c>
      <c r="L74" s="7">
        <v>5.239545058591889E-6</v>
      </c>
      <c r="M74" s="7">
        <v>3.2198811797616269E-6</v>
      </c>
      <c r="N74" s="7">
        <v>5.0307711840647436E-6</v>
      </c>
      <c r="O74" s="7">
        <v>6.8763612896352843E-5</v>
      </c>
      <c r="P74" s="7">
        <v>0</v>
      </c>
      <c r="Q74" s="7">
        <v>8.8346050701777846E-7</v>
      </c>
      <c r="R74" s="7">
        <v>0</v>
      </c>
      <c r="S74" s="7">
        <v>3.10416283076827E-5</v>
      </c>
      <c r="T74" s="7">
        <v>5.3593335798303291E-6</v>
      </c>
      <c r="U74" s="7">
        <v>4.4659458586703537E-5</v>
      </c>
      <c r="V74" s="7">
        <v>4.4623682298664991E-6</v>
      </c>
      <c r="W74" s="7">
        <v>2.4903485576305062E-4</v>
      </c>
      <c r="X74" s="7">
        <v>1.051662636440552E-5</v>
      </c>
      <c r="Y74" s="7">
        <v>9.5393315364046441E-4</v>
      </c>
      <c r="Z74" s="7">
        <v>6.3401931178030664E-5</v>
      </c>
      <c r="AA74" s="7">
        <v>2.1891110998803739E-4</v>
      </c>
      <c r="AB74" s="7">
        <v>1.056982601864929E-5</v>
      </c>
      <c r="AC74" s="7">
        <v>0</v>
      </c>
      <c r="AD74" s="7">
        <v>9.7185852065540031E-6</v>
      </c>
      <c r="AE74" s="7">
        <v>2.4893654410694192E-6</v>
      </c>
      <c r="AF74" s="7">
        <v>1.4752682262202479E-4</v>
      </c>
      <c r="AG74" s="7">
        <v>8.3962914531219962E-6</v>
      </c>
      <c r="AH74" s="7">
        <v>1.7586927348251911E-5</v>
      </c>
      <c r="AI74" s="7">
        <v>2.9741913334630021E-7</v>
      </c>
      <c r="AJ74" s="7">
        <v>1.3657688914261971E-4</v>
      </c>
      <c r="AK74" s="7">
        <v>1.188922521948324E-5</v>
      </c>
      <c r="AL74" s="7">
        <v>2.791586563108748E-5</v>
      </c>
      <c r="AM74" s="7">
        <v>0</v>
      </c>
      <c r="AN74" s="7">
        <v>7.9283315660713188E-7</v>
      </c>
      <c r="AO74" s="7">
        <v>2.8006129095420891E-2</v>
      </c>
      <c r="AP74" s="7">
        <v>0</v>
      </c>
      <c r="AQ74" s="7">
        <v>4.4292709650840438E-7</v>
      </c>
      <c r="AR74" s="7">
        <v>0</v>
      </c>
      <c r="AS74" s="7">
        <v>3.4424956160583121E-4</v>
      </c>
      <c r="AT74" s="7">
        <v>8.2046684992803518E-8</v>
      </c>
      <c r="AU74" s="7">
        <v>3.5204218975934583E-4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8.5346002037498052E-5</v>
      </c>
      <c r="BC74" s="7">
        <v>1.229731675468924E-5</v>
      </c>
      <c r="BD74" s="7">
        <v>3.8515406267653728E-5</v>
      </c>
      <c r="BE74" s="7">
        <v>0</v>
      </c>
      <c r="BF74" s="7">
        <v>7.6150709274322049E-5</v>
      </c>
      <c r="BG74" s="7">
        <v>0</v>
      </c>
      <c r="BH74" s="7">
        <v>7.2686710892904739E-4</v>
      </c>
      <c r="BI74" s="7">
        <v>1.7622935265613029E-7</v>
      </c>
      <c r="BJ74" s="7">
        <v>1.7260429798001281E-3</v>
      </c>
      <c r="BK74" s="7">
        <v>3.5097352477553049E-3</v>
      </c>
      <c r="BL74" s="7">
        <v>0</v>
      </c>
      <c r="BM74" s="7">
        <v>0</v>
      </c>
      <c r="BN74" s="7">
        <v>3.5799881125675109E-6</v>
      </c>
      <c r="BO74" s="7">
        <v>1.5814944211615091E-7</v>
      </c>
      <c r="BP74" s="7">
        <v>1.4472288930331889E-5</v>
      </c>
      <c r="BQ74" s="7">
        <v>6.5101224133666446E-6</v>
      </c>
      <c r="BR74" s="7">
        <v>1.237728756144638E-6</v>
      </c>
      <c r="BS74" s="7">
        <v>0</v>
      </c>
      <c r="BT74" s="7">
        <v>5.7609450103887881E-5</v>
      </c>
      <c r="BU74" s="7">
        <v>6.6644240746003557E-6</v>
      </c>
      <c r="BV74" s="7">
        <v>0</v>
      </c>
      <c r="BW74" s="7">
        <v>1.443116744882506E-6</v>
      </c>
      <c r="BX74" s="7">
        <v>4.7376982808742682E-5</v>
      </c>
      <c r="BY74" s="7">
        <v>1.7808762596919981E-6</v>
      </c>
      <c r="BZ74" s="7">
        <v>9.2855533693343944E-4</v>
      </c>
    </row>
    <row r="75" spans="1:78">
      <c r="A75" s="4" t="s">
        <v>217</v>
      </c>
      <c r="B75" s="7">
        <v>4.5501666569359923E-2</v>
      </c>
      <c r="C75" s="7">
        <v>0.14106005315044229</v>
      </c>
      <c r="D75" s="7">
        <v>2.267637630965167E-2</v>
      </c>
      <c r="E75" s="7">
        <v>9.9790146270379385E-3</v>
      </c>
      <c r="F75" s="7">
        <v>1.4212684418980199E-2</v>
      </c>
      <c r="G75" s="7">
        <v>1.515862612177982E-2</v>
      </c>
      <c r="H75" s="7">
        <v>1.4752387387214019E-4</v>
      </c>
      <c r="I75" s="7">
        <v>9.114729525939512E-2</v>
      </c>
      <c r="J75" s="7">
        <v>0.1390778626613734</v>
      </c>
      <c r="K75" s="7">
        <v>0.40793141859506338</v>
      </c>
      <c r="L75" s="7">
        <v>5.3275167755929498E-2</v>
      </c>
      <c r="M75" s="7">
        <v>4.9714069822731473E-2</v>
      </c>
      <c r="N75" s="7">
        <v>4.0800743705641428E-2</v>
      </c>
      <c r="O75" s="7">
        <v>0.28555346988480668</v>
      </c>
      <c r="P75" s="7">
        <v>2.271863114559811E-2</v>
      </c>
      <c r="Q75" s="7">
        <v>0.10417638514079711</v>
      </c>
      <c r="R75" s="7">
        <v>0.39882733953145078</v>
      </c>
      <c r="S75" s="7">
        <v>1.2671767730823791E-2</v>
      </c>
      <c r="T75" s="7">
        <v>1.869855396509567E-2</v>
      </c>
      <c r="U75" s="7">
        <v>4.293740030692942E-2</v>
      </c>
      <c r="V75" s="7">
        <v>1.0213603936110059E-2</v>
      </c>
      <c r="W75" s="7">
        <v>6.8369434203685062E-2</v>
      </c>
      <c r="X75" s="7">
        <v>1.0706720129785021E-2</v>
      </c>
      <c r="Y75" s="7">
        <v>3.9951338959500982E-2</v>
      </c>
      <c r="Z75" s="7">
        <v>1.9901180268681661E-2</v>
      </c>
      <c r="AA75" s="7">
        <v>9.3905220755206756E-2</v>
      </c>
      <c r="AB75" s="7">
        <v>0.24070125325493269</v>
      </c>
      <c r="AC75" s="7">
        <v>5.6044482525700904E-3</v>
      </c>
      <c r="AD75" s="7">
        <v>1.3332527013721019E-2</v>
      </c>
      <c r="AE75" s="7">
        <v>7.2189943864966431E-3</v>
      </c>
      <c r="AF75" s="7">
        <v>1.3300685750692169E-2</v>
      </c>
      <c r="AG75" s="7">
        <v>2.0757840242655021E-2</v>
      </c>
      <c r="AH75" s="7">
        <v>2.669045689912412E-2</v>
      </c>
      <c r="AI75" s="7">
        <v>7.3686711835220409E-2</v>
      </c>
      <c r="AJ75" s="7">
        <v>6.0856844111629199E-2</v>
      </c>
      <c r="AK75" s="7">
        <v>0.1251517353945327</v>
      </c>
      <c r="AL75" s="7">
        <v>1.369128779208722E-2</v>
      </c>
      <c r="AM75" s="7">
        <v>1.3539488648415801E-2</v>
      </c>
      <c r="AN75" s="7">
        <v>5.1522292314279829E-2</v>
      </c>
      <c r="AO75" s="7">
        <v>0.29590809681807789</v>
      </c>
      <c r="AP75" s="7">
        <v>5.2686956274076184E-3</v>
      </c>
      <c r="AQ75" s="7">
        <v>0.17502483511531591</v>
      </c>
      <c r="AR75" s="7">
        <v>2.2132027339217489E-4</v>
      </c>
      <c r="AS75" s="7">
        <v>8.5013300320038489E-3</v>
      </c>
      <c r="AT75" s="7">
        <v>1.253093285198017E-2</v>
      </c>
      <c r="AU75" s="7">
        <v>1.384504316790594E-2</v>
      </c>
      <c r="AV75" s="7">
        <v>8.1340408808656811E-3</v>
      </c>
      <c r="AW75" s="7">
        <v>0.19145183454967449</v>
      </c>
      <c r="AX75" s="7">
        <v>3.4194328611989928E-3</v>
      </c>
      <c r="AY75" s="7">
        <v>2.283969566336478E-2</v>
      </c>
      <c r="AZ75" s="7">
        <v>3.032699217129035E-2</v>
      </c>
      <c r="BA75" s="7">
        <v>1.7198936692626121E-2</v>
      </c>
      <c r="BB75" s="7">
        <v>7.8836382665484719E-2</v>
      </c>
      <c r="BC75" s="7">
        <v>0.16536678636191141</v>
      </c>
      <c r="BD75" s="7">
        <v>0.1041143019833531</v>
      </c>
      <c r="BE75" s="7">
        <v>4.047865811820358E-2</v>
      </c>
      <c r="BF75" s="7">
        <v>0.21505266880482851</v>
      </c>
      <c r="BG75" s="7">
        <v>4.8324609671623282E-2</v>
      </c>
      <c r="BH75" s="7">
        <v>1.9268665663267449E-2</v>
      </c>
      <c r="BI75" s="7">
        <v>3.6681206762665701E-3</v>
      </c>
      <c r="BJ75" s="7">
        <v>6.6297734357463334E-3</v>
      </c>
      <c r="BK75" s="7">
        <v>6.7758159762065116E-3</v>
      </c>
      <c r="BL75" s="7">
        <v>0.10239529023306571</v>
      </c>
      <c r="BM75" s="7">
        <v>1.438751473996498E-2</v>
      </c>
      <c r="BN75" s="7">
        <v>0.26553434051955538</v>
      </c>
      <c r="BO75" s="7">
        <v>2.427550847181372E-3</v>
      </c>
      <c r="BP75" s="7">
        <v>1.387334032115161E-2</v>
      </c>
      <c r="BQ75" s="7">
        <v>2.3559996175412261E-2</v>
      </c>
      <c r="BR75" s="7">
        <v>3.0209574749923491E-2</v>
      </c>
      <c r="BS75" s="7">
        <v>1.8507814356587399E-2</v>
      </c>
      <c r="BT75" s="7">
        <v>4.385171036551249E-2</v>
      </c>
      <c r="BU75" s="7">
        <v>5.9468307979765538E-2</v>
      </c>
      <c r="BV75" s="7">
        <v>1.2764515927617971E-2</v>
      </c>
      <c r="BW75" s="7">
        <v>0</v>
      </c>
      <c r="BX75" s="7">
        <v>4.9991720022503124E-3</v>
      </c>
      <c r="BY75" s="7">
        <v>8.8585834510673755E-2</v>
      </c>
      <c r="BZ75" s="7">
        <v>0.16910563726182951</v>
      </c>
    </row>
    <row r="76" spans="1:78">
      <c r="A76" s="4" t="s">
        <v>219</v>
      </c>
      <c r="B76" s="7">
        <v>4.4116759497260368E-3</v>
      </c>
      <c r="C76" s="7">
        <v>4.0840068222356427E-3</v>
      </c>
      <c r="D76" s="7">
        <v>3.3823981201524342E-2</v>
      </c>
      <c r="E76" s="7">
        <v>5.2276667963854231E-5</v>
      </c>
      <c r="F76" s="7">
        <v>1.1618160148883199E-3</v>
      </c>
      <c r="G76" s="7">
        <v>0</v>
      </c>
      <c r="H76" s="7">
        <v>0</v>
      </c>
      <c r="I76" s="7">
        <v>1.8249693080175551E-2</v>
      </c>
      <c r="J76" s="7">
        <v>2.6828015313904558E-4</v>
      </c>
      <c r="K76" s="7">
        <v>2.599715126721432E-2</v>
      </c>
      <c r="L76" s="7">
        <v>9.9994952394221962E-3</v>
      </c>
      <c r="M76" s="7">
        <v>4.6289012720056248E-2</v>
      </c>
      <c r="N76" s="7">
        <v>6.6812767676415849E-2</v>
      </c>
      <c r="O76" s="7">
        <v>4.7724998542904356E-3</v>
      </c>
      <c r="P76" s="7">
        <v>2.9556927659390899E-4</v>
      </c>
      <c r="Q76" s="7">
        <v>6.5871727752782008E-2</v>
      </c>
      <c r="R76" s="7">
        <v>1.464622564290873E-3</v>
      </c>
      <c r="S76" s="7">
        <v>0</v>
      </c>
      <c r="T76" s="7">
        <v>4.0114081913308394E-3</v>
      </c>
      <c r="U76" s="7">
        <v>8.4553622546357093E-3</v>
      </c>
      <c r="V76" s="7">
        <v>6.666458669970787E-5</v>
      </c>
      <c r="W76" s="7">
        <v>3.2383081970749163E-2</v>
      </c>
      <c r="X76" s="7">
        <v>4.8015653482720256E-3</v>
      </c>
      <c r="Y76" s="7">
        <v>3.0155858359014193E-4</v>
      </c>
      <c r="Z76" s="7">
        <v>3.321798033446806E-3</v>
      </c>
      <c r="AA76" s="7">
        <v>1.023480946349516E-2</v>
      </c>
      <c r="AB76" s="7">
        <v>3.7112653866481068E-3</v>
      </c>
      <c r="AC76" s="7">
        <v>0</v>
      </c>
      <c r="AD76" s="7">
        <v>5.7181153359321793E-2</v>
      </c>
      <c r="AE76" s="7">
        <v>1.503005294956787E-5</v>
      </c>
      <c r="AF76" s="7">
        <v>1.4664992387298509E-5</v>
      </c>
      <c r="AG76" s="7">
        <v>3.9574586406154133E-2</v>
      </c>
      <c r="AH76" s="7">
        <v>2.6913685432231611E-2</v>
      </c>
      <c r="AI76" s="7">
        <v>0.1171434573697185</v>
      </c>
      <c r="AJ76" s="7">
        <v>1.5770133423160431E-4</v>
      </c>
      <c r="AK76" s="7">
        <v>3.7928599473037481E-5</v>
      </c>
      <c r="AL76" s="7">
        <v>1.9699556714821001E-2</v>
      </c>
      <c r="AM76" s="7">
        <v>5.7425860878379759E-5</v>
      </c>
      <c r="AN76" s="7">
        <v>0.1292698359224233</v>
      </c>
      <c r="AO76" s="7">
        <v>0</v>
      </c>
      <c r="AP76" s="7">
        <v>1.1388814790429779E-2</v>
      </c>
      <c r="AQ76" s="7">
        <v>3.6303924373877978E-2</v>
      </c>
      <c r="AR76" s="7">
        <v>5.9083668239758969E-2</v>
      </c>
      <c r="AS76" s="7">
        <v>2.6546150597859192E-6</v>
      </c>
      <c r="AT76" s="7">
        <v>1.3093653586230451E-6</v>
      </c>
      <c r="AU76" s="7">
        <v>2.4321479428699331E-3</v>
      </c>
      <c r="AV76" s="7">
        <v>1.611553133027219E-2</v>
      </c>
      <c r="AW76" s="7">
        <v>4.1512920220413391E-2</v>
      </c>
      <c r="AX76" s="7">
        <v>0</v>
      </c>
      <c r="AY76" s="7">
        <v>3.7597552784641259E-4</v>
      </c>
      <c r="AZ76" s="7">
        <v>2.8230924393463419E-2</v>
      </c>
      <c r="BA76" s="7">
        <v>3.34111202722969E-4</v>
      </c>
      <c r="BB76" s="7">
        <v>1.352544702513374E-2</v>
      </c>
      <c r="BC76" s="7">
        <v>7.269999000970224E-4</v>
      </c>
      <c r="BD76" s="7">
        <v>4.3348139611913583E-2</v>
      </c>
      <c r="BE76" s="7">
        <v>3.9427309346791469E-5</v>
      </c>
      <c r="BF76" s="7">
        <v>7.285587766150561E-3</v>
      </c>
      <c r="BG76" s="7">
        <v>4.474118388688051E-2</v>
      </c>
      <c r="BH76" s="7">
        <v>1.1055991359913919E-2</v>
      </c>
      <c r="BI76" s="7">
        <v>6.9676017588727311E-4</v>
      </c>
      <c r="BJ76" s="7">
        <v>1.4971783719420989E-3</v>
      </c>
      <c r="BK76" s="7">
        <v>1.160159529234124E-4</v>
      </c>
      <c r="BL76" s="7">
        <v>2.1282580648801681E-5</v>
      </c>
      <c r="BM76" s="7">
        <v>7.7992308755943536E-5</v>
      </c>
      <c r="BN76" s="7">
        <v>6.4809938759718203E-2</v>
      </c>
      <c r="BO76" s="7">
        <v>3.0630887261251332E-4</v>
      </c>
      <c r="BP76" s="7">
        <v>3.6754531641612458E-4</v>
      </c>
      <c r="BQ76" s="7">
        <v>2.2512558961744799E-3</v>
      </c>
      <c r="BR76" s="7">
        <v>5.4983969493597587E-2</v>
      </c>
      <c r="BS76" s="7">
        <v>1.681724990252763E-4</v>
      </c>
      <c r="BT76" s="7">
        <v>7.1763167091074527E-3</v>
      </c>
      <c r="BU76" s="7">
        <v>1.8858147292348242E-2</v>
      </c>
      <c r="BV76" s="7">
        <v>1.6550601119005169E-3</v>
      </c>
      <c r="BW76" s="7">
        <v>5.7353587078324608E-2</v>
      </c>
      <c r="BX76" s="7">
        <v>0</v>
      </c>
      <c r="BY76" s="7">
        <v>7.7366037384924455E-4</v>
      </c>
      <c r="BZ76" s="7">
        <v>4.6773148727263739E-3</v>
      </c>
    </row>
    <row r="77" spans="1:78">
      <c r="A77" s="4" t="s">
        <v>221</v>
      </c>
      <c r="B77" s="7">
        <v>1.053540944760631E-4</v>
      </c>
      <c r="C77" s="7">
        <v>5.2673240164427277E-3</v>
      </c>
      <c r="D77" s="7">
        <v>3.064989436101525E-5</v>
      </c>
      <c r="E77" s="7">
        <v>2.6285143102381019E-5</v>
      </c>
      <c r="F77" s="7">
        <v>9.4863973848480497E-5</v>
      </c>
      <c r="G77" s="7">
        <v>0</v>
      </c>
      <c r="H77" s="7">
        <v>0</v>
      </c>
      <c r="I77" s="7">
        <v>1.2841719213668911E-5</v>
      </c>
      <c r="J77" s="7">
        <v>0</v>
      </c>
      <c r="K77" s="7">
        <v>2.433410595040504E-4</v>
      </c>
      <c r="L77" s="7">
        <v>3.4487802799282719E-6</v>
      </c>
      <c r="M77" s="7">
        <v>8.0744965932820901E-4</v>
      </c>
      <c r="N77" s="7">
        <v>2.283006819476043E-6</v>
      </c>
      <c r="O77" s="7">
        <v>7.0986563736452651E-2</v>
      </c>
      <c r="P77" s="7">
        <v>2.0638715846876452E-3</v>
      </c>
      <c r="Q77" s="7">
        <v>4.3637388758190602E-7</v>
      </c>
      <c r="R77" s="7">
        <v>1.1123720842094961E-3</v>
      </c>
      <c r="S77" s="7">
        <v>2.187209958585536E-4</v>
      </c>
      <c r="T77" s="7">
        <v>5.2673936184894229E-7</v>
      </c>
      <c r="U77" s="7">
        <v>2.0972356294635941E-5</v>
      </c>
      <c r="V77" s="7">
        <v>8.214148660894392E-6</v>
      </c>
      <c r="W77" s="7">
        <v>4.0026478655306789E-5</v>
      </c>
      <c r="X77" s="7">
        <v>1.94048187584598E-5</v>
      </c>
      <c r="Y77" s="7">
        <v>6.5214465142778762E-5</v>
      </c>
      <c r="Z77" s="7">
        <v>9.3702844749890119E-7</v>
      </c>
      <c r="AA77" s="7">
        <v>4.4332581257127067E-5</v>
      </c>
      <c r="AB77" s="7">
        <v>3.9302557198792558E-4</v>
      </c>
      <c r="AC77" s="7">
        <v>1.8381451304225371E-5</v>
      </c>
      <c r="AD77" s="7">
        <v>2.5680777203252271E-5</v>
      </c>
      <c r="AE77" s="7">
        <v>7.0705338497279407E-6</v>
      </c>
      <c r="AF77" s="7">
        <v>1.9394021762664569E-6</v>
      </c>
      <c r="AG77" s="7">
        <v>2.2666122117236931E-4</v>
      </c>
      <c r="AH77" s="7">
        <v>4.0141336922573998E-4</v>
      </c>
      <c r="AI77" s="7">
        <v>4.0995414280034214E-6</v>
      </c>
      <c r="AJ77" s="7">
        <v>1.8144871347579709E-4</v>
      </c>
      <c r="AK77" s="7">
        <v>5.8566814732966282E-7</v>
      </c>
      <c r="AL77" s="7">
        <v>4.35855650217992E-6</v>
      </c>
      <c r="AM77" s="7">
        <v>1.5676354486901631E-4</v>
      </c>
      <c r="AN77" s="7">
        <v>4.7483960222665497E-6</v>
      </c>
      <c r="AO77" s="7">
        <v>1.418730193756365E-4</v>
      </c>
      <c r="AP77" s="7">
        <v>0</v>
      </c>
      <c r="AQ77" s="7">
        <v>1.589380239073259E-4</v>
      </c>
      <c r="AR77" s="7">
        <v>0</v>
      </c>
      <c r="AS77" s="7">
        <v>0</v>
      </c>
      <c r="AT77" s="7">
        <v>0</v>
      </c>
      <c r="AU77" s="7">
        <v>5.0628725745883389E-4</v>
      </c>
      <c r="AV77" s="7">
        <v>6.4643352708725597E-4</v>
      </c>
      <c r="AW77" s="7">
        <v>6.7022294802266213E-7</v>
      </c>
      <c r="AX77" s="7">
        <v>0</v>
      </c>
      <c r="AY77" s="7">
        <v>0</v>
      </c>
      <c r="AZ77" s="7">
        <v>1.624712539617402E-6</v>
      </c>
      <c r="BA77" s="7">
        <v>1.3383166168792059E-3</v>
      </c>
      <c r="BB77" s="7">
        <v>1.7937652073734571E-4</v>
      </c>
      <c r="BC77" s="7">
        <v>9.4058587477307727E-5</v>
      </c>
      <c r="BD77" s="7">
        <v>6.45788383813566E-4</v>
      </c>
      <c r="BE77" s="7">
        <v>1.6209863436842E-4</v>
      </c>
      <c r="BF77" s="7">
        <v>5.3257678759756311E-4</v>
      </c>
      <c r="BG77" s="7">
        <v>1.3217468130587829E-4</v>
      </c>
      <c r="BH77" s="7">
        <v>1.139035733737545E-6</v>
      </c>
      <c r="BI77" s="7">
        <v>7.0492410474260456E-8</v>
      </c>
      <c r="BJ77" s="7">
        <v>2.8743597566248472E-4</v>
      </c>
      <c r="BK77" s="7">
        <v>7.2417754940746102E-5</v>
      </c>
      <c r="BL77" s="7">
        <v>8.7880554852995803E-5</v>
      </c>
      <c r="BM77" s="7">
        <v>3.7660827134995498E-3</v>
      </c>
      <c r="BN77" s="7">
        <v>2.5951085049787951E-6</v>
      </c>
      <c r="BO77" s="7">
        <v>5.4003616228040231E-6</v>
      </c>
      <c r="BP77" s="7">
        <v>1.9872162952577739E-6</v>
      </c>
      <c r="BQ77" s="7">
        <v>3.0472915868493799E-5</v>
      </c>
      <c r="BR77" s="7">
        <v>3.6093184270531459E-4</v>
      </c>
      <c r="BS77" s="7">
        <v>7.3429660333472049E-7</v>
      </c>
      <c r="BT77" s="7">
        <v>8.89748716636893E-5</v>
      </c>
      <c r="BU77" s="7">
        <v>3.7593591999428818E-7</v>
      </c>
      <c r="BV77" s="7">
        <v>4.6854153155592818E-5</v>
      </c>
      <c r="BW77" s="7">
        <v>1.8803764078139149E-4</v>
      </c>
      <c r="BX77" s="7">
        <v>4.4188900584317892E-5</v>
      </c>
      <c r="BY77" s="7">
        <v>0</v>
      </c>
      <c r="BZ77" s="7">
        <v>3.6213130315361532E-2</v>
      </c>
    </row>
    <row r="78" spans="1:78">
      <c r="A78" s="4" t="s">
        <v>223</v>
      </c>
      <c r="B78" s="7">
        <v>6.5679309043510732E-5</v>
      </c>
      <c r="C78" s="7">
        <v>3.0839216068067978E-3</v>
      </c>
      <c r="D78" s="7">
        <v>6.8622900757474318E-3</v>
      </c>
      <c r="E78" s="7">
        <v>2.2236938343104219E-4</v>
      </c>
      <c r="F78" s="7">
        <v>2.8968980052128269E-3</v>
      </c>
      <c r="G78" s="7">
        <v>3.705558163091332E-3</v>
      </c>
      <c r="H78" s="7">
        <v>4.8324366690642622E-3</v>
      </c>
      <c r="I78" s="7">
        <v>1.5335991924886419E-2</v>
      </c>
      <c r="J78" s="7">
        <v>4.7399676399020206E-3</v>
      </c>
      <c r="K78" s="7">
        <v>4.0741519276896428E-3</v>
      </c>
      <c r="L78" s="7">
        <v>6.9090550957953993E-3</v>
      </c>
      <c r="M78" s="7">
        <v>2.7943074816897191E-3</v>
      </c>
      <c r="N78" s="7">
        <v>1.000732548067574E-2</v>
      </c>
      <c r="O78" s="7">
        <v>7.0852508134824535E-2</v>
      </c>
      <c r="P78" s="7">
        <v>2.771013990409521E-2</v>
      </c>
      <c r="Q78" s="7">
        <v>4.952901538061865E-3</v>
      </c>
      <c r="R78" s="7">
        <v>1.7776964703509791E-2</v>
      </c>
      <c r="S78" s="7">
        <v>7.2151044978857951E-3</v>
      </c>
      <c r="T78" s="7">
        <v>1.285887303404828E-2</v>
      </c>
      <c r="U78" s="7">
        <v>4.695571389951584E-2</v>
      </c>
      <c r="V78" s="7">
        <v>7.9883469733123772E-3</v>
      </c>
      <c r="W78" s="7">
        <v>6.7503715366494807E-3</v>
      </c>
      <c r="X78" s="7">
        <v>1.6140792904983291E-2</v>
      </c>
      <c r="Y78" s="7">
        <v>3.9291254425350218E-2</v>
      </c>
      <c r="Z78" s="7">
        <v>2.4841637178251461E-4</v>
      </c>
      <c r="AA78" s="7">
        <v>1.162314902297179E-2</v>
      </c>
      <c r="AB78" s="7">
        <v>5.2155958658992507E-3</v>
      </c>
      <c r="AC78" s="7">
        <v>4.1467925262359696E-3</v>
      </c>
      <c r="AD78" s="7">
        <v>1.052487019931422E-4</v>
      </c>
      <c r="AE78" s="7">
        <v>3.745398229099744E-3</v>
      </c>
      <c r="AF78" s="7">
        <v>7.0821028127549035E-2</v>
      </c>
      <c r="AG78" s="7">
        <v>4.224072134768759E-4</v>
      </c>
      <c r="AH78" s="7">
        <v>4.7296254948372843E-3</v>
      </c>
      <c r="AI78" s="7">
        <v>2.3621709154286801E-3</v>
      </c>
      <c r="AJ78" s="7">
        <v>4.9848212937025037E-3</v>
      </c>
      <c r="AK78" s="7">
        <v>1.0535722075843751E-3</v>
      </c>
      <c r="AL78" s="7">
        <v>3.042594932747171E-2</v>
      </c>
      <c r="AM78" s="7">
        <v>1.0121306708855389E-3</v>
      </c>
      <c r="AN78" s="7">
        <v>4.7477818669138888E-4</v>
      </c>
      <c r="AO78" s="7">
        <v>1.6886476656535979E-4</v>
      </c>
      <c r="AP78" s="7">
        <v>0</v>
      </c>
      <c r="AQ78" s="7">
        <v>8.0132046007012068E-5</v>
      </c>
      <c r="AR78" s="7">
        <v>0</v>
      </c>
      <c r="AS78" s="7">
        <v>3.7810452249816592E-4</v>
      </c>
      <c r="AT78" s="7">
        <v>8.9398070991341408E-2</v>
      </c>
      <c r="AU78" s="7">
        <v>4.1032583397535022E-4</v>
      </c>
      <c r="AV78" s="7">
        <v>8.446860926666404E-4</v>
      </c>
      <c r="AW78" s="7">
        <v>8.8759951112780597E-4</v>
      </c>
      <c r="AX78" s="7">
        <v>1.8391924026027959E-5</v>
      </c>
      <c r="AY78" s="7">
        <v>5.5019419653584191E-5</v>
      </c>
      <c r="AZ78" s="7">
        <v>8.2604837572223123E-4</v>
      </c>
      <c r="BA78" s="7">
        <v>2.073301805266482E-3</v>
      </c>
      <c r="BB78" s="7">
        <v>5.7798565218816688E-3</v>
      </c>
      <c r="BC78" s="7">
        <v>1.027441571316003E-3</v>
      </c>
      <c r="BD78" s="7">
        <v>1.4406408065518669E-3</v>
      </c>
      <c r="BE78" s="7">
        <v>1.096994595215493E-2</v>
      </c>
      <c r="BF78" s="7">
        <v>9.2690736813677707E-4</v>
      </c>
      <c r="BG78" s="7">
        <v>3.6026065971000082E-4</v>
      </c>
      <c r="BH78" s="7">
        <v>7.0089008694924088E-3</v>
      </c>
      <c r="BI78" s="7">
        <v>1.362094874680418E-3</v>
      </c>
      <c r="BJ78" s="7">
        <v>7.3635024694998549E-3</v>
      </c>
      <c r="BK78" s="7">
        <v>6.1935453449981984E-3</v>
      </c>
      <c r="BL78" s="7">
        <v>0.12581339934079169</v>
      </c>
      <c r="BM78" s="7">
        <v>7.236947313471126E-2</v>
      </c>
      <c r="BN78" s="7">
        <v>2.61278939247717E-3</v>
      </c>
      <c r="BO78" s="7">
        <v>5.5144487306406843E-2</v>
      </c>
      <c r="BP78" s="7">
        <v>5.2901927124660832E-2</v>
      </c>
      <c r="BQ78" s="7">
        <v>9.1257932883861664E-2</v>
      </c>
      <c r="BR78" s="7">
        <v>3.3016275715389092E-3</v>
      </c>
      <c r="BS78" s="7">
        <v>5.5946959362596664E-3</v>
      </c>
      <c r="BT78" s="7">
        <v>1.2113856360812679E-2</v>
      </c>
      <c r="BU78" s="7">
        <v>4.7905268356901069E-4</v>
      </c>
      <c r="BV78" s="7">
        <v>1.2525328822525749E-2</v>
      </c>
      <c r="BW78" s="7">
        <v>4.6641008059810224E-3</v>
      </c>
      <c r="BX78" s="7">
        <v>3.550563844672424E-6</v>
      </c>
      <c r="BY78" s="7">
        <v>2.5330956187215922E-2</v>
      </c>
      <c r="BZ78" s="7">
        <v>2.7382172219115951E-2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Z78"/>
  <sheetViews>
    <sheetView showGridLines="0" workbookViewId="0">
      <selection activeCell="C49" sqref="C1:C1048576"/>
    </sheetView>
  </sheetViews>
  <sheetFormatPr defaultRowHeight="13.8"/>
  <cols>
    <col min="1" max="1" width="22" customWidth="1"/>
    <col min="2" max="78" width="11" customWidth="1"/>
  </cols>
  <sheetData>
    <row r="1" spans="1:78">
      <c r="A1" s="1" t="s">
        <v>389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7">
        <v>0</v>
      </c>
      <c r="C2" s="7">
        <v>4.6480371174346191E-5</v>
      </c>
      <c r="D2" s="7">
        <v>0</v>
      </c>
      <c r="E2" s="7">
        <v>2.1743749618525851E-7</v>
      </c>
      <c r="F2" s="7">
        <v>0</v>
      </c>
      <c r="G2" s="7">
        <v>5.0262807889582236E-6</v>
      </c>
      <c r="H2" s="7">
        <v>0</v>
      </c>
      <c r="I2" s="7">
        <v>2.5894748349256878E-4</v>
      </c>
      <c r="J2" s="7">
        <v>0</v>
      </c>
      <c r="K2" s="7">
        <v>1.9486395706105438E-5</v>
      </c>
      <c r="L2" s="7">
        <v>3.0369040211735749E-5</v>
      </c>
      <c r="M2" s="7">
        <v>4.6474479894946328E-3</v>
      </c>
      <c r="N2" s="7">
        <v>6.4130840871089777E-8</v>
      </c>
      <c r="O2" s="7">
        <v>0</v>
      </c>
      <c r="P2" s="7">
        <v>0</v>
      </c>
      <c r="Q2" s="7">
        <v>2.2618967937326749E-3</v>
      </c>
      <c r="R2" s="7">
        <v>9.7897071203726293E-5</v>
      </c>
      <c r="S2" s="7">
        <v>0</v>
      </c>
      <c r="T2" s="7">
        <v>2.2041201816448701E-7</v>
      </c>
      <c r="U2" s="7">
        <v>2.421774879997441E-7</v>
      </c>
      <c r="V2" s="7">
        <v>5.747816418959569E-5</v>
      </c>
      <c r="W2" s="7">
        <v>7.7868262997274099E-5</v>
      </c>
      <c r="X2" s="7">
        <v>9.1196230098565577E-6</v>
      </c>
      <c r="Y2" s="7">
        <v>7.0243188491220709E-6</v>
      </c>
      <c r="Z2" s="7">
        <v>5.2755204335155649E-6</v>
      </c>
      <c r="AA2" s="7">
        <v>5.146595788120624E-4</v>
      </c>
      <c r="AB2" s="7">
        <v>1.076976449596316E-4</v>
      </c>
      <c r="AC2" s="7">
        <v>0</v>
      </c>
      <c r="AD2" s="7">
        <v>0</v>
      </c>
      <c r="AE2" s="7">
        <v>0</v>
      </c>
      <c r="AF2" s="7">
        <v>0</v>
      </c>
      <c r="AG2" s="7">
        <v>3.5393607408844471E-6</v>
      </c>
      <c r="AH2" s="7">
        <v>2.4124592394780049E-8</v>
      </c>
      <c r="AI2" s="7">
        <v>0</v>
      </c>
      <c r="AJ2" s="7">
        <v>0</v>
      </c>
      <c r="AK2" s="7">
        <v>0</v>
      </c>
      <c r="AL2" s="7">
        <v>3.3465641857321658E-6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1.2975681461389489E-6</v>
      </c>
      <c r="AT2" s="7">
        <v>0</v>
      </c>
      <c r="AU2" s="7">
        <v>0</v>
      </c>
      <c r="AV2" s="7">
        <v>0</v>
      </c>
      <c r="AW2" s="7">
        <v>4.0454316682717226E-6</v>
      </c>
      <c r="AX2" s="7">
        <v>0</v>
      </c>
      <c r="AY2" s="7">
        <v>0</v>
      </c>
      <c r="AZ2" s="7">
        <v>5.3539188475262319E-8</v>
      </c>
      <c r="BA2" s="7">
        <v>0</v>
      </c>
      <c r="BB2" s="7">
        <v>1.170536576253252E-6</v>
      </c>
      <c r="BC2" s="7">
        <v>5.2860827613379726E-6</v>
      </c>
      <c r="BD2" s="7">
        <v>0</v>
      </c>
      <c r="BE2" s="7">
        <v>0</v>
      </c>
      <c r="BF2" s="7">
        <v>8.3987269504087955E-3</v>
      </c>
      <c r="BG2" s="7">
        <v>5.3488396730747936E-6</v>
      </c>
      <c r="BH2" s="7">
        <v>6.3289474610458641E-6</v>
      </c>
      <c r="BI2" s="7">
        <v>3.6151395037352202E-5</v>
      </c>
      <c r="BJ2" s="7">
        <v>3.0076165865721279E-7</v>
      </c>
      <c r="BK2" s="7">
        <v>0</v>
      </c>
      <c r="BL2" s="7">
        <v>0</v>
      </c>
      <c r="BM2" s="7">
        <v>0</v>
      </c>
      <c r="BN2" s="7">
        <v>2.4773792538390459E-9</v>
      </c>
      <c r="BO2" s="7">
        <v>1.286726827355863E-6</v>
      </c>
      <c r="BP2" s="7">
        <v>0</v>
      </c>
      <c r="BQ2" s="7">
        <v>1.34144913108782E-6</v>
      </c>
      <c r="BR2" s="7">
        <v>2.620565009135607E-6</v>
      </c>
      <c r="BS2" s="7">
        <v>0</v>
      </c>
      <c r="BT2" s="7">
        <v>4.7406016441487341E-7</v>
      </c>
      <c r="BU2" s="7">
        <v>2.8220759905190581E-8</v>
      </c>
      <c r="BV2" s="7">
        <v>0</v>
      </c>
      <c r="BW2" s="7">
        <v>4.6560752309966467E-5</v>
      </c>
      <c r="BX2" s="7">
        <v>0</v>
      </c>
      <c r="BY2" s="7">
        <v>6.4861939169376326E-6</v>
      </c>
      <c r="BZ2" s="7">
        <v>5.2210877090569927E-4</v>
      </c>
    </row>
    <row r="3" spans="1:78">
      <c r="A3" s="4" t="s">
        <v>72</v>
      </c>
      <c r="B3" s="7">
        <v>1.3227751592398499E-4</v>
      </c>
      <c r="C3" s="7">
        <v>0</v>
      </c>
      <c r="D3" s="7">
        <v>3.9465248425916229E-4</v>
      </c>
      <c r="E3" s="7">
        <v>3.8875977939614809E-5</v>
      </c>
      <c r="F3" s="7">
        <v>2.3687235638223681E-5</v>
      </c>
      <c r="G3" s="7">
        <v>1.265301683466404E-5</v>
      </c>
      <c r="H3" s="7">
        <v>0</v>
      </c>
      <c r="I3" s="7">
        <v>7.3892394024278391E-5</v>
      </c>
      <c r="J3" s="7">
        <v>4.8648138395310719E-4</v>
      </c>
      <c r="K3" s="7">
        <v>7.9188175231933522E-4</v>
      </c>
      <c r="L3" s="7">
        <v>3.7634693603286082E-4</v>
      </c>
      <c r="M3" s="7">
        <v>4.3865581764626696E-3</v>
      </c>
      <c r="N3" s="7">
        <v>1.579578530824226E-5</v>
      </c>
      <c r="O3" s="7">
        <v>7.1721110594768671E-3</v>
      </c>
      <c r="P3" s="7">
        <v>0</v>
      </c>
      <c r="Q3" s="7">
        <v>4.7185736464500148E-4</v>
      </c>
      <c r="R3" s="7">
        <v>1.097410320483435E-3</v>
      </c>
      <c r="S3" s="7">
        <v>0</v>
      </c>
      <c r="T3" s="7">
        <v>3.6201524744124808E-5</v>
      </c>
      <c r="U3" s="7">
        <v>8.2332102265223305E-5</v>
      </c>
      <c r="V3" s="7">
        <v>1.3225520361590741E-4</v>
      </c>
      <c r="W3" s="7">
        <v>4.5618723780802391E-4</v>
      </c>
      <c r="X3" s="7">
        <v>3.5863895233060982E-4</v>
      </c>
      <c r="Y3" s="7">
        <v>1.71453872540352E-4</v>
      </c>
      <c r="Z3" s="7">
        <v>1.233387746390104E-4</v>
      </c>
      <c r="AA3" s="7">
        <v>2.5517402807297542E-4</v>
      </c>
      <c r="AB3" s="7">
        <v>5.2626645915520589E-4</v>
      </c>
      <c r="AC3" s="7">
        <v>8.5809804563716165E-5</v>
      </c>
      <c r="AD3" s="7">
        <v>5.4153758928402112E-5</v>
      </c>
      <c r="AE3" s="7">
        <v>2.8497173016208289E-5</v>
      </c>
      <c r="AF3" s="7">
        <v>1.9296236252533029E-5</v>
      </c>
      <c r="AG3" s="7">
        <v>7.6689076953981902E-4</v>
      </c>
      <c r="AH3" s="7">
        <v>1.556012998004827E-4</v>
      </c>
      <c r="AI3" s="7">
        <v>1.9680363133645229E-5</v>
      </c>
      <c r="AJ3" s="7">
        <v>1.0665129948851499E-4</v>
      </c>
      <c r="AK3" s="7">
        <v>3.8464600211236512E-4</v>
      </c>
      <c r="AL3" s="7">
        <v>4.8644202914743463E-5</v>
      </c>
      <c r="AM3" s="7">
        <v>4.4556636362614411E-4</v>
      </c>
      <c r="AN3" s="7">
        <v>5.2788592485438922E-5</v>
      </c>
      <c r="AO3" s="7">
        <v>5.8856421647179788E-3</v>
      </c>
      <c r="AP3" s="7">
        <v>8.5264831694399469E-5</v>
      </c>
      <c r="AQ3" s="7">
        <v>4.2391869141984968E-6</v>
      </c>
      <c r="AR3" s="7">
        <v>3.7381066202626972E-4</v>
      </c>
      <c r="AS3" s="7">
        <v>7.98304772872245E-5</v>
      </c>
      <c r="AT3" s="7">
        <v>3.4984559365271059E-6</v>
      </c>
      <c r="AU3" s="7">
        <v>7.0516970440123174E-4</v>
      </c>
      <c r="AV3" s="7">
        <v>3.7402504549871432E-5</v>
      </c>
      <c r="AW3" s="7">
        <v>3.5697415538397817E-4</v>
      </c>
      <c r="AX3" s="7">
        <v>2.0366802212393591E-5</v>
      </c>
      <c r="AY3" s="7">
        <v>7.9730747547303435E-4</v>
      </c>
      <c r="AZ3" s="7">
        <v>1.156523626968763E-4</v>
      </c>
      <c r="BA3" s="7">
        <v>4.6554949144062701E-4</v>
      </c>
      <c r="BB3" s="7">
        <v>9.5320764731553231E-4</v>
      </c>
      <c r="BC3" s="7">
        <v>3.2753909175518853E-4</v>
      </c>
      <c r="BD3" s="7">
        <v>4.0654925785292721E-2</v>
      </c>
      <c r="BE3" s="7">
        <v>1.639155106669554E-3</v>
      </c>
      <c r="BF3" s="7">
        <v>2.676695517657778E-3</v>
      </c>
      <c r="BG3" s="7">
        <v>6.6210058154581185E-5</v>
      </c>
      <c r="BH3" s="7">
        <v>3.9333492748816987E-5</v>
      </c>
      <c r="BI3" s="7">
        <v>1.4002228703209969E-5</v>
      </c>
      <c r="BJ3" s="7">
        <v>5.6158778428799137E-6</v>
      </c>
      <c r="BK3" s="7">
        <v>3.016938348290332E-6</v>
      </c>
      <c r="BL3" s="7">
        <v>3.1982230597577888E-4</v>
      </c>
      <c r="BM3" s="7">
        <v>3.8663012764593679E-3</v>
      </c>
      <c r="BN3" s="7">
        <v>2.9702508869525359E-5</v>
      </c>
      <c r="BO3" s="7">
        <v>2.1785303252016121E-4</v>
      </c>
      <c r="BP3" s="7">
        <v>1.3447210881865131E-4</v>
      </c>
      <c r="BQ3" s="7">
        <v>7.9047923536457946E-4</v>
      </c>
      <c r="BR3" s="7">
        <v>6.71938628727645E-4</v>
      </c>
      <c r="BS3" s="7">
        <v>9.7349047483951134E-6</v>
      </c>
      <c r="BT3" s="7">
        <v>1.1418405806731431E-4</v>
      </c>
      <c r="BU3" s="7">
        <v>2.596135487960962E-5</v>
      </c>
      <c r="BV3" s="7">
        <v>9.9808460796594424E-6</v>
      </c>
      <c r="BW3" s="7">
        <v>5.2319061215025831E-4</v>
      </c>
      <c r="BX3" s="7">
        <v>1.6844360411519619E-5</v>
      </c>
      <c r="BY3" s="7">
        <v>9.014549612150629E-3</v>
      </c>
      <c r="BZ3" s="7">
        <v>1.16088103127547E-3</v>
      </c>
    </row>
    <row r="4" spans="1:78">
      <c r="A4" s="4" t="s">
        <v>74</v>
      </c>
      <c r="B4" s="7">
        <v>4.5781669940341587E-4</v>
      </c>
      <c r="C4" s="7">
        <v>1.433284035221415E-2</v>
      </c>
      <c r="D4" s="7">
        <v>0</v>
      </c>
      <c r="E4" s="7">
        <v>5.3784325565412762E-4</v>
      </c>
      <c r="F4" s="7">
        <v>6.3008054735427634E-5</v>
      </c>
      <c r="G4" s="7">
        <v>2.7519445759715769E-2</v>
      </c>
      <c r="H4" s="7">
        <v>1.7961656372732599E-3</v>
      </c>
      <c r="I4" s="7">
        <v>8.7326156751992012E-4</v>
      </c>
      <c r="J4" s="7">
        <v>3.1283379411962072E-5</v>
      </c>
      <c r="K4" s="7">
        <v>1.5724727365114129E-3</v>
      </c>
      <c r="L4" s="7">
        <v>2.3685962701747231E-2</v>
      </c>
      <c r="M4" s="7">
        <v>3.3350002031021552E-3</v>
      </c>
      <c r="N4" s="7">
        <v>4.7399080235645139E-4</v>
      </c>
      <c r="O4" s="7">
        <v>2.1330476506946912E-3</v>
      </c>
      <c r="P4" s="7">
        <v>9.5117268397283238E-4</v>
      </c>
      <c r="Q4" s="7">
        <v>1.8984910574618001E-3</v>
      </c>
      <c r="R4" s="7">
        <v>3.899279455623864E-4</v>
      </c>
      <c r="S4" s="7">
        <v>2.353749907256893E-2</v>
      </c>
      <c r="T4" s="7">
        <v>4.1803614343628032E-3</v>
      </c>
      <c r="U4" s="7">
        <v>9.6147276594173367E-3</v>
      </c>
      <c r="V4" s="7">
        <v>1.257056314519365E-2</v>
      </c>
      <c r="W4" s="7">
        <v>8.3694016765618461E-4</v>
      </c>
      <c r="X4" s="7">
        <v>2.6596040002514732E-3</v>
      </c>
      <c r="Y4" s="7">
        <v>1.1911806588924771E-3</v>
      </c>
      <c r="Z4" s="7">
        <v>1.3349519215440869E-3</v>
      </c>
      <c r="AA4" s="7">
        <v>2.6728012138967378E-3</v>
      </c>
      <c r="AB4" s="7">
        <v>3.1510161870789521E-3</v>
      </c>
      <c r="AC4" s="7">
        <v>1.510427235941271E-2</v>
      </c>
      <c r="AD4" s="7">
        <v>2.2336225023972389E-4</v>
      </c>
      <c r="AE4" s="7">
        <v>2.0631581414502081E-2</v>
      </c>
      <c r="AF4" s="7">
        <v>1.143036067447652E-2</v>
      </c>
      <c r="AG4" s="7">
        <v>1.379349322326568E-3</v>
      </c>
      <c r="AH4" s="7">
        <v>2.056863545169669E-4</v>
      </c>
      <c r="AI4" s="7">
        <v>1.2557185909701141E-4</v>
      </c>
      <c r="AJ4" s="7">
        <v>1.296212562300217E-2</v>
      </c>
      <c r="AK4" s="7">
        <v>1.304249726152685E-3</v>
      </c>
      <c r="AL4" s="7">
        <v>9.2663115404864223E-3</v>
      </c>
      <c r="AM4" s="7">
        <v>1.385928403467756E-3</v>
      </c>
      <c r="AN4" s="7">
        <v>1.6775419753988869E-3</v>
      </c>
      <c r="AO4" s="7">
        <v>6.3582461306409604E-3</v>
      </c>
      <c r="AP4" s="7">
        <v>7.4285281204940731E-6</v>
      </c>
      <c r="AQ4" s="7">
        <v>6.0898780538532187E-4</v>
      </c>
      <c r="AR4" s="7">
        <v>8.6697740235365666E-5</v>
      </c>
      <c r="AS4" s="7">
        <v>1.305161322697836E-2</v>
      </c>
      <c r="AT4" s="7">
        <v>1.2090907483981519E-3</v>
      </c>
      <c r="AU4" s="7">
        <v>4.334749941227502E-4</v>
      </c>
      <c r="AV4" s="7">
        <v>8.5270759431174778E-4</v>
      </c>
      <c r="AW4" s="7">
        <v>1.6089343373738049E-3</v>
      </c>
      <c r="AX4" s="7">
        <v>1.5657475519314059E-4</v>
      </c>
      <c r="AY4" s="7">
        <v>3.7184107031658269E-3</v>
      </c>
      <c r="AZ4" s="7">
        <v>3.0602513249324849E-3</v>
      </c>
      <c r="BA4" s="7">
        <v>1.8133460280539209E-3</v>
      </c>
      <c r="BB4" s="7">
        <v>3.144636040476143E-3</v>
      </c>
      <c r="BC4" s="7">
        <v>2.112022490653607E-3</v>
      </c>
      <c r="BD4" s="7">
        <v>2.751476326132546E-3</v>
      </c>
      <c r="BE4" s="7">
        <v>1.8933860461925499E-3</v>
      </c>
      <c r="BF4" s="7">
        <v>1.4334236067314579E-3</v>
      </c>
      <c r="BG4" s="7">
        <v>2.9402691141620862E-3</v>
      </c>
      <c r="BH4" s="7">
        <v>4.0231367127590888E-3</v>
      </c>
      <c r="BI4" s="7">
        <v>4.0137197635889497E-3</v>
      </c>
      <c r="BJ4" s="7">
        <v>2.08908647613383E-2</v>
      </c>
      <c r="BK4" s="7">
        <v>1.2318963694335711E-3</v>
      </c>
      <c r="BL4" s="7">
        <v>7.5567888057456907E-4</v>
      </c>
      <c r="BM4" s="7">
        <v>7.8612485776908257E-4</v>
      </c>
      <c r="BN4" s="7">
        <v>1.0750256973151579E-3</v>
      </c>
      <c r="BO4" s="7">
        <v>1.090707925495075E-2</v>
      </c>
      <c r="BP4" s="7">
        <v>1.030536460259261E-2</v>
      </c>
      <c r="BQ4" s="7">
        <v>6.4229181741408741E-3</v>
      </c>
      <c r="BR4" s="7">
        <v>2.9586308552843011E-3</v>
      </c>
      <c r="BS4" s="7">
        <v>4.6200961831482541E-3</v>
      </c>
      <c r="BT4" s="7">
        <v>1.4791481054114389E-3</v>
      </c>
      <c r="BU4" s="7">
        <v>2.6435968478557051E-4</v>
      </c>
      <c r="BV4" s="7">
        <v>5.7011844847945472E-3</v>
      </c>
      <c r="BW4" s="7">
        <v>2.695086729512272E-3</v>
      </c>
      <c r="BX4" s="7">
        <v>1.663359932466068E-4</v>
      </c>
      <c r="BY4" s="7">
        <v>9.515182936140041E-3</v>
      </c>
      <c r="BZ4" s="7">
        <v>6.3746524367225303E-3</v>
      </c>
    </row>
    <row r="5" spans="1:78">
      <c r="A5" s="4" t="s">
        <v>77</v>
      </c>
      <c r="B5" s="7">
        <v>2.609476858702533E-3</v>
      </c>
      <c r="C5" s="7">
        <v>2.1579307822240609E-3</v>
      </c>
      <c r="D5" s="7">
        <v>7.2828362498038261E-3</v>
      </c>
      <c r="E5" s="7">
        <v>0</v>
      </c>
      <c r="F5" s="7">
        <v>4.5948098905540213E-5</v>
      </c>
      <c r="G5" s="7">
        <v>3.1865385879082803E-2</v>
      </c>
      <c r="H5" s="7">
        <v>1.404105110986767E-3</v>
      </c>
      <c r="I5" s="7">
        <v>1.450566216314581E-3</v>
      </c>
      <c r="J5" s="7">
        <v>5.4446560941989698E-4</v>
      </c>
      <c r="K5" s="7">
        <v>8.043537198732727E-4</v>
      </c>
      <c r="L5" s="7">
        <v>5.4254219100077546E-3</v>
      </c>
      <c r="M5" s="7">
        <v>5.6748118460314629E-3</v>
      </c>
      <c r="N5" s="7">
        <v>5.8019351471655661E-5</v>
      </c>
      <c r="O5" s="7">
        <v>2.697824454735453E-3</v>
      </c>
      <c r="P5" s="7">
        <v>2.8800307263356219E-2</v>
      </c>
      <c r="Q5" s="7">
        <v>6.9194562306562981E-4</v>
      </c>
      <c r="R5" s="7">
        <v>2.6068787480676328E-4</v>
      </c>
      <c r="S5" s="7">
        <v>7.6634792144552599E-3</v>
      </c>
      <c r="T5" s="7">
        <v>5.8755955098061547E-3</v>
      </c>
      <c r="U5" s="7">
        <v>5.9840193601567891E-3</v>
      </c>
      <c r="V5" s="7">
        <v>6.2729761061074141E-2</v>
      </c>
      <c r="W5" s="7">
        <v>2.2850091767040461E-3</v>
      </c>
      <c r="X5" s="7">
        <v>3.641750908666753E-3</v>
      </c>
      <c r="Y5" s="7">
        <v>1.199532301570426E-2</v>
      </c>
      <c r="Z5" s="7">
        <v>9.8866403074258143E-4</v>
      </c>
      <c r="AA5" s="7">
        <v>2.3979667206110999E-2</v>
      </c>
      <c r="AB5" s="7">
        <v>4.0519435710196089E-3</v>
      </c>
      <c r="AC5" s="7">
        <v>8.859652827408443E-3</v>
      </c>
      <c r="AD5" s="7">
        <v>2.0233817239164299E-4</v>
      </c>
      <c r="AE5" s="7">
        <v>4.2867647195532807E-2</v>
      </c>
      <c r="AF5" s="7">
        <v>2.1117027172390859E-2</v>
      </c>
      <c r="AG5" s="7">
        <v>1.4088380017206599E-4</v>
      </c>
      <c r="AH5" s="7">
        <v>4.578432766781314E-4</v>
      </c>
      <c r="AI5" s="7">
        <v>9.7358034587322479E-5</v>
      </c>
      <c r="AJ5" s="7">
        <v>5.1336577502971228E-3</v>
      </c>
      <c r="AK5" s="7">
        <v>4.4772625756306472E-2</v>
      </c>
      <c r="AL5" s="7">
        <v>5.2654235863344168E-2</v>
      </c>
      <c r="AM5" s="7">
        <v>9.25840882312993E-4</v>
      </c>
      <c r="AN5" s="7">
        <v>1.32256701270738E-3</v>
      </c>
      <c r="AO5" s="7">
        <v>4.1903251019002503E-3</v>
      </c>
      <c r="AP5" s="7">
        <v>4.2551873761034473E-5</v>
      </c>
      <c r="AQ5" s="7">
        <v>1.4029665594713909E-4</v>
      </c>
      <c r="AR5" s="7">
        <v>2.6285825426843032E-6</v>
      </c>
      <c r="AS5" s="7">
        <v>5.8999651672036253E-2</v>
      </c>
      <c r="AT5" s="7">
        <v>5.4268450911491878E-2</v>
      </c>
      <c r="AU5" s="7">
        <v>1.644060114057605E-2</v>
      </c>
      <c r="AV5" s="7">
        <v>7.2373307438144681E-4</v>
      </c>
      <c r="AW5" s="7">
        <v>3.0489531891376992E-4</v>
      </c>
      <c r="AX5" s="7">
        <v>8.1652262615671881E-5</v>
      </c>
      <c r="AY5" s="7">
        <v>2.5601691217059852E-4</v>
      </c>
      <c r="AZ5" s="7">
        <v>1.499254375922091E-3</v>
      </c>
      <c r="BA5" s="7">
        <v>2.9547724490268331E-3</v>
      </c>
      <c r="BB5" s="7">
        <v>1.327820075842405E-2</v>
      </c>
      <c r="BC5" s="7">
        <v>2.436015223701668E-3</v>
      </c>
      <c r="BD5" s="7">
        <v>4.546552324740824E-4</v>
      </c>
      <c r="BE5" s="7">
        <v>2.7250521498537491E-3</v>
      </c>
      <c r="BF5" s="7">
        <v>1.2942517305489099E-3</v>
      </c>
      <c r="BG5" s="7">
        <v>5.3145197233097413E-3</v>
      </c>
      <c r="BH5" s="7">
        <v>3.2604340795482981E-3</v>
      </c>
      <c r="BI5" s="7">
        <v>1.304793638576492E-2</v>
      </c>
      <c r="BJ5" s="7">
        <v>3.2338806346611487E-2</v>
      </c>
      <c r="BK5" s="7">
        <v>7.059939276069736E-3</v>
      </c>
      <c r="BL5" s="7">
        <v>2.7657442662500282E-3</v>
      </c>
      <c r="BM5" s="7">
        <v>4.9112232566798884E-3</v>
      </c>
      <c r="BN5" s="7">
        <v>3.914182994294994E-5</v>
      </c>
      <c r="BO5" s="7">
        <v>1.389024713051081E-2</v>
      </c>
      <c r="BP5" s="7">
        <v>5.8881146243296616E-3</v>
      </c>
      <c r="BQ5" s="7">
        <v>5.1493892976365342E-2</v>
      </c>
      <c r="BR5" s="7">
        <v>2.738506185621957E-3</v>
      </c>
      <c r="BS5" s="7">
        <v>7.8653130816227644E-4</v>
      </c>
      <c r="BT5" s="7">
        <v>6.6822576483802998E-4</v>
      </c>
      <c r="BU5" s="7">
        <v>2.7894759039037329E-4</v>
      </c>
      <c r="BV5" s="7">
        <v>2.1799568573843171E-4</v>
      </c>
      <c r="BW5" s="7">
        <v>4.0987998070891781E-4</v>
      </c>
      <c r="BX5" s="7">
        <v>5.6524463771910257E-6</v>
      </c>
      <c r="BY5" s="7">
        <v>6.4959115206011172E-4</v>
      </c>
      <c r="BZ5" s="7">
        <v>3.0818116679833659E-3</v>
      </c>
    </row>
    <row r="6" spans="1:78">
      <c r="A6" s="4" t="s">
        <v>79</v>
      </c>
      <c r="B6" s="7">
        <v>0</v>
      </c>
      <c r="C6" s="7">
        <v>0</v>
      </c>
      <c r="D6" s="7">
        <v>9.3019708961246878E-8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8.6456472556730651E-8</v>
      </c>
      <c r="L6" s="7">
        <v>1.500097445388776E-6</v>
      </c>
      <c r="M6" s="7">
        <v>6.9687933747984056E-6</v>
      </c>
      <c r="N6" s="7">
        <v>2.8407383691038629E-8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3.6291770279553303E-8</v>
      </c>
      <c r="U6" s="7">
        <v>1.4421358839264899E-7</v>
      </c>
      <c r="V6" s="7">
        <v>2.388921460044421E-6</v>
      </c>
      <c r="W6" s="7">
        <v>0</v>
      </c>
      <c r="X6" s="7">
        <v>0</v>
      </c>
      <c r="Y6" s="7">
        <v>3.4848131427531219E-7</v>
      </c>
      <c r="Z6" s="7">
        <v>0</v>
      </c>
      <c r="AA6" s="7">
        <v>1.1905346967555601E-7</v>
      </c>
      <c r="AB6" s="7">
        <v>2.063224005688593E-6</v>
      </c>
      <c r="AC6" s="7">
        <v>7.9158152468902362E-5</v>
      </c>
      <c r="AD6" s="7">
        <v>1.845875534788975E-7</v>
      </c>
      <c r="AE6" s="7">
        <v>5.0763054344807573E-5</v>
      </c>
      <c r="AF6" s="7">
        <v>0</v>
      </c>
      <c r="AG6" s="7">
        <v>0</v>
      </c>
      <c r="AH6" s="7">
        <v>1.11987837012008E-7</v>
      </c>
      <c r="AI6" s="7">
        <v>4.7877613562339115E-10</v>
      </c>
      <c r="AJ6" s="7">
        <v>0</v>
      </c>
      <c r="AK6" s="7">
        <v>0</v>
      </c>
      <c r="AL6" s="7">
        <v>2.8280357390399419E-6</v>
      </c>
      <c r="AM6" s="7">
        <v>0</v>
      </c>
      <c r="AN6" s="7">
        <v>5.7062143853602039E-8</v>
      </c>
      <c r="AO6" s="7">
        <v>0</v>
      </c>
      <c r="AP6" s="7">
        <v>0</v>
      </c>
      <c r="AQ6" s="7">
        <v>1.459126780291275E-8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1.0194729710694129E-6</v>
      </c>
      <c r="BA6" s="7">
        <v>0</v>
      </c>
      <c r="BB6" s="7">
        <v>1.6245929333372619E-8</v>
      </c>
      <c r="BC6" s="7">
        <v>0</v>
      </c>
      <c r="BD6" s="7">
        <v>0</v>
      </c>
      <c r="BE6" s="7">
        <v>8.3344772689575444E-7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4.8996609140284357E-7</v>
      </c>
      <c r="BO6" s="7">
        <v>1.9015795888962908E-8</v>
      </c>
      <c r="BP6" s="7">
        <v>0</v>
      </c>
      <c r="BQ6" s="7">
        <v>6.0974708211093953E-8</v>
      </c>
      <c r="BR6" s="7">
        <v>3.0750051996002551E-8</v>
      </c>
      <c r="BS6" s="7">
        <v>0</v>
      </c>
      <c r="BT6" s="7">
        <v>0</v>
      </c>
      <c r="BU6" s="7">
        <v>9.1034709371582502E-9</v>
      </c>
      <c r="BV6" s="7">
        <v>0</v>
      </c>
      <c r="BW6" s="7">
        <v>3.6290773332139418E-6</v>
      </c>
      <c r="BX6" s="7">
        <v>0</v>
      </c>
      <c r="BY6" s="7">
        <v>0</v>
      </c>
      <c r="BZ6" s="7">
        <v>3.8616069302165541E-6</v>
      </c>
    </row>
    <row r="7" spans="1:78">
      <c r="A7" s="4" t="s">
        <v>81</v>
      </c>
      <c r="B7" s="7">
        <v>4.261932196459883E-4</v>
      </c>
      <c r="C7" s="7">
        <v>2.5296326347749539E-4</v>
      </c>
      <c r="D7" s="7">
        <v>6.3269279311590496E-3</v>
      </c>
      <c r="E7" s="7">
        <v>1.9172265612679099E-3</v>
      </c>
      <c r="F7" s="7">
        <v>1.04660939601455E-6</v>
      </c>
      <c r="G7" s="7">
        <v>0</v>
      </c>
      <c r="H7" s="7">
        <v>3.2654584273925281E-4</v>
      </c>
      <c r="I7" s="7">
        <v>2.2368197692242169E-4</v>
      </c>
      <c r="J7" s="7">
        <v>2.7067438612824561E-5</v>
      </c>
      <c r="K7" s="7">
        <v>4.1799199786312551E-4</v>
      </c>
      <c r="L7" s="7">
        <v>6.1469470932857791E-3</v>
      </c>
      <c r="M7" s="7">
        <v>2.3626911073638111E-4</v>
      </c>
      <c r="N7" s="7">
        <v>5.7191260877349591E-5</v>
      </c>
      <c r="O7" s="7">
        <v>3.2360620283222502E-4</v>
      </c>
      <c r="P7" s="7">
        <v>0</v>
      </c>
      <c r="Q7" s="7">
        <v>1.6459128555744939E-4</v>
      </c>
      <c r="R7" s="7">
        <v>6.7474551351996934E-5</v>
      </c>
      <c r="S7" s="7">
        <v>4.3941116686877952E-5</v>
      </c>
      <c r="T7" s="7">
        <v>7.6901051496697454E-4</v>
      </c>
      <c r="U7" s="7">
        <v>1.3407171027106531E-3</v>
      </c>
      <c r="V7" s="7">
        <v>7.9007630117210736E-3</v>
      </c>
      <c r="W7" s="7">
        <v>1.3810011708928361E-3</v>
      </c>
      <c r="X7" s="7">
        <v>6.364750967411862E-4</v>
      </c>
      <c r="Y7" s="7">
        <v>5.5212981001394985E-4</v>
      </c>
      <c r="Z7" s="7">
        <v>5.0153541646380181E-4</v>
      </c>
      <c r="AA7" s="7">
        <v>8.4726667962080825E-4</v>
      </c>
      <c r="AB7" s="7">
        <v>3.288075902645125E-3</v>
      </c>
      <c r="AC7" s="7">
        <v>2.2657052535460982E-2</v>
      </c>
      <c r="AD7" s="7">
        <v>2.0929790556785949E-4</v>
      </c>
      <c r="AE7" s="7">
        <v>8.4735425608772127E-4</v>
      </c>
      <c r="AF7" s="7">
        <v>3.6753232179246269E-4</v>
      </c>
      <c r="AG7" s="7">
        <v>2.2191888662559961E-6</v>
      </c>
      <c r="AH7" s="7">
        <v>2.3315213891299269E-4</v>
      </c>
      <c r="AI7" s="7">
        <v>3.6476924078601881E-5</v>
      </c>
      <c r="AJ7" s="7">
        <v>1.3734904724865131E-2</v>
      </c>
      <c r="AK7" s="7">
        <v>5.7844678693077958E-5</v>
      </c>
      <c r="AL7" s="7">
        <v>4.7114010198272141E-3</v>
      </c>
      <c r="AM7" s="7">
        <v>5.3064622545450094E-6</v>
      </c>
      <c r="AN7" s="7">
        <v>3.947182895526345E-5</v>
      </c>
      <c r="AO7" s="7">
        <v>4.1014670716545054E-3</v>
      </c>
      <c r="AP7" s="7">
        <v>0</v>
      </c>
      <c r="AQ7" s="7">
        <v>5.1151838749442898E-5</v>
      </c>
      <c r="AR7" s="7">
        <v>0</v>
      </c>
      <c r="AS7" s="7">
        <v>5.6437005645121286E-4</v>
      </c>
      <c r="AT7" s="7">
        <v>1.526783367203335E-4</v>
      </c>
      <c r="AU7" s="7">
        <v>3.0508041466050461E-4</v>
      </c>
      <c r="AV7" s="7">
        <v>6.223548241416759E-4</v>
      </c>
      <c r="AW7" s="7">
        <v>3.4408873748627649E-5</v>
      </c>
      <c r="AX7" s="7">
        <v>5.2890238746704178E-6</v>
      </c>
      <c r="AY7" s="7">
        <v>2.021488244648884E-4</v>
      </c>
      <c r="AZ7" s="7">
        <v>1.123972738965359E-5</v>
      </c>
      <c r="BA7" s="7">
        <v>9.4054728316252401E-6</v>
      </c>
      <c r="BB7" s="7">
        <v>2.8464846436401483E-4</v>
      </c>
      <c r="BC7" s="7">
        <v>4.021391113860069E-4</v>
      </c>
      <c r="BD7" s="7">
        <v>3.8434686321006228E-4</v>
      </c>
      <c r="BE7" s="7">
        <v>1.989523667311938E-4</v>
      </c>
      <c r="BF7" s="7">
        <v>4.7938635794262752E-5</v>
      </c>
      <c r="BG7" s="7">
        <v>1.4668508861749999E-3</v>
      </c>
      <c r="BH7" s="7">
        <v>5.9655613677145184E-4</v>
      </c>
      <c r="BI7" s="7">
        <v>3.2210450216033852E-4</v>
      </c>
      <c r="BJ7" s="7">
        <v>3.2756025511743209E-3</v>
      </c>
      <c r="BK7" s="7">
        <v>1.3094839678514351E-4</v>
      </c>
      <c r="BL7" s="7">
        <v>6.0131544689073584E-4</v>
      </c>
      <c r="BM7" s="7">
        <v>0</v>
      </c>
      <c r="BN7" s="7">
        <v>1.17200622972699E-5</v>
      </c>
      <c r="BO7" s="7">
        <v>9.9208980577407253E-5</v>
      </c>
      <c r="BP7" s="7">
        <v>4.9130754909815764E-4</v>
      </c>
      <c r="BQ7" s="7">
        <v>2.8828955764630571E-4</v>
      </c>
      <c r="BR7" s="7">
        <v>1.752133587017777E-5</v>
      </c>
      <c r="BS7" s="7">
        <v>1.180522121610628E-5</v>
      </c>
      <c r="BT7" s="7">
        <v>2.2449683747031209E-3</v>
      </c>
      <c r="BU7" s="7">
        <v>2.2013623929960541E-5</v>
      </c>
      <c r="BV7" s="7">
        <v>3.2694032601076782E-4</v>
      </c>
      <c r="BW7" s="7">
        <v>5.8069628443614682E-5</v>
      </c>
      <c r="BX7" s="7">
        <v>1.6303329385345609E-6</v>
      </c>
      <c r="BY7" s="7">
        <v>3.6441162897333531E-4</v>
      </c>
      <c r="BZ7" s="7">
        <v>7.1515445706798661E-4</v>
      </c>
    </row>
    <row r="8" spans="1:78">
      <c r="A8" s="4" t="s">
        <v>83</v>
      </c>
      <c r="B8" s="7">
        <v>1.223677068582045E-5</v>
      </c>
      <c r="C8" s="7">
        <v>2.3726593607048959E-6</v>
      </c>
      <c r="D8" s="7">
        <v>4.5935685673184772E-8</v>
      </c>
      <c r="E8" s="7">
        <v>3.465756651236519E-6</v>
      </c>
      <c r="F8" s="7">
        <v>0</v>
      </c>
      <c r="G8" s="7">
        <v>2.8018251578542651E-5</v>
      </c>
      <c r="H8" s="7">
        <v>0</v>
      </c>
      <c r="I8" s="7">
        <v>3.9511949669271379E-7</v>
      </c>
      <c r="J8" s="7">
        <v>0</v>
      </c>
      <c r="K8" s="7">
        <v>1.4057600304799651E-6</v>
      </c>
      <c r="L8" s="7">
        <v>0</v>
      </c>
      <c r="M8" s="7">
        <v>0</v>
      </c>
      <c r="N8" s="7">
        <v>2.677571606431582E-5</v>
      </c>
      <c r="O8" s="7">
        <v>1.1893488809940999E-4</v>
      </c>
      <c r="P8" s="7">
        <v>0</v>
      </c>
      <c r="Q8" s="7">
        <v>0</v>
      </c>
      <c r="R8" s="7">
        <v>0</v>
      </c>
      <c r="S8" s="7">
        <v>0</v>
      </c>
      <c r="T8" s="7">
        <v>3.1985146873046308E-7</v>
      </c>
      <c r="U8" s="7">
        <v>3.7722822624725941E-6</v>
      </c>
      <c r="V8" s="7">
        <v>0</v>
      </c>
      <c r="W8" s="7">
        <v>3.2284465175194491E-5</v>
      </c>
      <c r="X8" s="7">
        <v>5.1574330277678167E-8</v>
      </c>
      <c r="Y8" s="7">
        <v>5.3812630838299073E-6</v>
      </c>
      <c r="Z8" s="7">
        <v>2.2574540047998571E-7</v>
      </c>
      <c r="AA8" s="7">
        <v>9.5432984957308796E-7</v>
      </c>
      <c r="AB8" s="7">
        <v>2.34077160335148E-5</v>
      </c>
      <c r="AC8" s="7">
        <v>0</v>
      </c>
      <c r="AD8" s="7">
        <v>3.9427096874696836E-6</v>
      </c>
      <c r="AE8" s="7">
        <v>0</v>
      </c>
      <c r="AF8" s="7">
        <v>1.9315237153789492E-6</v>
      </c>
      <c r="AG8" s="7">
        <v>5.002222748286602E-8</v>
      </c>
      <c r="AH8" s="7">
        <v>2.832894712573719E-5</v>
      </c>
      <c r="AI8" s="7">
        <v>0</v>
      </c>
      <c r="AJ8" s="7">
        <v>0</v>
      </c>
      <c r="AK8" s="7">
        <v>4.2222393206626252E-5</v>
      </c>
      <c r="AL8" s="7">
        <v>7.8011334243790191E-7</v>
      </c>
      <c r="AM8" s="7">
        <v>0</v>
      </c>
      <c r="AN8" s="7">
        <v>3.1791764159803797E-7</v>
      </c>
      <c r="AO8" s="7">
        <v>7.6557390832458688E-2</v>
      </c>
      <c r="AP8" s="7">
        <v>0</v>
      </c>
      <c r="AQ8" s="7">
        <v>7.0040015266819656E-5</v>
      </c>
      <c r="AR8" s="7">
        <v>0</v>
      </c>
      <c r="AS8" s="7">
        <v>4.2522389455761813E-5</v>
      </c>
      <c r="AT8" s="7">
        <v>0</v>
      </c>
      <c r="AU8" s="7">
        <v>7.6420876208745201E-4</v>
      </c>
      <c r="AV8" s="7">
        <v>9.0135858837089358E-7</v>
      </c>
      <c r="AW8" s="7">
        <v>0</v>
      </c>
      <c r="AX8" s="7">
        <v>0</v>
      </c>
      <c r="AY8" s="7">
        <v>0</v>
      </c>
      <c r="AZ8" s="7">
        <v>7.048307532716535E-7</v>
      </c>
      <c r="BA8" s="7">
        <v>0</v>
      </c>
      <c r="BB8" s="7">
        <v>8.2707271840137587E-8</v>
      </c>
      <c r="BC8" s="7">
        <v>0</v>
      </c>
      <c r="BD8" s="7">
        <v>1.9297040802535899E-4</v>
      </c>
      <c r="BE8" s="7">
        <v>0</v>
      </c>
      <c r="BF8" s="7">
        <v>0</v>
      </c>
      <c r="BG8" s="7">
        <v>0</v>
      </c>
      <c r="BH8" s="7">
        <v>4.5283589331096354E-6</v>
      </c>
      <c r="BI8" s="7">
        <v>2.4204298623491039E-9</v>
      </c>
      <c r="BJ8" s="7">
        <v>7.4171209555042836E-8</v>
      </c>
      <c r="BK8" s="7">
        <v>0</v>
      </c>
      <c r="BL8" s="7">
        <v>0</v>
      </c>
      <c r="BM8" s="7">
        <v>0</v>
      </c>
      <c r="BN8" s="7">
        <v>1.9807651569445229E-7</v>
      </c>
      <c r="BO8" s="7">
        <v>1.6142188605382691E-6</v>
      </c>
      <c r="BP8" s="7">
        <v>3.0156711278522788E-6</v>
      </c>
      <c r="BQ8" s="7">
        <v>6.8901691633564109E-6</v>
      </c>
      <c r="BR8" s="7">
        <v>9.9751626284721241E-7</v>
      </c>
      <c r="BS8" s="7">
        <v>0</v>
      </c>
      <c r="BT8" s="7">
        <v>2.1565590251982131E-7</v>
      </c>
      <c r="BU8" s="7">
        <v>3.5635636626858749E-6</v>
      </c>
      <c r="BV8" s="7">
        <v>1.10191273407122E-4</v>
      </c>
      <c r="BW8" s="7">
        <v>3.1853252703630859E-7</v>
      </c>
      <c r="BX8" s="7">
        <v>0</v>
      </c>
      <c r="BY8" s="7">
        <v>0</v>
      </c>
      <c r="BZ8" s="7">
        <v>3.8992414124015861E-4</v>
      </c>
    </row>
    <row r="9" spans="1:78">
      <c r="A9" s="4" t="s">
        <v>85</v>
      </c>
      <c r="B9" s="7">
        <v>0.12833879676572521</v>
      </c>
      <c r="C9" s="7">
        <v>9.1137512682917528E-4</v>
      </c>
      <c r="D9" s="7">
        <v>6.4873735912794042E-5</v>
      </c>
      <c r="E9" s="7">
        <v>7.5126523355413232E-5</v>
      </c>
      <c r="F9" s="7">
        <v>1.701603499122727E-5</v>
      </c>
      <c r="G9" s="7">
        <v>1.8698126936151409E-5</v>
      </c>
      <c r="H9" s="7">
        <v>1.53163660298917E-6</v>
      </c>
      <c r="I9" s="7">
        <v>0</v>
      </c>
      <c r="J9" s="7">
        <v>4.4603302208165868E-5</v>
      </c>
      <c r="K9" s="7">
        <v>8.1809805663637339E-4</v>
      </c>
      <c r="L9" s="7">
        <v>1.3097947675170339E-4</v>
      </c>
      <c r="M9" s="7">
        <v>2.5439010475151531E-2</v>
      </c>
      <c r="N9" s="7">
        <v>9.1623189912160098E-6</v>
      </c>
      <c r="O9" s="7">
        <v>1.0074926867121271E-3</v>
      </c>
      <c r="P9" s="7">
        <v>5.1357402305375404E-4</v>
      </c>
      <c r="Q9" s="7">
        <v>6.7951031515084276E-2</v>
      </c>
      <c r="R9" s="7">
        <v>4.4580287042865234E-3</v>
      </c>
      <c r="S9" s="7">
        <v>7.5395197160887584E-5</v>
      </c>
      <c r="T9" s="7">
        <v>2.7613924115441709E-5</v>
      </c>
      <c r="U9" s="7">
        <v>5.8039714643857442E-5</v>
      </c>
      <c r="V9" s="7">
        <v>6.3628614518670685E-5</v>
      </c>
      <c r="W9" s="7">
        <v>2.9850275976911539E-3</v>
      </c>
      <c r="X9" s="7">
        <v>4.6579231992455839E-4</v>
      </c>
      <c r="Y9" s="7">
        <v>3.2823624435622751E-5</v>
      </c>
      <c r="Z9" s="7">
        <v>5.2171091762106528E-4</v>
      </c>
      <c r="AA9" s="7">
        <v>6.1403843348700792E-4</v>
      </c>
      <c r="AB9" s="7">
        <v>3.1785113301333501E-4</v>
      </c>
      <c r="AC9" s="7">
        <v>1.2657541890498489E-4</v>
      </c>
      <c r="AD9" s="7">
        <v>3.8509390569355869E-5</v>
      </c>
      <c r="AE9" s="7">
        <v>3.9564758360818722E-4</v>
      </c>
      <c r="AF9" s="7">
        <v>4.7860197279758797E-4</v>
      </c>
      <c r="AG9" s="7">
        <v>2.255504542374202E-4</v>
      </c>
      <c r="AH9" s="7">
        <v>3.819815368577323E-4</v>
      </c>
      <c r="AI9" s="7">
        <v>1.8981317541924091E-5</v>
      </c>
      <c r="AJ9" s="7">
        <v>5.9483786028625876E-6</v>
      </c>
      <c r="AK9" s="7">
        <v>2.6473440540554662E-4</v>
      </c>
      <c r="AL9" s="7">
        <v>6.2209557384818558E-4</v>
      </c>
      <c r="AM9" s="7">
        <v>5.6121463691386712E-3</v>
      </c>
      <c r="AN9" s="7">
        <v>1.4008755169681251E-5</v>
      </c>
      <c r="AO9" s="7">
        <v>5.1491030308754751E-4</v>
      </c>
      <c r="AP9" s="7">
        <v>7.9320549699889729E-7</v>
      </c>
      <c r="AQ9" s="7">
        <v>9.9601876766915072E-6</v>
      </c>
      <c r="AR9" s="7">
        <v>1.793082064607914E-5</v>
      </c>
      <c r="AS9" s="7">
        <v>3.6470075070414621E-5</v>
      </c>
      <c r="AT9" s="7">
        <v>2.410895823048956E-3</v>
      </c>
      <c r="AU9" s="7">
        <v>7.0573687314282664E-6</v>
      </c>
      <c r="AV9" s="7">
        <v>8.6942200255018794E-5</v>
      </c>
      <c r="AW9" s="7">
        <v>3.5172448656359913E-4</v>
      </c>
      <c r="AX9" s="7">
        <v>6.7562044973635977E-6</v>
      </c>
      <c r="AY9" s="7">
        <v>0</v>
      </c>
      <c r="AZ9" s="7">
        <v>9.5215363262077671E-6</v>
      </c>
      <c r="BA9" s="7">
        <v>1.758870072989234E-7</v>
      </c>
      <c r="BB9" s="7">
        <v>9.1345010293077643E-5</v>
      </c>
      <c r="BC9" s="7">
        <v>2.4298502512522572E-3</v>
      </c>
      <c r="BD9" s="7">
        <v>4.9567667408527828E-4</v>
      </c>
      <c r="BE9" s="7">
        <v>3.9087048640428091E-5</v>
      </c>
      <c r="BF9" s="7">
        <v>3.7289313293653703E-2</v>
      </c>
      <c r="BG9" s="7">
        <v>1.9374686568752509E-4</v>
      </c>
      <c r="BH9" s="7">
        <v>5.1279967870642107E-5</v>
      </c>
      <c r="BI9" s="7">
        <v>4.4790549722041161E-4</v>
      </c>
      <c r="BJ9" s="7">
        <v>7.7532113400940753E-5</v>
      </c>
      <c r="BK9" s="7">
        <v>5.5762912765642467E-5</v>
      </c>
      <c r="BL9" s="7">
        <v>3.5896938941611719E-4</v>
      </c>
      <c r="BM9" s="7">
        <v>1.3218796897569881E-5</v>
      </c>
      <c r="BN9" s="7">
        <v>3.5714871987985161E-6</v>
      </c>
      <c r="BO9" s="7">
        <v>2.0144990365598159E-4</v>
      </c>
      <c r="BP9" s="7">
        <v>4.9914249357897737E-5</v>
      </c>
      <c r="BQ9" s="7">
        <v>2.7828966541314812E-4</v>
      </c>
      <c r="BR9" s="7">
        <v>4.4326003669599708E-5</v>
      </c>
      <c r="BS9" s="7">
        <v>3.8544142707989682E-4</v>
      </c>
      <c r="BT9" s="7">
        <v>1.0043758936971209E-3</v>
      </c>
      <c r="BU9" s="7">
        <v>6.0679348892499202E-6</v>
      </c>
      <c r="BV9" s="7">
        <v>2.7946660810597879E-4</v>
      </c>
      <c r="BW9" s="7">
        <v>7.8288009229039908E-4</v>
      </c>
      <c r="BX9" s="7">
        <v>2.509997655926281E-4</v>
      </c>
      <c r="BY9" s="7">
        <v>7.9251873847960494E-3</v>
      </c>
      <c r="BZ9" s="7">
        <v>6.9753885687346678E-3</v>
      </c>
    </row>
    <row r="10" spans="1:78">
      <c r="A10" s="4" t="s">
        <v>87</v>
      </c>
      <c r="B10" s="7">
        <v>0</v>
      </c>
      <c r="C10" s="7">
        <v>1.0307680036216591E-6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1.437200023177674E-8</v>
      </c>
      <c r="L10" s="7">
        <v>0</v>
      </c>
      <c r="M10" s="7">
        <v>0</v>
      </c>
      <c r="N10" s="7">
        <v>1.9541596071812091E-10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1.8214772632524522E-8</v>
      </c>
      <c r="V10" s="7">
        <v>9.9790266433894974E-9</v>
      </c>
      <c r="W10" s="7">
        <v>0</v>
      </c>
      <c r="X10" s="7">
        <v>0</v>
      </c>
      <c r="Y10" s="7">
        <v>0</v>
      </c>
      <c r="Z10" s="7">
        <v>0</v>
      </c>
      <c r="AA10" s="7">
        <v>1.368092049295477E-6</v>
      </c>
      <c r="AB10" s="7">
        <v>0</v>
      </c>
      <c r="AC10" s="7">
        <v>0</v>
      </c>
      <c r="AD10" s="7">
        <v>3.529568668509515E-7</v>
      </c>
      <c r="AE10" s="7">
        <v>0</v>
      </c>
      <c r="AF10" s="7">
        <v>0</v>
      </c>
      <c r="AG10" s="7">
        <v>5.7629294335099104E-9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5.0279413265384381E-8</v>
      </c>
      <c r="AW10" s="7">
        <v>0</v>
      </c>
      <c r="AX10" s="7">
        <v>0</v>
      </c>
      <c r="AY10" s="7">
        <v>0</v>
      </c>
      <c r="AZ10" s="7">
        <v>1.8394326982125839E-7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2.4261443935930428E-8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8.1265921815905267E-8</v>
      </c>
      <c r="BO10" s="7">
        <v>0</v>
      </c>
      <c r="BP10" s="7">
        <v>0</v>
      </c>
      <c r="BQ10" s="7">
        <v>0</v>
      </c>
      <c r="BR10" s="7">
        <v>2.2820192132276609E-8</v>
      </c>
      <c r="BS10" s="7">
        <v>0</v>
      </c>
      <c r="BT10" s="7">
        <v>0</v>
      </c>
      <c r="BU10" s="7">
        <v>0</v>
      </c>
      <c r="BV10" s="7">
        <v>0</v>
      </c>
      <c r="BW10" s="7">
        <v>1.2375236325763809E-9</v>
      </c>
      <c r="BX10" s="7">
        <v>5.5469941391740518E-9</v>
      </c>
      <c r="BY10" s="7">
        <v>0</v>
      </c>
      <c r="BZ10" s="7">
        <v>7.3085850820871882E-5</v>
      </c>
    </row>
    <row r="11" spans="1:78">
      <c r="A11" s="4" t="s">
        <v>89</v>
      </c>
      <c r="B11" s="7">
        <v>2.3897572495879009E-3</v>
      </c>
      <c r="C11" s="7">
        <v>2.189849954047219E-2</v>
      </c>
      <c r="D11" s="7">
        <v>4.5465876708552502E-4</v>
      </c>
      <c r="E11" s="7">
        <v>5.5604395051245172E-4</v>
      </c>
      <c r="F11" s="7">
        <v>1.6628504298716411E-4</v>
      </c>
      <c r="G11" s="7">
        <v>2.9302710744194148E-4</v>
      </c>
      <c r="H11" s="7">
        <v>5.044440301762255E-4</v>
      </c>
      <c r="I11" s="7">
        <v>2.6346791794986239E-3</v>
      </c>
      <c r="J11" s="7">
        <v>1.005162586585778E-3</v>
      </c>
      <c r="K11" s="7">
        <v>0</v>
      </c>
      <c r="L11" s="7">
        <v>1.2805526554581989E-3</v>
      </c>
      <c r="M11" s="7">
        <v>1.5661881997086301E-2</v>
      </c>
      <c r="N11" s="7">
        <v>6.7580405360487868E-4</v>
      </c>
      <c r="O11" s="7">
        <v>1.8512715589112359E-3</v>
      </c>
      <c r="P11" s="7">
        <v>4.8832746581999389E-4</v>
      </c>
      <c r="Q11" s="7">
        <v>4.9400484034341609E-3</v>
      </c>
      <c r="R11" s="7">
        <v>5.0308509860325833E-2</v>
      </c>
      <c r="S11" s="7">
        <v>1.133444871505275E-4</v>
      </c>
      <c r="T11" s="7">
        <v>1.9456550326165959E-4</v>
      </c>
      <c r="U11" s="7">
        <v>1.7022980384064879E-3</v>
      </c>
      <c r="V11" s="7">
        <v>1.978526748623748E-3</v>
      </c>
      <c r="W11" s="7">
        <v>1.551734396728515E-3</v>
      </c>
      <c r="X11" s="7">
        <v>7.5586741878599603E-4</v>
      </c>
      <c r="Y11" s="7">
        <v>1.656704169572926E-3</v>
      </c>
      <c r="Z11" s="7">
        <v>1.1409540604791651E-3</v>
      </c>
      <c r="AA11" s="7">
        <v>1.9345489746808401E-3</v>
      </c>
      <c r="AB11" s="7">
        <v>5.4057888150279678E-3</v>
      </c>
      <c r="AC11" s="7">
        <v>2.3514549661378579E-4</v>
      </c>
      <c r="AD11" s="7">
        <v>4.0742411526926699E-4</v>
      </c>
      <c r="AE11" s="7">
        <v>1.693942277392879E-3</v>
      </c>
      <c r="AF11" s="7">
        <v>3.2576458756631698E-4</v>
      </c>
      <c r="AG11" s="7">
        <v>1.9653548764276191E-4</v>
      </c>
      <c r="AH11" s="7">
        <v>5.379884473247496E-4</v>
      </c>
      <c r="AI11" s="7">
        <v>3.0342401630087471E-4</v>
      </c>
      <c r="AJ11" s="7">
        <v>9.8586143207579201E-3</v>
      </c>
      <c r="AK11" s="7">
        <v>7.781587067981217E-4</v>
      </c>
      <c r="AL11" s="7">
        <v>1.557609113753373E-3</v>
      </c>
      <c r="AM11" s="7">
        <v>5.1913801925845193E-3</v>
      </c>
      <c r="AN11" s="7">
        <v>5.1684530644644628E-4</v>
      </c>
      <c r="AO11" s="7">
        <v>4.3556361728172618E-3</v>
      </c>
      <c r="AP11" s="7">
        <v>2.8848757012970381E-3</v>
      </c>
      <c r="AQ11" s="7">
        <v>5.2825556010509212E-4</v>
      </c>
      <c r="AR11" s="7">
        <v>1.3077932429587199E-5</v>
      </c>
      <c r="AS11" s="7">
        <v>1.091284847202535E-3</v>
      </c>
      <c r="AT11" s="7">
        <v>1.3856265845643011E-3</v>
      </c>
      <c r="AU11" s="7">
        <v>1.484036379557837E-3</v>
      </c>
      <c r="AV11" s="7">
        <v>6.93950903172506E-4</v>
      </c>
      <c r="AW11" s="7">
        <v>4.616355373008748E-3</v>
      </c>
      <c r="AX11" s="7">
        <v>4.3980285434051533E-3</v>
      </c>
      <c r="AY11" s="7">
        <v>4.7027345403825779E-4</v>
      </c>
      <c r="AZ11" s="7">
        <v>3.6844202589831688E-4</v>
      </c>
      <c r="BA11" s="7">
        <v>5.1084914459869311E-4</v>
      </c>
      <c r="BB11" s="7">
        <v>5.2432485810340679E-3</v>
      </c>
      <c r="BC11" s="7">
        <v>7.3117372303283506E-3</v>
      </c>
      <c r="BD11" s="7">
        <v>9.5496005731271205E-3</v>
      </c>
      <c r="BE11" s="7">
        <v>7.0351409158327088E-3</v>
      </c>
      <c r="BF11" s="7">
        <v>1.525517596133062E-2</v>
      </c>
      <c r="BG11" s="7">
        <v>2.8953376131768551E-4</v>
      </c>
      <c r="BH11" s="7">
        <v>2.4275931236127108E-3</v>
      </c>
      <c r="BI11" s="7">
        <v>3.8798982989329031E-4</v>
      </c>
      <c r="BJ11" s="7">
        <v>3.0098196464915078E-4</v>
      </c>
      <c r="BK11" s="7">
        <v>1.1215390450335209E-3</v>
      </c>
      <c r="BL11" s="7">
        <v>1.0273616201433151E-2</v>
      </c>
      <c r="BM11" s="7">
        <v>2.398914512444621E-4</v>
      </c>
      <c r="BN11" s="7">
        <v>1.1858079147363909E-3</v>
      </c>
      <c r="BO11" s="7">
        <v>2.6615811895145091E-4</v>
      </c>
      <c r="BP11" s="7">
        <v>4.9263906605301311E-4</v>
      </c>
      <c r="BQ11" s="7">
        <v>8.8593551751247664E-3</v>
      </c>
      <c r="BR11" s="7">
        <v>4.5177766732424629E-3</v>
      </c>
      <c r="BS11" s="7">
        <v>7.8247348271594369E-5</v>
      </c>
      <c r="BT11" s="7">
        <v>3.0790603260579049E-3</v>
      </c>
      <c r="BU11" s="7">
        <v>9.1661036767145491E-4</v>
      </c>
      <c r="BV11" s="7">
        <v>3.0644053870158079E-4</v>
      </c>
      <c r="BW11" s="7">
        <v>1.926024509984765E-2</v>
      </c>
      <c r="BX11" s="7">
        <v>1.5610609038970951E-4</v>
      </c>
      <c r="BY11" s="7">
        <v>3.7565370574657998E-3</v>
      </c>
      <c r="BZ11" s="7">
        <v>8.4889525626725849E-3</v>
      </c>
    </row>
    <row r="12" spans="1:78">
      <c r="A12" s="4" t="s">
        <v>91</v>
      </c>
      <c r="B12" s="7">
        <v>1.632017447971295E-3</v>
      </c>
      <c r="C12" s="7">
        <v>4.8166691949813297E-3</v>
      </c>
      <c r="D12" s="7">
        <v>1.2212540247224931E-2</v>
      </c>
      <c r="E12" s="7">
        <v>8.2690607404630259E-4</v>
      </c>
      <c r="F12" s="7">
        <v>3.2273177215904562E-4</v>
      </c>
      <c r="G12" s="7">
        <v>2.8911445254579419E-3</v>
      </c>
      <c r="H12" s="7">
        <v>9.7063199001043974E-4</v>
      </c>
      <c r="I12" s="7">
        <v>9.2624796521867088E-4</v>
      </c>
      <c r="J12" s="7">
        <v>1.9065095562145709E-2</v>
      </c>
      <c r="K12" s="7">
        <v>3.46796983969916E-3</v>
      </c>
      <c r="L12" s="7">
        <v>0</v>
      </c>
      <c r="M12" s="7">
        <v>2.9536848634410858E-3</v>
      </c>
      <c r="N12" s="7">
        <v>3.9094355151372102E-4</v>
      </c>
      <c r="O12" s="7">
        <v>1.120401891071056E-2</v>
      </c>
      <c r="P12" s="7">
        <v>2.538192739134912E-3</v>
      </c>
      <c r="Q12" s="7">
        <v>6.6733022269473896E-3</v>
      </c>
      <c r="R12" s="7">
        <v>1.121279675067919E-2</v>
      </c>
      <c r="S12" s="7">
        <v>2.1797581968637349E-3</v>
      </c>
      <c r="T12" s="7">
        <v>1.4594280561068191E-3</v>
      </c>
      <c r="U12" s="7">
        <v>6.0644712608840072E-3</v>
      </c>
      <c r="V12" s="7">
        <v>2.8395962194150679E-3</v>
      </c>
      <c r="W12" s="7">
        <v>3.588606564422689E-3</v>
      </c>
      <c r="X12" s="7">
        <v>1.8667121678792671E-3</v>
      </c>
      <c r="Y12" s="7">
        <v>1.403910803361465E-3</v>
      </c>
      <c r="Z12" s="7">
        <v>2.7824383020611122E-3</v>
      </c>
      <c r="AA12" s="7">
        <v>8.6091666674785391E-3</v>
      </c>
      <c r="AB12" s="7">
        <v>3.8183424468979641E-3</v>
      </c>
      <c r="AC12" s="7">
        <v>7.6508170143030664E-3</v>
      </c>
      <c r="AD12" s="7">
        <v>2.179403535841646E-4</v>
      </c>
      <c r="AE12" s="7">
        <v>1.9017609258459951E-3</v>
      </c>
      <c r="AF12" s="7">
        <v>2.460753237705835E-3</v>
      </c>
      <c r="AG12" s="7">
        <v>4.9801230664949783E-4</v>
      </c>
      <c r="AH12" s="7">
        <v>3.8392362501419832E-4</v>
      </c>
      <c r="AI12" s="7">
        <v>2.6937443964023271E-4</v>
      </c>
      <c r="AJ12" s="7">
        <v>4.5763574464499227E-3</v>
      </c>
      <c r="AK12" s="7">
        <v>3.203835196518799E-3</v>
      </c>
      <c r="AL12" s="7">
        <v>3.9635715753083512E-3</v>
      </c>
      <c r="AM12" s="7">
        <v>2.0685471995549702E-3</v>
      </c>
      <c r="AN12" s="7">
        <v>4.8888100883253207E-4</v>
      </c>
      <c r="AO12" s="7">
        <v>9.3171106840319734E-3</v>
      </c>
      <c r="AP12" s="7">
        <v>1.2997941197122131E-4</v>
      </c>
      <c r="AQ12" s="7">
        <v>3.8206880158429888E-4</v>
      </c>
      <c r="AR12" s="7">
        <v>9.4598590160244422E-5</v>
      </c>
      <c r="AS12" s="7">
        <v>9.1155964444241907E-4</v>
      </c>
      <c r="AT12" s="7">
        <v>1.158617889936045E-2</v>
      </c>
      <c r="AU12" s="7">
        <v>1.7023954423898909E-4</v>
      </c>
      <c r="AV12" s="7">
        <v>2.703773620412373E-3</v>
      </c>
      <c r="AW12" s="7">
        <v>6.8995003870442404E-4</v>
      </c>
      <c r="AX12" s="7">
        <v>7.4644916411170539E-5</v>
      </c>
      <c r="AY12" s="7">
        <v>8.6454407130816149E-4</v>
      </c>
      <c r="AZ12" s="7">
        <v>3.480811033334769E-4</v>
      </c>
      <c r="BA12" s="7">
        <v>1.429325718243031E-3</v>
      </c>
      <c r="BB12" s="7">
        <v>2.1637807230783998E-3</v>
      </c>
      <c r="BC12" s="7">
        <v>5.6336149436359631E-3</v>
      </c>
      <c r="BD12" s="7">
        <v>3.3604031466346359E-3</v>
      </c>
      <c r="BE12" s="7">
        <v>3.2697112906920249E-3</v>
      </c>
      <c r="BF12" s="7">
        <v>4.6843063999279103E-3</v>
      </c>
      <c r="BG12" s="7">
        <v>8.1170594507493424E-4</v>
      </c>
      <c r="BH12" s="7">
        <v>1.4690655786703569E-3</v>
      </c>
      <c r="BI12" s="7">
        <v>6.9644247781252286E-4</v>
      </c>
      <c r="BJ12" s="7">
        <v>3.424705993432235E-3</v>
      </c>
      <c r="BK12" s="7">
        <v>1.2587736608198599E-3</v>
      </c>
      <c r="BL12" s="7">
        <v>5.4547088707395386E-3</v>
      </c>
      <c r="BM12" s="7">
        <v>4.5417637781871717E-2</v>
      </c>
      <c r="BN12" s="7">
        <v>2.9011417300232471E-4</v>
      </c>
      <c r="BO12" s="7">
        <v>3.015008559226809E-3</v>
      </c>
      <c r="BP12" s="7">
        <v>6.3752449612123627E-3</v>
      </c>
      <c r="BQ12" s="7">
        <v>8.087778174544976E-3</v>
      </c>
      <c r="BR12" s="7">
        <v>2.051786604377371E-3</v>
      </c>
      <c r="BS12" s="7">
        <v>1.3156729638984269E-3</v>
      </c>
      <c r="BT12" s="7">
        <v>1.2723704629021601E-3</v>
      </c>
      <c r="BU12" s="7">
        <v>2.0673544704709359E-4</v>
      </c>
      <c r="BV12" s="7">
        <v>1.1283184570416451E-3</v>
      </c>
      <c r="BW12" s="7">
        <v>1.7574814704714569E-3</v>
      </c>
      <c r="BX12" s="7">
        <v>1.5634481353087009E-3</v>
      </c>
      <c r="BY12" s="7">
        <v>5.7067214283663724E-3</v>
      </c>
      <c r="BZ12" s="7">
        <v>1.8886605080760351E-2</v>
      </c>
    </row>
    <row r="13" spans="1:78">
      <c r="A13" s="4" t="s">
        <v>93</v>
      </c>
      <c r="B13" s="7">
        <v>2.8237759651004191E-5</v>
      </c>
      <c r="C13" s="7">
        <v>1.713433635057057E-4</v>
      </c>
      <c r="D13" s="7">
        <v>4.0986067012911588E-6</v>
      </c>
      <c r="E13" s="7">
        <v>3.4261674438873801E-9</v>
      </c>
      <c r="F13" s="7">
        <v>0</v>
      </c>
      <c r="G13" s="7">
        <v>0</v>
      </c>
      <c r="H13" s="7">
        <v>0</v>
      </c>
      <c r="I13" s="7">
        <v>7.3387716186479244E-6</v>
      </c>
      <c r="J13" s="7">
        <v>0</v>
      </c>
      <c r="K13" s="7">
        <v>3.9601116310898307E-5</v>
      </c>
      <c r="L13" s="7">
        <v>2.323362666978669E-6</v>
      </c>
      <c r="M13" s="7">
        <v>0</v>
      </c>
      <c r="N13" s="7">
        <v>1.5944998176495331E-7</v>
      </c>
      <c r="O13" s="7">
        <v>6.7013384607542378E-5</v>
      </c>
      <c r="P13" s="7">
        <v>0</v>
      </c>
      <c r="Q13" s="7">
        <v>9.7348328171734948E-5</v>
      </c>
      <c r="R13" s="7">
        <v>2.1669696885810789E-4</v>
      </c>
      <c r="S13" s="7">
        <v>0</v>
      </c>
      <c r="T13" s="7">
        <v>1.608935149060196E-7</v>
      </c>
      <c r="U13" s="7">
        <v>9.6933946457653741E-6</v>
      </c>
      <c r="V13" s="7">
        <v>1.208535175619974E-4</v>
      </c>
      <c r="W13" s="7">
        <v>1.6664635677874229E-6</v>
      </c>
      <c r="X13" s="7">
        <v>3.8746428967921207E-5</v>
      </c>
      <c r="Y13" s="7">
        <v>0</v>
      </c>
      <c r="Z13" s="7">
        <v>2.9748048781987101E-6</v>
      </c>
      <c r="AA13" s="7">
        <v>1.346080280383123E-5</v>
      </c>
      <c r="AB13" s="7">
        <v>6.3358443362496844E-6</v>
      </c>
      <c r="AC13" s="7">
        <v>3.097339834704915E-5</v>
      </c>
      <c r="AD13" s="7">
        <v>0</v>
      </c>
      <c r="AE13" s="7">
        <v>3.7410286442788259E-6</v>
      </c>
      <c r="AF13" s="7">
        <v>2.9650789121192518E-7</v>
      </c>
      <c r="AG13" s="7">
        <v>0</v>
      </c>
      <c r="AH13" s="7">
        <v>5.8826684238921391E-7</v>
      </c>
      <c r="AI13" s="7">
        <v>1.259718211633651E-6</v>
      </c>
      <c r="AJ13" s="7">
        <v>9.6819134881692982E-5</v>
      </c>
      <c r="AK13" s="7">
        <v>0</v>
      </c>
      <c r="AL13" s="7">
        <v>5.1388678705488826E-7</v>
      </c>
      <c r="AM13" s="7">
        <v>0</v>
      </c>
      <c r="AN13" s="7">
        <v>3.3897627893618097E-7</v>
      </c>
      <c r="AO13" s="7">
        <v>0</v>
      </c>
      <c r="AP13" s="7">
        <v>0</v>
      </c>
      <c r="AQ13" s="7">
        <v>4.837083724341937E-8</v>
      </c>
      <c r="AR13" s="7">
        <v>0</v>
      </c>
      <c r="AS13" s="7">
        <v>0</v>
      </c>
      <c r="AT13" s="7">
        <v>0</v>
      </c>
      <c r="AU13" s="7">
        <v>0</v>
      </c>
      <c r="AV13" s="7">
        <v>7.8829227552302397E-6</v>
      </c>
      <c r="AW13" s="7">
        <v>1.9876366733083941E-5</v>
      </c>
      <c r="AX13" s="7">
        <v>0</v>
      </c>
      <c r="AY13" s="7">
        <v>0</v>
      </c>
      <c r="AZ13" s="7">
        <v>7.9422004323572432E-8</v>
      </c>
      <c r="BA13" s="7">
        <v>0</v>
      </c>
      <c r="BB13" s="7">
        <v>6.3031403904540872E-7</v>
      </c>
      <c r="BC13" s="7">
        <v>3.4273796223405773E-5</v>
      </c>
      <c r="BD13" s="7">
        <v>0</v>
      </c>
      <c r="BE13" s="7">
        <v>5.2145506978469602E-4</v>
      </c>
      <c r="BF13" s="7">
        <v>6.6052947184758806E-3</v>
      </c>
      <c r="BG13" s="7">
        <v>0</v>
      </c>
      <c r="BH13" s="7">
        <v>5.6508065919565406E-7</v>
      </c>
      <c r="BI13" s="7">
        <v>4.5990465988490847E-8</v>
      </c>
      <c r="BJ13" s="7">
        <v>0</v>
      </c>
      <c r="BK13" s="7">
        <v>0</v>
      </c>
      <c r="BL13" s="7">
        <v>2.798145705826859E-7</v>
      </c>
      <c r="BM13" s="7">
        <v>0</v>
      </c>
      <c r="BN13" s="7">
        <v>1.2061012094647581E-7</v>
      </c>
      <c r="BO13" s="7">
        <v>7.0780293492476357E-8</v>
      </c>
      <c r="BP13" s="7">
        <v>0</v>
      </c>
      <c r="BQ13" s="7">
        <v>2.3170481627611591E-6</v>
      </c>
      <c r="BR13" s="7">
        <v>2.525330252541386E-6</v>
      </c>
      <c r="BS13" s="7">
        <v>0</v>
      </c>
      <c r="BT13" s="7">
        <v>0</v>
      </c>
      <c r="BU13" s="7">
        <v>4.3651271934401888E-7</v>
      </c>
      <c r="BV13" s="7">
        <v>9.5472886832216959E-8</v>
      </c>
      <c r="BW13" s="7">
        <v>3.3240386315095521E-5</v>
      </c>
      <c r="BX13" s="7">
        <v>0</v>
      </c>
      <c r="BY13" s="7">
        <v>8.7532085731784412E-5</v>
      </c>
      <c r="BZ13" s="7">
        <v>8.1821635267535382E-5</v>
      </c>
    </row>
    <row r="14" spans="1:78">
      <c r="A14" s="4" t="s">
        <v>95</v>
      </c>
      <c r="B14" s="7">
        <v>0.22985682805676999</v>
      </c>
      <c r="C14" s="7">
        <v>0.2035999560937595</v>
      </c>
      <c r="D14" s="7">
        <v>0.16552246377250901</v>
      </c>
      <c r="E14" s="7">
        <v>5.4441933272553471E-2</v>
      </c>
      <c r="F14" s="7">
        <v>0.62203371328677004</v>
      </c>
      <c r="G14" s="7">
        <v>3.4092363762585037E-2</v>
      </c>
      <c r="H14" s="7">
        <v>0.41965847358111308</v>
      </c>
      <c r="I14" s="7">
        <v>0.24203713307734631</v>
      </c>
      <c r="J14" s="7">
        <v>2.7673102599148271E-2</v>
      </c>
      <c r="K14" s="7">
        <v>0.1382747793162655</v>
      </c>
      <c r="L14" s="7">
        <v>0.11460556760369919</v>
      </c>
      <c r="M14" s="7">
        <v>0.2658948802990439</v>
      </c>
      <c r="N14" s="7">
        <v>0</v>
      </c>
      <c r="O14" s="7">
        <v>0.41709774295334773</v>
      </c>
      <c r="P14" s="7">
        <v>0.23686404813020309</v>
      </c>
      <c r="Q14" s="7">
        <v>0.34709206709886631</v>
      </c>
      <c r="R14" s="7">
        <v>0.2237967343562032</v>
      </c>
      <c r="S14" s="7">
        <v>8.9636846725807406E-2</v>
      </c>
      <c r="T14" s="7">
        <v>0.23053559296726031</v>
      </c>
      <c r="U14" s="7">
        <v>0.13023708280710289</v>
      </c>
      <c r="V14" s="7">
        <v>0.1090046104166329</v>
      </c>
      <c r="W14" s="7">
        <v>0.19571937574474321</v>
      </c>
      <c r="X14" s="7">
        <v>0.12780565049584641</v>
      </c>
      <c r="Y14" s="7">
        <v>0.1352462426926819</v>
      </c>
      <c r="Z14" s="7">
        <v>8.6479744614763987E-2</v>
      </c>
      <c r="AA14" s="7">
        <v>7.713244497906277E-2</v>
      </c>
      <c r="AB14" s="7">
        <v>0.16022180213757001</v>
      </c>
      <c r="AC14" s="7">
        <v>5.1503147148117573E-2</v>
      </c>
      <c r="AD14" s="7">
        <v>0.27742695588428362</v>
      </c>
      <c r="AE14" s="7">
        <v>0.11697123841964301</v>
      </c>
      <c r="AF14" s="7">
        <v>6.2840268325164733E-2</v>
      </c>
      <c r="AG14" s="7">
        <v>0.25633591031781328</v>
      </c>
      <c r="AH14" s="7">
        <v>0.3060544840960695</v>
      </c>
      <c r="AI14" s="7">
        <v>9.1525948230789193E-3</v>
      </c>
      <c r="AJ14" s="7">
        <v>9.2779434428218108E-2</v>
      </c>
      <c r="AK14" s="7">
        <v>5.4227908490998351E-2</v>
      </c>
      <c r="AL14" s="7">
        <v>0.10330181397769141</v>
      </c>
      <c r="AM14" s="7">
        <v>0.29214230756174392</v>
      </c>
      <c r="AN14" s="7">
        <v>9.8012090762402401E-2</v>
      </c>
      <c r="AO14" s="7">
        <v>9.6373686374159537E-2</v>
      </c>
      <c r="AP14" s="7">
        <v>0.16067509039723449</v>
      </c>
      <c r="AQ14" s="7">
        <v>0.37301841194814661</v>
      </c>
      <c r="AR14" s="7">
        <v>3.8913088145966453E-2</v>
      </c>
      <c r="AS14" s="7">
        <v>0.13671237159230329</v>
      </c>
      <c r="AT14" s="7">
        <v>0.16045278049330719</v>
      </c>
      <c r="AU14" s="7">
        <v>6.1023012192054131E-2</v>
      </c>
      <c r="AV14" s="7">
        <v>0.1048047629394443</v>
      </c>
      <c r="AW14" s="7">
        <v>0.18733293295186659</v>
      </c>
      <c r="AX14" s="7">
        <v>1.4307288341996771E-2</v>
      </c>
      <c r="AY14" s="7">
        <v>0.1617459501209928</v>
      </c>
      <c r="AZ14" s="7">
        <v>0.17129942532330261</v>
      </c>
      <c r="BA14" s="7">
        <v>0.64429730753369396</v>
      </c>
      <c r="BB14" s="7">
        <v>8.6094313682205478E-2</v>
      </c>
      <c r="BC14" s="7">
        <v>0.1397074460055002</v>
      </c>
      <c r="BD14" s="7">
        <v>0.1895216609682038</v>
      </c>
      <c r="BE14" s="7">
        <v>0.61110146542026744</v>
      </c>
      <c r="BF14" s="7">
        <v>0.22376794946667561</v>
      </c>
      <c r="BG14" s="7">
        <v>9.0329597482583776E-2</v>
      </c>
      <c r="BH14" s="7">
        <v>0.1430509514812382</v>
      </c>
      <c r="BI14" s="7">
        <v>2.9130105229407271E-2</v>
      </c>
      <c r="BJ14" s="7">
        <v>5.152905540034574E-2</v>
      </c>
      <c r="BK14" s="7">
        <v>0.42171496678374998</v>
      </c>
      <c r="BL14" s="7">
        <v>0.1451643591472162</v>
      </c>
      <c r="BM14" s="7">
        <v>0.21909978313371989</v>
      </c>
      <c r="BN14" s="7">
        <v>7.7646920686809548E-2</v>
      </c>
      <c r="BO14" s="7">
        <v>0.16084389324318121</v>
      </c>
      <c r="BP14" s="7">
        <v>0.24287229337708449</v>
      </c>
      <c r="BQ14" s="7">
        <v>7.9923096973320937E-2</v>
      </c>
      <c r="BR14" s="7">
        <v>0.13761432383151301</v>
      </c>
      <c r="BS14" s="7">
        <v>0.21209107754170081</v>
      </c>
      <c r="BT14" s="7">
        <v>0.2294761472292825</v>
      </c>
      <c r="BU14" s="7">
        <v>0.29103045811540268</v>
      </c>
      <c r="BV14" s="7">
        <v>0.39604034775748781</v>
      </c>
      <c r="BW14" s="7">
        <v>6.1515380235015432E-2</v>
      </c>
      <c r="BX14" s="7">
        <v>0.18104148966744671</v>
      </c>
      <c r="BY14" s="7">
        <v>0.30007889877543081</v>
      </c>
      <c r="BZ14" s="7">
        <v>0.2428932807417343</v>
      </c>
    </row>
    <row r="15" spans="1:78">
      <c r="A15" s="4" t="s">
        <v>97</v>
      </c>
      <c r="B15" s="7">
        <v>0</v>
      </c>
      <c r="C15" s="7">
        <v>0</v>
      </c>
      <c r="D15" s="7">
        <v>0</v>
      </c>
      <c r="E15" s="7">
        <v>1.22785973736247E-8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1.3226197937241821E-7</v>
      </c>
      <c r="M15" s="7">
        <v>0</v>
      </c>
      <c r="N15" s="7">
        <v>2.8348100590943501E-9</v>
      </c>
      <c r="O15" s="7">
        <v>0</v>
      </c>
      <c r="P15" s="7">
        <v>3.2613159821895458E-5</v>
      </c>
      <c r="Q15" s="7">
        <v>0</v>
      </c>
      <c r="R15" s="7">
        <v>0</v>
      </c>
      <c r="S15" s="7">
        <v>0</v>
      </c>
      <c r="T15" s="7">
        <v>4.164763715386921E-7</v>
      </c>
      <c r="U15" s="7">
        <v>3.1677930843687601E-9</v>
      </c>
      <c r="V15" s="7">
        <v>3.3230136705881077E-5</v>
      </c>
      <c r="W15" s="7">
        <v>2.092052121091511E-6</v>
      </c>
      <c r="X15" s="7">
        <v>0</v>
      </c>
      <c r="Y15" s="7">
        <v>0</v>
      </c>
      <c r="Z15" s="7">
        <v>0</v>
      </c>
      <c r="AA15" s="7">
        <v>1.166988059602561E-6</v>
      </c>
      <c r="AB15" s="7">
        <v>1.235089606327792E-7</v>
      </c>
      <c r="AC15" s="7">
        <v>0</v>
      </c>
      <c r="AD15" s="7">
        <v>0</v>
      </c>
      <c r="AE15" s="7">
        <v>0</v>
      </c>
      <c r="AF15" s="7">
        <v>1.3873003707494661E-8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1.662660553806531E-9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5.5568283985606983E-5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8.0623976006727625E-7</v>
      </c>
      <c r="BB15" s="7">
        <v>5.1232676915283043E-5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6.7187241546150576E-6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1.3462543027124941E-7</v>
      </c>
      <c r="BU15" s="7">
        <v>0</v>
      </c>
      <c r="BV15" s="7">
        <v>0</v>
      </c>
      <c r="BW15" s="7">
        <v>0</v>
      </c>
      <c r="BX15" s="7">
        <v>0</v>
      </c>
      <c r="BY15" s="7">
        <v>8.3240079917969529E-7</v>
      </c>
      <c r="BZ15" s="7">
        <v>1.387508404865206E-5</v>
      </c>
    </row>
    <row r="16" spans="1:78">
      <c r="A16" s="4" t="s">
        <v>99</v>
      </c>
      <c r="B16" s="7">
        <v>0</v>
      </c>
      <c r="C16" s="7">
        <v>0</v>
      </c>
      <c r="D16" s="7">
        <v>3.445012844632037E-9</v>
      </c>
      <c r="E16" s="7">
        <v>1.384046525465241E-5</v>
      </c>
      <c r="F16" s="7">
        <v>0</v>
      </c>
      <c r="G16" s="7">
        <v>0</v>
      </c>
      <c r="H16" s="7">
        <v>0</v>
      </c>
      <c r="I16" s="7">
        <v>9.3554364254901203E-7</v>
      </c>
      <c r="J16" s="7">
        <v>6.7210039879131518E-7</v>
      </c>
      <c r="K16" s="7">
        <v>7.6508366433554863E-7</v>
      </c>
      <c r="L16" s="7">
        <v>4.7101511290038638E-7</v>
      </c>
      <c r="M16" s="7">
        <v>0</v>
      </c>
      <c r="N16" s="7">
        <v>3.7684380450015931E-7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1.451670811182132E-9</v>
      </c>
      <c r="U16" s="7">
        <v>2.3251967112524271E-6</v>
      </c>
      <c r="V16" s="7">
        <v>9.8992164468483233E-8</v>
      </c>
      <c r="W16" s="7">
        <v>0</v>
      </c>
      <c r="X16" s="7">
        <v>0</v>
      </c>
      <c r="Y16" s="7">
        <v>0</v>
      </c>
      <c r="Z16" s="7">
        <v>1.135019265626476E-6</v>
      </c>
      <c r="AA16" s="7">
        <v>9.3253738723497833E-7</v>
      </c>
      <c r="AB16" s="7">
        <v>1.388639102093659E-5</v>
      </c>
      <c r="AC16" s="7">
        <v>0</v>
      </c>
      <c r="AD16" s="7">
        <v>0</v>
      </c>
      <c r="AE16" s="7">
        <v>0</v>
      </c>
      <c r="AF16" s="7">
        <v>0</v>
      </c>
      <c r="AG16" s="7">
        <v>9.8084597923983998E-5</v>
      </c>
      <c r="AH16" s="7">
        <v>1.798180250772083E-6</v>
      </c>
      <c r="AI16" s="7">
        <v>1.5337507873635941E-7</v>
      </c>
      <c r="AJ16" s="7">
        <v>0</v>
      </c>
      <c r="AK16" s="7">
        <v>0</v>
      </c>
      <c r="AL16" s="7">
        <v>0</v>
      </c>
      <c r="AM16" s="7">
        <v>0</v>
      </c>
      <c r="AN16" s="7">
        <v>5.1174763026644772E-8</v>
      </c>
      <c r="AO16" s="7">
        <v>0</v>
      </c>
      <c r="AP16" s="7">
        <v>0</v>
      </c>
      <c r="AQ16" s="7">
        <v>7.8824225206272759E-8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1.564138871402964E-3</v>
      </c>
      <c r="AZ16" s="7">
        <v>2.0403361760058929E-7</v>
      </c>
      <c r="BA16" s="7">
        <v>0</v>
      </c>
      <c r="BB16" s="7">
        <v>2.216848228663733E-6</v>
      </c>
      <c r="BC16" s="7">
        <v>0</v>
      </c>
      <c r="BD16" s="7">
        <v>0</v>
      </c>
      <c r="BE16" s="7">
        <v>0</v>
      </c>
      <c r="BF16" s="7">
        <v>0</v>
      </c>
      <c r="BG16" s="7">
        <v>1.9409155148744341E-8</v>
      </c>
      <c r="BH16" s="7">
        <v>3.1659062672954638E-5</v>
      </c>
      <c r="BI16" s="7">
        <v>0</v>
      </c>
      <c r="BJ16" s="7">
        <v>1.0875187739799341E-6</v>
      </c>
      <c r="BK16" s="7">
        <v>0</v>
      </c>
      <c r="BL16" s="7">
        <v>0</v>
      </c>
      <c r="BM16" s="7">
        <v>0</v>
      </c>
      <c r="BN16" s="7">
        <v>3.088492478264258E-6</v>
      </c>
      <c r="BO16" s="7">
        <v>0</v>
      </c>
      <c r="BP16" s="7">
        <v>0</v>
      </c>
      <c r="BQ16" s="7">
        <v>0</v>
      </c>
      <c r="BR16" s="7">
        <v>4.6377577053019709E-7</v>
      </c>
      <c r="BS16" s="7">
        <v>0</v>
      </c>
      <c r="BT16" s="7">
        <v>0</v>
      </c>
      <c r="BU16" s="7">
        <v>5.5258190600819284E-7</v>
      </c>
      <c r="BV16" s="7">
        <v>0</v>
      </c>
      <c r="BW16" s="7">
        <v>5.8310223931989612E-7</v>
      </c>
      <c r="BX16" s="7">
        <v>0</v>
      </c>
      <c r="BY16" s="7">
        <v>1.3491854940283979E-7</v>
      </c>
      <c r="BZ16" s="7">
        <v>4.3421105430651192E-6</v>
      </c>
    </row>
    <row r="17" spans="1:78">
      <c r="A17" s="4" t="s">
        <v>101</v>
      </c>
      <c r="B17" s="7">
        <v>1.207865435182562E-4</v>
      </c>
      <c r="C17" s="7">
        <v>1.90767481378637E-5</v>
      </c>
      <c r="D17" s="7">
        <v>5.8395639537174439E-7</v>
      </c>
      <c r="E17" s="7">
        <v>2.6622265828876959E-7</v>
      </c>
      <c r="F17" s="7">
        <v>0</v>
      </c>
      <c r="G17" s="7">
        <v>0</v>
      </c>
      <c r="H17" s="7">
        <v>0</v>
      </c>
      <c r="I17" s="7">
        <v>1.9664835392719E-5</v>
      </c>
      <c r="J17" s="7">
        <v>0</v>
      </c>
      <c r="K17" s="7">
        <v>4.6715699814636808E-6</v>
      </c>
      <c r="L17" s="7">
        <v>8.7927460760638199E-7</v>
      </c>
      <c r="M17" s="7">
        <v>2.6220603967558759E-4</v>
      </c>
      <c r="N17" s="7">
        <v>2.5149507872174498E-8</v>
      </c>
      <c r="O17" s="7">
        <v>0</v>
      </c>
      <c r="P17" s="7">
        <v>0</v>
      </c>
      <c r="Q17" s="7">
        <v>0</v>
      </c>
      <c r="R17" s="7">
        <v>5.4605240449487954E-4</v>
      </c>
      <c r="S17" s="7">
        <v>0</v>
      </c>
      <c r="T17" s="7">
        <v>2.900922171012294E-7</v>
      </c>
      <c r="U17" s="7">
        <v>6.830544625534157E-7</v>
      </c>
      <c r="V17" s="7">
        <v>3.5559178501913679E-5</v>
      </c>
      <c r="W17" s="7">
        <v>0</v>
      </c>
      <c r="X17" s="7">
        <v>1.6018844037356929E-6</v>
      </c>
      <c r="Y17" s="7">
        <v>0</v>
      </c>
      <c r="Z17" s="7">
        <v>2.2810201141063118E-8</v>
      </c>
      <c r="AA17" s="7">
        <v>1.1711710234770661E-5</v>
      </c>
      <c r="AB17" s="7">
        <v>2.748674020797709E-5</v>
      </c>
      <c r="AC17" s="7">
        <v>0</v>
      </c>
      <c r="AD17" s="7">
        <v>1.538495033870955E-9</v>
      </c>
      <c r="AE17" s="7">
        <v>0</v>
      </c>
      <c r="AF17" s="7">
        <v>3.9641509917644973E-8</v>
      </c>
      <c r="AG17" s="7">
        <v>0</v>
      </c>
      <c r="AH17" s="7">
        <v>4.7199472909320273E-6</v>
      </c>
      <c r="AI17" s="7">
        <v>1.5481186182142111E-8</v>
      </c>
      <c r="AJ17" s="7">
        <v>0</v>
      </c>
      <c r="AK17" s="7">
        <v>5.0666871847951499E-6</v>
      </c>
      <c r="AL17" s="7">
        <v>3.7331404780281752E-7</v>
      </c>
      <c r="AM17" s="7">
        <v>0</v>
      </c>
      <c r="AN17" s="7">
        <v>0</v>
      </c>
      <c r="AO17" s="7">
        <v>0</v>
      </c>
      <c r="AP17" s="7">
        <v>0</v>
      </c>
      <c r="AQ17" s="7">
        <v>8.6684682377519299E-8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6.8121986732996416E-6</v>
      </c>
      <c r="AX17" s="7">
        <v>0</v>
      </c>
      <c r="AY17" s="7">
        <v>0</v>
      </c>
      <c r="AZ17" s="7">
        <v>3.7615185301521189E-8</v>
      </c>
      <c r="BA17" s="7">
        <v>1.882004900024347E-4</v>
      </c>
      <c r="BB17" s="7">
        <v>2.3409418305561219E-5</v>
      </c>
      <c r="BC17" s="7">
        <v>3.380183393596E-6</v>
      </c>
      <c r="BD17" s="7">
        <v>0</v>
      </c>
      <c r="BE17" s="7">
        <v>0</v>
      </c>
      <c r="BF17" s="7">
        <v>4.6767679448494429E-4</v>
      </c>
      <c r="BG17" s="7">
        <v>0</v>
      </c>
      <c r="BH17" s="7">
        <v>8.595220635191305E-9</v>
      </c>
      <c r="BI17" s="7">
        <v>5.7064277399316692E-7</v>
      </c>
      <c r="BJ17" s="7">
        <v>8.8300238451583543E-5</v>
      </c>
      <c r="BK17" s="7">
        <v>0</v>
      </c>
      <c r="BL17" s="7">
        <v>6.1882306738102096E-5</v>
      </c>
      <c r="BM17" s="7">
        <v>0</v>
      </c>
      <c r="BN17" s="7">
        <v>1.5099969986893061E-7</v>
      </c>
      <c r="BO17" s="7">
        <v>1.5318174127552231E-7</v>
      </c>
      <c r="BP17" s="7">
        <v>0</v>
      </c>
      <c r="BQ17" s="7">
        <v>2.804847678597828E-6</v>
      </c>
      <c r="BR17" s="7">
        <v>2.7601467903770539E-6</v>
      </c>
      <c r="BS17" s="7">
        <v>0</v>
      </c>
      <c r="BT17" s="7">
        <v>7.6564225746682103E-7</v>
      </c>
      <c r="BU17" s="7">
        <v>4.5517354685791251E-9</v>
      </c>
      <c r="BV17" s="7">
        <v>0</v>
      </c>
      <c r="BW17" s="7">
        <v>1.6630182417509698E-5</v>
      </c>
      <c r="BX17" s="7">
        <v>7.585967740024178E-8</v>
      </c>
      <c r="BY17" s="7">
        <v>0</v>
      </c>
      <c r="BZ17" s="7">
        <v>1.050509376319782E-3</v>
      </c>
    </row>
    <row r="18" spans="1:78">
      <c r="A18" s="4" t="s">
        <v>103</v>
      </c>
      <c r="B18" s="7">
        <v>1.095555224083462E-4</v>
      </c>
      <c r="C18" s="7">
        <v>2.3505943062059119E-4</v>
      </c>
      <c r="D18" s="7">
        <v>1.5456878773535329E-4</v>
      </c>
      <c r="E18" s="7">
        <v>5.61578694776092E-6</v>
      </c>
      <c r="F18" s="7">
        <v>0</v>
      </c>
      <c r="G18" s="7">
        <v>0</v>
      </c>
      <c r="H18" s="7">
        <v>0</v>
      </c>
      <c r="I18" s="7">
        <v>3.056941448218805E-3</v>
      </c>
      <c r="J18" s="7">
        <v>0</v>
      </c>
      <c r="K18" s="7">
        <v>1.7613732145760261E-3</v>
      </c>
      <c r="L18" s="7">
        <v>3.093376659206296E-3</v>
      </c>
      <c r="M18" s="7">
        <v>1.0567323790456489E-3</v>
      </c>
      <c r="N18" s="7">
        <v>3.1344129935925152E-3</v>
      </c>
      <c r="O18" s="7">
        <v>0</v>
      </c>
      <c r="P18" s="7">
        <v>0</v>
      </c>
      <c r="Q18" s="7">
        <v>2.7833346649307862E-4</v>
      </c>
      <c r="R18" s="7">
        <v>0</v>
      </c>
      <c r="S18" s="7">
        <v>0</v>
      </c>
      <c r="T18" s="7">
        <v>9.6514343559249444E-3</v>
      </c>
      <c r="U18" s="7">
        <v>1.1112666642425909E-3</v>
      </c>
      <c r="V18" s="7">
        <v>3.6676601063686662E-5</v>
      </c>
      <c r="W18" s="7">
        <v>2.7863143350240289E-5</v>
      </c>
      <c r="X18" s="7">
        <v>6.9793532534078901E-5</v>
      </c>
      <c r="Y18" s="7">
        <v>1.5906053027385439E-6</v>
      </c>
      <c r="Z18" s="7">
        <v>9.1180599317269308E-4</v>
      </c>
      <c r="AA18" s="7">
        <v>1.149160743460517E-4</v>
      </c>
      <c r="AB18" s="7">
        <v>6.2454573010353991E-4</v>
      </c>
      <c r="AC18" s="7">
        <v>1.374439137751591E-5</v>
      </c>
      <c r="AD18" s="7">
        <v>5.0460234784743324E-3</v>
      </c>
      <c r="AE18" s="7">
        <v>0</v>
      </c>
      <c r="AF18" s="7">
        <v>1.2123044159677449E-6</v>
      </c>
      <c r="AG18" s="7">
        <v>1.332087307525175E-4</v>
      </c>
      <c r="AH18" s="7">
        <v>2.135973689364647E-6</v>
      </c>
      <c r="AI18" s="7">
        <v>1.220424935512031E-3</v>
      </c>
      <c r="AJ18" s="7">
        <v>1.5513094362593371E-3</v>
      </c>
      <c r="AK18" s="7">
        <v>3.7240150808244348E-4</v>
      </c>
      <c r="AL18" s="7">
        <v>2.8204103577460221E-6</v>
      </c>
      <c r="AM18" s="7">
        <v>0</v>
      </c>
      <c r="AN18" s="7">
        <v>8.8063184132139874E-5</v>
      </c>
      <c r="AO18" s="7">
        <v>0</v>
      </c>
      <c r="AP18" s="7">
        <v>0</v>
      </c>
      <c r="AQ18" s="7">
        <v>4.7874498795091252E-5</v>
      </c>
      <c r="AR18" s="7">
        <v>0</v>
      </c>
      <c r="AS18" s="7">
        <v>2.8372288676917849E-5</v>
      </c>
      <c r="AT18" s="7">
        <v>0</v>
      </c>
      <c r="AU18" s="7">
        <v>1.557657403657946E-7</v>
      </c>
      <c r="AV18" s="7">
        <v>3.461659129529871E-5</v>
      </c>
      <c r="AW18" s="7">
        <v>1.366015662158343E-2</v>
      </c>
      <c r="AX18" s="7">
        <v>0</v>
      </c>
      <c r="AY18" s="7">
        <v>0</v>
      </c>
      <c r="AZ18" s="7">
        <v>3.3152333858484061E-3</v>
      </c>
      <c r="BA18" s="7">
        <v>0</v>
      </c>
      <c r="BB18" s="7">
        <v>6.1271898383547539E-2</v>
      </c>
      <c r="BC18" s="7">
        <v>1.4534311370526101E-4</v>
      </c>
      <c r="BD18" s="7">
        <v>2.2423079938977691E-4</v>
      </c>
      <c r="BE18" s="7">
        <v>2.052747408488817E-4</v>
      </c>
      <c r="BF18" s="7">
        <v>4.0423679969832128E-3</v>
      </c>
      <c r="BG18" s="7">
        <v>2.068230330195364E-6</v>
      </c>
      <c r="BH18" s="7">
        <v>4.961447857986928E-5</v>
      </c>
      <c r="BI18" s="7">
        <v>8.7623583573788857E-7</v>
      </c>
      <c r="BJ18" s="7">
        <v>5.9361967014638774E-6</v>
      </c>
      <c r="BK18" s="7">
        <v>0</v>
      </c>
      <c r="BL18" s="7">
        <v>0</v>
      </c>
      <c r="BM18" s="7">
        <v>0</v>
      </c>
      <c r="BN18" s="7">
        <v>1.059865048066156E-3</v>
      </c>
      <c r="BO18" s="7">
        <v>1.073189527776224E-3</v>
      </c>
      <c r="BP18" s="7">
        <v>9.8018167022955339E-4</v>
      </c>
      <c r="BQ18" s="7">
        <v>4.3292209343189307E-6</v>
      </c>
      <c r="BR18" s="7">
        <v>5.5189397311941874E-6</v>
      </c>
      <c r="BS18" s="7">
        <v>3.8272301421797328E-5</v>
      </c>
      <c r="BT18" s="7">
        <v>2.9427651576301628E-4</v>
      </c>
      <c r="BU18" s="7">
        <v>1.139916470799368E-3</v>
      </c>
      <c r="BV18" s="7">
        <v>1.038681982623409E-4</v>
      </c>
      <c r="BW18" s="7">
        <v>1.6869072114880378E-2</v>
      </c>
      <c r="BX18" s="7">
        <v>2.7552757597038421E-5</v>
      </c>
      <c r="BY18" s="7">
        <v>1.0074790548385149E-3</v>
      </c>
      <c r="BZ18" s="7">
        <v>8.6105210504929983E-4</v>
      </c>
    </row>
    <row r="19" spans="1:78">
      <c r="A19" s="4" t="s">
        <v>105</v>
      </c>
      <c r="B19" s="7">
        <v>6.4709203300374306E-7</v>
      </c>
      <c r="C19" s="7">
        <v>2.641222917139337E-5</v>
      </c>
      <c r="D19" s="7">
        <v>1.5474563663547019E-6</v>
      </c>
      <c r="E19" s="7">
        <v>0</v>
      </c>
      <c r="F19" s="7">
        <v>0</v>
      </c>
      <c r="G19" s="7">
        <v>4.0014671414810862E-7</v>
      </c>
      <c r="H19" s="7">
        <v>0</v>
      </c>
      <c r="I19" s="7">
        <v>0</v>
      </c>
      <c r="J19" s="7">
        <v>0</v>
      </c>
      <c r="K19" s="7">
        <v>1.9671653396232099E-7</v>
      </c>
      <c r="L19" s="7">
        <v>5.7858004423026316E-6</v>
      </c>
      <c r="M19" s="7">
        <v>1.745117273813291E-5</v>
      </c>
      <c r="N19" s="7">
        <v>3.6886753285099652E-7</v>
      </c>
      <c r="O19" s="7">
        <v>4.4414462452912287E-5</v>
      </c>
      <c r="P19" s="7">
        <v>0</v>
      </c>
      <c r="Q19" s="7">
        <v>1.9909257207158158E-5</v>
      </c>
      <c r="R19" s="7">
        <v>0</v>
      </c>
      <c r="S19" s="7">
        <v>0</v>
      </c>
      <c r="T19" s="7">
        <v>1.7613605842343199E-7</v>
      </c>
      <c r="U19" s="7">
        <v>6.612007099887671E-6</v>
      </c>
      <c r="V19" s="7">
        <v>2.4478475298113629E-7</v>
      </c>
      <c r="W19" s="7">
        <v>4.273646237902184E-7</v>
      </c>
      <c r="X19" s="7">
        <v>7.3765700435982694E-7</v>
      </c>
      <c r="Y19" s="7">
        <v>1.707819405810368E-6</v>
      </c>
      <c r="Z19" s="7">
        <v>0</v>
      </c>
      <c r="AA19" s="7">
        <v>2.1962060098121281E-4</v>
      </c>
      <c r="AB19" s="7">
        <v>1.029000635746438E-5</v>
      </c>
      <c r="AC19" s="7">
        <v>5.0291267831740268E-2</v>
      </c>
      <c r="AD19" s="7">
        <v>3.5468202162025781E-5</v>
      </c>
      <c r="AE19" s="7">
        <v>8.8455044751773446E-5</v>
      </c>
      <c r="AF19" s="7">
        <v>0</v>
      </c>
      <c r="AG19" s="7">
        <v>2.8353612812868759E-8</v>
      </c>
      <c r="AH19" s="7">
        <v>1.6173462763585489E-6</v>
      </c>
      <c r="AI19" s="7">
        <v>2.745104425091836E-8</v>
      </c>
      <c r="AJ19" s="7">
        <v>0</v>
      </c>
      <c r="AK19" s="7">
        <v>7.6126974951547125E-4</v>
      </c>
      <c r="AL19" s="7">
        <v>3.188751221282994E-6</v>
      </c>
      <c r="AM19" s="7">
        <v>1.313092767163496E-3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2.8234121698393803E-7</v>
      </c>
      <c r="AT19" s="7">
        <v>0</v>
      </c>
      <c r="AU19" s="7">
        <v>0</v>
      </c>
      <c r="AV19" s="7">
        <v>6.2862826253638449E-6</v>
      </c>
      <c r="AW19" s="7">
        <v>1.8334729832161341E-7</v>
      </c>
      <c r="AX19" s="7">
        <v>0</v>
      </c>
      <c r="AY19" s="7">
        <v>0</v>
      </c>
      <c r="AZ19" s="7">
        <v>0</v>
      </c>
      <c r="BA19" s="7">
        <v>2.5204407830455629E-4</v>
      </c>
      <c r="BB19" s="7">
        <v>9.1854217350113959E-6</v>
      </c>
      <c r="BC19" s="7">
        <v>4.1312916765390978E-5</v>
      </c>
      <c r="BD19" s="7">
        <v>0</v>
      </c>
      <c r="BE19" s="7">
        <v>0</v>
      </c>
      <c r="BF19" s="7">
        <v>0</v>
      </c>
      <c r="BG19" s="7">
        <v>0</v>
      </c>
      <c r="BH19" s="7">
        <v>1.6117140642347181E-6</v>
      </c>
      <c r="BI19" s="7">
        <v>1.1448798920784321E-4</v>
      </c>
      <c r="BJ19" s="7">
        <v>3.2427375901359569E-6</v>
      </c>
      <c r="BK19" s="7">
        <v>0</v>
      </c>
      <c r="BL19" s="7">
        <v>4.1428447878563396E-6</v>
      </c>
      <c r="BM19" s="7">
        <v>0</v>
      </c>
      <c r="BN19" s="7">
        <v>1.6443829542047451E-6</v>
      </c>
      <c r="BO19" s="7">
        <v>1.183196828941456E-6</v>
      </c>
      <c r="BP19" s="7">
        <v>9.8040999145593643E-5</v>
      </c>
      <c r="BQ19" s="7">
        <v>2.5853378039639311E-5</v>
      </c>
      <c r="BR19" s="7">
        <v>4.290424145242053E-7</v>
      </c>
      <c r="BS19" s="7">
        <v>0</v>
      </c>
      <c r="BT19" s="7">
        <v>8.1030472248571887E-8</v>
      </c>
      <c r="BU19" s="7">
        <v>0</v>
      </c>
      <c r="BV19" s="7">
        <v>0</v>
      </c>
      <c r="BW19" s="7">
        <v>2.4095968014438121E-6</v>
      </c>
      <c r="BX19" s="7">
        <v>0</v>
      </c>
      <c r="BY19" s="7">
        <v>2.2905084688846619E-5</v>
      </c>
      <c r="BZ19" s="7">
        <v>4.0237346915414691E-6</v>
      </c>
    </row>
    <row r="20" spans="1:78">
      <c r="A20" s="4" t="s">
        <v>107</v>
      </c>
      <c r="B20" s="7">
        <v>6.3847975500112954E-3</v>
      </c>
      <c r="C20" s="7">
        <v>8.8231768660930448E-3</v>
      </c>
      <c r="D20" s="7">
        <v>3.2856795457887188E-2</v>
      </c>
      <c r="E20" s="7">
        <v>3.3682357604063289E-3</v>
      </c>
      <c r="F20" s="7">
        <v>1.2720875262653549E-4</v>
      </c>
      <c r="G20" s="7">
        <v>1.2820402015008409E-2</v>
      </c>
      <c r="H20" s="7">
        <v>3.8079242896196137E-2</v>
      </c>
      <c r="I20" s="7">
        <v>3.663482483915501E-3</v>
      </c>
      <c r="J20" s="7">
        <v>1.7447218296284979E-3</v>
      </c>
      <c r="K20" s="7">
        <v>4.3477084574650518E-4</v>
      </c>
      <c r="L20" s="7">
        <v>8.696654228332483E-3</v>
      </c>
      <c r="M20" s="7">
        <v>3.1558081704079711E-3</v>
      </c>
      <c r="N20" s="7">
        <v>1.8149822360059679E-4</v>
      </c>
      <c r="O20" s="7">
        <v>6.0187939159248851E-3</v>
      </c>
      <c r="P20" s="7">
        <v>4.2526401574058629E-3</v>
      </c>
      <c r="Q20" s="7">
        <v>2.977420208399262E-3</v>
      </c>
      <c r="R20" s="7">
        <v>1.1357356851176841E-3</v>
      </c>
      <c r="S20" s="7">
        <v>1.4164292664306951E-3</v>
      </c>
      <c r="T20" s="7">
        <v>0</v>
      </c>
      <c r="U20" s="7">
        <v>1.12634730769517E-2</v>
      </c>
      <c r="V20" s="7">
        <v>2.5667657264773401E-2</v>
      </c>
      <c r="W20" s="7">
        <v>2.4943999648096501E-3</v>
      </c>
      <c r="X20" s="7">
        <v>2.1047058718516649E-2</v>
      </c>
      <c r="Y20" s="7">
        <v>2.5595316658958141E-3</v>
      </c>
      <c r="Z20" s="7">
        <v>6.2117951829653503E-3</v>
      </c>
      <c r="AA20" s="7">
        <v>1.135778042213915E-2</v>
      </c>
      <c r="AB20" s="7">
        <v>7.5408968589743726E-3</v>
      </c>
      <c r="AC20" s="7">
        <v>7.7004397334334016E-3</v>
      </c>
      <c r="AD20" s="7">
        <v>5.9182925867161751E-5</v>
      </c>
      <c r="AE20" s="7">
        <v>4.3663404553541757E-2</v>
      </c>
      <c r="AF20" s="7">
        <v>1.4694600332033731E-2</v>
      </c>
      <c r="AG20" s="7">
        <v>1.35965255159154E-4</v>
      </c>
      <c r="AH20" s="7">
        <v>5.1312134931979548E-4</v>
      </c>
      <c r="AI20" s="7">
        <v>3.2354838481324718E-4</v>
      </c>
      <c r="AJ20" s="7">
        <v>6.7951872770025869E-3</v>
      </c>
      <c r="AK20" s="7">
        <v>9.2509263515718105E-4</v>
      </c>
      <c r="AL20" s="7">
        <v>1.517817789995755E-2</v>
      </c>
      <c r="AM20" s="7">
        <v>4.9993311610441122E-3</v>
      </c>
      <c r="AN20" s="7">
        <v>7.9954744691616939E-4</v>
      </c>
      <c r="AO20" s="7">
        <v>3.2525121390081999E-2</v>
      </c>
      <c r="AP20" s="7">
        <v>0</v>
      </c>
      <c r="AQ20" s="7">
        <v>1.058194042521595E-4</v>
      </c>
      <c r="AR20" s="7">
        <v>4.1311600581487679E-4</v>
      </c>
      <c r="AS20" s="7">
        <v>1.166161137220682E-2</v>
      </c>
      <c r="AT20" s="7">
        <v>1.419261084500939E-2</v>
      </c>
      <c r="AU20" s="7">
        <v>2.6379908121190381E-2</v>
      </c>
      <c r="AV20" s="7">
        <v>3.3427211341354041E-3</v>
      </c>
      <c r="AW20" s="7">
        <v>1.3587556398946871E-3</v>
      </c>
      <c r="AX20" s="7">
        <v>3.1930520688628099E-6</v>
      </c>
      <c r="AY20" s="7">
        <v>2.5839109467855211E-3</v>
      </c>
      <c r="AZ20" s="7">
        <v>1.320448460055174E-3</v>
      </c>
      <c r="BA20" s="7">
        <v>1.2610961207228941E-3</v>
      </c>
      <c r="BB20" s="7">
        <v>1.241313830414202E-2</v>
      </c>
      <c r="BC20" s="7">
        <v>3.5841709789647459E-3</v>
      </c>
      <c r="BD20" s="7">
        <v>2.77439505610371E-3</v>
      </c>
      <c r="BE20" s="7">
        <v>5.8073315652772703E-4</v>
      </c>
      <c r="BF20" s="7">
        <v>6.548396267016289E-3</v>
      </c>
      <c r="BG20" s="7">
        <v>2.441313976944668E-3</v>
      </c>
      <c r="BH20" s="7">
        <v>1.4637049379114329E-2</v>
      </c>
      <c r="BI20" s="7">
        <v>1.2006486846184199E-2</v>
      </c>
      <c r="BJ20" s="7">
        <v>5.4920383491807497E-3</v>
      </c>
      <c r="BK20" s="7">
        <v>3.6601847211328253E-2</v>
      </c>
      <c r="BL20" s="7">
        <v>7.1134844330107763E-3</v>
      </c>
      <c r="BM20" s="7">
        <v>2.9279853481435668E-4</v>
      </c>
      <c r="BN20" s="7">
        <v>2.0848692443580991E-4</v>
      </c>
      <c r="BO20" s="7">
        <v>1.5213487446076731E-2</v>
      </c>
      <c r="BP20" s="7">
        <v>1.110272610212335E-2</v>
      </c>
      <c r="BQ20" s="7">
        <v>6.4656006382520998E-3</v>
      </c>
      <c r="BR20" s="7">
        <v>1.8969713589841441E-4</v>
      </c>
      <c r="BS20" s="7">
        <v>1.5373322877829481E-3</v>
      </c>
      <c r="BT20" s="7">
        <v>1.34871411987517E-2</v>
      </c>
      <c r="BU20" s="7">
        <v>2.5856663201432859E-5</v>
      </c>
      <c r="BV20" s="7">
        <v>5.4450995523808417E-3</v>
      </c>
      <c r="BW20" s="7">
        <v>4.0861434147174022E-4</v>
      </c>
      <c r="BX20" s="7">
        <v>3.8781924460048674E-6</v>
      </c>
      <c r="BY20" s="7">
        <v>7.8003890524585987E-3</v>
      </c>
      <c r="BZ20" s="7">
        <v>4.3086780960772831E-3</v>
      </c>
    </row>
    <row r="21" spans="1:78">
      <c r="A21" s="4" t="s">
        <v>109</v>
      </c>
      <c r="B21" s="7">
        <v>4.2685912886615031E-2</v>
      </c>
      <c r="C21" s="7">
        <v>4.1378514413094147E-2</v>
      </c>
      <c r="D21" s="7">
        <v>0.21763712729414489</v>
      </c>
      <c r="E21" s="7">
        <v>9.1509198046885634E-2</v>
      </c>
      <c r="F21" s="7">
        <v>6.6637768596665417E-3</v>
      </c>
      <c r="G21" s="7">
        <v>0.27184508821982478</v>
      </c>
      <c r="H21" s="7">
        <v>6.934156911509512E-2</v>
      </c>
      <c r="I21" s="7">
        <v>2.473956820222897E-2</v>
      </c>
      <c r="J21" s="7">
        <v>2.2455312111466921E-2</v>
      </c>
      <c r="K21" s="7">
        <v>2.7157152977915339E-2</v>
      </c>
      <c r="L21" s="7">
        <v>0.1483943074063441</v>
      </c>
      <c r="M21" s="7">
        <v>4.3985107839105503E-2</v>
      </c>
      <c r="N21" s="7">
        <v>8.2912278044588884E-3</v>
      </c>
      <c r="O21" s="7">
        <v>6.1980879932609118E-2</v>
      </c>
      <c r="P21" s="7">
        <v>4.8054731117630888E-2</v>
      </c>
      <c r="Q21" s="7">
        <v>4.3298738531748461E-2</v>
      </c>
      <c r="R21" s="7">
        <v>1.350096757326944E-2</v>
      </c>
      <c r="S21" s="7">
        <v>0.1097292128676519</v>
      </c>
      <c r="T21" s="7">
        <v>0.124428051488073</v>
      </c>
      <c r="U21" s="7">
        <v>0</v>
      </c>
      <c r="V21" s="7">
        <v>0.20487554717558179</v>
      </c>
      <c r="W21" s="7">
        <v>3.6355534739082977E-2</v>
      </c>
      <c r="X21" s="7">
        <v>0.2060806949351722</v>
      </c>
      <c r="Y21" s="7">
        <v>7.4608176337882873E-2</v>
      </c>
      <c r="Z21" s="7">
        <v>4.4133564004479507E-2</v>
      </c>
      <c r="AA21" s="7">
        <v>0.13833748133360141</v>
      </c>
      <c r="AB21" s="7">
        <v>4.8679916838397938E-2</v>
      </c>
      <c r="AC21" s="7">
        <v>0.36133033779007478</v>
      </c>
      <c r="AD21" s="7">
        <v>3.905183788317142E-3</v>
      </c>
      <c r="AE21" s="7">
        <v>0.1876401709627554</v>
      </c>
      <c r="AF21" s="7">
        <v>0.35193377446068641</v>
      </c>
      <c r="AG21" s="7">
        <v>1.5349616026138791E-2</v>
      </c>
      <c r="AH21" s="7">
        <v>1.222291351120329E-2</v>
      </c>
      <c r="AI21" s="7">
        <v>6.2417561276729974E-3</v>
      </c>
      <c r="AJ21" s="7">
        <v>0.12671659529420359</v>
      </c>
      <c r="AK21" s="7">
        <v>8.6658928713007968E-2</v>
      </c>
      <c r="AL21" s="7">
        <v>0.22613567553082159</v>
      </c>
      <c r="AM21" s="7">
        <v>4.7377160954406562E-2</v>
      </c>
      <c r="AN21" s="7">
        <v>2.388074817589585E-2</v>
      </c>
      <c r="AO21" s="7">
        <v>0.1069618123893032</v>
      </c>
      <c r="AP21" s="7">
        <v>1.801396335389195E-3</v>
      </c>
      <c r="AQ21" s="7">
        <v>1.452248210323278E-2</v>
      </c>
      <c r="AR21" s="7">
        <v>1.527928261221954E-3</v>
      </c>
      <c r="AS21" s="7">
        <v>0.36454047400542838</v>
      </c>
      <c r="AT21" s="7">
        <v>0.17163932395946871</v>
      </c>
      <c r="AU21" s="7">
        <v>0.1121185995012067</v>
      </c>
      <c r="AV21" s="7">
        <v>9.8621563116214728E-2</v>
      </c>
      <c r="AW21" s="7">
        <v>1.522590025774468E-2</v>
      </c>
      <c r="AX21" s="7">
        <v>6.9639455098260668E-3</v>
      </c>
      <c r="AY21" s="7">
        <v>2.1859089428725099E-2</v>
      </c>
      <c r="AZ21" s="7">
        <v>1.2821247473102379E-2</v>
      </c>
      <c r="BA21" s="7">
        <v>1.9551565206975329E-2</v>
      </c>
      <c r="BB21" s="7">
        <v>6.2226130189046311E-2</v>
      </c>
      <c r="BC21" s="7">
        <v>6.4507542174697341E-2</v>
      </c>
      <c r="BD21" s="7">
        <v>3.9206723620561143E-2</v>
      </c>
      <c r="BE21" s="7">
        <v>3.8607646316242548E-2</v>
      </c>
      <c r="BF21" s="7">
        <v>4.1054202951837322E-2</v>
      </c>
      <c r="BG21" s="7">
        <v>2.1571454491043179E-2</v>
      </c>
      <c r="BH21" s="7">
        <v>0.1043482632971795</v>
      </c>
      <c r="BI21" s="7">
        <v>0.35720153664848953</v>
      </c>
      <c r="BJ21" s="7">
        <v>0.45847300709088179</v>
      </c>
      <c r="BK21" s="7">
        <v>4.3240012828842593E-2</v>
      </c>
      <c r="BL21" s="7">
        <v>3.7791038052609298E-2</v>
      </c>
      <c r="BM21" s="7">
        <v>1.9071986234625249E-2</v>
      </c>
      <c r="BN21" s="7">
        <v>9.1254620397948506E-3</v>
      </c>
      <c r="BO21" s="7">
        <v>0.10887465329767269</v>
      </c>
      <c r="BP21" s="7">
        <v>0.1109405841441516</v>
      </c>
      <c r="BQ21" s="7">
        <v>0.21394999765463979</v>
      </c>
      <c r="BR21" s="7">
        <v>1.69667719494433E-2</v>
      </c>
      <c r="BS21" s="7">
        <v>1.7574146920876721E-2</v>
      </c>
      <c r="BT21" s="7">
        <v>9.3987495508957852E-2</v>
      </c>
      <c r="BU21" s="7">
        <v>2.4079907300953621E-2</v>
      </c>
      <c r="BV21" s="7">
        <v>1.7939262180472121E-2</v>
      </c>
      <c r="BW21" s="7">
        <v>1.7645125359614169E-2</v>
      </c>
      <c r="BX21" s="7">
        <v>3.167790927551505E-3</v>
      </c>
      <c r="BY21" s="7">
        <v>5.4804202752243493E-2</v>
      </c>
      <c r="BZ21" s="7">
        <v>4.2615445953831661E-2</v>
      </c>
    </row>
    <row r="22" spans="1:78">
      <c r="A22" s="4" t="s">
        <v>111</v>
      </c>
      <c r="B22" s="7">
        <v>2.2632865075374589E-3</v>
      </c>
      <c r="C22" s="7">
        <v>1.000317983081972E-2</v>
      </c>
      <c r="D22" s="7">
        <v>1.829160642586403E-3</v>
      </c>
      <c r="E22" s="7">
        <v>1.127806240482828E-3</v>
      </c>
      <c r="F22" s="7">
        <v>1.5614887795531421E-3</v>
      </c>
      <c r="G22" s="7">
        <v>5.5865684325350782E-3</v>
      </c>
      <c r="H22" s="7">
        <v>1.9907497036086869E-3</v>
      </c>
      <c r="I22" s="7">
        <v>6.5946044317691233E-4</v>
      </c>
      <c r="J22" s="7">
        <v>1.1975637743838831E-5</v>
      </c>
      <c r="K22" s="7">
        <v>2.1970279377522251E-3</v>
      </c>
      <c r="L22" s="7">
        <v>5.5867144182295781E-3</v>
      </c>
      <c r="M22" s="7">
        <v>9.4751725886598505E-3</v>
      </c>
      <c r="N22" s="7">
        <v>6.863401479586582E-5</v>
      </c>
      <c r="O22" s="7">
        <v>2.1516185451913991E-3</v>
      </c>
      <c r="P22" s="7">
        <v>8.3567496549156778E-4</v>
      </c>
      <c r="Q22" s="7">
        <v>3.38992117391216E-3</v>
      </c>
      <c r="R22" s="7">
        <v>1.513797258757275E-3</v>
      </c>
      <c r="S22" s="7">
        <v>7.1525160670386518E-3</v>
      </c>
      <c r="T22" s="7">
        <v>1.1295992538911011E-3</v>
      </c>
      <c r="U22" s="7">
        <v>2.1421063740720992E-3</v>
      </c>
      <c r="V22" s="7">
        <v>0</v>
      </c>
      <c r="W22" s="7">
        <v>1.839068496157171E-3</v>
      </c>
      <c r="X22" s="7">
        <v>3.2039507476635072E-3</v>
      </c>
      <c r="Y22" s="7">
        <v>4.2768949975686543E-3</v>
      </c>
      <c r="Z22" s="7">
        <v>5.5785440287778312E-3</v>
      </c>
      <c r="AA22" s="7">
        <v>3.5879123294914311E-3</v>
      </c>
      <c r="AB22" s="7">
        <v>4.768417420124264E-3</v>
      </c>
      <c r="AC22" s="7">
        <v>4.3580829945002756E-3</v>
      </c>
      <c r="AD22" s="7">
        <v>5.6294814587639522E-5</v>
      </c>
      <c r="AE22" s="7">
        <v>7.8571968235737095E-3</v>
      </c>
      <c r="AF22" s="7">
        <v>4.1768932924978021E-3</v>
      </c>
      <c r="AG22" s="7">
        <v>8.0264006495329966E-5</v>
      </c>
      <c r="AH22" s="7">
        <v>4.3400659327285431E-4</v>
      </c>
      <c r="AI22" s="7">
        <v>1.175548613740855E-4</v>
      </c>
      <c r="AJ22" s="7">
        <v>4.8994211575527351E-2</v>
      </c>
      <c r="AK22" s="7">
        <v>8.8540358554295244E-4</v>
      </c>
      <c r="AL22" s="7">
        <v>1.301766539537617E-2</v>
      </c>
      <c r="AM22" s="7">
        <v>1.019619589319822E-2</v>
      </c>
      <c r="AN22" s="7">
        <v>4.2816983703083493E-5</v>
      </c>
      <c r="AO22" s="7">
        <v>1.14889124823295E-3</v>
      </c>
      <c r="AP22" s="7">
        <v>2.2387749229495679E-5</v>
      </c>
      <c r="AQ22" s="7">
        <v>4.7170713311397427E-5</v>
      </c>
      <c r="AR22" s="7">
        <v>2.9080611524110313E-4</v>
      </c>
      <c r="AS22" s="7">
        <v>9.7268171211149293E-3</v>
      </c>
      <c r="AT22" s="7">
        <v>1.0248506824529599E-3</v>
      </c>
      <c r="AU22" s="7">
        <v>1.0352436622830729E-2</v>
      </c>
      <c r="AV22" s="7">
        <v>9.3674184801078783E-4</v>
      </c>
      <c r="AW22" s="7">
        <v>1.449444992134374E-3</v>
      </c>
      <c r="AX22" s="7">
        <v>3.008946873440613E-5</v>
      </c>
      <c r="AY22" s="7">
        <v>1.1113248503213009E-3</v>
      </c>
      <c r="AZ22" s="7">
        <v>3.1448339863325797E-5</v>
      </c>
      <c r="BA22" s="7">
        <v>7.6376170068298273E-4</v>
      </c>
      <c r="BB22" s="7">
        <v>2.283966257593108E-3</v>
      </c>
      <c r="BC22" s="7">
        <v>3.5360639397437083E-2</v>
      </c>
      <c r="BD22" s="7">
        <v>9.0851994758690009E-3</v>
      </c>
      <c r="BE22" s="7">
        <v>8.0048187979728895E-3</v>
      </c>
      <c r="BF22" s="7">
        <v>7.5911990670480102E-3</v>
      </c>
      <c r="BG22" s="7">
        <v>4.6924000951140337E-5</v>
      </c>
      <c r="BH22" s="7">
        <v>6.8391295644834611E-3</v>
      </c>
      <c r="BI22" s="7">
        <v>1.6436264461514651E-4</v>
      </c>
      <c r="BJ22" s="7">
        <v>1.584881102160233E-3</v>
      </c>
      <c r="BK22" s="7">
        <v>1.6259920720659989E-3</v>
      </c>
      <c r="BL22" s="7">
        <v>1.074957659006623E-3</v>
      </c>
      <c r="BM22" s="7">
        <v>4.2242467534509484E-3</v>
      </c>
      <c r="BN22" s="7">
        <v>2.5462544339845339E-5</v>
      </c>
      <c r="BO22" s="7">
        <v>1.0154114680589741E-3</v>
      </c>
      <c r="BP22" s="7">
        <v>5.1870734208961621E-3</v>
      </c>
      <c r="BQ22" s="7">
        <v>1.8424739282331841E-2</v>
      </c>
      <c r="BR22" s="7">
        <v>4.1863550611754581E-4</v>
      </c>
      <c r="BS22" s="7">
        <v>1.9473427561480901E-4</v>
      </c>
      <c r="BT22" s="7">
        <v>1.64380521519661E-3</v>
      </c>
      <c r="BU22" s="7">
        <v>8.4767195354046165E-6</v>
      </c>
      <c r="BV22" s="7">
        <v>5.1099188346772637E-3</v>
      </c>
      <c r="BW22" s="7">
        <v>3.8716317570893302E-4</v>
      </c>
      <c r="BX22" s="7">
        <v>3.9660659197128473E-5</v>
      </c>
      <c r="BY22" s="7">
        <v>3.9531051587020534E-3</v>
      </c>
      <c r="BZ22" s="7">
        <v>8.8403395540792695E-3</v>
      </c>
    </row>
    <row r="23" spans="1:78">
      <c r="A23" s="4" t="s">
        <v>113</v>
      </c>
      <c r="B23" s="7">
        <v>4.1762396635129271E-6</v>
      </c>
      <c r="C23" s="7">
        <v>0</v>
      </c>
      <c r="D23" s="7">
        <v>2.6751760319306289E-5</v>
      </c>
      <c r="E23" s="7">
        <v>5.3401687502724212E-8</v>
      </c>
      <c r="F23" s="7">
        <v>0</v>
      </c>
      <c r="G23" s="7">
        <v>8.7313748558499545E-7</v>
      </c>
      <c r="H23" s="7">
        <v>0</v>
      </c>
      <c r="I23" s="7">
        <v>1.570381701289066E-7</v>
      </c>
      <c r="J23" s="7">
        <v>9.9252133606138812E-3</v>
      </c>
      <c r="K23" s="7">
        <v>1.6909547388944689E-7</v>
      </c>
      <c r="L23" s="7">
        <v>7.6195898327440252E-5</v>
      </c>
      <c r="M23" s="7">
        <v>1.001830227222545E-4</v>
      </c>
      <c r="N23" s="7">
        <v>1.9175388194406269E-7</v>
      </c>
      <c r="O23" s="7">
        <v>6.6164226710950562E-6</v>
      </c>
      <c r="P23" s="7">
        <v>8.126885639531933E-3</v>
      </c>
      <c r="Q23" s="7">
        <v>1.8987888757999961E-4</v>
      </c>
      <c r="R23" s="7">
        <v>0</v>
      </c>
      <c r="S23" s="7">
        <v>0</v>
      </c>
      <c r="T23" s="7">
        <v>5.6576450414471623E-6</v>
      </c>
      <c r="U23" s="7">
        <v>2.521955979065943E-6</v>
      </c>
      <c r="V23" s="7">
        <v>1.424177483020918E-4</v>
      </c>
      <c r="W23" s="7">
        <v>0</v>
      </c>
      <c r="X23" s="7">
        <v>5.4626951468312783E-5</v>
      </c>
      <c r="Y23" s="7">
        <v>0</v>
      </c>
      <c r="Z23" s="7">
        <v>2.9889594826791332E-7</v>
      </c>
      <c r="AA23" s="7">
        <v>2.089111926244031E-5</v>
      </c>
      <c r="AB23" s="7">
        <v>6.1393066116519648E-5</v>
      </c>
      <c r="AC23" s="7">
        <v>4.9755090524695987E-6</v>
      </c>
      <c r="AD23" s="7">
        <v>1.3656078830007619E-9</v>
      </c>
      <c r="AE23" s="7">
        <v>1.1730153068356201E-5</v>
      </c>
      <c r="AF23" s="7">
        <v>1.8099015268056531E-4</v>
      </c>
      <c r="AG23" s="7">
        <v>1.7565408913338209E-7</v>
      </c>
      <c r="AH23" s="7">
        <v>2.4834365764685049E-5</v>
      </c>
      <c r="AI23" s="7">
        <v>1.7556640566829259E-9</v>
      </c>
      <c r="AJ23" s="7">
        <v>0</v>
      </c>
      <c r="AK23" s="7">
        <v>0</v>
      </c>
      <c r="AL23" s="7">
        <v>2.625133221246062E-6</v>
      </c>
      <c r="AM23" s="7">
        <v>2.9542039486470421E-4</v>
      </c>
      <c r="AN23" s="7">
        <v>9.0348377065505426E-8</v>
      </c>
      <c r="AO23" s="7">
        <v>0</v>
      </c>
      <c r="AP23" s="7">
        <v>0</v>
      </c>
      <c r="AQ23" s="7">
        <v>4.5397356518679553E-6</v>
      </c>
      <c r="AR23" s="7">
        <v>1.438329617262176E-3</v>
      </c>
      <c r="AS23" s="7">
        <v>1.189437467294037E-6</v>
      </c>
      <c r="AT23" s="7">
        <v>5.1943077193439321E-3</v>
      </c>
      <c r="AU23" s="7">
        <v>0</v>
      </c>
      <c r="AV23" s="7">
        <v>1.228833654786116E-5</v>
      </c>
      <c r="AW23" s="7">
        <v>1.8521703687524779E-5</v>
      </c>
      <c r="AX23" s="7">
        <v>6.6504612813042794E-6</v>
      </c>
      <c r="AY23" s="7">
        <v>0</v>
      </c>
      <c r="AZ23" s="7">
        <v>1.3823547503682809E-7</v>
      </c>
      <c r="BA23" s="7">
        <v>6.0057725886033638E-5</v>
      </c>
      <c r="BB23" s="7">
        <v>1.4608322483578351E-5</v>
      </c>
      <c r="BC23" s="7">
        <v>0</v>
      </c>
      <c r="BD23" s="7">
        <v>0</v>
      </c>
      <c r="BE23" s="7">
        <v>2.374830125916307E-3</v>
      </c>
      <c r="BF23" s="7">
        <v>3.0045510200043531E-6</v>
      </c>
      <c r="BG23" s="7">
        <v>1.2650610052306581E-8</v>
      </c>
      <c r="BH23" s="7">
        <v>0</v>
      </c>
      <c r="BI23" s="7">
        <v>3.5703064422542703E-8</v>
      </c>
      <c r="BJ23" s="7">
        <v>1.7016271590623659E-5</v>
      </c>
      <c r="BK23" s="7">
        <v>1.0396055310660569E-6</v>
      </c>
      <c r="BL23" s="7">
        <v>2.5123432730406381E-3</v>
      </c>
      <c r="BM23" s="7">
        <v>9.029476092750785E-4</v>
      </c>
      <c r="BN23" s="7">
        <v>5.8906354467707367E-7</v>
      </c>
      <c r="BO23" s="7">
        <v>5.5619780427151598E-5</v>
      </c>
      <c r="BP23" s="7">
        <v>2.4034115692553871E-4</v>
      </c>
      <c r="BQ23" s="7">
        <v>8.8413672267030891E-6</v>
      </c>
      <c r="BR23" s="7">
        <v>3.1498382779018668E-8</v>
      </c>
      <c r="BS23" s="7">
        <v>1.863335402986293E-5</v>
      </c>
      <c r="BT23" s="7">
        <v>1.297999699435647E-4</v>
      </c>
      <c r="BU23" s="7">
        <v>5.4620825622949506E-9</v>
      </c>
      <c r="BV23" s="7">
        <v>6.3546854628541443E-5</v>
      </c>
      <c r="BW23" s="7">
        <v>3.2625755474020762E-6</v>
      </c>
      <c r="BX23" s="7">
        <v>1.226757513413666E-5</v>
      </c>
      <c r="BY23" s="7">
        <v>2.9383998344386649E-4</v>
      </c>
      <c r="BZ23" s="7">
        <v>5.9926197336141905E-4</v>
      </c>
    </row>
    <row r="24" spans="1:78">
      <c r="A24" s="4" t="s">
        <v>115</v>
      </c>
      <c r="B24" s="7">
        <v>9.2396668880178733E-3</v>
      </c>
      <c r="C24" s="7">
        <v>3.2816725131571758E-3</v>
      </c>
      <c r="D24" s="7">
        <v>6.0433408997902652E-3</v>
      </c>
      <c r="E24" s="7">
        <v>1.2933758984236359E-2</v>
      </c>
      <c r="F24" s="7">
        <v>2.1531939860598909E-4</v>
      </c>
      <c r="G24" s="7">
        <v>3.1137458186345488E-3</v>
      </c>
      <c r="H24" s="7">
        <v>1.7026802494786018E-2</v>
      </c>
      <c r="I24" s="7">
        <v>9.4829784340202711E-4</v>
      </c>
      <c r="J24" s="7">
        <v>3.3342490463247112E-4</v>
      </c>
      <c r="K24" s="7">
        <v>5.1448193667269298E-4</v>
      </c>
      <c r="L24" s="7">
        <v>1.6249609481171581E-3</v>
      </c>
      <c r="M24" s="7">
        <v>2.0910393311276022E-2</v>
      </c>
      <c r="N24" s="7">
        <v>1.47946780641831E-4</v>
      </c>
      <c r="O24" s="7">
        <v>3.6670820684016501E-3</v>
      </c>
      <c r="P24" s="7">
        <v>3.2075312640410399E-3</v>
      </c>
      <c r="Q24" s="7">
        <v>9.1628181098947926E-3</v>
      </c>
      <c r="R24" s="7">
        <v>2.4471907374873469E-3</v>
      </c>
      <c r="S24" s="7">
        <v>2.542320630829447E-2</v>
      </c>
      <c r="T24" s="7">
        <v>4.4419733218194514E-3</v>
      </c>
      <c r="U24" s="7">
        <v>1.372225951188365E-3</v>
      </c>
      <c r="V24" s="7">
        <v>3.1101881278463358E-3</v>
      </c>
      <c r="W24" s="7">
        <v>2.1507510716489028E-2</v>
      </c>
      <c r="X24" s="7">
        <v>0</v>
      </c>
      <c r="Y24" s="7">
        <v>1.273363660387792E-3</v>
      </c>
      <c r="Z24" s="7">
        <v>1.653093214020631E-4</v>
      </c>
      <c r="AA24" s="7">
        <v>1.9292501703315371E-2</v>
      </c>
      <c r="AB24" s="7">
        <v>1.192310122152686E-2</v>
      </c>
      <c r="AC24" s="7">
        <v>4.7598108413283938E-3</v>
      </c>
      <c r="AD24" s="7">
        <v>2.450512924700757E-5</v>
      </c>
      <c r="AE24" s="7">
        <v>6.1783426105021834E-3</v>
      </c>
      <c r="AF24" s="7">
        <v>3.9792801661661676E-3</v>
      </c>
      <c r="AG24" s="7">
        <v>9.4375346023399675E-5</v>
      </c>
      <c r="AH24" s="7">
        <v>7.2244378923594184E-5</v>
      </c>
      <c r="AI24" s="7">
        <v>4.9306960991816782E-5</v>
      </c>
      <c r="AJ24" s="7">
        <v>5.1996238205655508E-3</v>
      </c>
      <c r="AK24" s="7">
        <v>1.4072723655768531E-3</v>
      </c>
      <c r="AL24" s="7">
        <v>9.9621018118458277E-3</v>
      </c>
      <c r="AM24" s="7">
        <v>1.39490794200685E-2</v>
      </c>
      <c r="AN24" s="7">
        <v>1.6419290866948029E-3</v>
      </c>
      <c r="AO24" s="7">
        <v>6.7383212188640634E-3</v>
      </c>
      <c r="AP24" s="7">
        <v>2.6515955510406558E-4</v>
      </c>
      <c r="AQ24" s="7">
        <v>9.183254441652801E-5</v>
      </c>
      <c r="AR24" s="7">
        <v>7.0209214190832407E-5</v>
      </c>
      <c r="AS24" s="7">
        <v>1.0932822611311979E-3</v>
      </c>
      <c r="AT24" s="7">
        <v>2.7574505381237889E-3</v>
      </c>
      <c r="AU24" s="7">
        <v>2.2892729361134949E-2</v>
      </c>
      <c r="AV24" s="7">
        <v>5.0193221757783159E-2</v>
      </c>
      <c r="AW24" s="7">
        <v>9.6961442659378291E-4</v>
      </c>
      <c r="AX24" s="7">
        <v>4.5535458718171188E-4</v>
      </c>
      <c r="AY24" s="7">
        <v>1.5679626937276821E-3</v>
      </c>
      <c r="AZ24" s="7">
        <v>1.4427960613866011E-5</v>
      </c>
      <c r="BA24" s="7">
        <v>5.7062826169923411E-4</v>
      </c>
      <c r="BB24" s="7">
        <v>2.4212981092705771E-3</v>
      </c>
      <c r="BC24" s="7">
        <v>2.8919190057372412E-3</v>
      </c>
      <c r="BD24" s="7">
        <v>1.348808001872465E-3</v>
      </c>
      <c r="BE24" s="7">
        <v>7.5634931038642459E-4</v>
      </c>
      <c r="BF24" s="7">
        <v>1.543259658089292E-2</v>
      </c>
      <c r="BG24" s="7">
        <v>8.6529017450922907E-6</v>
      </c>
      <c r="BH24" s="7">
        <v>2.0441777419083701E-3</v>
      </c>
      <c r="BI24" s="7">
        <v>7.6399605513609803E-2</v>
      </c>
      <c r="BJ24" s="7">
        <v>2.632370653164821E-3</v>
      </c>
      <c r="BK24" s="7">
        <v>4.646904383216784E-4</v>
      </c>
      <c r="BL24" s="7">
        <v>1.5894914304626952E-2</v>
      </c>
      <c r="BM24" s="7">
        <v>2.1161879231408779E-2</v>
      </c>
      <c r="BN24" s="7">
        <v>1.44943220654227E-5</v>
      </c>
      <c r="BO24" s="7">
        <v>3.5251567490945267E-4</v>
      </c>
      <c r="BP24" s="7">
        <v>1.467471652809568E-3</v>
      </c>
      <c r="BQ24" s="7">
        <v>9.6791633561477586E-4</v>
      </c>
      <c r="BR24" s="7">
        <v>1.7064840730041231E-4</v>
      </c>
      <c r="BS24" s="7">
        <v>1.1997311973711859E-3</v>
      </c>
      <c r="BT24" s="7">
        <v>3.5137534625206072E-2</v>
      </c>
      <c r="BU24" s="7">
        <v>5.7593258687883796E-6</v>
      </c>
      <c r="BV24" s="7">
        <v>5.0865191848718208E-4</v>
      </c>
      <c r="BW24" s="7">
        <v>9.9832859682619278E-4</v>
      </c>
      <c r="BX24" s="7">
        <v>9.9168629329803436E-5</v>
      </c>
      <c r="BY24" s="7">
        <v>1.9331638925575961E-3</v>
      </c>
      <c r="BZ24" s="7">
        <v>1.313148334600631E-2</v>
      </c>
    </row>
    <row r="25" spans="1:78">
      <c r="A25" s="4" t="s">
        <v>117</v>
      </c>
      <c r="B25" s="7">
        <v>5.2572345626259178E-5</v>
      </c>
      <c r="C25" s="7">
        <v>3.555267266582814E-3</v>
      </c>
      <c r="D25" s="7">
        <v>3.962165926114719E-4</v>
      </c>
      <c r="E25" s="7">
        <v>8.7424119506642384E-5</v>
      </c>
      <c r="F25" s="7">
        <v>0</v>
      </c>
      <c r="G25" s="7">
        <v>3.9913582930008862E-4</v>
      </c>
      <c r="H25" s="7">
        <v>2.7027581140033519E-3</v>
      </c>
      <c r="I25" s="7">
        <v>8.9649121030545233E-4</v>
      </c>
      <c r="J25" s="7">
        <v>0</v>
      </c>
      <c r="K25" s="7">
        <v>5.5394584586017132E-5</v>
      </c>
      <c r="L25" s="7">
        <v>1.0709803651581541E-4</v>
      </c>
      <c r="M25" s="7">
        <v>6.3761587302102541E-5</v>
      </c>
      <c r="N25" s="7">
        <v>1.0650494568844929E-5</v>
      </c>
      <c r="O25" s="7">
        <v>6.2525140327061198E-5</v>
      </c>
      <c r="P25" s="7">
        <v>1.558459319565002E-4</v>
      </c>
      <c r="Q25" s="7">
        <v>1.152671605242411E-3</v>
      </c>
      <c r="R25" s="7">
        <v>4.2580702688301171E-5</v>
      </c>
      <c r="S25" s="7">
        <v>2.1460390977535019E-4</v>
      </c>
      <c r="T25" s="7">
        <v>5.5316884040635933E-5</v>
      </c>
      <c r="U25" s="7">
        <v>2.014662700263327E-4</v>
      </c>
      <c r="V25" s="7">
        <v>2.0424088155579531E-3</v>
      </c>
      <c r="W25" s="7">
        <v>7.007454320712565E-5</v>
      </c>
      <c r="X25" s="7">
        <v>1.3913731671405199E-4</v>
      </c>
      <c r="Y25" s="7">
        <v>0</v>
      </c>
      <c r="Z25" s="7">
        <v>3.4943706033649567E-2</v>
      </c>
      <c r="AA25" s="7">
        <v>2.748104070626445E-5</v>
      </c>
      <c r="AB25" s="7">
        <v>4.6244758914425839E-4</v>
      </c>
      <c r="AC25" s="7">
        <v>1.141895914805923E-4</v>
      </c>
      <c r="AD25" s="7">
        <v>7.8031584945221904E-6</v>
      </c>
      <c r="AE25" s="7">
        <v>6.3969336185454512E-5</v>
      </c>
      <c r="AF25" s="7">
        <v>8.4009036593730134E-4</v>
      </c>
      <c r="AG25" s="7">
        <v>2.4766996050629529E-5</v>
      </c>
      <c r="AH25" s="7">
        <v>3.7241209419819048E-6</v>
      </c>
      <c r="AI25" s="7">
        <v>1.6716442252396199E-6</v>
      </c>
      <c r="AJ25" s="7">
        <v>1.683094877174983E-3</v>
      </c>
      <c r="AK25" s="7">
        <v>9.2889265054577747E-6</v>
      </c>
      <c r="AL25" s="7">
        <v>2.418559984685451E-3</v>
      </c>
      <c r="AM25" s="7">
        <v>3.685105769781225E-3</v>
      </c>
      <c r="AN25" s="7">
        <v>1.0515736917841971E-6</v>
      </c>
      <c r="AO25" s="7">
        <v>7.0616428326443258E-3</v>
      </c>
      <c r="AP25" s="7">
        <v>0</v>
      </c>
      <c r="AQ25" s="7">
        <v>3.4515408644761032E-6</v>
      </c>
      <c r="AR25" s="7">
        <v>0</v>
      </c>
      <c r="AS25" s="7">
        <v>1.6545636848864051E-2</v>
      </c>
      <c r="AT25" s="7">
        <v>6.9534450186644462E-5</v>
      </c>
      <c r="AU25" s="7">
        <v>3.3593852715925819E-2</v>
      </c>
      <c r="AV25" s="7">
        <v>2.9776189854119641E-2</v>
      </c>
      <c r="AW25" s="7">
        <v>1.4507543315279139E-6</v>
      </c>
      <c r="AX25" s="7">
        <v>2.629925645920199E-6</v>
      </c>
      <c r="AY25" s="7">
        <v>0</v>
      </c>
      <c r="AZ25" s="7">
        <v>8.5250941372820985E-6</v>
      </c>
      <c r="BA25" s="7">
        <v>8.7896329353898937E-6</v>
      </c>
      <c r="BB25" s="7">
        <v>4.0743353161291061E-4</v>
      </c>
      <c r="BC25" s="7">
        <v>8.2384822034008067E-3</v>
      </c>
      <c r="BD25" s="7">
        <v>1.4592990867796151E-4</v>
      </c>
      <c r="BE25" s="7">
        <v>1.503429122873349E-4</v>
      </c>
      <c r="BF25" s="7">
        <v>5.4068467270625771E-4</v>
      </c>
      <c r="BG25" s="7">
        <v>4.0614812455601619E-7</v>
      </c>
      <c r="BH25" s="7">
        <v>5.2111544447583239E-4</v>
      </c>
      <c r="BI25" s="7">
        <v>2.2200602767321009E-5</v>
      </c>
      <c r="BJ25" s="7">
        <v>9.8037493302036223E-6</v>
      </c>
      <c r="BK25" s="7">
        <v>1.0897502947534891E-2</v>
      </c>
      <c r="BL25" s="7">
        <v>7.5316060843304118E-5</v>
      </c>
      <c r="BM25" s="7">
        <v>0</v>
      </c>
      <c r="BN25" s="7">
        <v>1.7866818008866121E-6</v>
      </c>
      <c r="BO25" s="7">
        <v>2.66018665099964E-5</v>
      </c>
      <c r="BP25" s="7">
        <v>2.069617822096413E-4</v>
      </c>
      <c r="BQ25" s="7">
        <v>7.9475357918485159E-3</v>
      </c>
      <c r="BR25" s="7">
        <v>1.638246999203298E-6</v>
      </c>
      <c r="BS25" s="7">
        <v>1.164197936036072E-5</v>
      </c>
      <c r="BT25" s="7">
        <v>1.163482735150872E-4</v>
      </c>
      <c r="BU25" s="7">
        <v>1.0605561265783731E-6</v>
      </c>
      <c r="BV25" s="7">
        <v>2.4125069450937429E-3</v>
      </c>
      <c r="BW25" s="7">
        <v>1.8169881163934711E-5</v>
      </c>
      <c r="BX25" s="7">
        <v>5.1173764819884945E-7</v>
      </c>
      <c r="BY25" s="7">
        <v>5.5218037525712679E-3</v>
      </c>
      <c r="BZ25" s="7">
        <v>2.4891295970494388E-4</v>
      </c>
    </row>
    <row r="26" spans="1:78">
      <c r="A26" s="4" t="s">
        <v>119</v>
      </c>
      <c r="B26" s="7">
        <v>1.316624102519577E-3</v>
      </c>
      <c r="C26" s="7">
        <v>1.2138643119057249E-2</v>
      </c>
      <c r="D26" s="7">
        <v>1.570826147531474E-3</v>
      </c>
      <c r="E26" s="7">
        <v>2.6766718191523198E-4</v>
      </c>
      <c r="F26" s="7">
        <v>1.452273579443805E-3</v>
      </c>
      <c r="G26" s="7">
        <v>9.493125547523671E-4</v>
      </c>
      <c r="H26" s="7">
        <v>3.6499650751167383E-4</v>
      </c>
      <c r="I26" s="7">
        <v>7.9241269636239878E-4</v>
      </c>
      <c r="J26" s="7">
        <v>0</v>
      </c>
      <c r="K26" s="7">
        <v>1.4839087246360601E-3</v>
      </c>
      <c r="L26" s="7">
        <v>2.6964298734893211E-4</v>
      </c>
      <c r="M26" s="7">
        <v>3.3526698120778069E-2</v>
      </c>
      <c r="N26" s="7">
        <v>1.985182237886081E-4</v>
      </c>
      <c r="O26" s="7">
        <v>1.347455611565046E-3</v>
      </c>
      <c r="P26" s="7">
        <v>0</v>
      </c>
      <c r="Q26" s="7">
        <v>9.7113188437878643E-3</v>
      </c>
      <c r="R26" s="7">
        <v>9.5283310041218187E-4</v>
      </c>
      <c r="S26" s="7">
        <v>2.3098578637632951E-5</v>
      </c>
      <c r="T26" s="7">
        <v>1.365826257762877E-4</v>
      </c>
      <c r="U26" s="7">
        <v>2.0949095261718791E-4</v>
      </c>
      <c r="V26" s="7">
        <v>2.3150364302880551E-3</v>
      </c>
      <c r="W26" s="7">
        <v>4.8178684008399732E-4</v>
      </c>
      <c r="X26" s="7">
        <v>9.0701161964589871E-4</v>
      </c>
      <c r="Y26" s="7">
        <v>2.241462574310266E-2</v>
      </c>
      <c r="Z26" s="7">
        <v>0</v>
      </c>
      <c r="AA26" s="7">
        <v>8.7560010873090073E-4</v>
      </c>
      <c r="AB26" s="7">
        <v>7.3537572911009882E-4</v>
      </c>
      <c r="AC26" s="7">
        <v>2.3353023218183411E-3</v>
      </c>
      <c r="AD26" s="7">
        <v>1.5566042697693379E-5</v>
      </c>
      <c r="AE26" s="7">
        <v>5.4777561197510028E-3</v>
      </c>
      <c r="AF26" s="7">
        <v>2.7752263637662289E-3</v>
      </c>
      <c r="AG26" s="7">
        <v>3.2712715688093389E-4</v>
      </c>
      <c r="AH26" s="7">
        <v>1.155224825284943E-2</v>
      </c>
      <c r="AI26" s="7">
        <v>6.9636415739879746E-6</v>
      </c>
      <c r="AJ26" s="7">
        <v>5.9681386790975486E-3</v>
      </c>
      <c r="AK26" s="7">
        <v>8.9089249665981384E-5</v>
      </c>
      <c r="AL26" s="7">
        <v>2.1469462211496969E-3</v>
      </c>
      <c r="AM26" s="7">
        <v>1.773458141305416E-2</v>
      </c>
      <c r="AN26" s="7">
        <v>2.5950072006917651E-4</v>
      </c>
      <c r="AO26" s="7">
        <v>3.1868259092042758E-2</v>
      </c>
      <c r="AP26" s="7">
        <v>8.0771163912801304E-5</v>
      </c>
      <c r="AQ26" s="7">
        <v>9.9291223968530471E-5</v>
      </c>
      <c r="AR26" s="7">
        <v>2.3828595867375128E-5</v>
      </c>
      <c r="AS26" s="7">
        <v>5.9778604057025234E-3</v>
      </c>
      <c r="AT26" s="7">
        <v>7.3606173369740235E-5</v>
      </c>
      <c r="AU26" s="7">
        <v>4.456115104757425E-3</v>
      </c>
      <c r="AV26" s="7">
        <v>1.846074227667524E-4</v>
      </c>
      <c r="AW26" s="7">
        <v>3.8089753707735473E-5</v>
      </c>
      <c r="AX26" s="7">
        <v>1.6427845448227879E-7</v>
      </c>
      <c r="AY26" s="7">
        <v>7.6571726064826682E-4</v>
      </c>
      <c r="AZ26" s="7">
        <v>4.3731569425641688E-5</v>
      </c>
      <c r="BA26" s="7">
        <v>1.2163589534329401E-3</v>
      </c>
      <c r="BB26" s="7">
        <v>1.294728467334911E-3</v>
      </c>
      <c r="BC26" s="7">
        <v>7.3068174677192064E-3</v>
      </c>
      <c r="BD26" s="7">
        <v>2.6187204151168979E-2</v>
      </c>
      <c r="BE26" s="7">
        <v>4.8617847147633059E-3</v>
      </c>
      <c r="BF26" s="7">
        <v>3.9676170298688397E-3</v>
      </c>
      <c r="BG26" s="7">
        <v>5.5145106759515756E-6</v>
      </c>
      <c r="BH26" s="7">
        <v>2.5867490609923658E-3</v>
      </c>
      <c r="BI26" s="7">
        <v>3.8246554926956681E-4</v>
      </c>
      <c r="BJ26" s="7">
        <v>5.1653726850022278E-4</v>
      </c>
      <c r="BK26" s="7">
        <v>1.455366993087804E-2</v>
      </c>
      <c r="BL26" s="7">
        <v>1.440242181954507E-3</v>
      </c>
      <c r="BM26" s="7">
        <v>3.013753190188559E-3</v>
      </c>
      <c r="BN26" s="7">
        <v>8.5975810292355033E-6</v>
      </c>
      <c r="BO26" s="7">
        <v>4.1169455522618419E-4</v>
      </c>
      <c r="BP26" s="7">
        <v>4.518211605729237E-4</v>
      </c>
      <c r="BQ26" s="7">
        <v>3.9872738480640204E-3</v>
      </c>
      <c r="BR26" s="7">
        <v>2.805602952831108E-4</v>
      </c>
      <c r="BS26" s="7">
        <v>1.8757878560224291E-4</v>
      </c>
      <c r="BT26" s="7">
        <v>1.999611294910518E-3</v>
      </c>
      <c r="BU26" s="7">
        <v>4.9916757836894022E-5</v>
      </c>
      <c r="BV26" s="7">
        <v>1.5963045397307921E-2</v>
      </c>
      <c r="BW26" s="7">
        <v>3.2073191234842829E-4</v>
      </c>
      <c r="BX26" s="7">
        <v>2.0659937506147898E-5</v>
      </c>
      <c r="BY26" s="7">
        <v>2.4512504507408751E-2</v>
      </c>
      <c r="BZ26" s="7">
        <v>1.395142525028159E-3</v>
      </c>
    </row>
    <row r="27" spans="1:78">
      <c r="A27" s="4" t="s">
        <v>121</v>
      </c>
      <c r="B27" s="7">
        <v>2.954119417118636E-2</v>
      </c>
      <c r="C27" s="7">
        <v>1.7079930637932849E-2</v>
      </c>
      <c r="D27" s="7">
        <v>8.762058144803804E-3</v>
      </c>
      <c r="E27" s="7">
        <v>0.50221906556936136</v>
      </c>
      <c r="F27" s="7">
        <v>1.1121652061467241E-5</v>
      </c>
      <c r="G27" s="7">
        <v>2.8186196884470952E-2</v>
      </c>
      <c r="H27" s="7">
        <v>2.383875100243407E-3</v>
      </c>
      <c r="I27" s="7">
        <v>9.7662717455892709E-3</v>
      </c>
      <c r="J27" s="7">
        <v>3.2227526117502597E-2</v>
      </c>
      <c r="K27" s="7">
        <v>1.050724052504861E-2</v>
      </c>
      <c r="L27" s="7">
        <v>1.7414680961619119E-2</v>
      </c>
      <c r="M27" s="7">
        <v>1.0859859416237429E-2</v>
      </c>
      <c r="N27" s="7">
        <v>2.014442974856125E-3</v>
      </c>
      <c r="O27" s="7">
        <v>6.6290193003837261E-2</v>
      </c>
      <c r="P27" s="7">
        <v>0.19790897796333759</v>
      </c>
      <c r="Q27" s="7">
        <v>2.638844687763587E-2</v>
      </c>
      <c r="R27" s="7">
        <v>1.100609692110835E-3</v>
      </c>
      <c r="S27" s="7">
        <v>4.6541043033401664E-3</v>
      </c>
      <c r="T27" s="7">
        <v>1.6304386278136691E-2</v>
      </c>
      <c r="U27" s="7">
        <v>3.2571513156718267E-2</v>
      </c>
      <c r="V27" s="7">
        <v>2.4653123308594999E-2</v>
      </c>
      <c r="W27" s="7">
        <v>3.8334552770787553E-2</v>
      </c>
      <c r="X27" s="7">
        <v>0.1084231530504987</v>
      </c>
      <c r="Y27" s="7">
        <v>1.184443119471513E-2</v>
      </c>
      <c r="Z27" s="7">
        <v>4.4934631265004243E-3</v>
      </c>
      <c r="AA27" s="7">
        <v>0</v>
      </c>
      <c r="AB27" s="7">
        <v>3.2154589768743018E-2</v>
      </c>
      <c r="AC27" s="7">
        <v>4.0713263327149737E-2</v>
      </c>
      <c r="AD27" s="7">
        <v>5.0126223042902367E-4</v>
      </c>
      <c r="AE27" s="7">
        <v>2.7536382207825519E-2</v>
      </c>
      <c r="AF27" s="7">
        <v>2.4232605185991699E-2</v>
      </c>
      <c r="AG27" s="7">
        <v>7.0966856853990298E-4</v>
      </c>
      <c r="AH27" s="7">
        <v>1.7619579331186891E-3</v>
      </c>
      <c r="AI27" s="7">
        <v>9.162980435619099E-4</v>
      </c>
      <c r="AJ27" s="7">
        <v>1.3744777381604321E-2</v>
      </c>
      <c r="AK27" s="7">
        <v>7.4763191650973086E-3</v>
      </c>
      <c r="AL27" s="7">
        <v>0.10184529238585049</v>
      </c>
      <c r="AM27" s="7">
        <v>3.2889288674609919E-3</v>
      </c>
      <c r="AN27" s="7">
        <v>3.9958485231974981E-3</v>
      </c>
      <c r="AO27" s="7">
        <v>1.6416444056348879E-2</v>
      </c>
      <c r="AP27" s="7">
        <v>9.7189089930783897E-5</v>
      </c>
      <c r="AQ27" s="7">
        <v>6.5097198195326524E-3</v>
      </c>
      <c r="AR27" s="7">
        <v>0</v>
      </c>
      <c r="AS27" s="7">
        <v>2.2097140991511052E-2</v>
      </c>
      <c r="AT27" s="7">
        <v>4.5816324884873881E-2</v>
      </c>
      <c r="AU27" s="7">
        <v>9.0005491719064978E-3</v>
      </c>
      <c r="AV27" s="7">
        <v>0.34093192410369871</v>
      </c>
      <c r="AW27" s="7">
        <v>3.9432355385191856E-3</v>
      </c>
      <c r="AX27" s="7">
        <v>0.27429104494817852</v>
      </c>
      <c r="AY27" s="7">
        <v>1.970906056761197E-3</v>
      </c>
      <c r="AZ27" s="7">
        <v>3.079858343012568E-3</v>
      </c>
      <c r="BA27" s="7">
        <v>4.6138769445909798E-2</v>
      </c>
      <c r="BB27" s="7">
        <v>5.2708119352401508E-2</v>
      </c>
      <c r="BC27" s="7">
        <v>1.6553602789339459E-2</v>
      </c>
      <c r="BD27" s="7">
        <v>7.2124183929979163E-3</v>
      </c>
      <c r="BE27" s="7">
        <v>3.4283482182184948E-3</v>
      </c>
      <c r="BF27" s="7">
        <v>1.2318652650882399E-2</v>
      </c>
      <c r="BG27" s="7">
        <v>6.146529204334515E-3</v>
      </c>
      <c r="BH27" s="7">
        <v>1.449837959914297E-2</v>
      </c>
      <c r="BI27" s="7">
        <v>6.8787599918359185E-2</v>
      </c>
      <c r="BJ27" s="7">
        <v>3.4383124404855331E-2</v>
      </c>
      <c r="BK27" s="7">
        <v>5.507590464705457E-3</v>
      </c>
      <c r="BL27" s="7">
        <v>1.669916115586462E-2</v>
      </c>
      <c r="BM27" s="7">
        <v>0.1169044845066196</v>
      </c>
      <c r="BN27" s="7">
        <v>6.2107604322816506E-3</v>
      </c>
      <c r="BO27" s="7">
        <v>1.6098046801488821E-2</v>
      </c>
      <c r="BP27" s="7">
        <v>1.3057633172671911E-2</v>
      </c>
      <c r="BQ27" s="7">
        <v>6.7982311787951791E-2</v>
      </c>
      <c r="BR27" s="7">
        <v>4.5254489108793568E-3</v>
      </c>
      <c r="BS27" s="7">
        <v>0.2271205424681523</v>
      </c>
      <c r="BT27" s="7">
        <v>3.8929968725919167E-2</v>
      </c>
      <c r="BU27" s="7">
        <v>9.042763158593729E-3</v>
      </c>
      <c r="BV27" s="7">
        <v>1.3326021275795991E-2</v>
      </c>
      <c r="BW27" s="7">
        <v>6.4711393951104911E-3</v>
      </c>
      <c r="BX27" s="7">
        <v>3.3156909890050501E-4</v>
      </c>
      <c r="BY27" s="7">
        <v>1.1072660259726501E-2</v>
      </c>
      <c r="BZ27" s="7">
        <v>2.644881265937369E-2</v>
      </c>
    </row>
    <row r="28" spans="1:78">
      <c r="A28" s="4" t="s">
        <v>123</v>
      </c>
      <c r="B28" s="7">
        <v>1.8283380153803111E-3</v>
      </c>
      <c r="C28" s="7">
        <v>2.0408995043060821E-2</v>
      </c>
      <c r="D28" s="7">
        <v>3.4478063525475518E-3</v>
      </c>
      <c r="E28" s="7">
        <v>1.7873177434604261E-3</v>
      </c>
      <c r="F28" s="7">
        <v>3.2387673824796339E-3</v>
      </c>
      <c r="G28" s="7">
        <v>7.3701531501548373E-3</v>
      </c>
      <c r="H28" s="7">
        <v>7.6609356467214652E-3</v>
      </c>
      <c r="I28" s="7">
        <v>4.2532668237471047E-3</v>
      </c>
      <c r="J28" s="7">
        <v>1.073735599227999E-2</v>
      </c>
      <c r="K28" s="7">
        <v>4.4391897582857671E-3</v>
      </c>
      <c r="L28" s="7">
        <v>7.8558871700604334E-3</v>
      </c>
      <c r="M28" s="7">
        <v>8.6122395806180006E-3</v>
      </c>
      <c r="N28" s="7">
        <v>6.5461853986211501E-4</v>
      </c>
      <c r="O28" s="7">
        <v>0.1987404168003202</v>
      </c>
      <c r="P28" s="7">
        <v>7.8964115702327854E-3</v>
      </c>
      <c r="Q28" s="7">
        <v>1.624233014320758E-2</v>
      </c>
      <c r="R28" s="7">
        <v>3.0675859279258541E-3</v>
      </c>
      <c r="S28" s="7">
        <v>1.979917452271672E-2</v>
      </c>
      <c r="T28" s="7">
        <v>7.0585320526417097E-3</v>
      </c>
      <c r="U28" s="7">
        <v>8.6002999077270607E-3</v>
      </c>
      <c r="V28" s="7">
        <v>7.6381373154003904E-3</v>
      </c>
      <c r="W28" s="7">
        <v>1.1140418613663701E-2</v>
      </c>
      <c r="X28" s="7">
        <v>5.1822650013106139E-2</v>
      </c>
      <c r="Y28" s="7">
        <v>6.009438603128317E-3</v>
      </c>
      <c r="Z28" s="7">
        <v>4.8469748686233993E-3</v>
      </c>
      <c r="AA28" s="7">
        <v>1.575301740377438E-2</v>
      </c>
      <c r="AB28" s="7">
        <v>0</v>
      </c>
      <c r="AC28" s="7">
        <v>1.112377191879377E-2</v>
      </c>
      <c r="AD28" s="7">
        <v>5.1960400334208573E-4</v>
      </c>
      <c r="AE28" s="7">
        <v>3.155332298277848E-3</v>
      </c>
      <c r="AF28" s="7">
        <v>6.8738263253472721E-3</v>
      </c>
      <c r="AG28" s="7">
        <v>1.2796494905409591E-3</v>
      </c>
      <c r="AH28" s="7">
        <v>4.0261269109514728E-3</v>
      </c>
      <c r="AI28" s="7">
        <v>4.3639418408200042E-2</v>
      </c>
      <c r="AJ28" s="7">
        <v>1.73927992102542E-2</v>
      </c>
      <c r="AK28" s="7">
        <v>8.9450673351830101E-2</v>
      </c>
      <c r="AL28" s="7">
        <v>1.56360524591076E-2</v>
      </c>
      <c r="AM28" s="7">
        <v>1.43976376437434E-2</v>
      </c>
      <c r="AN28" s="7">
        <v>2.481829882120441E-3</v>
      </c>
      <c r="AO28" s="7">
        <v>8.9170443749202483E-3</v>
      </c>
      <c r="AP28" s="7">
        <v>6.0878559968529219E-3</v>
      </c>
      <c r="AQ28" s="7">
        <v>3.8942829189431209E-4</v>
      </c>
      <c r="AR28" s="7">
        <v>1.2930816359855361E-4</v>
      </c>
      <c r="AS28" s="7">
        <v>9.8178090873629227E-3</v>
      </c>
      <c r="AT28" s="7">
        <v>2.313072827606032E-2</v>
      </c>
      <c r="AU28" s="7">
        <v>5.3959832540203777E-3</v>
      </c>
      <c r="AV28" s="7">
        <v>2.067123148822445E-3</v>
      </c>
      <c r="AW28" s="7">
        <v>6.3460627435052029E-4</v>
      </c>
      <c r="AX28" s="7">
        <v>1.8693065842297291E-3</v>
      </c>
      <c r="AY28" s="7">
        <v>1.4690436890237919E-2</v>
      </c>
      <c r="AZ28" s="7">
        <v>1.6362766739725209E-3</v>
      </c>
      <c r="BA28" s="7">
        <v>9.7862598492718875E-3</v>
      </c>
      <c r="BB28" s="7">
        <v>2.1280224313461611E-2</v>
      </c>
      <c r="BC28" s="7">
        <v>6.2320404438256517E-2</v>
      </c>
      <c r="BD28" s="7">
        <v>1.2650656684432819E-2</v>
      </c>
      <c r="BE28" s="7">
        <v>1.9223337845975009E-2</v>
      </c>
      <c r="BF28" s="7">
        <v>6.8718792631300464E-3</v>
      </c>
      <c r="BG28" s="7">
        <v>4.3453132787261914E-3</v>
      </c>
      <c r="BH28" s="7">
        <v>1.043191239564943E-2</v>
      </c>
      <c r="BI28" s="7">
        <v>3.1259522276559332E-3</v>
      </c>
      <c r="BJ28" s="7">
        <v>1.2015544468122341E-2</v>
      </c>
      <c r="BK28" s="7">
        <v>2.1897011225817621E-3</v>
      </c>
      <c r="BL28" s="7">
        <v>6.3425732111823119E-2</v>
      </c>
      <c r="BM28" s="7">
        <v>1.992869003913731E-2</v>
      </c>
      <c r="BN28" s="7">
        <v>3.6801561593333349E-4</v>
      </c>
      <c r="BO28" s="7">
        <v>3.6849161701388147E-2</v>
      </c>
      <c r="BP28" s="7">
        <v>6.1629782609390069E-3</v>
      </c>
      <c r="BQ28" s="7">
        <v>1.3349306500422899E-2</v>
      </c>
      <c r="BR28" s="7">
        <v>1.6056804926772309E-2</v>
      </c>
      <c r="BS28" s="7">
        <v>2.241537696958043E-3</v>
      </c>
      <c r="BT28" s="7">
        <v>1.113586403463453E-2</v>
      </c>
      <c r="BU28" s="7">
        <v>2.658690432494734E-4</v>
      </c>
      <c r="BV28" s="7">
        <v>1.217636571788754E-3</v>
      </c>
      <c r="BW28" s="7">
        <v>4.8954994578300874E-3</v>
      </c>
      <c r="BX28" s="7">
        <v>2.6296883917604919E-5</v>
      </c>
      <c r="BY28" s="7">
        <v>1.692832357821937E-2</v>
      </c>
      <c r="BZ28" s="7">
        <v>1.947379817220448E-2</v>
      </c>
    </row>
    <row r="29" spans="1:78">
      <c r="A29" s="4" t="s">
        <v>125</v>
      </c>
      <c r="B29" s="7">
        <v>1.996072085910433E-5</v>
      </c>
      <c r="C29" s="7">
        <v>1.7764101361656161E-5</v>
      </c>
      <c r="D29" s="7">
        <v>2.3627563886878461E-5</v>
      </c>
      <c r="E29" s="7">
        <v>8.1459261102827183E-7</v>
      </c>
      <c r="F29" s="7">
        <v>9.0825390802822027E-5</v>
      </c>
      <c r="G29" s="7">
        <v>8.4905106717403818E-3</v>
      </c>
      <c r="H29" s="7">
        <v>0</v>
      </c>
      <c r="I29" s="7">
        <v>2.0547305318343479E-7</v>
      </c>
      <c r="J29" s="7">
        <v>2.005171139625753E-5</v>
      </c>
      <c r="K29" s="7">
        <v>2.2458702592728409E-5</v>
      </c>
      <c r="L29" s="7">
        <v>9.3069463542745725E-6</v>
      </c>
      <c r="M29" s="7">
        <v>4.9359377157622583E-4</v>
      </c>
      <c r="N29" s="7">
        <v>4.5889700440455379E-7</v>
      </c>
      <c r="O29" s="7">
        <v>2.4350753765474471E-4</v>
      </c>
      <c r="P29" s="7">
        <v>0</v>
      </c>
      <c r="Q29" s="7">
        <v>9.0650735910388367E-5</v>
      </c>
      <c r="R29" s="7">
        <v>2.1823133225836819E-7</v>
      </c>
      <c r="S29" s="7">
        <v>0.17100438587359559</v>
      </c>
      <c r="T29" s="7">
        <v>3.9127367264062398E-6</v>
      </c>
      <c r="U29" s="7">
        <v>2.282641413584234E-5</v>
      </c>
      <c r="V29" s="7">
        <v>1.155038689846379E-4</v>
      </c>
      <c r="W29" s="7">
        <v>8.0468930293026576E-5</v>
      </c>
      <c r="X29" s="7">
        <v>1.613149015734739E-5</v>
      </c>
      <c r="Y29" s="7">
        <v>4.4235257238669343E-5</v>
      </c>
      <c r="Z29" s="7">
        <v>6.19635640703532E-5</v>
      </c>
      <c r="AA29" s="7">
        <v>6.2518763597001521E-5</v>
      </c>
      <c r="AB29" s="7">
        <v>1.149702538684072E-4</v>
      </c>
      <c r="AC29" s="7">
        <v>0</v>
      </c>
      <c r="AD29" s="7">
        <v>4.7312639774438029E-7</v>
      </c>
      <c r="AE29" s="7">
        <v>7.4667325929063898E-4</v>
      </c>
      <c r="AF29" s="7">
        <v>2.008465636516221E-6</v>
      </c>
      <c r="AG29" s="7">
        <v>2.2383217919752491E-7</v>
      </c>
      <c r="AH29" s="7">
        <v>7.2127760819741461E-6</v>
      </c>
      <c r="AI29" s="7">
        <v>6.9489574386754885E-7</v>
      </c>
      <c r="AJ29" s="7">
        <v>3.1160383026184989E-6</v>
      </c>
      <c r="AK29" s="7">
        <v>8.2755890684987438E-5</v>
      </c>
      <c r="AL29" s="7">
        <v>3.9857035244789829E-4</v>
      </c>
      <c r="AM29" s="7">
        <v>1.170328445567207E-3</v>
      </c>
      <c r="AN29" s="7">
        <v>3.3603258852270227E-7</v>
      </c>
      <c r="AO29" s="7">
        <v>1.700350155632747E-4</v>
      </c>
      <c r="AP29" s="7">
        <v>0</v>
      </c>
      <c r="AQ29" s="7">
        <v>3.8393861763986869E-7</v>
      </c>
      <c r="AR29" s="7">
        <v>0</v>
      </c>
      <c r="AS29" s="7">
        <v>1.191239645274785E-5</v>
      </c>
      <c r="AT29" s="7">
        <v>1.5055832855420371E-3</v>
      </c>
      <c r="AU29" s="7">
        <v>1.998852835732064E-3</v>
      </c>
      <c r="AV29" s="7">
        <v>3.3548231488048E-5</v>
      </c>
      <c r="AW29" s="7">
        <v>2.2848785251792189E-6</v>
      </c>
      <c r="AX29" s="7">
        <v>1.2866622437584679E-5</v>
      </c>
      <c r="AY29" s="7">
        <v>0</v>
      </c>
      <c r="AZ29" s="7">
        <v>3.7109953467395821E-6</v>
      </c>
      <c r="BA29" s="7">
        <v>6.3349560249333027E-4</v>
      </c>
      <c r="BB29" s="7">
        <v>7.8405928647618729E-5</v>
      </c>
      <c r="BC29" s="7">
        <v>1.8642769380987778E-5</v>
      </c>
      <c r="BD29" s="7">
        <v>1.091855720601793E-5</v>
      </c>
      <c r="BE29" s="7">
        <v>5.5013480452508917E-5</v>
      </c>
      <c r="BF29" s="7">
        <v>1.4855087892613411E-4</v>
      </c>
      <c r="BG29" s="7">
        <v>2.095148979895706E-7</v>
      </c>
      <c r="BH29" s="7">
        <v>1.180676972796236E-4</v>
      </c>
      <c r="BI29" s="7">
        <v>3.7814906716971219E-6</v>
      </c>
      <c r="BJ29" s="7">
        <v>3.4876989613388403E-4</v>
      </c>
      <c r="BK29" s="7">
        <v>2.1438503684986549E-6</v>
      </c>
      <c r="BL29" s="7">
        <v>4.1787981764102272E-4</v>
      </c>
      <c r="BM29" s="7">
        <v>3.826521922293843E-4</v>
      </c>
      <c r="BN29" s="7">
        <v>3.2036269577699478E-7</v>
      </c>
      <c r="BO29" s="7">
        <v>1.964847062961003E-5</v>
      </c>
      <c r="BP29" s="7">
        <v>3.9601775299882472E-4</v>
      </c>
      <c r="BQ29" s="7">
        <v>1.2195003313816049E-7</v>
      </c>
      <c r="BR29" s="7">
        <v>4.6554641922671352E-4</v>
      </c>
      <c r="BS29" s="7">
        <v>1.724142970529205E-5</v>
      </c>
      <c r="BT29" s="7">
        <v>2.506840357989283E-5</v>
      </c>
      <c r="BU29" s="7">
        <v>1.2380720474535219E-7</v>
      </c>
      <c r="BV29" s="7">
        <v>2.0737535806102941E-6</v>
      </c>
      <c r="BW29" s="7">
        <v>1.3229249376347301E-4</v>
      </c>
      <c r="BX29" s="7">
        <v>3.1167309423137453E-8</v>
      </c>
      <c r="BY29" s="7">
        <v>2.127781229936116E-5</v>
      </c>
      <c r="BZ29" s="7">
        <v>2.4420238038885101E-4</v>
      </c>
    </row>
    <row r="30" spans="1:78">
      <c r="A30" s="4" t="s">
        <v>127</v>
      </c>
      <c r="B30" s="7">
        <v>8.9069622911710881E-4</v>
      </c>
      <c r="C30" s="7">
        <v>8.2896258055356522E-3</v>
      </c>
      <c r="D30" s="7">
        <v>4.4457365796290744E-3</v>
      </c>
      <c r="E30" s="7">
        <v>7.9040835575688037E-4</v>
      </c>
      <c r="F30" s="7">
        <v>0.26712320457712713</v>
      </c>
      <c r="G30" s="7">
        <v>4.0923615862286919E-2</v>
      </c>
      <c r="H30" s="7">
        <v>4.0220849334579603E-2</v>
      </c>
      <c r="I30" s="7">
        <v>9.5674376822915633E-3</v>
      </c>
      <c r="J30" s="7">
        <v>2.6554234308063661E-4</v>
      </c>
      <c r="K30" s="7">
        <v>1.4063498389909001E-3</v>
      </c>
      <c r="L30" s="7">
        <v>3.3668574793190291E-2</v>
      </c>
      <c r="M30" s="7">
        <v>1.0995420602841449E-2</v>
      </c>
      <c r="N30" s="7">
        <v>2.34770868866972E-4</v>
      </c>
      <c r="O30" s="7">
        <v>4.1893865284498819E-4</v>
      </c>
      <c r="P30" s="7">
        <v>4.271900419502983E-2</v>
      </c>
      <c r="Q30" s="7">
        <v>1.038091739884249E-3</v>
      </c>
      <c r="R30" s="7">
        <v>1.1411341351450541E-2</v>
      </c>
      <c r="S30" s="7">
        <v>5.0451372288423883E-2</v>
      </c>
      <c r="T30" s="7">
        <v>2.3047134685606008E-3</v>
      </c>
      <c r="U30" s="7">
        <v>6.7693071166124389E-3</v>
      </c>
      <c r="V30" s="7">
        <v>9.4961993941240306E-3</v>
      </c>
      <c r="W30" s="7">
        <v>6.4272158693805606E-3</v>
      </c>
      <c r="X30" s="7">
        <v>4.2869076998428369E-3</v>
      </c>
      <c r="Y30" s="7">
        <v>8.9896571615564226E-3</v>
      </c>
      <c r="Z30" s="7">
        <v>1.3567729243042699E-2</v>
      </c>
      <c r="AA30" s="7">
        <v>7.3649119731355409E-3</v>
      </c>
      <c r="AB30" s="7">
        <v>4.2286252291653781E-2</v>
      </c>
      <c r="AC30" s="7">
        <v>1.4267170171149829E-3</v>
      </c>
      <c r="AD30" s="7">
        <v>0</v>
      </c>
      <c r="AE30" s="7">
        <v>2.4715128274745198E-3</v>
      </c>
      <c r="AF30" s="7">
        <v>7.6254414107478533E-2</v>
      </c>
      <c r="AG30" s="7">
        <v>8.9380308495530768E-3</v>
      </c>
      <c r="AH30" s="7">
        <v>0.23098601558810189</v>
      </c>
      <c r="AI30" s="7">
        <v>4.4758745097828509E-4</v>
      </c>
      <c r="AJ30" s="7">
        <v>2.5764180447818961E-3</v>
      </c>
      <c r="AK30" s="7">
        <v>9.1880994304803509E-2</v>
      </c>
      <c r="AL30" s="7">
        <v>6.5272485813158291E-3</v>
      </c>
      <c r="AM30" s="7">
        <v>2.964645272295471E-2</v>
      </c>
      <c r="AN30" s="7">
        <v>2.5656636747963561E-3</v>
      </c>
      <c r="AO30" s="7">
        <v>8.1423560420499363E-2</v>
      </c>
      <c r="AP30" s="7">
        <v>2.1243553314255651E-2</v>
      </c>
      <c r="AQ30" s="7">
        <v>1.597429006048947E-2</v>
      </c>
      <c r="AR30" s="7">
        <v>2.037422428009506E-3</v>
      </c>
      <c r="AS30" s="7">
        <v>3.0497567133314918E-3</v>
      </c>
      <c r="AT30" s="7">
        <v>4.2305219615591727E-3</v>
      </c>
      <c r="AU30" s="7">
        <v>2.692556212050979E-2</v>
      </c>
      <c r="AV30" s="7">
        <v>1.3189252012147331E-4</v>
      </c>
      <c r="AW30" s="7">
        <v>2.438206877123194E-3</v>
      </c>
      <c r="AX30" s="7">
        <v>3.727140078828353E-3</v>
      </c>
      <c r="AY30" s="7">
        <v>5.2219747419126402E-4</v>
      </c>
      <c r="AZ30" s="7">
        <v>1.8724394024780211E-2</v>
      </c>
      <c r="BA30" s="7">
        <v>8.3191278092398322E-3</v>
      </c>
      <c r="BB30" s="7">
        <v>0.11362371202019871</v>
      </c>
      <c r="BC30" s="7">
        <v>5.8196641315463324E-3</v>
      </c>
      <c r="BD30" s="7">
        <v>9.7358232666142856E-3</v>
      </c>
      <c r="BE30" s="7">
        <v>7.7107929534196414E-4</v>
      </c>
      <c r="BF30" s="7">
        <v>3.4458578087642489E-4</v>
      </c>
      <c r="BG30" s="7">
        <v>3.9781462645330078E-2</v>
      </c>
      <c r="BH30" s="7">
        <v>3.0860128099302699E-3</v>
      </c>
      <c r="BI30" s="7">
        <v>1.626575543063466E-2</v>
      </c>
      <c r="BJ30" s="7">
        <v>4.3956966665611372E-2</v>
      </c>
      <c r="BK30" s="7">
        <v>0.21518748930364601</v>
      </c>
      <c r="BL30" s="7">
        <v>8.0080716287818741E-3</v>
      </c>
      <c r="BM30" s="7">
        <v>6.2208949838091622E-4</v>
      </c>
      <c r="BN30" s="7">
        <v>3.0357672298687412E-3</v>
      </c>
      <c r="BO30" s="7">
        <v>2.666218899857244E-3</v>
      </c>
      <c r="BP30" s="7">
        <v>7.6183117543238248E-3</v>
      </c>
      <c r="BQ30" s="7">
        <v>1.422594333830025E-2</v>
      </c>
      <c r="BR30" s="7">
        <v>3.6670154771562889E-3</v>
      </c>
      <c r="BS30" s="7">
        <v>2.4004475594197869E-2</v>
      </c>
      <c r="BT30" s="7">
        <v>1.148432760509933E-3</v>
      </c>
      <c r="BU30" s="7">
        <v>3.2569359981001199E-4</v>
      </c>
      <c r="BV30" s="7">
        <v>1.7254211420530191E-3</v>
      </c>
      <c r="BW30" s="7">
        <v>1.06082758800268E-3</v>
      </c>
      <c r="BX30" s="7">
        <v>7.335216682731115E-3</v>
      </c>
      <c r="BY30" s="7">
        <v>1.7166378473536029E-2</v>
      </c>
      <c r="BZ30" s="7">
        <v>5.0968389168589857E-3</v>
      </c>
    </row>
    <row r="31" spans="1:78">
      <c r="A31" s="4" t="s">
        <v>129</v>
      </c>
      <c r="B31" s="7">
        <v>2.974502640467523E-5</v>
      </c>
      <c r="C31" s="7">
        <v>1.875146013080221E-4</v>
      </c>
      <c r="D31" s="7">
        <v>1.9364312393421719E-3</v>
      </c>
      <c r="E31" s="7">
        <v>4.3371425328786638E-5</v>
      </c>
      <c r="F31" s="7">
        <v>0</v>
      </c>
      <c r="G31" s="7">
        <v>1.752163341441553E-5</v>
      </c>
      <c r="H31" s="7">
        <v>0</v>
      </c>
      <c r="I31" s="7">
        <v>2.866608320860474E-5</v>
      </c>
      <c r="J31" s="7">
        <v>0</v>
      </c>
      <c r="K31" s="7">
        <v>1.280319638820614E-5</v>
      </c>
      <c r="L31" s="7">
        <v>4.0304704667071619E-4</v>
      </c>
      <c r="M31" s="7">
        <v>2.9897359555034419E-5</v>
      </c>
      <c r="N31" s="7">
        <v>6.1447283557829044E-6</v>
      </c>
      <c r="O31" s="7">
        <v>2.4085439098228231E-4</v>
      </c>
      <c r="P31" s="7">
        <v>0</v>
      </c>
      <c r="Q31" s="7">
        <v>1.2708547798519001E-4</v>
      </c>
      <c r="R31" s="7">
        <v>9.3683148683807092E-5</v>
      </c>
      <c r="S31" s="7">
        <v>1.1249800007225429E-2</v>
      </c>
      <c r="T31" s="7">
        <v>2.0739803128737441E-4</v>
      </c>
      <c r="U31" s="7">
        <v>1.3992939159875981E-3</v>
      </c>
      <c r="V31" s="7">
        <v>6.4859476266523964E-6</v>
      </c>
      <c r="W31" s="7">
        <v>1.387268979724826E-4</v>
      </c>
      <c r="X31" s="7">
        <v>1.592393295793953E-3</v>
      </c>
      <c r="Y31" s="7">
        <v>1.061157028138952E-5</v>
      </c>
      <c r="Z31" s="7">
        <v>2.3941830098812229E-4</v>
      </c>
      <c r="AA31" s="7">
        <v>5.8325299895945881E-4</v>
      </c>
      <c r="AB31" s="7">
        <v>3.3532040234028821E-4</v>
      </c>
      <c r="AC31" s="7">
        <v>1.8826814143707851E-3</v>
      </c>
      <c r="AD31" s="7">
        <v>3.2484239486903732E-7</v>
      </c>
      <c r="AE31" s="7">
        <v>0</v>
      </c>
      <c r="AF31" s="7">
        <v>2.8943298773174191E-5</v>
      </c>
      <c r="AG31" s="7">
        <v>5.0658454892325512E-6</v>
      </c>
      <c r="AH31" s="7">
        <v>1.352365318893279E-7</v>
      </c>
      <c r="AI31" s="7">
        <v>1.420429826108257E-8</v>
      </c>
      <c r="AJ31" s="7">
        <v>1.8621488088056009E-5</v>
      </c>
      <c r="AK31" s="7">
        <v>1.646673335058424E-5</v>
      </c>
      <c r="AL31" s="7">
        <v>1.159504475737945E-2</v>
      </c>
      <c r="AM31" s="7">
        <v>1.931955583614027E-2</v>
      </c>
      <c r="AN31" s="7">
        <v>9.985647923540939E-6</v>
      </c>
      <c r="AO31" s="7">
        <v>8.2177409615508611E-4</v>
      </c>
      <c r="AP31" s="7">
        <v>0</v>
      </c>
      <c r="AQ31" s="7">
        <v>9.1201856477666187E-6</v>
      </c>
      <c r="AR31" s="7">
        <v>0</v>
      </c>
      <c r="AS31" s="7">
        <v>3.2168876956361442E-6</v>
      </c>
      <c r="AT31" s="7">
        <v>8.9736197482118057E-6</v>
      </c>
      <c r="AU31" s="7">
        <v>4.2615805880890184E-6</v>
      </c>
      <c r="AV31" s="7">
        <v>6.278689958248525E-5</v>
      </c>
      <c r="AW31" s="7">
        <v>1.291219577151847E-6</v>
      </c>
      <c r="AX31" s="7">
        <v>7.4200103110589941E-6</v>
      </c>
      <c r="AY31" s="7">
        <v>0</v>
      </c>
      <c r="AZ31" s="7">
        <v>2.4742860787321269E-7</v>
      </c>
      <c r="BA31" s="7">
        <v>4.2352201168148891E-6</v>
      </c>
      <c r="BB31" s="7">
        <v>1.2408376731666001E-4</v>
      </c>
      <c r="BC31" s="7">
        <v>7.3812437555971643E-5</v>
      </c>
      <c r="BD31" s="7">
        <v>2.3455732107367569E-4</v>
      </c>
      <c r="BE31" s="7">
        <v>3.1332679886988909E-5</v>
      </c>
      <c r="BF31" s="7">
        <v>1.178410226454762E-4</v>
      </c>
      <c r="BG31" s="7">
        <v>9.282890572628618E-8</v>
      </c>
      <c r="BH31" s="7">
        <v>9.6588417224498712E-4</v>
      </c>
      <c r="BI31" s="7">
        <v>2.366079374129499E-7</v>
      </c>
      <c r="BJ31" s="7">
        <v>1.2642816314103201E-5</v>
      </c>
      <c r="BK31" s="7">
        <v>1.8169868268880431E-7</v>
      </c>
      <c r="BL31" s="7">
        <v>6.0947883143125554E-6</v>
      </c>
      <c r="BM31" s="7">
        <v>0</v>
      </c>
      <c r="BN31" s="7">
        <v>6.7700926536057667E-6</v>
      </c>
      <c r="BO31" s="7">
        <v>8.2654777710657685E-6</v>
      </c>
      <c r="BP31" s="7">
        <v>1.1854748621267151E-2</v>
      </c>
      <c r="BQ31" s="7">
        <v>1.414618780941133E-5</v>
      </c>
      <c r="BR31" s="7">
        <v>4.6079122153656379E-7</v>
      </c>
      <c r="BS31" s="7">
        <v>1.7253945976381239E-5</v>
      </c>
      <c r="BT31" s="7">
        <v>3.341813435975369E-3</v>
      </c>
      <c r="BU31" s="7">
        <v>8.3752081747962102E-7</v>
      </c>
      <c r="BV31" s="7">
        <v>1.2247798033831309E-4</v>
      </c>
      <c r="BW31" s="7">
        <v>1.184240087501072E-4</v>
      </c>
      <c r="BX31" s="7">
        <v>2.182639073093889E-7</v>
      </c>
      <c r="BY31" s="7">
        <v>2.5472091476273632E-4</v>
      </c>
      <c r="BZ31" s="7">
        <v>9.8348522613493292E-4</v>
      </c>
    </row>
    <row r="32" spans="1:78">
      <c r="A32" s="4" t="s">
        <v>131</v>
      </c>
      <c r="B32" s="7">
        <v>7.2484656945271128E-3</v>
      </c>
      <c r="C32" s="7">
        <v>3.2355525331372028E-3</v>
      </c>
      <c r="D32" s="7">
        <v>1.3391988546245719E-2</v>
      </c>
      <c r="E32" s="7">
        <v>4.1508748035828146E-3</v>
      </c>
      <c r="F32" s="7">
        <v>0</v>
      </c>
      <c r="G32" s="7">
        <v>3.3131952874441678E-2</v>
      </c>
      <c r="H32" s="7">
        <v>9.3608523719354765E-5</v>
      </c>
      <c r="I32" s="7">
        <v>2.6485659379973741E-3</v>
      </c>
      <c r="J32" s="7">
        <v>7.0705383226758094E-4</v>
      </c>
      <c r="K32" s="7">
        <v>9.6650096560633146E-4</v>
      </c>
      <c r="L32" s="7">
        <v>9.5703330016361065E-3</v>
      </c>
      <c r="M32" s="7">
        <v>4.7096829622914331E-4</v>
      </c>
      <c r="N32" s="7">
        <v>6.4576899311762819E-4</v>
      </c>
      <c r="O32" s="7">
        <v>3.4569309625390702E-4</v>
      </c>
      <c r="P32" s="7">
        <v>0</v>
      </c>
      <c r="Q32" s="7">
        <v>1.407926851825418E-3</v>
      </c>
      <c r="R32" s="7">
        <v>2.37000947436198E-3</v>
      </c>
      <c r="S32" s="7">
        <v>4.4294568146888936E-3</v>
      </c>
      <c r="T32" s="7">
        <v>5.3895417660131794E-3</v>
      </c>
      <c r="U32" s="7">
        <v>2.3683547204435249E-2</v>
      </c>
      <c r="V32" s="7">
        <v>3.3880061216503732E-3</v>
      </c>
      <c r="W32" s="7">
        <v>8.7470321202576891E-4</v>
      </c>
      <c r="X32" s="7">
        <v>1.7682875519854969E-2</v>
      </c>
      <c r="Y32" s="7">
        <v>6.697931786805838E-4</v>
      </c>
      <c r="Z32" s="7">
        <v>1.566263053678347E-3</v>
      </c>
      <c r="AA32" s="7">
        <v>4.0612440917505354E-3</v>
      </c>
      <c r="AB32" s="7">
        <v>2.5158031631302251E-3</v>
      </c>
      <c r="AC32" s="7">
        <v>2.4534088114249899E-3</v>
      </c>
      <c r="AD32" s="7">
        <v>5.0376152089828653E-5</v>
      </c>
      <c r="AE32" s="7">
        <v>1.246106217381146E-2</v>
      </c>
      <c r="AF32" s="7">
        <v>0</v>
      </c>
      <c r="AG32" s="7">
        <v>1.3169054462255369E-4</v>
      </c>
      <c r="AH32" s="7">
        <v>1.6838919961499621E-3</v>
      </c>
      <c r="AI32" s="7">
        <v>7.2971563935137604E-5</v>
      </c>
      <c r="AJ32" s="7">
        <v>2.296540390737407E-3</v>
      </c>
      <c r="AK32" s="7">
        <v>1.4853837930091109E-3</v>
      </c>
      <c r="AL32" s="7">
        <v>3.116439952748518E-3</v>
      </c>
      <c r="AM32" s="7">
        <v>2.413083594237827E-4</v>
      </c>
      <c r="AN32" s="7">
        <v>1.052354008160629E-3</v>
      </c>
      <c r="AO32" s="7">
        <v>5.2312203253413023E-4</v>
      </c>
      <c r="AP32" s="7">
        <v>0</v>
      </c>
      <c r="AQ32" s="7">
        <v>1.234281933053204E-4</v>
      </c>
      <c r="AR32" s="7">
        <v>0</v>
      </c>
      <c r="AS32" s="7">
        <v>5.611922159451595E-4</v>
      </c>
      <c r="AT32" s="7">
        <v>5.8255312641463731E-4</v>
      </c>
      <c r="AU32" s="7">
        <v>1.105212658110561E-2</v>
      </c>
      <c r="AV32" s="7">
        <v>1.333831640712892E-3</v>
      </c>
      <c r="AW32" s="7">
        <v>7.5365186062283237E-4</v>
      </c>
      <c r="AX32" s="7">
        <v>1.9679475790856199E-5</v>
      </c>
      <c r="AY32" s="7">
        <v>3.0140203257825881E-4</v>
      </c>
      <c r="AZ32" s="7">
        <v>2.0780132362071869E-5</v>
      </c>
      <c r="BA32" s="7">
        <v>7.5900587064917026E-5</v>
      </c>
      <c r="BB32" s="7">
        <v>2.1723481384477009E-3</v>
      </c>
      <c r="BC32" s="7">
        <v>2.4042382092672931E-3</v>
      </c>
      <c r="BD32" s="7">
        <v>7.1181704140689632E-3</v>
      </c>
      <c r="BE32" s="7">
        <v>4.0770255602711239E-4</v>
      </c>
      <c r="BF32" s="7">
        <v>1.5888641092787409E-3</v>
      </c>
      <c r="BG32" s="7">
        <v>1.579489318640316E-5</v>
      </c>
      <c r="BH32" s="7">
        <v>6.5826878509784382E-3</v>
      </c>
      <c r="BI32" s="7">
        <v>4.5147301287025692E-3</v>
      </c>
      <c r="BJ32" s="7">
        <v>1.348993882502394E-2</v>
      </c>
      <c r="BK32" s="7">
        <v>3.087589196868789E-3</v>
      </c>
      <c r="BL32" s="7">
        <v>3.1446969179637241E-4</v>
      </c>
      <c r="BM32" s="7">
        <v>1.7012227486246269E-4</v>
      </c>
      <c r="BN32" s="7">
        <v>3.5295808153698638E-5</v>
      </c>
      <c r="BO32" s="7">
        <v>3.0860693821069891E-2</v>
      </c>
      <c r="BP32" s="7">
        <v>2.9281967856851339E-2</v>
      </c>
      <c r="BQ32" s="7">
        <v>1.6350676401177391E-2</v>
      </c>
      <c r="BR32" s="7">
        <v>3.426208391610033E-4</v>
      </c>
      <c r="BS32" s="7">
        <v>1.2117088498861519E-4</v>
      </c>
      <c r="BT32" s="7">
        <v>1.442342087006972E-2</v>
      </c>
      <c r="BU32" s="7">
        <v>3.3577340627844582E-5</v>
      </c>
      <c r="BV32" s="7">
        <v>2.1293633469794981E-3</v>
      </c>
      <c r="BW32" s="7">
        <v>1.642694551273492E-3</v>
      </c>
      <c r="BX32" s="7">
        <v>6.1527582495787603E-5</v>
      </c>
      <c r="BY32" s="7">
        <v>6.1111813575805644E-3</v>
      </c>
      <c r="BZ32" s="7">
        <v>2.4523834789618401E-3</v>
      </c>
    </row>
    <row r="33" spans="1:78">
      <c r="A33" s="4" t="s">
        <v>133</v>
      </c>
      <c r="B33" s="7">
        <v>2.5760266212589769E-3</v>
      </c>
      <c r="C33" s="7">
        <v>2.1833441996961462E-3</v>
      </c>
      <c r="D33" s="7">
        <v>1.6247103589927729E-3</v>
      </c>
      <c r="E33" s="7">
        <v>1.894065100154805E-5</v>
      </c>
      <c r="F33" s="7">
        <v>8.7607722505778492E-6</v>
      </c>
      <c r="G33" s="7">
        <v>0</v>
      </c>
      <c r="H33" s="7">
        <v>0</v>
      </c>
      <c r="I33" s="7">
        <v>2.2344601035835751E-3</v>
      </c>
      <c r="J33" s="7">
        <v>1.229034452177005E-3</v>
      </c>
      <c r="K33" s="7">
        <v>1.7044947224274781E-3</v>
      </c>
      <c r="L33" s="7">
        <v>7.2552476908913793E-4</v>
      </c>
      <c r="M33" s="7">
        <v>6.3339968228152792E-4</v>
      </c>
      <c r="N33" s="7">
        <v>5.2745319126874021E-4</v>
      </c>
      <c r="O33" s="7">
        <v>3.5440238313007511E-5</v>
      </c>
      <c r="P33" s="7">
        <v>0</v>
      </c>
      <c r="Q33" s="7">
        <v>3.667964250642372E-3</v>
      </c>
      <c r="R33" s="7">
        <v>1.9378803964554349E-4</v>
      </c>
      <c r="S33" s="7">
        <v>0</v>
      </c>
      <c r="T33" s="7">
        <v>7.4086116626734179E-4</v>
      </c>
      <c r="U33" s="7">
        <v>2.809818950522079E-3</v>
      </c>
      <c r="V33" s="7">
        <v>1.638623779585177E-4</v>
      </c>
      <c r="W33" s="7">
        <v>6.2750528467471256E-2</v>
      </c>
      <c r="X33" s="7">
        <v>1.0560434489337411E-3</v>
      </c>
      <c r="Y33" s="7">
        <v>1.2528756349273759E-3</v>
      </c>
      <c r="Z33" s="7">
        <v>2.2853603714763542E-3</v>
      </c>
      <c r="AA33" s="7">
        <v>8.6585044163768935E-4</v>
      </c>
      <c r="AB33" s="7">
        <v>9.4520655755300103E-4</v>
      </c>
      <c r="AC33" s="7">
        <v>0</v>
      </c>
      <c r="AD33" s="7">
        <v>8.7650301664528836E-5</v>
      </c>
      <c r="AE33" s="7">
        <v>1.6439341896720681E-3</v>
      </c>
      <c r="AF33" s="7">
        <v>1.3737675066323649E-4</v>
      </c>
      <c r="AG33" s="7">
        <v>0</v>
      </c>
      <c r="AH33" s="7">
        <v>1.1021981175525881E-3</v>
      </c>
      <c r="AI33" s="7">
        <v>1.551125926458763E-4</v>
      </c>
      <c r="AJ33" s="7">
        <v>8.1825591695116138E-3</v>
      </c>
      <c r="AK33" s="7">
        <v>0</v>
      </c>
      <c r="AL33" s="7">
        <v>8.9699125773033301E-5</v>
      </c>
      <c r="AM33" s="7">
        <v>0</v>
      </c>
      <c r="AN33" s="7">
        <v>1.567615387422354E-3</v>
      </c>
      <c r="AO33" s="7">
        <v>0</v>
      </c>
      <c r="AP33" s="7">
        <v>1.5853798268516961E-4</v>
      </c>
      <c r="AQ33" s="7">
        <v>1.027583570931599E-3</v>
      </c>
      <c r="AR33" s="7">
        <v>0</v>
      </c>
      <c r="AS33" s="7">
        <v>1.0315636725504969E-3</v>
      </c>
      <c r="AT33" s="7">
        <v>7.2680840928923562E-6</v>
      </c>
      <c r="AU33" s="7">
        <v>1.2994025167659891E-4</v>
      </c>
      <c r="AV33" s="7">
        <v>1.3109719067589129E-3</v>
      </c>
      <c r="AW33" s="7">
        <v>1.3712022732870509E-3</v>
      </c>
      <c r="AX33" s="7">
        <v>0</v>
      </c>
      <c r="AY33" s="7">
        <v>5.4490025752497256E-4</v>
      </c>
      <c r="AZ33" s="7">
        <v>2.1316726914811639E-4</v>
      </c>
      <c r="BA33" s="7">
        <v>2.7659582524880259E-4</v>
      </c>
      <c r="BB33" s="7">
        <v>3.0014260693215632E-4</v>
      </c>
      <c r="BC33" s="7">
        <v>1.2379663283782539E-3</v>
      </c>
      <c r="BD33" s="7">
        <v>6.9323537835665389E-4</v>
      </c>
      <c r="BE33" s="7">
        <v>1.3491868408325159E-4</v>
      </c>
      <c r="BF33" s="7">
        <v>3.1096404200139807E-4</v>
      </c>
      <c r="BG33" s="7">
        <v>7.7757927814657021E-5</v>
      </c>
      <c r="BH33" s="7">
        <v>6.8498024042193688E-4</v>
      </c>
      <c r="BI33" s="7">
        <v>4.7345797527723109E-6</v>
      </c>
      <c r="BJ33" s="7">
        <v>2.680432516214467E-6</v>
      </c>
      <c r="BK33" s="7">
        <v>2.9231188529112959E-4</v>
      </c>
      <c r="BL33" s="7">
        <v>3.2369114707410719E-5</v>
      </c>
      <c r="BM33" s="7">
        <v>0</v>
      </c>
      <c r="BN33" s="7">
        <v>2.286263643344541E-3</v>
      </c>
      <c r="BO33" s="7">
        <v>5.901080305259766E-4</v>
      </c>
      <c r="BP33" s="7">
        <v>7.295769432493094E-4</v>
      </c>
      <c r="BQ33" s="7">
        <v>1.0559641620994039E-3</v>
      </c>
      <c r="BR33" s="7">
        <v>1.8028131570207849E-3</v>
      </c>
      <c r="BS33" s="7">
        <v>2.0211314507953089E-3</v>
      </c>
      <c r="BT33" s="7">
        <v>1.1979812992018979E-3</v>
      </c>
      <c r="BU33" s="7">
        <v>2.6045610628002791E-4</v>
      </c>
      <c r="BV33" s="7">
        <v>3.1661373113515159E-4</v>
      </c>
      <c r="BW33" s="7">
        <v>7.8622961602138651E-4</v>
      </c>
      <c r="BX33" s="7">
        <v>4.4519854561650288E-4</v>
      </c>
      <c r="BY33" s="7">
        <v>4.0886385573468409E-3</v>
      </c>
      <c r="BZ33" s="7">
        <v>4.3107541798045757E-3</v>
      </c>
    </row>
    <row r="34" spans="1:78">
      <c r="A34" s="4" t="s">
        <v>135</v>
      </c>
      <c r="B34" s="7">
        <v>2.4257904779623079E-3</v>
      </c>
      <c r="C34" s="7">
        <v>2.7850560651107659E-3</v>
      </c>
      <c r="D34" s="7">
        <v>1.737702811825118E-3</v>
      </c>
      <c r="E34" s="7">
        <v>9.4008626945805884E-5</v>
      </c>
      <c r="F34" s="7">
        <v>2.389800880180748E-2</v>
      </c>
      <c r="G34" s="7">
        <v>3.1110455823885139E-4</v>
      </c>
      <c r="H34" s="7">
        <v>1.0550186063250271E-3</v>
      </c>
      <c r="I34" s="7">
        <v>4.768327190365085E-3</v>
      </c>
      <c r="J34" s="7">
        <v>3.446062725431138E-4</v>
      </c>
      <c r="K34" s="7">
        <v>9.4118089018644421E-4</v>
      </c>
      <c r="L34" s="7">
        <v>1.2810351415500851E-3</v>
      </c>
      <c r="M34" s="7">
        <v>3.5594676623988738E-3</v>
      </c>
      <c r="N34" s="7">
        <v>8.2404002259834646E-5</v>
      </c>
      <c r="O34" s="7">
        <v>3.383292744553647E-3</v>
      </c>
      <c r="P34" s="7">
        <v>9.8908887854611879E-3</v>
      </c>
      <c r="Q34" s="7">
        <v>1.0186610011101681E-2</v>
      </c>
      <c r="R34" s="7">
        <v>8.6240630213864217E-3</v>
      </c>
      <c r="S34" s="7">
        <v>9.4113457676052166E-4</v>
      </c>
      <c r="T34" s="7">
        <v>4.7563123125895839E-4</v>
      </c>
      <c r="U34" s="7">
        <v>9.5344896239052174E-4</v>
      </c>
      <c r="V34" s="7">
        <v>1.3366272963712569E-3</v>
      </c>
      <c r="W34" s="7">
        <v>5.9005846470088176E-3</v>
      </c>
      <c r="X34" s="7">
        <v>9.3860925309429083E-4</v>
      </c>
      <c r="Y34" s="7">
        <v>1.1302399844641119E-3</v>
      </c>
      <c r="Z34" s="7">
        <v>4.3254542979404958E-4</v>
      </c>
      <c r="AA34" s="7">
        <v>1.58379893154173E-3</v>
      </c>
      <c r="AB34" s="7">
        <v>2.0968456563489782E-3</v>
      </c>
      <c r="AC34" s="7">
        <v>3.5437764320363769E-3</v>
      </c>
      <c r="AD34" s="7">
        <v>3.9289237136309738E-4</v>
      </c>
      <c r="AE34" s="7">
        <v>9.0719944623761533E-5</v>
      </c>
      <c r="AF34" s="7">
        <v>1.255348494684463E-3</v>
      </c>
      <c r="AG34" s="7">
        <v>2.4281365513126518E-3</v>
      </c>
      <c r="AH34" s="7">
        <v>0</v>
      </c>
      <c r="AI34" s="7">
        <v>1.2565261646087149E-4</v>
      </c>
      <c r="AJ34" s="7">
        <v>1.556582524196423E-3</v>
      </c>
      <c r="AK34" s="7">
        <v>6.3135144561868228E-3</v>
      </c>
      <c r="AL34" s="7">
        <v>1.7841798617535009E-3</v>
      </c>
      <c r="AM34" s="7">
        <v>4.1134614242312247E-2</v>
      </c>
      <c r="AN34" s="7">
        <v>9.5195453311349083E-4</v>
      </c>
      <c r="AO34" s="7">
        <v>3.7285856507950867E-5</v>
      </c>
      <c r="AP34" s="7">
        <v>1.242397769949373E-5</v>
      </c>
      <c r="AQ34" s="7">
        <v>2.0529907522884129E-4</v>
      </c>
      <c r="AR34" s="7">
        <v>1.169637532614529E-4</v>
      </c>
      <c r="AS34" s="7">
        <v>8.5510341556550309E-5</v>
      </c>
      <c r="AT34" s="7">
        <v>2.5517916179752619E-4</v>
      </c>
      <c r="AU34" s="7">
        <v>2.2670647789531601E-4</v>
      </c>
      <c r="AV34" s="7">
        <v>1.963570504056556E-3</v>
      </c>
      <c r="AW34" s="7">
        <v>8.3473957330265928E-4</v>
      </c>
      <c r="AX34" s="7">
        <v>1.4275644739730059E-4</v>
      </c>
      <c r="AY34" s="7">
        <v>6.9858847236458528E-3</v>
      </c>
      <c r="AZ34" s="7">
        <v>3.1196093171049322E-4</v>
      </c>
      <c r="BA34" s="7">
        <v>8.5329827328255753E-2</v>
      </c>
      <c r="BB34" s="7">
        <v>3.9323743258069859E-4</v>
      </c>
      <c r="BC34" s="7">
        <v>1.39067317051804E-3</v>
      </c>
      <c r="BD34" s="7">
        <v>1.401245152508465E-3</v>
      </c>
      <c r="BE34" s="7">
        <v>1.703179192726812E-6</v>
      </c>
      <c r="BF34" s="7">
        <v>1.1188175583725059E-2</v>
      </c>
      <c r="BG34" s="7">
        <v>5.6891179773447601E-5</v>
      </c>
      <c r="BH34" s="7">
        <v>2.7470810008671352E-4</v>
      </c>
      <c r="BI34" s="7">
        <v>7.6767296746357264E-4</v>
      </c>
      <c r="BJ34" s="7">
        <v>3.3779698008530611E-4</v>
      </c>
      <c r="BK34" s="7">
        <v>5.454362632608266E-3</v>
      </c>
      <c r="BL34" s="7">
        <v>1.9632041998268662E-2</v>
      </c>
      <c r="BM34" s="7">
        <v>6.9822076013237692E-3</v>
      </c>
      <c r="BN34" s="7">
        <v>3.0154050272075737E-4</v>
      </c>
      <c r="BO34" s="7">
        <v>4.5284763579602101E-4</v>
      </c>
      <c r="BP34" s="7">
        <v>1.3665084128928939E-3</v>
      </c>
      <c r="BQ34" s="7">
        <v>2.1389402272449019E-3</v>
      </c>
      <c r="BR34" s="7">
        <v>6.3430075176723621E-4</v>
      </c>
      <c r="BS34" s="7">
        <v>5.0362076729831764E-4</v>
      </c>
      <c r="BT34" s="7">
        <v>5.885997995072596E-3</v>
      </c>
      <c r="BU34" s="7">
        <v>2.4660918294546101E-5</v>
      </c>
      <c r="BV34" s="7">
        <v>1.5873589053071451E-4</v>
      </c>
      <c r="BW34" s="7">
        <v>8.5540422152085508E-4</v>
      </c>
      <c r="BX34" s="7">
        <v>7.1389958307534348E-4</v>
      </c>
      <c r="BY34" s="7">
        <v>5.3526256790462677E-3</v>
      </c>
      <c r="BZ34" s="7">
        <v>2.287074843965646E-2</v>
      </c>
    </row>
    <row r="35" spans="1:78">
      <c r="A35" s="4" t="s">
        <v>137</v>
      </c>
      <c r="B35" s="7">
        <v>4.8781862469928943E-5</v>
      </c>
      <c r="C35" s="7">
        <v>6.8227728776291811E-4</v>
      </c>
      <c r="D35" s="7">
        <v>1.9104758882371111E-3</v>
      </c>
      <c r="E35" s="7">
        <v>1.6610778901829219E-3</v>
      </c>
      <c r="F35" s="7">
        <v>0</v>
      </c>
      <c r="G35" s="7">
        <v>5.7058221247678837E-4</v>
      </c>
      <c r="H35" s="7">
        <v>0</v>
      </c>
      <c r="I35" s="7">
        <v>3.4963559416096429E-4</v>
      </c>
      <c r="J35" s="7">
        <v>7.0876808006923678E-6</v>
      </c>
      <c r="K35" s="7">
        <v>9.7588048538901104E-5</v>
      </c>
      <c r="L35" s="7">
        <v>7.3455571857247964E-4</v>
      </c>
      <c r="M35" s="7">
        <v>7.2950857198667203E-5</v>
      </c>
      <c r="N35" s="7">
        <v>1.8746212279106809E-2</v>
      </c>
      <c r="O35" s="7">
        <v>7.2693878923710709E-4</v>
      </c>
      <c r="P35" s="7">
        <v>0</v>
      </c>
      <c r="Q35" s="7">
        <v>2.7601169904020349E-4</v>
      </c>
      <c r="R35" s="7">
        <v>5.9766333641154696E-4</v>
      </c>
      <c r="S35" s="7">
        <v>2.2561426116588201E-6</v>
      </c>
      <c r="T35" s="7">
        <v>8.9165681062175154E-3</v>
      </c>
      <c r="U35" s="7">
        <v>2.570231611124827E-2</v>
      </c>
      <c r="V35" s="7">
        <v>8.0395486516440552E-3</v>
      </c>
      <c r="W35" s="7">
        <v>6.5587103886616466E-4</v>
      </c>
      <c r="X35" s="7">
        <v>2.428315700950701E-3</v>
      </c>
      <c r="Y35" s="7">
        <v>5.6748082541002226E-3</v>
      </c>
      <c r="Z35" s="7">
        <v>4.9882623644511579E-3</v>
      </c>
      <c r="AA35" s="7">
        <v>7.1337023719339962E-3</v>
      </c>
      <c r="AB35" s="7">
        <v>7.342563836420915E-3</v>
      </c>
      <c r="AC35" s="7">
        <v>6.1078724843811514E-4</v>
      </c>
      <c r="AD35" s="7">
        <v>7.9607775966211342E-5</v>
      </c>
      <c r="AE35" s="7">
        <v>3.9690736373598949E-3</v>
      </c>
      <c r="AF35" s="7">
        <v>2.2843905316762031E-2</v>
      </c>
      <c r="AG35" s="7">
        <v>2.689674425207746E-6</v>
      </c>
      <c r="AH35" s="7">
        <v>4.4667851506314027E-2</v>
      </c>
      <c r="AI35" s="7">
        <v>0</v>
      </c>
      <c r="AJ35" s="7">
        <v>2.5791109403013122E-4</v>
      </c>
      <c r="AK35" s="7">
        <v>1.280267406811321E-2</v>
      </c>
      <c r="AL35" s="7">
        <v>1.8140891734659399E-2</v>
      </c>
      <c r="AM35" s="7">
        <v>1.140205479201622E-4</v>
      </c>
      <c r="AN35" s="7">
        <v>1.0549822178523601E-2</v>
      </c>
      <c r="AO35" s="7">
        <v>3.6815555373066761E-3</v>
      </c>
      <c r="AP35" s="7">
        <v>0</v>
      </c>
      <c r="AQ35" s="7">
        <v>2.6399452098471368E-4</v>
      </c>
      <c r="AR35" s="7">
        <v>0</v>
      </c>
      <c r="AS35" s="7">
        <v>1.807455358602165E-3</v>
      </c>
      <c r="AT35" s="7">
        <v>2.922834475057342E-3</v>
      </c>
      <c r="AU35" s="7">
        <v>1.227015565129436E-3</v>
      </c>
      <c r="AV35" s="7">
        <v>1.6864398436877329E-4</v>
      </c>
      <c r="AW35" s="7">
        <v>2.1235219255545292E-5</v>
      </c>
      <c r="AX35" s="7">
        <v>1.392027286745143E-5</v>
      </c>
      <c r="AY35" s="7">
        <v>0</v>
      </c>
      <c r="AZ35" s="7">
        <v>4.8267400069460328E-2</v>
      </c>
      <c r="BA35" s="7">
        <v>1.216014270586337E-3</v>
      </c>
      <c r="BB35" s="7">
        <v>2.8087555558845138E-3</v>
      </c>
      <c r="BC35" s="7">
        <v>7.3936218973596048E-4</v>
      </c>
      <c r="BD35" s="7">
        <v>5.1994266645115231E-4</v>
      </c>
      <c r="BE35" s="7">
        <v>0</v>
      </c>
      <c r="BF35" s="7">
        <v>4.7554861701370183E-5</v>
      </c>
      <c r="BG35" s="7">
        <v>1.2424615857350239E-3</v>
      </c>
      <c r="BH35" s="7">
        <v>2.3855151107979949E-3</v>
      </c>
      <c r="BI35" s="7">
        <v>2.7572490917952708E-2</v>
      </c>
      <c r="BJ35" s="7">
        <v>2.5221152047752601E-2</v>
      </c>
      <c r="BK35" s="7">
        <v>5.1496977672549299E-5</v>
      </c>
      <c r="BL35" s="7">
        <v>2.449092680795312E-4</v>
      </c>
      <c r="BM35" s="7">
        <v>0</v>
      </c>
      <c r="BN35" s="7">
        <v>9.7597425300991643E-5</v>
      </c>
      <c r="BO35" s="7">
        <v>8.4777047614221692E-3</v>
      </c>
      <c r="BP35" s="7">
        <v>1.5093686411117319E-2</v>
      </c>
      <c r="BQ35" s="7">
        <v>1.1421949346320631E-2</v>
      </c>
      <c r="BR35" s="7">
        <v>6.46659650337715E-5</v>
      </c>
      <c r="BS35" s="7">
        <v>4.7962702214152808E-4</v>
      </c>
      <c r="BT35" s="7">
        <v>1.3985604296017689E-4</v>
      </c>
      <c r="BU35" s="7">
        <v>5.3367214133624664E-4</v>
      </c>
      <c r="BV35" s="7">
        <v>1.967077218952864E-4</v>
      </c>
      <c r="BW35" s="7">
        <v>4.888376867826822E-2</v>
      </c>
      <c r="BX35" s="7">
        <v>5.5388411762333917E-2</v>
      </c>
      <c r="BY35" s="7">
        <v>1.0581562175313061E-3</v>
      </c>
      <c r="BZ35" s="7">
        <v>3.5038137009132952E-4</v>
      </c>
    </row>
    <row r="36" spans="1:78">
      <c r="A36" s="4" t="s">
        <v>139</v>
      </c>
      <c r="B36" s="7">
        <v>0</v>
      </c>
      <c r="C36" s="7">
        <v>3.0194616937420918E-6</v>
      </c>
      <c r="D36" s="7">
        <v>9.3077071315038478E-7</v>
      </c>
      <c r="E36" s="7">
        <v>2.337893164795415E-6</v>
      </c>
      <c r="F36" s="7">
        <v>0</v>
      </c>
      <c r="G36" s="7">
        <v>0</v>
      </c>
      <c r="H36" s="7">
        <v>0</v>
      </c>
      <c r="I36" s="7">
        <v>3.8120299508268038E-7</v>
      </c>
      <c r="J36" s="7">
        <v>0</v>
      </c>
      <c r="K36" s="7">
        <v>1.7852706250652989E-7</v>
      </c>
      <c r="L36" s="7">
        <v>0</v>
      </c>
      <c r="M36" s="7">
        <v>1.4877828957004831E-5</v>
      </c>
      <c r="N36" s="7">
        <v>2.516028661764634E-8</v>
      </c>
      <c r="O36" s="7">
        <v>5.2539960014521938E-6</v>
      </c>
      <c r="P36" s="7">
        <v>0</v>
      </c>
      <c r="Q36" s="7">
        <v>0</v>
      </c>
      <c r="R36" s="7">
        <v>0</v>
      </c>
      <c r="S36" s="7">
        <v>0</v>
      </c>
      <c r="T36" s="7">
        <v>1.044719093780741E-6</v>
      </c>
      <c r="U36" s="7">
        <v>3.433328853676287E-6</v>
      </c>
      <c r="V36" s="7">
        <v>1.826823910952852E-3</v>
      </c>
      <c r="W36" s="7">
        <v>0</v>
      </c>
      <c r="X36" s="7">
        <v>1.6342488275587571E-6</v>
      </c>
      <c r="Y36" s="7">
        <v>3.316365192622088E-5</v>
      </c>
      <c r="Z36" s="7">
        <v>3.9328467711302552E-6</v>
      </c>
      <c r="AA36" s="7">
        <v>2.4849143203200681E-7</v>
      </c>
      <c r="AB36" s="7">
        <v>4.1304097220069773E-5</v>
      </c>
      <c r="AC36" s="7">
        <v>0</v>
      </c>
      <c r="AD36" s="7">
        <v>3.2549225093477211E-7</v>
      </c>
      <c r="AE36" s="7">
        <v>0</v>
      </c>
      <c r="AF36" s="7">
        <v>6.7610367409098964E-6</v>
      </c>
      <c r="AG36" s="7">
        <v>8.3608580221361777E-7</v>
      </c>
      <c r="AH36" s="7">
        <v>3.2983908316291191E-7</v>
      </c>
      <c r="AI36" s="7">
        <v>4.8775175593002674E-6</v>
      </c>
      <c r="AJ36" s="7">
        <v>0</v>
      </c>
      <c r="AK36" s="7">
        <v>0</v>
      </c>
      <c r="AL36" s="7">
        <v>1.4616269785575301E-5</v>
      </c>
      <c r="AM36" s="7">
        <v>0</v>
      </c>
      <c r="AN36" s="7">
        <v>3.1352475364402298E-6</v>
      </c>
      <c r="AO36" s="7">
        <v>0</v>
      </c>
      <c r="AP36" s="7">
        <v>0</v>
      </c>
      <c r="AQ36" s="7">
        <v>2.3502923837379889E-8</v>
      </c>
      <c r="AR36" s="7">
        <v>0</v>
      </c>
      <c r="AS36" s="7">
        <v>3.5713160318500241E-6</v>
      </c>
      <c r="AT36" s="7">
        <v>0</v>
      </c>
      <c r="AU36" s="7">
        <v>0</v>
      </c>
      <c r="AV36" s="7">
        <v>5.2717906749386862E-8</v>
      </c>
      <c r="AW36" s="7">
        <v>3.223098872071749E-6</v>
      </c>
      <c r="AX36" s="7">
        <v>0</v>
      </c>
      <c r="AY36" s="7">
        <v>0</v>
      </c>
      <c r="AZ36" s="7">
        <v>0</v>
      </c>
      <c r="BA36" s="7">
        <v>0</v>
      </c>
      <c r="BB36" s="7">
        <v>3.9639556591258432E-5</v>
      </c>
      <c r="BC36" s="7">
        <v>5.9691534872450938E-5</v>
      </c>
      <c r="BD36" s="7">
        <v>1.2637746718691681E-5</v>
      </c>
      <c r="BE36" s="7">
        <v>0</v>
      </c>
      <c r="BF36" s="7">
        <v>6.6993566520738347E-6</v>
      </c>
      <c r="BG36" s="7">
        <v>3.5288847858237853E-7</v>
      </c>
      <c r="BH36" s="7">
        <v>2.7154285499023611E-6</v>
      </c>
      <c r="BI36" s="7">
        <v>8.5929282670144481E-8</v>
      </c>
      <c r="BJ36" s="7">
        <v>2.015333876424291E-7</v>
      </c>
      <c r="BK36" s="7">
        <v>0</v>
      </c>
      <c r="BL36" s="7">
        <v>2.283167433679228E-7</v>
      </c>
      <c r="BM36" s="7">
        <v>1.087161050982246E-5</v>
      </c>
      <c r="BN36" s="7">
        <v>1.0530514789767511E-6</v>
      </c>
      <c r="BO36" s="7">
        <v>2.0695385748800391E-6</v>
      </c>
      <c r="BP36" s="7">
        <v>1.8686202447774591E-6</v>
      </c>
      <c r="BQ36" s="7">
        <v>4.2682468428238094E-6</v>
      </c>
      <c r="BR36" s="7">
        <v>1.048302318013562E-6</v>
      </c>
      <c r="BS36" s="7">
        <v>1.180861952743131E-3</v>
      </c>
      <c r="BT36" s="7">
        <v>1.7488545230971301E-6</v>
      </c>
      <c r="BU36" s="7">
        <v>3.6413883748633008E-9</v>
      </c>
      <c r="BV36" s="7">
        <v>2.1109856721744471E-7</v>
      </c>
      <c r="BW36" s="7">
        <v>9.945248947422692E-5</v>
      </c>
      <c r="BX36" s="7">
        <v>0</v>
      </c>
      <c r="BY36" s="7">
        <v>9.3922768610109298E-6</v>
      </c>
      <c r="BZ36" s="7">
        <v>4.034411924107842E-6</v>
      </c>
    </row>
    <row r="37" spans="1:78">
      <c r="A37" s="4" t="s">
        <v>141</v>
      </c>
      <c r="B37" s="7">
        <v>1.5060264126028091E-3</v>
      </c>
      <c r="C37" s="7">
        <v>4.7559603498120492E-3</v>
      </c>
      <c r="D37" s="7">
        <v>5.2672975458409486E-3</v>
      </c>
      <c r="E37" s="7">
        <v>2.4581185622582018E-3</v>
      </c>
      <c r="F37" s="7">
        <v>0</v>
      </c>
      <c r="G37" s="7">
        <v>7.5488517825409861E-4</v>
      </c>
      <c r="H37" s="7">
        <v>1.455054772839711E-3</v>
      </c>
      <c r="I37" s="7">
        <v>5.7916372968621276E-4</v>
      </c>
      <c r="J37" s="7">
        <v>5.4993096438647541E-7</v>
      </c>
      <c r="K37" s="7">
        <v>3.0976849843186581E-3</v>
      </c>
      <c r="L37" s="7">
        <v>5.317259027558377E-3</v>
      </c>
      <c r="M37" s="7">
        <v>3.7157634573522832E-3</v>
      </c>
      <c r="N37" s="7">
        <v>1.16206080261221E-2</v>
      </c>
      <c r="O37" s="7">
        <v>4.4392066250357098E-4</v>
      </c>
      <c r="P37" s="7">
        <v>1.612477309430939E-3</v>
      </c>
      <c r="Q37" s="7">
        <v>2.4129024531089919E-3</v>
      </c>
      <c r="R37" s="7">
        <v>4.6719765981806253E-3</v>
      </c>
      <c r="S37" s="7">
        <v>4.5629561112221682E-2</v>
      </c>
      <c r="T37" s="7">
        <v>2.355531866702519E-4</v>
      </c>
      <c r="U37" s="7">
        <v>1.201763148645842E-3</v>
      </c>
      <c r="V37" s="7">
        <v>7.0122028471771777E-3</v>
      </c>
      <c r="W37" s="7">
        <v>9.4449558904521526E-7</v>
      </c>
      <c r="X37" s="7">
        <v>3.602802298340551E-3</v>
      </c>
      <c r="Y37" s="7">
        <v>4.5461837218293102E-4</v>
      </c>
      <c r="Z37" s="7">
        <v>4.9381759932375828E-4</v>
      </c>
      <c r="AA37" s="7">
        <v>4.0276057596655892E-3</v>
      </c>
      <c r="AB37" s="7">
        <v>5.8991649521734912E-3</v>
      </c>
      <c r="AC37" s="7">
        <v>6.0247710533342692E-3</v>
      </c>
      <c r="AD37" s="7">
        <v>3.9738570906495832E-4</v>
      </c>
      <c r="AE37" s="7">
        <v>1.3060742304594209E-2</v>
      </c>
      <c r="AF37" s="7">
        <v>2.076658698230518E-3</v>
      </c>
      <c r="AG37" s="7">
        <v>2.416719035518982E-5</v>
      </c>
      <c r="AH37" s="7">
        <v>5.7665951000049204E-3</v>
      </c>
      <c r="AI37" s="7">
        <v>0.71301950105598133</v>
      </c>
      <c r="AJ37" s="7">
        <v>2.3474487023588449E-3</v>
      </c>
      <c r="AK37" s="7">
        <v>0</v>
      </c>
      <c r="AL37" s="7">
        <v>1.621178913414648E-3</v>
      </c>
      <c r="AM37" s="7">
        <v>3.3238412876771938E-3</v>
      </c>
      <c r="AN37" s="7">
        <v>4.6607408701297296E-3</v>
      </c>
      <c r="AO37" s="7">
        <v>1.2263490535160031E-3</v>
      </c>
      <c r="AP37" s="7">
        <v>2.6927581571019171E-5</v>
      </c>
      <c r="AQ37" s="7">
        <v>5.0702041738545504E-4</v>
      </c>
      <c r="AR37" s="7">
        <v>5.0509353932617291E-5</v>
      </c>
      <c r="AS37" s="7">
        <v>3.4905183857131307E-5</v>
      </c>
      <c r="AT37" s="7">
        <v>5.1815651886307913E-2</v>
      </c>
      <c r="AU37" s="7">
        <v>6.9099505237019587E-4</v>
      </c>
      <c r="AV37" s="7">
        <v>4.8869524952973196E-3</v>
      </c>
      <c r="AW37" s="7">
        <v>4.2607961341742861E-3</v>
      </c>
      <c r="AX37" s="7">
        <v>4.0148243074861213E-5</v>
      </c>
      <c r="AY37" s="7">
        <v>2.2676760821290741E-2</v>
      </c>
      <c r="AZ37" s="7">
        <v>1.4531970887210561E-4</v>
      </c>
      <c r="BA37" s="7">
        <v>4.2015509907624928E-4</v>
      </c>
      <c r="BB37" s="7">
        <v>7.4019879395230961E-3</v>
      </c>
      <c r="BC37" s="7">
        <v>1.2748845006725581E-3</v>
      </c>
      <c r="BD37" s="7">
        <v>4.1991281989041482E-3</v>
      </c>
      <c r="BE37" s="7">
        <v>3.5043730026666688E-4</v>
      </c>
      <c r="BF37" s="7">
        <v>7.6001629233769016E-3</v>
      </c>
      <c r="BG37" s="7">
        <v>3.5777811844015738E-3</v>
      </c>
      <c r="BH37" s="7">
        <v>3.4573554328865309E-3</v>
      </c>
      <c r="BI37" s="7">
        <v>1.8377902036078629E-4</v>
      </c>
      <c r="BJ37" s="7">
        <v>7.8392769809587474E-4</v>
      </c>
      <c r="BK37" s="7">
        <v>6.6278724026257022E-4</v>
      </c>
      <c r="BL37" s="7">
        <v>0</v>
      </c>
      <c r="BM37" s="7">
        <v>0</v>
      </c>
      <c r="BN37" s="7">
        <v>4.2906369448798099E-4</v>
      </c>
      <c r="BO37" s="7">
        <v>1.0867656613813221E-3</v>
      </c>
      <c r="BP37" s="7">
        <v>1.4439468127469589E-2</v>
      </c>
      <c r="BQ37" s="7">
        <v>2.8524081014811792E-3</v>
      </c>
      <c r="BR37" s="7">
        <v>1.7635965798355E-3</v>
      </c>
      <c r="BS37" s="7">
        <v>0</v>
      </c>
      <c r="BT37" s="7">
        <v>1.229874127436679E-3</v>
      </c>
      <c r="BU37" s="7">
        <v>1.3896700517146889E-3</v>
      </c>
      <c r="BV37" s="7">
        <v>3.6042224335825152E-3</v>
      </c>
      <c r="BW37" s="7">
        <v>2.7301398189674558E-2</v>
      </c>
      <c r="BX37" s="7">
        <v>2.1859748442642081E-2</v>
      </c>
      <c r="BY37" s="7">
        <v>5.643656775531981E-3</v>
      </c>
      <c r="BZ37" s="7">
        <v>2.7775364541794711E-3</v>
      </c>
    </row>
    <row r="38" spans="1:78">
      <c r="A38" s="4" t="s">
        <v>143</v>
      </c>
      <c r="B38" s="7">
        <v>1.246246468486467E-2</v>
      </c>
      <c r="C38" s="7">
        <v>1.1806045244900341E-2</v>
      </c>
      <c r="D38" s="7">
        <v>6.5057180011369184E-3</v>
      </c>
      <c r="E38" s="7">
        <v>2.352286277447178E-3</v>
      </c>
      <c r="F38" s="7">
        <v>5.4004570449186738E-3</v>
      </c>
      <c r="G38" s="7">
        <v>2.8171464301960939E-2</v>
      </c>
      <c r="H38" s="7">
        <v>8.9917958531711521E-3</v>
      </c>
      <c r="I38" s="7">
        <v>4.5272203890639982E-3</v>
      </c>
      <c r="J38" s="7">
        <v>9.8465733169613972E-3</v>
      </c>
      <c r="K38" s="7">
        <v>2.477209631574699E-3</v>
      </c>
      <c r="L38" s="7">
        <v>1.8248865271556738E-2</v>
      </c>
      <c r="M38" s="7">
        <v>2.9782003352606359E-2</v>
      </c>
      <c r="N38" s="7">
        <v>4.8491494502064911E-4</v>
      </c>
      <c r="O38" s="7">
        <v>2.694918027176221E-2</v>
      </c>
      <c r="P38" s="7">
        <v>8.1162384518577609E-3</v>
      </c>
      <c r="Q38" s="7">
        <v>2.3798895829608101E-2</v>
      </c>
      <c r="R38" s="7">
        <v>3.306173903066781E-3</v>
      </c>
      <c r="S38" s="7">
        <v>8.3536124062097858E-2</v>
      </c>
      <c r="T38" s="7">
        <v>5.0783829021000754E-3</v>
      </c>
      <c r="U38" s="7">
        <v>4.2014743770175467E-3</v>
      </c>
      <c r="V38" s="7">
        <v>1.0909686814580381E-2</v>
      </c>
      <c r="W38" s="7">
        <v>5.9657433893352367E-2</v>
      </c>
      <c r="X38" s="7">
        <v>3.4360993361768379E-2</v>
      </c>
      <c r="Y38" s="7">
        <v>6.0619400091585307E-3</v>
      </c>
      <c r="Z38" s="7">
        <v>6.5484357995407591E-3</v>
      </c>
      <c r="AA38" s="7">
        <v>1.7761090721784761E-2</v>
      </c>
      <c r="AB38" s="7">
        <v>1.151739919267687E-2</v>
      </c>
      <c r="AC38" s="7">
        <v>9.7195514038142611E-2</v>
      </c>
      <c r="AD38" s="7">
        <v>3.3963775149567868E-4</v>
      </c>
      <c r="AE38" s="7">
        <v>0.24009189408674639</v>
      </c>
      <c r="AF38" s="7">
        <v>5.2271162674834941E-3</v>
      </c>
      <c r="AG38" s="7">
        <v>3.9977141807927708E-4</v>
      </c>
      <c r="AH38" s="7">
        <v>9.2694454506907177E-4</v>
      </c>
      <c r="AI38" s="7">
        <v>7.1645260860743443E-4</v>
      </c>
      <c r="AJ38" s="7">
        <v>5.1357412054810189E-2</v>
      </c>
      <c r="AK38" s="7">
        <v>4.6170186971445804E-3</v>
      </c>
      <c r="AL38" s="7">
        <v>0</v>
      </c>
      <c r="AM38" s="7">
        <v>0.1999016138345614</v>
      </c>
      <c r="AN38" s="7">
        <v>1.4991627850887961E-4</v>
      </c>
      <c r="AO38" s="7">
        <v>1.177728616586507E-2</v>
      </c>
      <c r="AP38" s="7">
        <v>1.2103078483627861E-4</v>
      </c>
      <c r="AQ38" s="7">
        <v>2.6085196982788341E-4</v>
      </c>
      <c r="AR38" s="7">
        <v>0</v>
      </c>
      <c r="AS38" s="7">
        <v>1.801168160353327E-2</v>
      </c>
      <c r="AT38" s="7">
        <v>0.1236170533960822</v>
      </c>
      <c r="AU38" s="7">
        <v>7.7331384516641398E-3</v>
      </c>
      <c r="AV38" s="7">
        <v>2.0251986379032451E-2</v>
      </c>
      <c r="AW38" s="7">
        <v>1.0838886560537409E-3</v>
      </c>
      <c r="AX38" s="7">
        <v>0.2464349192483532</v>
      </c>
      <c r="AY38" s="7">
        <v>7.4738328539934197E-4</v>
      </c>
      <c r="AZ38" s="7">
        <v>1.0330196178100409E-2</v>
      </c>
      <c r="BA38" s="7">
        <v>6.1027870382326889E-3</v>
      </c>
      <c r="BB38" s="7">
        <v>6.2349816993497774E-3</v>
      </c>
      <c r="BC38" s="7">
        <v>1.0990152794333579E-2</v>
      </c>
      <c r="BD38" s="7">
        <v>2.0377029033128779E-2</v>
      </c>
      <c r="BE38" s="7">
        <v>1.373968281392356E-2</v>
      </c>
      <c r="BF38" s="7">
        <v>4.6464340278404459E-2</v>
      </c>
      <c r="BG38" s="7">
        <v>1.033704020270982E-2</v>
      </c>
      <c r="BH38" s="7">
        <v>1.1250294427354439E-2</v>
      </c>
      <c r="BI38" s="7">
        <v>1.1556409516556581E-2</v>
      </c>
      <c r="BJ38" s="7">
        <v>3.5549290368008697E-2</v>
      </c>
      <c r="BK38" s="7">
        <v>1.336132064106429E-2</v>
      </c>
      <c r="BL38" s="7">
        <v>5.2477797970289029E-2</v>
      </c>
      <c r="BM38" s="7">
        <v>2.746032139018037E-2</v>
      </c>
      <c r="BN38" s="7">
        <v>6.6641836047053541E-3</v>
      </c>
      <c r="BO38" s="7">
        <v>8.1742938867294702E-3</v>
      </c>
      <c r="BP38" s="7">
        <v>2.7277801917184739E-2</v>
      </c>
      <c r="BQ38" s="7">
        <v>9.6363589469371218E-3</v>
      </c>
      <c r="BR38" s="7">
        <v>4.3143895591867413E-3</v>
      </c>
      <c r="BS38" s="7">
        <v>4.9351358301247428E-2</v>
      </c>
      <c r="BT38" s="7">
        <v>2.488366558779995E-2</v>
      </c>
      <c r="BU38" s="7">
        <v>5.1372423844835537E-3</v>
      </c>
      <c r="BV38" s="7">
        <v>1.511674773988257E-2</v>
      </c>
      <c r="BW38" s="7">
        <v>1.6956727787802561E-3</v>
      </c>
      <c r="BX38" s="7">
        <v>1.4784455704770801E-4</v>
      </c>
      <c r="BY38" s="7">
        <v>2.2079250712455822E-2</v>
      </c>
      <c r="BZ38" s="7">
        <v>3.4899633861781312E-2</v>
      </c>
    </row>
    <row r="39" spans="1:78">
      <c r="A39" s="4" t="s">
        <v>145</v>
      </c>
      <c r="B39" s="7">
        <v>0</v>
      </c>
      <c r="C39" s="7">
        <v>2.496267199300378E-5</v>
      </c>
      <c r="D39" s="7">
        <v>3.4164625324216969E-7</v>
      </c>
      <c r="E39" s="7">
        <v>1.091431307007891E-7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1.1788281111196321E-4</v>
      </c>
      <c r="M39" s="7">
        <v>2.398207974306709E-6</v>
      </c>
      <c r="N39" s="7">
        <v>5.3664679017931553E-8</v>
      </c>
      <c r="O39" s="7">
        <v>0</v>
      </c>
      <c r="P39" s="7">
        <v>0</v>
      </c>
      <c r="Q39" s="7">
        <v>0</v>
      </c>
      <c r="R39" s="7">
        <v>1.668726114336968E-8</v>
      </c>
      <c r="S39" s="7">
        <v>0</v>
      </c>
      <c r="T39" s="7">
        <v>2.496873795233267E-6</v>
      </c>
      <c r="U39" s="7">
        <v>8.5278819159892295E-5</v>
      </c>
      <c r="V39" s="7">
        <v>0</v>
      </c>
      <c r="W39" s="7">
        <v>4.7019129185445691E-8</v>
      </c>
      <c r="X39" s="7">
        <v>1.3920446091033779E-6</v>
      </c>
      <c r="Y39" s="7">
        <v>0</v>
      </c>
      <c r="Z39" s="7">
        <v>7.7713043652485018E-6</v>
      </c>
      <c r="AA39" s="7">
        <v>6.6915701104313539E-6</v>
      </c>
      <c r="AB39" s="7">
        <v>1.8842780699918131E-4</v>
      </c>
      <c r="AC39" s="7">
        <v>5.4783461009885608E-6</v>
      </c>
      <c r="AD39" s="7">
        <v>0</v>
      </c>
      <c r="AE39" s="7">
        <v>0</v>
      </c>
      <c r="AF39" s="7">
        <v>1.9235480284317929E-8</v>
      </c>
      <c r="AG39" s="7">
        <v>0</v>
      </c>
      <c r="AH39" s="7">
        <v>8.6361432987725283E-7</v>
      </c>
      <c r="AI39" s="7">
        <v>1.4954471809197509E-7</v>
      </c>
      <c r="AJ39" s="7">
        <v>0</v>
      </c>
      <c r="AK39" s="7">
        <v>1.6044509418517969E-5</v>
      </c>
      <c r="AL39" s="7">
        <v>7.6884119023037779E-7</v>
      </c>
      <c r="AM39" s="7">
        <v>0</v>
      </c>
      <c r="AN39" s="7">
        <v>3.4282569734145811E-7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9.0567670523439567E-7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5.5963701946003282E-6</v>
      </c>
      <c r="BI39" s="7">
        <v>1.7548921013381261E-7</v>
      </c>
      <c r="BJ39" s="7">
        <v>0</v>
      </c>
      <c r="BK39" s="7">
        <v>0</v>
      </c>
      <c r="BL39" s="7">
        <v>2.0881843891511461E-4</v>
      </c>
      <c r="BM39" s="7">
        <v>0</v>
      </c>
      <c r="BN39" s="7">
        <v>5.7600646963655567E-7</v>
      </c>
      <c r="BO39" s="7">
        <v>0</v>
      </c>
      <c r="BP39" s="7">
        <v>3.408339939388848E-6</v>
      </c>
      <c r="BQ39" s="7">
        <v>8.5364899853517833E-7</v>
      </c>
      <c r="BR39" s="7">
        <v>6.9226661907024204E-8</v>
      </c>
      <c r="BS39" s="7">
        <v>0</v>
      </c>
      <c r="BT39" s="7">
        <v>0</v>
      </c>
      <c r="BU39" s="7">
        <v>3.5553714878267451E-6</v>
      </c>
      <c r="BV39" s="7">
        <v>0</v>
      </c>
      <c r="BW39" s="7">
        <v>5.796517824413766E-6</v>
      </c>
      <c r="BX39" s="7">
        <v>0</v>
      </c>
      <c r="BY39" s="7">
        <v>1.131415415398089E-5</v>
      </c>
      <c r="BZ39" s="7">
        <v>4.6222341299375367E-6</v>
      </c>
    </row>
    <row r="40" spans="1:78">
      <c r="A40" s="4" t="s">
        <v>147</v>
      </c>
      <c r="B40" s="7">
        <v>7.2822757820809617E-2</v>
      </c>
      <c r="C40" s="7">
        <v>1.8471285062532952E-2</v>
      </c>
      <c r="D40" s="7">
        <v>2.0513264604479459E-2</v>
      </c>
      <c r="E40" s="7">
        <v>3.8769417823463923E-2</v>
      </c>
      <c r="F40" s="7">
        <v>6.7341113389291236E-3</v>
      </c>
      <c r="G40" s="7">
        <v>3.684774084950776E-3</v>
      </c>
      <c r="H40" s="7">
        <v>0</v>
      </c>
      <c r="I40" s="7">
        <v>3.5115416554537697E-2</v>
      </c>
      <c r="J40" s="7">
        <v>8.4294105740182913E-3</v>
      </c>
      <c r="K40" s="7">
        <v>2.4640308322023349E-2</v>
      </c>
      <c r="L40" s="7">
        <v>1.722426713233885E-2</v>
      </c>
      <c r="M40" s="7">
        <v>1.6720803526864399E-2</v>
      </c>
      <c r="N40" s="7">
        <v>5.8224252747251813E-2</v>
      </c>
      <c r="O40" s="7">
        <v>6.1285697060794774E-3</v>
      </c>
      <c r="P40" s="7">
        <v>0</v>
      </c>
      <c r="Q40" s="7">
        <v>1.9437332703949761E-2</v>
      </c>
      <c r="R40" s="7">
        <v>7.5567549636807512E-3</v>
      </c>
      <c r="S40" s="7">
        <v>7.7026931849104021E-3</v>
      </c>
      <c r="T40" s="7">
        <v>3.1960884372943622E-2</v>
      </c>
      <c r="U40" s="7">
        <v>3.7916833838393608E-2</v>
      </c>
      <c r="V40" s="7">
        <v>2.6890926551666489E-3</v>
      </c>
      <c r="W40" s="7">
        <v>1.031170962598001E-2</v>
      </c>
      <c r="X40" s="7">
        <v>4.3029318195280303E-2</v>
      </c>
      <c r="Y40" s="7">
        <v>5.8687538553355029E-3</v>
      </c>
      <c r="Z40" s="7">
        <v>1.129020152773889E-2</v>
      </c>
      <c r="AA40" s="7">
        <v>2.3303602165340859E-2</v>
      </c>
      <c r="AB40" s="7">
        <v>2.5190478338200602E-2</v>
      </c>
      <c r="AC40" s="7">
        <v>2.4004867179071221E-3</v>
      </c>
      <c r="AD40" s="7">
        <v>2.800405687676652E-2</v>
      </c>
      <c r="AE40" s="7">
        <v>8.2996748741867837E-4</v>
      </c>
      <c r="AF40" s="7">
        <v>1.2437562559490221E-2</v>
      </c>
      <c r="AG40" s="7">
        <v>6.5773004023594747E-2</v>
      </c>
      <c r="AH40" s="7">
        <v>1.8378023364711261E-2</v>
      </c>
      <c r="AI40" s="7">
        <v>4.0824238170607749E-3</v>
      </c>
      <c r="AJ40" s="7">
        <v>3.0948986088187341E-2</v>
      </c>
      <c r="AK40" s="7">
        <v>3.3503469009457929E-3</v>
      </c>
      <c r="AL40" s="7">
        <v>1.217695603265794E-2</v>
      </c>
      <c r="AM40" s="7">
        <v>1.4345779877752769E-2</v>
      </c>
      <c r="AN40" s="7">
        <v>0</v>
      </c>
      <c r="AO40" s="7">
        <v>2.38297071323809E-3</v>
      </c>
      <c r="AP40" s="7">
        <v>5.0431252747173243E-2</v>
      </c>
      <c r="AQ40" s="7">
        <v>8.6888481266454043E-2</v>
      </c>
      <c r="AR40" s="7">
        <v>5.2507423159225345E-4</v>
      </c>
      <c r="AS40" s="7">
        <v>1.1753714681542939E-3</v>
      </c>
      <c r="AT40" s="7">
        <v>3.6653486479371132E-2</v>
      </c>
      <c r="AU40" s="7">
        <v>7.7030357599201641E-4</v>
      </c>
      <c r="AV40" s="7">
        <v>2.0892269340641659E-2</v>
      </c>
      <c r="AW40" s="7">
        <v>2.1954955167182669E-2</v>
      </c>
      <c r="AX40" s="7">
        <v>2.0223287622125451E-2</v>
      </c>
      <c r="AY40" s="7">
        <v>4.208563683815543E-2</v>
      </c>
      <c r="AZ40" s="7">
        <v>6.7634283627306072E-2</v>
      </c>
      <c r="BA40" s="7">
        <v>5.4786720494199041E-4</v>
      </c>
      <c r="BB40" s="7">
        <v>1.203375120941969E-2</v>
      </c>
      <c r="BC40" s="7">
        <v>7.4595017400685753E-3</v>
      </c>
      <c r="BD40" s="7">
        <v>3.1832910203009768E-2</v>
      </c>
      <c r="BE40" s="7">
        <v>4.6666939029052397E-2</v>
      </c>
      <c r="BF40" s="7">
        <v>1.8196677102449991E-2</v>
      </c>
      <c r="BG40" s="7">
        <v>9.7155352208666279E-2</v>
      </c>
      <c r="BH40" s="7">
        <v>2.0919511242281811E-2</v>
      </c>
      <c r="BI40" s="7">
        <v>4.1307608178482516E-3</v>
      </c>
      <c r="BJ40" s="7">
        <v>2.4169348463052389E-3</v>
      </c>
      <c r="BK40" s="7">
        <v>1.2616632935346929E-2</v>
      </c>
      <c r="BL40" s="7">
        <v>2.6215029500724941E-2</v>
      </c>
      <c r="BM40" s="7">
        <v>3.146297380618837E-3</v>
      </c>
      <c r="BN40" s="7">
        <v>4.1070040493014819E-2</v>
      </c>
      <c r="BO40" s="7">
        <v>3.3123042059673119E-2</v>
      </c>
      <c r="BP40" s="7">
        <v>2.462047183003126E-2</v>
      </c>
      <c r="BQ40" s="7">
        <v>2.7966160233004259E-3</v>
      </c>
      <c r="BR40" s="7">
        <v>0.14101844450654441</v>
      </c>
      <c r="BS40" s="7">
        <v>1.2555143050795629E-2</v>
      </c>
      <c r="BT40" s="7">
        <v>3.6173574292495937E-2</v>
      </c>
      <c r="BU40" s="7">
        <v>0.12698942882508471</v>
      </c>
      <c r="BV40" s="7">
        <v>1.181299408206879E-2</v>
      </c>
      <c r="BW40" s="7">
        <v>2.7795606483245212E-2</v>
      </c>
      <c r="BX40" s="7">
        <v>7.855631950801148E-2</v>
      </c>
      <c r="BY40" s="7">
        <v>3.8679676451966377E-2</v>
      </c>
      <c r="BZ40" s="7">
        <v>1.553965880791435E-2</v>
      </c>
    </row>
    <row r="41" spans="1:78">
      <c r="A41" s="4" t="s">
        <v>149</v>
      </c>
      <c r="B41" s="7">
        <v>0</v>
      </c>
      <c r="C41" s="7">
        <v>1.1066984043744471E-6</v>
      </c>
      <c r="D41" s="7">
        <v>3.0317530733521039E-7</v>
      </c>
      <c r="E41" s="7">
        <v>8.4923278104164355E-8</v>
      </c>
      <c r="F41" s="7">
        <v>0</v>
      </c>
      <c r="G41" s="7">
        <v>7.883210460336389E-8</v>
      </c>
      <c r="H41" s="7">
        <v>1.6676898913051141E-2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4.2012855162870741E-8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2.8428553385650083E-7</v>
      </c>
      <c r="U41" s="7">
        <v>1.432236624544327E-7</v>
      </c>
      <c r="V41" s="7">
        <v>0</v>
      </c>
      <c r="W41" s="7">
        <v>0</v>
      </c>
      <c r="X41" s="7">
        <v>0</v>
      </c>
      <c r="Y41" s="7">
        <v>0</v>
      </c>
      <c r="Z41" s="7">
        <v>2.4147680549118251E-7</v>
      </c>
      <c r="AA41" s="7">
        <v>3.3207896613331353E-5</v>
      </c>
      <c r="AB41" s="7">
        <v>0</v>
      </c>
      <c r="AC41" s="7">
        <v>0</v>
      </c>
      <c r="AD41" s="7">
        <v>2.2528246374434161E-8</v>
      </c>
      <c r="AE41" s="7">
        <v>1.2394974423815389E-7</v>
      </c>
      <c r="AF41" s="7">
        <v>5.2660645963738204E-6</v>
      </c>
      <c r="AG41" s="7">
        <v>0</v>
      </c>
      <c r="AH41" s="7">
        <v>1.7077143508640491E-7</v>
      </c>
      <c r="AI41" s="7">
        <v>0</v>
      </c>
      <c r="AJ41" s="7">
        <v>0</v>
      </c>
      <c r="AK41" s="7">
        <v>0</v>
      </c>
      <c r="AL41" s="7">
        <v>1.2539835106020099E-4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7.8695105159352916E-7</v>
      </c>
      <c r="AT41" s="7">
        <v>0</v>
      </c>
      <c r="AU41" s="7">
        <v>9.6334876979971041E-5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4.5142703513335894E-6</v>
      </c>
      <c r="BC41" s="7">
        <v>9.3935855623295493E-6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6.7774909400597268E-8</v>
      </c>
      <c r="BJ41" s="7">
        <v>0</v>
      </c>
      <c r="BK41" s="7">
        <v>2.1164069711217339E-2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4.2682480762557542E-7</v>
      </c>
      <c r="BR41" s="7">
        <v>0</v>
      </c>
      <c r="BS41" s="7">
        <v>0</v>
      </c>
      <c r="BT41" s="7">
        <v>0</v>
      </c>
      <c r="BU41" s="7">
        <v>2.7037390024872468E-7</v>
      </c>
      <c r="BV41" s="7">
        <v>0</v>
      </c>
      <c r="BW41" s="7">
        <v>9.6146627133656456E-8</v>
      </c>
      <c r="BX41" s="7">
        <v>0</v>
      </c>
      <c r="BY41" s="7">
        <v>0</v>
      </c>
      <c r="BZ41" s="7">
        <v>1.9344339014049731E-4</v>
      </c>
    </row>
    <row r="42" spans="1:78">
      <c r="A42" s="4" t="s">
        <v>151</v>
      </c>
      <c r="B42" s="7">
        <v>0</v>
      </c>
      <c r="C42" s="7">
        <v>1.5009576870585891E-6</v>
      </c>
      <c r="D42" s="7">
        <v>2.2966752297546922E-9</v>
      </c>
      <c r="E42" s="7">
        <v>2.9543907752760791E-6</v>
      </c>
      <c r="F42" s="7">
        <v>0</v>
      </c>
      <c r="G42" s="7">
        <v>0</v>
      </c>
      <c r="H42" s="7">
        <v>0</v>
      </c>
      <c r="I42" s="7">
        <v>1.0896893633236759E-5</v>
      </c>
      <c r="J42" s="7">
        <v>0</v>
      </c>
      <c r="K42" s="7">
        <v>1.273492734114405E-6</v>
      </c>
      <c r="L42" s="7">
        <v>2.2147186220366881E-6</v>
      </c>
      <c r="M42" s="7">
        <v>0</v>
      </c>
      <c r="N42" s="7">
        <v>1.4275801652725941E-6</v>
      </c>
      <c r="O42" s="7">
        <v>0</v>
      </c>
      <c r="P42" s="7">
        <v>0</v>
      </c>
      <c r="Q42" s="7">
        <v>9.354939977007509E-7</v>
      </c>
      <c r="R42" s="7">
        <v>9.6232754676530846E-8</v>
      </c>
      <c r="S42" s="7">
        <v>0</v>
      </c>
      <c r="T42" s="7">
        <v>2.1293591348689911E-6</v>
      </c>
      <c r="U42" s="7">
        <v>1.7739588628830871E-8</v>
      </c>
      <c r="V42" s="7">
        <v>7.0364527818493822E-4</v>
      </c>
      <c r="W42" s="7">
        <v>0</v>
      </c>
      <c r="X42" s="7">
        <v>4.2835879120494731E-4</v>
      </c>
      <c r="Y42" s="7">
        <v>0</v>
      </c>
      <c r="Z42" s="7">
        <v>0</v>
      </c>
      <c r="AA42" s="7">
        <v>5.5041059834942884E-6</v>
      </c>
      <c r="AB42" s="7">
        <v>5.1149282841465277E-5</v>
      </c>
      <c r="AC42" s="7">
        <v>0</v>
      </c>
      <c r="AD42" s="7">
        <v>5.0588997364386587E-6</v>
      </c>
      <c r="AE42" s="7">
        <v>0</v>
      </c>
      <c r="AF42" s="7">
        <v>5.7523469211224923E-8</v>
      </c>
      <c r="AG42" s="7">
        <v>1.9132925719252901E-8</v>
      </c>
      <c r="AH42" s="7">
        <v>2.1519271536028771E-5</v>
      </c>
      <c r="AI42" s="7">
        <v>2.8919412314347821E-7</v>
      </c>
      <c r="AJ42" s="7">
        <v>0</v>
      </c>
      <c r="AK42" s="7">
        <v>0</v>
      </c>
      <c r="AL42" s="7">
        <v>5.4571472558281168E-7</v>
      </c>
      <c r="AM42" s="7">
        <v>0</v>
      </c>
      <c r="AN42" s="7">
        <v>1.9473586554047509E-7</v>
      </c>
      <c r="AO42" s="7">
        <v>0</v>
      </c>
      <c r="AP42" s="7">
        <v>0</v>
      </c>
      <c r="AQ42" s="7">
        <v>6.5111571378589159E-9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3.1177029873234959E-5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6.0890447744914911E-7</v>
      </c>
      <c r="BH42" s="7">
        <v>9.9175622713745831E-7</v>
      </c>
      <c r="BI42" s="7">
        <v>0</v>
      </c>
      <c r="BJ42" s="7">
        <v>2.7298874249613941E-5</v>
      </c>
      <c r="BK42" s="7">
        <v>0</v>
      </c>
      <c r="BL42" s="7">
        <v>0</v>
      </c>
      <c r="BM42" s="7">
        <v>0</v>
      </c>
      <c r="BN42" s="7">
        <v>2.8459771177599679E-8</v>
      </c>
      <c r="BO42" s="7">
        <v>2.0072173260161959E-8</v>
      </c>
      <c r="BP42" s="7">
        <v>0</v>
      </c>
      <c r="BQ42" s="7">
        <v>1.2588778929185889E-3</v>
      </c>
      <c r="BR42" s="7">
        <v>4.4113011614022118E-5</v>
      </c>
      <c r="BS42" s="7">
        <v>0</v>
      </c>
      <c r="BT42" s="7">
        <v>0</v>
      </c>
      <c r="BU42" s="7">
        <v>3.9892589098558261E-7</v>
      </c>
      <c r="BV42" s="7">
        <v>0</v>
      </c>
      <c r="BW42" s="7">
        <v>1.1942451637912831E-5</v>
      </c>
      <c r="BX42" s="7">
        <v>3.16571985950042E-6</v>
      </c>
      <c r="BY42" s="7">
        <v>0</v>
      </c>
      <c r="BZ42" s="7">
        <v>6.7988388623428681E-7</v>
      </c>
    </row>
    <row r="43" spans="1:78">
      <c r="A43" s="4" t="s">
        <v>153</v>
      </c>
      <c r="B43" s="7">
        <v>2.0009855575999078E-2</v>
      </c>
      <c r="C43" s="7">
        <v>4.0054625728988998E-2</v>
      </c>
      <c r="D43" s="7">
        <v>3.5531055054240417E-2</v>
      </c>
      <c r="E43" s="7">
        <v>9.0900446202271407E-3</v>
      </c>
      <c r="F43" s="7">
        <v>1.916695706715002E-3</v>
      </c>
      <c r="G43" s="7">
        <v>3.6473418935136691E-4</v>
      </c>
      <c r="H43" s="7">
        <v>1.005774702629555E-4</v>
      </c>
      <c r="I43" s="7">
        <v>0.18959955144779519</v>
      </c>
      <c r="J43" s="7">
        <v>3.097056752408585E-3</v>
      </c>
      <c r="K43" s="7">
        <v>5.7168996992169749E-2</v>
      </c>
      <c r="L43" s="7">
        <v>2.188833199001116E-2</v>
      </c>
      <c r="M43" s="7">
        <v>1.200319827901586E-2</v>
      </c>
      <c r="N43" s="7">
        <v>0.22854267498573899</v>
      </c>
      <c r="O43" s="7">
        <v>2.0395916509316401E-3</v>
      </c>
      <c r="P43" s="7">
        <v>0</v>
      </c>
      <c r="Q43" s="7">
        <v>1.579855217425883E-2</v>
      </c>
      <c r="R43" s="7">
        <v>5.7605132730104633E-3</v>
      </c>
      <c r="S43" s="7">
        <v>3.091455489168483E-3</v>
      </c>
      <c r="T43" s="7">
        <v>3.6571481356738628E-2</v>
      </c>
      <c r="U43" s="7">
        <v>4.3559174095051792E-2</v>
      </c>
      <c r="V43" s="7">
        <v>2.093800776489085E-2</v>
      </c>
      <c r="W43" s="7">
        <v>0.20207872905453431</v>
      </c>
      <c r="X43" s="7">
        <v>5.3019808774576998E-3</v>
      </c>
      <c r="Y43" s="7">
        <v>3.8095944931512617E-2</v>
      </c>
      <c r="Z43" s="7">
        <v>3.5437739940725917E-2</v>
      </c>
      <c r="AA43" s="7">
        <v>5.2318607276524459E-2</v>
      </c>
      <c r="AB43" s="7">
        <v>6.0256682191687089E-2</v>
      </c>
      <c r="AC43" s="7">
        <v>7.9705990429963661E-4</v>
      </c>
      <c r="AD43" s="7">
        <v>8.904323999633873E-2</v>
      </c>
      <c r="AE43" s="7">
        <v>4.3684397132952269E-4</v>
      </c>
      <c r="AF43" s="7">
        <v>3.2939134354231403E-2</v>
      </c>
      <c r="AG43" s="7">
        <v>0.21354736487883971</v>
      </c>
      <c r="AH43" s="7">
        <v>0.13817211602513349</v>
      </c>
      <c r="AI43" s="7">
        <v>2.2896208109089949E-3</v>
      </c>
      <c r="AJ43" s="7">
        <v>1.0423268670711271E-2</v>
      </c>
      <c r="AK43" s="7">
        <v>4.8793042037441427E-2</v>
      </c>
      <c r="AL43" s="7">
        <v>7.6338241312013666E-3</v>
      </c>
      <c r="AM43" s="7">
        <v>1.6456358057615049E-2</v>
      </c>
      <c r="AN43" s="7">
        <v>6.9547259945081E-2</v>
      </c>
      <c r="AO43" s="7">
        <v>0.12627023677529939</v>
      </c>
      <c r="AP43" s="7">
        <v>1.0940805891034531E-2</v>
      </c>
      <c r="AQ43" s="7">
        <v>0</v>
      </c>
      <c r="AR43" s="7">
        <v>2.9315629022491082E-4</v>
      </c>
      <c r="AS43" s="7">
        <v>1.466954854549504E-3</v>
      </c>
      <c r="AT43" s="7">
        <v>4.4799752729558894E-3</v>
      </c>
      <c r="AU43" s="7">
        <v>1.153493924798134E-2</v>
      </c>
      <c r="AV43" s="7">
        <v>1.8875412476175751E-3</v>
      </c>
      <c r="AW43" s="7">
        <v>6.0868955174873417E-2</v>
      </c>
      <c r="AX43" s="7">
        <v>0.18102268611466091</v>
      </c>
      <c r="AY43" s="7">
        <v>4.372637111610952E-4</v>
      </c>
      <c r="AZ43" s="7">
        <v>4.6037919583826283E-2</v>
      </c>
      <c r="BA43" s="7">
        <v>2.0416092755425379E-2</v>
      </c>
      <c r="BB43" s="7">
        <v>2.7552140026801949E-2</v>
      </c>
      <c r="BC43" s="7">
        <v>4.8913509890707391E-2</v>
      </c>
      <c r="BD43" s="7">
        <v>1.9784963942154399E-2</v>
      </c>
      <c r="BE43" s="7">
        <v>9.8644981672228668E-3</v>
      </c>
      <c r="BF43" s="7">
        <v>1.318345331887421E-2</v>
      </c>
      <c r="BG43" s="7">
        <v>0.22391288799668771</v>
      </c>
      <c r="BH43" s="7">
        <v>6.1954442241202647E-2</v>
      </c>
      <c r="BI43" s="7">
        <v>1.621478184892592E-2</v>
      </c>
      <c r="BJ43" s="7">
        <v>3.610631093266771E-3</v>
      </c>
      <c r="BK43" s="7">
        <v>2.4788031148149949E-2</v>
      </c>
      <c r="BL43" s="7">
        <v>3.1970538411719741E-3</v>
      </c>
      <c r="BM43" s="7">
        <v>1.3562548067446219E-2</v>
      </c>
      <c r="BN43" s="7">
        <v>0.1539147544073772</v>
      </c>
      <c r="BO43" s="7">
        <v>9.0725510742320159E-2</v>
      </c>
      <c r="BP43" s="7">
        <v>6.8012860553050133E-3</v>
      </c>
      <c r="BQ43" s="7">
        <v>2.2696339316590541E-2</v>
      </c>
      <c r="BR43" s="7">
        <v>8.9286750405246196E-2</v>
      </c>
      <c r="BS43" s="7">
        <v>1.6614414611090911E-2</v>
      </c>
      <c r="BT43" s="7">
        <v>3.9874967148444102E-2</v>
      </c>
      <c r="BU43" s="7">
        <v>0.26193720521164482</v>
      </c>
      <c r="BV43" s="7">
        <v>2.959112522416793E-2</v>
      </c>
      <c r="BW43" s="7">
        <v>6.7552393530338761E-2</v>
      </c>
      <c r="BX43" s="7">
        <v>0.35842354215908839</v>
      </c>
      <c r="BY43" s="7">
        <v>4.6859550411132767E-2</v>
      </c>
      <c r="BZ43" s="7">
        <v>4.9158930012160387E-2</v>
      </c>
    </row>
    <row r="44" spans="1:78">
      <c r="A44" s="4" t="s">
        <v>155</v>
      </c>
      <c r="B44" s="7">
        <v>0</v>
      </c>
      <c r="C44" s="7">
        <v>4.9971176293881396E-6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5.9857876697414954E-7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2.5540284739478319E-8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3.3706720379158078E-7</v>
      </c>
      <c r="AC44" s="7">
        <v>0</v>
      </c>
      <c r="AD44" s="7">
        <v>0</v>
      </c>
      <c r="AE44" s="7">
        <v>0</v>
      </c>
      <c r="AF44" s="7">
        <v>0</v>
      </c>
      <c r="AG44" s="7">
        <v>3.739587961122315E-5</v>
      </c>
      <c r="AH44" s="7">
        <v>0</v>
      </c>
      <c r="AI44" s="7">
        <v>0</v>
      </c>
      <c r="AJ44" s="7">
        <v>4.5284544946359746E-6</v>
      </c>
      <c r="AK44" s="7">
        <v>0</v>
      </c>
      <c r="AL44" s="7">
        <v>0</v>
      </c>
      <c r="AM44" s="7">
        <v>0</v>
      </c>
      <c r="AN44" s="7">
        <v>2.8526540904757758E-6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2.1833623804479941E-7</v>
      </c>
      <c r="BO44" s="7">
        <v>0</v>
      </c>
      <c r="BP44" s="7">
        <v>7.0814101474234609E-7</v>
      </c>
      <c r="BQ44" s="7">
        <v>0</v>
      </c>
      <c r="BR44" s="7">
        <v>3.8204367616028557E-4</v>
      </c>
      <c r="BS44" s="7">
        <v>0</v>
      </c>
      <c r="BT44" s="7">
        <v>2.341589237419361E-7</v>
      </c>
      <c r="BU44" s="7">
        <v>2.294081454623251E-7</v>
      </c>
      <c r="BV44" s="7">
        <v>0</v>
      </c>
      <c r="BW44" s="7">
        <v>0</v>
      </c>
      <c r="BX44" s="7">
        <v>0</v>
      </c>
      <c r="BY44" s="7">
        <v>0</v>
      </c>
      <c r="BZ44" s="7">
        <v>3.8626087677967423E-6</v>
      </c>
    </row>
    <row r="45" spans="1:78">
      <c r="A45" s="4" t="s">
        <v>157</v>
      </c>
      <c r="B45" s="7">
        <v>1.7110741420060149E-3</v>
      </c>
      <c r="C45" s="7">
        <v>2.448126141457719E-4</v>
      </c>
      <c r="D45" s="7">
        <v>1.0470107192845541E-4</v>
      </c>
      <c r="E45" s="7">
        <v>2.195827507525279E-5</v>
      </c>
      <c r="F45" s="7">
        <v>0</v>
      </c>
      <c r="G45" s="7">
        <v>2.4794524867068361E-4</v>
      </c>
      <c r="H45" s="7">
        <v>5.5141010944300871E-2</v>
      </c>
      <c r="I45" s="7">
        <v>5.497113641366411E-5</v>
      </c>
      <c r="J45" s="7">
        <v>0</v>
      </c>
      <c r="K45" s="7">
        <v>2.3487422672850628E-5</v>
      </c>
      <c r="L45" s="7">
        <v>2.9934936571088667E-4</v>
      </c>
      <c r="M45" s="7">
        <v>7.1137747125801174E-5</v>
      </c>
      <c r="N45" s="7">
        <v>1.663896614620891E-5</v>
      </c>
      <c r="O45" s="7">
        <v>2.089505313837669E-5</v>
      </c>
      <c r="P45" s="7">
        <v>0</v>
      </c>
      <c r="Q45" s="7">
        <v>2.6207715492694529E-4</v>
      </c>
      <c r="R45" s="7">
        <v>3.6471522322461423E-5</v>
      </c>
      <c r="S45" s="7">
        <v>1.325646205396756E-3</v>
      </c>
      <c r="T45" s="7">
        <v>6.1808030072836828E-5</v>
      </c>
      <c r="U45" s="7">
        <v>1.508127304788176E-4</v>
      </c>
      <c r="V45" s="7">
        <v>1.1799372695066299E-3</v>
      </c>
      <c r="W45" s="7">
        <v>3.1284323428270938E-4</v>
      </c>
      <c r="X45" s="7">
        <v>1.2598877531975059E-4</v>
      </c>
      <c r="Y45" s="7">
        <v>4.346802311969605E-3</v>
      </c>
      <c r="Z45" s="7">
        <v>1.342170258918841E-4</v>
      </c>
      <c r="AA45" s="7">
        <v>6.8527604147233505E-5</v>
      </c>
      <c r="AB45" s="7">
        <v>2.3782452009231229E-4</v>
      </c>
      <c r="AC45" s="7">
        <v>8.6326763405759075E-4</v>
      </c>
      <c r="AD45" s="7">
        <v>2.294861145357529E-6</v>
      </c>
      <c r="AE45" s="7">
        <v>1.5502845238208589E-3</v>
      </c>
      <c r="AF45" s="7">
        <v>1.3950602449909941E-4</v>
      </c>
      <c r="AG45" s="7">
        <v>2.8063161169419859E-6</v>
      </c>
      <c r="AH45" s="7">
        <v>2.7139628985324561E-5</v>
      </c>
      <c r="AI45" s="7">
        <v>7.9911419928894935E-7</v>
      </c>
      <c r="AJ45" s="7">
        <v>1.659107506679841E-3</v>
      </c>
      <c r="AK45" s="7">
        <v>4.1377945342493719E-5</v>
      </c>
      <c r="AL45" s="7">
        <v>4.5399322086632E-4</v>
      </c>
      <c r="AM45" s="7">
        <v>0</v>
      </c>
      <c r="AN45" s="7">
        <v>1.2870682400132611E-6</v>
      </c>
      <c r="AO45" s="7">
        <v>2.346593665540005E-2</v>
      </c>
      <c r="AP45" s="7">
        <v>0</v>
      </c>
      <c r="AQ45" s="7">
        <v>3.454598754900606E-5</v>
      </c>
      <c r="AR45" s="7">
        <v>0</v>
      </c>
      <c r="AS45" s="7">
        <v>0</v>
      </c>
      <c r="AT45" s="7">
        <v>7.7312653694808598E-6</v>
      </c>
      <c r="AU45" s="7">
        <v>4.5442519343715133E-2</v>
      </c>
      <c r="AV45" s="7">
        <v>1.233847362202917E-5</v>
      </c>
      <c r="AW45" s="7">
        <v>2.8012651627105268E-7</v>
      </c>
      <c r="AX45" s="7">
        <v>1.232657909650149E-5</v>
      </c>
      <c r="AY45" s="7">
        <v>0</v>
      </c>
      <c r="AZ45" s="7">
        <v>3.8816643897933623E-6</v>
      </c>
      <c r="BA45" s="7">
        <v>6.954252364777718E-7</v>
      </c>
      <c r="BB45" s="7">
        <v>4.1830870749438181E-4</v>
      </c>
      <c r="BC45" s="7">
        <v>4.3830261435196432E-3</v>
      </c>
      <c r="BD45" s="7">
        <v>2.8377242417599181E-4</v>
      </c>
      <c r="BE45" s="7">
        <v>0</v>
      </c>
      <c r="BF45" s="7">
        <v>4.3610182959452917E-5</v>
      </c>
      <c r="BG45" s="7">
        <v>1.6165053502454211E-6</v>
      </c>
      <c r="BH45" s="7">
        <v>6.6410884081696537E-4</v>
      </c>
      <c r="BI45" s="7">
        <v>4.0918046635102569E-5</v>
      </c>
      <c r="BJ45" s="7">
        <v>2.94008024843609E-4</v>
      </c>
      <c r="BK45" s="7">
        <v>4.4800958972505394E-3</v>
      </c>
      <c r="BL45" s="7">
        <v>6.3418245012810606E-6</v>
      </c>
      <c r="BM45" s="7">
        <v>1.786426747254274E-4</v>
      </c>
      <c r="BN45" s="7">
        <v>6.3058885133024835E-7</v>
      </c>
      <c r="BO45" s="7">
        <v>5.1933909233783513E-6</v>
      </c>
      <c r="BP45" s="7">
        <v>1.8304263641431961E-4</v>
      </c>
      <c r="BQ45" s="7">
        <v>5.9785937233165537E-4</v>
      </c>
      <c r="BR45" s="7">
        <v>4.9203168077451296E-6</v>
      </c>
      <c r="BS45" s="7">
        <v>1.695380726632993E-5</v>
      </c>
      <c r="BT45" s="7">
        <v>4.7926015141350218E-5</v>
      </c>
      <c r="BU45" s="7">
        <v>3.8462198601790481E-7</v>
      </c>
      <c r="BV45" s="7">
        <v>2.9733735067165561E-5</v>
      </c>
      <c r="BW45" s="7">
        <v>2.4184123233602231E-5</v>
      </c>
      <c r="BX45" s="7">
        <v>3.2232600669723498E-7</v>
      </c>
      <c r="BY45" s="7">
        <v>5.6093881576049559E-4</v>
      </c>
      <c r="BZ45" s="7">
        <v>4.3464618541467532E-4</v>
      </c>
    </row>
    <row r="46" spans="1:78">
      <c r="A46" s="4" t="s">
        <v>159</v>
      </c>
      <c r="B46" s="7">
        <v>3.7963022463014951E-5</v>
      </c>
      <c r="C46" s="7">
        <v>2.7530270921851419E-5</v>
      </c>
      <c r="D46" s="7">
        <v>1.6874509574563401E-4</v>
      </c>
      <c r="E46" s="7">
        <v>3.0857382706053332E-4</v>
      </c>
      <c r="F46" s="7">
        <v>3.789008305122969E-4</v>
      </c>
      <c r="G46" s="7">
        <v>4.9271927128948852E-5</v>
      </c>
      <c r="H46" s="7">
        <v>3.8988881874711419E-5</v>
      </c>
      <c r="I46" s="7">
        <v>1.7117201474937911E-4</v>
      </c>
      <c r="J46" s="7">
        <v>0</v>
      </c>
      <c r="K46" s="7">
        <v>5.7935507579081048E-5</v>
      </c>
      <c r="L46" s="7">
        <v>1.5878559764746189E-4</v>
      </c>
      <c r="M46" s="7">
        <v>1.9808440726350659E-4</v>
      </c>
      <c r="N46" s="7">
        <v>2.8605658713993161E-6</v>
      </c>
      <c r="O46" s="7">
        <v>4.3016867167653761E-4</v>
      </c>
      <c r="P46" s="7">
        <v>1.2378827056770369E-4</v>
      </c>
      <c r="Q46" s="7">
        <v>2.7917880459928459E-5</v>
      </c>
      <c r="R46" s="7">
        <v>8.5457798802506348E-6</v>
      </c>
      <c r="S46" s="7">
        <v>6.2265312318370087E-5</v>
      </c>
      <c r="T46" s="7">
        <v>1.63622656031042E-4</v>
      </c>
      <c r="U46" s="7">
        <v>7.7908403762699761E-5</v>
      </c>
      <c r="V46" s="7">
        <v>7.5855309857737264E-4</v>
      </c>
      <c r="W46" s="7">
        <v>9.7131224362180949E-5</v>
      </c>
      <c r="X46" s="7">
        <v>3.3236414032710419E-4</v>
      </c>
      <c r="Y46" s="7">
        <v>1.8711252258003711E-6</v>
      </c>
      <c r="Z46" s="7">
        <v>1.699304188230591E-5</v>
      </c>
      <c r="AA46" s="7">
        <v>9.6701246709554589E-4</v>
      </c>
      <c r="AB46" s="7">
        <v>2.4635415289296181E-4</v>
      </c>
      <c r="AC46" s="7">
        <v>6.6004837358739029E-5</v>
      </c>
      <c r="AD46" s="7">
        <v>5.5984802515671922E-8</v>
      </c>
      <c r="AE46" s="7">
        <v>1.8644295165131769E-4</v>
      </c>
      <c r="AF46" s="7">
        <v>5.2730245561303536E-4</v>
      </c>
      <c r="AG46" s="7">
        <v>3.1949680779378942E-6</v>
      </c>
      <c r="AH46" s="7">
        <v>5.861979280713772E-6</v>
      </c>
      <c r="AI46" s="7">
        <v>2.680264632386142E-5</v>
      </c>
      <c r="AJ46" s="7">
        <v>5.2454183133038678E-5</v>
      </c>
      <c r="AK46" s="7">
        <v>3.3777914565300999E-5</v>
      </c>
      <c r="AL46" s="7">
        <v>8.6667291864477567E-4</v>
      </c>
      <c r="AM46" s="7">
        <v>0</v>
      </c>
      <c r="AN46" s="7">
        <v>3.1483129500608387E-5</v>
      </c>
      <c r="AO46" s="7">
        <v>3.4877066506246709E-5</v>
      </c>
      <c r="AP46" s="7">
        <v>0</v>
      </c>
      <c r="AQ46" s="7">
        <v>1.106143615742962E-6</v>
      </c>
      <c r="AR46" s="7">
        <v>8.1822476375081584E-5</v>
      </c>
      <c r="AS46" s="7">
        <v>2.0049230035827511E-5</v>
      </c>
      <c r="AT46" s="7">
        <v>0</v>
      </c>
      <c r="AU46" s="7">
        <v>4.0299288769608762E-6</v>
      </c>
      <c r="AV46" s="7">
        <v>1.11047926092819E-3</v>
      </c>
      <c r="AW46" s="7">
        <v>1.15842214619696E-4</v>
      </c>
      <c r="AX46" s="7">
        <v>3.4744045864695552E-7</v>
      </c>
      <c r="AY46" s="7">
        <v>9.806769679764748E-7</v>
      </c>
      <c r="AZ46" s="7">
        <v>5.9410840397039098E-6</v>
      </c>
      <c r="BA46" s="7">
        <v>7.2136544012498644E-4</v>
      </c>
      <c r="BB46" s="7">
        <v>3.5342770209642252E-4</v>
      </c>
      <c r="BC46" s="7">
        <v>1.056547599399848E-4</v>
      </c>
      <c r="BD46" s="7">
        <v>1.6470816092118569E-5</v>
      </c>
      <c r="BE46" s="7">
        <v>2.5657428679316449E-5</v>
      </c>
      <c r="BF46" s="7">
        <v>9.4769824817007931E-6</v>
      </c>
      <c r="BG46" s="7">
        <v>1.4181391633978379E-7</v>
      </c>
      <c r="BH46" s="7">
        <v>1.402878633144748E-3</v>
      </c>
      <c r="BI46" s="7">
        <v>7.7575334040003554E-4</v>
      </c>
      <c r="BJ46" s="7">
        <v>4.4528728193760567E-3</v>
      </c>
      <c r="BK46" s="7">
        <v>7.2547578414709462E-5</v>
      </c>
      <c r="BL46" s="7">
        <v>2.4052387800135901E-4</v>
      </c>
      <c r="BM46" s="7">
        <v>3.0728020383939572E-4</v>
      </c>
      <c r="BN46" s="7">
        <v>8.6794949614575334E-8</v>
      </c>
      <c r="BO46" s="7">
        <v>9.6655599095955694E-5</v>
      </c>
      <c r="BP46" s="7">
        <v>3.1350691459410842E-4</v>
      </c>
      <c r="BQ46" s="7">
        <v>4.6279986080148201E-5</v>
      </c>
      <c r="BR46" s="7">
        <v>1.9601401771388031E-5</v>
      </c>
      <c r="BS46" s="7">
        <v>5.0962491412227264E-4</v>
      </c>
      <c r="BT46" s="7">
        <v>5.1108726202118331E-4</v>
      </c>
      <c r="BU46" s="7">
        <v>7.6938214415165674E-6</v>
      </c>
      <c r="BV46" s="7">
        <v>1.877936900087101E-3</v>
      </c>
      <c r="BW46" s="7">
        <v>4.1770215396594659E-5</v>
      </c>
      <c r="BX46" s="7">
        <v>5.6680941255895847E-8</v>
      </c>
      <c r="BY46" s="7">
        <v>6.9617274801448721E-5</v>
      </c>
      <c r="BZ46" s="7">
        <v>9.4697075562226105E-4</v>
      </c>
    </row>
    <row r="47" spans="1:78">
      <c r="A47" s="4" t="s">
        <v>161</v>
      </c>
      <c r="B47" s="7">
        <v>1.3118809141908869E-5</v>
      </c>
      <c r="C47" s="7">
        <v>9.6959537975922696E-4</v>
      </c>
      <c r="D47" s="7">
        <v>9.7214713316192634E-5</v>
      </c>
      <c r="E47" s="7">
        <v>5.7316905233570237E-5</v>
      </c>
      <c r="F47" s="7">
        <v>0</v>
      </c>
      <c r="G47" s="7">
        <v>2.4768280848293798E-4</v>
      </c>
      <c r="H47" s="7">
        <v>2.0218328465970391E-2</v>
      </c>
      <c r="I47" s="7">
        <v>2.4296574575634839E-5</v>
      </c>
      <c r="J47" s="7">
        <v>0</v>
      </c>
      <c r="K47" s="7">
        <v>2.6698214477978389E-4</v>
      </c>
      <c r="L47" s="7">
        <v>4.9390651311622877E-4</v>
      </c>
      <c r="M47" s="7">
        <v>1.8692798462268279E-4</v>
      </c>
      <c r="N47" s="7">
        <v>8.0244553361083107E-6</v>
      </c>
      <c r="O47" s="7">
        <v>2.2709986616025581E-6</v>
      </c>
      <c r="P47" s="7">
        <v>1.9498908738915449E-4</v>
      </c>
      <c r="Q47" s="7">
        <v>1.783204745845252E-4</v>
      </c>
      <c r="R47" s="7">
        <v>2.8695249983401851E-4</v>
      </c>
      <c r="S47" s="7">
        <v>9.7868767060036096E-2</v>
      </c>
      <c r="T47" s="7">
        <v>5.6738311709918427E-5</v>
      </c>
      <c r="U47" s="7">
        <v>3.8051045418348551E-5</v>
      </c>
      <c r="V47" s="7">
        <v>2.6191377560715831E-3</v>
      </c>
      <c r="W47" s="7">
        <v>6.3627173181601197E-4</v>
      </c>
      <c r="X47" s="7">
        <v>3.3042702844905932E-5</v>
      </c>
      <c r="Y47" s="7">
        <v>4.1864047911033273E-3</v>
      </c>
      <c r="Z47" s="7">
        <v>3.3713143402153407E-5</v>
      </c>
      <c r="AA47" s="7">
        <v>6.9260646441137854E-5</v>
      </c>
      <c r="AB47" s="7">
        <v>3.2528942437127449E-4</v>
      </c>
      <c r="AC47" s="7">
        <v>2.8913978493834279E-2</v>
      </c>
      <c r="AD47" s="7">
        <v>3.5260708705869832E-5</v>
      </c>
      <c r="AE47" s="7">
        <v>2.5132388186485089E-3</v>
      </c>
      <c r="AF47" s="7">
        <v>1.034972054068562E-4</v>
      </c>
      <c r="AG47" s="7">
        <v>6.1745409053689222E-5</v>
      </c>
      <c r="AH47" s="7">
        <v>4.2863998620406668E-6</v>
      </c>
      <c r="AI47" s="7">
        <v>6.9467239078395658E-6</v>
      </c>
      <c r="AJ47" s="7">
        <v>5.3280630928929772E-3</v>
      </c>
      <c r="AK47" s="7">
        <v>8.7400353937716331E-5</v>
      </c>
      <c r="AL47" s="7">
        <v>3.189148956385744E-5</v>
      </c>
      <c r="AM47" s="7">
        <v>2.3274989114235971E-3</v>
      </c>
      <c r="AN47" s="7">
        <v>1.212796907002846E-6</v>
      </c>
      <c r="AO47" s="7">
        <v>4.6795219215897778E-2</v>
      </c>
      <c r="AP47" s="7">
        <v>0</v>
      </c>
      <c r="AQ47" s="7">
        <v>3.9674912318941523E-6</v>
      </c>
      <c r="AR47" s="7">
        <v>0</v>
      </c>
      <c r="AS47" s="7">
        <v>2.635460925686137E-2</v>
      </c>
      <c r="AT47" s="7">
        <v>4.4771930949592782E-4</v>
      </c>
      <c r="AU47" s="7">
        <v>0</v>
      </c>
      <c r="AV47" s="7">
        <v>1.2655994690618911E-4</v>
      </c>
      <c r="AW47" s="7">
        <v>0</v>
      </c>
      <c r="AX47" s="7">
        <v>2.616188226636958E-5</v>
      </c>
      <c r="AY47" s="7">
        <v>0</v>
      </c>
      <c r="AZ47" s="7">
        <v>1.1207167376061939E-6</v>
      </c>
      <c r="BA47" s="7">
        <v>5.2715101868444397E-5</v>
      </c>
      <c r="BB47" s="7">
        <v>6.9119584770436192E-4</v>
      </c>
      <c r="BC47" s="7">
        <v>1.006321299731946E-3</v>
      </c>
      <c r="BD47" s="7">
        <v>6.6057834341203055E-5</v>
      </c>
      <c r="BE47" s="7">
        <v>3.3801667016316922E-4</v>
      </c>
      <c r="BF47" s="7">
        <v>2.5251124383911689E-4</v>
      </c>
      <c r="BG47" s="7">
        <v>2.500661685681972E-7</v>
      </c>
      <c r="BH47" s="7">
        <v>4.6058128905463429E-4</v>
      </c>
      <c r="BI47" s="7">
        <v>5.4840517634605524E-4</v>
      </c>
      <c r="BJ47" s="7">
        <v>5.2776917033614925E-4</v>
      </c>
      <c r="BK47" s="7">
        <v>2.0348530876451399E-3</v>
      </c>
      <c r="BL47" s="7">
        <v>2.7878896556238859E-3</v>
      </c>
      <c r="BM47" s="7">
        <v>0</v>
      </c>
      <c r="BN47" s="7">
        <v>2.62776073434412E-6</v>
      </c>
      <c r="BO47" s="7">
        <v>7.4550936712666562E-5</v>
      </c>
      <c r="BP47" s="7">
        <v>2.5362773934561439E-5</v>
      </c>
      <c r="BQ47" s="7">
        <v>6.7740119291644276E-3</v>
      </c>
      <c r="BR47" s="7">
        <v>1.9964456884301399E-5</v>
      </c>
      <c r="BS47" s="7">
        <v>8.4556351082776398E-5</v>
      </c>
      <c r="BT47" s="7">
        <v>1.608525058007753E-4</v>
      </c>
      <c r="BU47" s="7">
        <v>1.4724908300839389E-6</v>
      </c>
      <c r="BV47" s="7">
        <v>8.2931212048074118E-4</v>
      </c>
      <c r="BW47" s="7">
        <v>1.5788364588463079E-4</v>
      </c>
      <c r="BX47" s="7">
        <v>2.760293770066928E-6</v>
      </c>
      <c r="BY47" s="7">
        <v>2.5586744314266961E-5</v>
      </c>
      <c r="BZ47" s="7">
        <v>3.3139340326096138E-4</v>
      </c>
    </row>
    <row r="48" spans="1:78">
      <c r="A48" s="4" t="s">
        <v>163</v>
      </c>
      <c r="B48" s="7">
        <v>2.2554920503667499E-4</v>
      </c>
      <c r="C48" s="7">
        <v>5.5631692454089822E-4</v>
      </c>
      <c r="D48" s="7">
        <v>1.0607161892430331E-3</v>
      </c>
      <c r="E48" s="7">
        <v>6.5238892186321373E-6</v>
      </c>
      <c r="F48" s="7">
        <v>0</v>
      </c>
      <c r="G48" s="7">
        <v>9.5646025443763916E-6</v>
      </c>
      <c r="H48" s="7">
        <v>0</v>
      </c>
      <c r="I48" s="7">
        <v>1.0072421410253561E-3</v>
      </c>
      <c r="J48" s="7">
        <v>0</v>
      </c>
      <c r="K48" s="7">
        <v>2.0803729760447728E-3</v>
      </c>
      <c r="L48" s="7">
        <v>6.9058998152800907E-4</v>
      </c>
      <c r="M48" s="7">
        <v>6.5760731145585192E-6</v>
      </c>
      <c r="N48" s="7">
        <v>7.0830645785528387E-4</v>
      </c>
      <c r="O48" s="7">
        <v>1.6524849892739829E-3</v>
      </c>
      <c r="P48" s="7">
        <v>1.532917678983616E-2</v>
      </c>
      <c r="Q48" s="7">
        <v>1.5904962463898759E-4</v>
      </c>
      <c r="R48" s="7">
        <v>3.5924128279463119E-5</v>
      </c>
      <c r="S48" s="7">
        <v>0</v>
      </c>
      <c r="T48" s="7">
        <v>5.4265221121475036E-4</v>
      </c>
      <c r="U48" s="7">
        <v>3.381244443230509E-3</v>
      </c>
      <c r="V48" s="7">
        <v>8.4952294574314224E-5</v>
      </c>
      <c r="W48" s="7">
        <v>2.0974205278293251E-5</v>
      </c>
      <c r="X48" s="7">
        <v>1.4697999997802689E-3</v>
      </c>
      <c r="Y48" s="7">
        <v>3.1735315931178011E-4</v>
      </c>
      <c r="Z48" s="7">
        <v>3.4623046941789458E-4</v>
      </c>
      <c r="AA48" s="7">
        <v>7.1412151775257712E-3</v>
      </c>
      <c r="AB48" s="7">
        <v>3.8202123747535458E-3</v>
      </c>
      <c r="AC48" s="7">
        <v>0</v>
      </c>
      <c r="AD48" s="7">
        <v>7.3127913581780887E-4</v>
      </c>
      <c r="AE48" s="7">
        <v>4.1016097184261827E-6</v>
      </c>
      <c r="AF48" s="7">
        <v>1.319319368476353E-5</v>
      </c>
      <c r="AG48" s="7">
        <v>1.681585925949818E-4</v>
      </c>
      <c r="AH48" s="7">
        <v>5.7105073336516907E-7</v>
      </c>
      <c r="AI48" s="7">
        <v>3.5826396893574272E-5</v>
      </c>
      <c r="AJ48" s="7">
        <v>5.28372808845055E-4</v>
      </c>
      <c r="AK48" s="7">
        <v>0</v>
      </c>
      <c r="AL48" s="7">
        <v>8.496102159133524E-4</v>
      </c>
      <c r="AM48" s="7">
        <v>0</v>
      </c>
      <c r="AN48" s="7">
        <v>7.0363957720655606E-5</v>
      </c>
      <c r="AO48" s="7">
        <v>1.5378068463222519E-5</v>
      </c>
      <c r="AP48" s="7">
        <v>0</v>
      </c>
      <c r="AQ48" s="7">
        <v>3.8299741810843979E-4</v>
      </c>
      <c r="AR48" s="7">
        <v>0</v>
      </c>
      <c r="AS48" s="7">
        <v>3.6602234789002848E-5</v>
      </c>
      <c r="AT48" s="7">
        <v>2.071303287568161E-7</v>
      </c>
      <c r="AU48" s="7">
        <v>9.8491630759264148E-6</v>
      </c>
      <c r="AV48" s="7">
        <v>0</v>
      </c>
      <c r="AW48" s="7">
        <v>1.463485475263095E-3</v>
      </c>
      <c r="AX48" s="7">
        <v>2.870152514304098E-7</v>
      </c>
      <c r="AY48" s="7">
        <v>0</v>
      </c>
      <c r="AZ48" s="7">
        <v>2.6632529848852462E-4</v>
      </c>
      <c r="BA48" s="7">
        <v>0</v>
      </c>
      <c r="BB48" s="7">
        <v>7.7063742579026404E-6</v>
      </c>
      <c r="BC48" s="7">
        <v>7.6670918355576745E-4</v>
      </c>
      <c r="BD48" s="7">
        <v>2.009382586328799E-3</v>
      </c>
      <c r="BE48" s="7">
        <v>2.2234896264619749E-5</v>
      </c>
      <c r="BF48" s="7">
        <v>3.1207772765910609E-5</v>
      </c>
      <c r="BG48" s="7">
        <v>1.5079816009062969E-5</v>
      </c>
      <c r="BH48" s="7">
        <v>6.0763074797448688E-4</v>
      </c>
      <c r="BI48" s="7">
        <v>1.6134725677254461E-5</v>
      </c>
      <c r="BJ48" s="7">
        <v>7.0643052227686796E-5</v>
      </c>
      <c r="BK48" s="7">
        <v>1.9240239103489659E-4</v>
      </c>
      <c r="BL48" s="7">
        <v>2.243143146861608E-5</v>
      </c>
      <c r="BM48" s="7">
        <v>3.9058332132129248E-3</v>
      </c>
      <c r="BN48" s="7">
        <v>1.1797254239555321E-3</v>
      </c>
      <c r="BO48" s="7">
        <v>1.2867994246585621E-2</v>
      </c>
      <c r="BP48" s="7">
        <v>1.8193150865350031E-3</v>
      </c>
      <c r="BQ48" s="7">
        <v>8.5364928839168534E-5</v>
      </c>
      <c r="BR48" s="7">
        <v>4.7803011551646537E-4</v>
      </c>
      <c r="BS48" s="7">
        <v>7.4378893093244647E-4</v>
      </c>
      <c r="BT48" s="7">
        <v>5.7382807202338779E-3</v>
      </c>
      <c r="BU48" s="7">
        <v>1.194515572273444E-4</v>
      </c>
      <c r="BV48" s="7">
        <v>2.4440308551465229E-3</v>
      </c>
      <c r="BW48" s="7">
        <v>1.45657474290649E-3</v>
      </c>
      <c r="BX48" s="7">
        <v>6.6747119697767204E-5</v>
      </c>
      <c r="BY48" s="7">
        <v>3.3882244163892889E-4</v>
      </c>
      <c r="BZ48" s="7">
        <v>5.5361606657504587E-4</v>
      </c>
    </row>
    <row r="49" spans="1:78">
      <c r="A49" s="4" t="s">
        <v>165</v>
      </c>
      <c r="B49" s="7">
        <v>4.3111910131236462E-2</v>
      </c>
      <c r="C49" s="7">
        <v>1.6916665094308749E-2</v>
      </c>
      <c r="D49" s="7">
        <v>5.2014499732828288E-3</v>
      </c>
      <c r="E49" s="7">
        <v>1.117598076501283E-3</v>
      </c>
      <c r="F49" s="7">
        <v>0</v>
      </c>
      <c r="G49" s="7">
        <v>7.9000428502005895E-4</v>
      </c>
      <c r="H49" s="7">
        <v>0</v>
      </c>
      <c r="I49" s="7">
        <v>3.045792775055459E-2</v>
      </c>
      <c r="J49" s="7">
        <v>2.7957708345028219E-2</v>
      </c>
      <c r="K49" s="7">
        <v>3.8669131144497507E-2</v>
      </c>
      <c r="L49" s="7">
        <v>3.2741252185458799E-3</v>
      </c>
      <c r="M49" s="7">
        <v>3.1262502435373263E-2</v>
      </c>
      <c r="N49" s="7">
        <v>8.3472768740148248E-3</v>
      </c>
      <c r="O49" s="7">
        <v>3.6458609386309819E-3</v>
      </c>
      <c r="P49" s="7">
        <v>0</v>
      </c>
      <c r="Q49" s="7">
        <v>5.6787249371843457E-2</v>
      </c>
      <c r="R49" s="7">
        <v>1.801267980189164E-2</v>
      </c>
      <c r="S49" s="7">
        <v>3.295045578762092E-4</v>
      </c>
      <c r="T49" s="7">
        <v>1.953766969109481E-3</v>
      </c>
      <c r="U49" s="7">
        <v>5.0987618068548046E-3</v>
      </c>
      <c r="V49" s="7">
        <v>1.5031671013940879E-3</v>
      </c>
      <c r="W49" s="7">
        <v>5.168955868399527E-3</v>
      </c>
      <c r="X49" s="7">
        <v>6.1275309343244346E-3</v>
      </c>
      <c r="Y49" s="7">
        <v>8.1685396936719886E-3</v>
      </c>
      <c r="Z49" s="7">
        <v>2.073240742273671E-3</v>
      </c>
      <c r="AA49" s="7">
        <v>6.4094629111414378E-3</v>
      </c>
      <c r="AB49" s="7">
        <v>7.6591096221745054E-3</v>
      </c>
      <c r="AC49" s="7">
        <v>9.6713576691130295E-5</v>
      </c>
      <c r="AD49" s="7">
        <v>1.310687241671215E-3</v>
      </c>
      <c r="AE49" s="7">
        <v>2.4138649282452111E-4</v>
      </c>
      <c r="AF49" s="7">
        <v>7.4415439325118274E-3</v>
      </c>
      <c r="AG49" s="7">
        <v>3.282527261544516E-3</v>
      </c>
      <c r="AH49" s="7">
        <v>5.2793516568483911E-4</v>
      </c>
      <c r="AI49" s="7">
        <v>3.5960508363721422E-4</v>
      </c>
      <c r="AJ49" s="7">
        <v>4.2038137162079209E-3</v>
      </c>
      <c r="AK49" s="7">
        <v>8.0729215811069384E-4</v>
      </c>
      <c r="AL49" s="7">
        <v>3.5504830894023268E-3</v>
      </c>
      <c r="AM49" s="7">
        <v>1.6534460471523332E-2</v>
      </c>
      <c r="AN49" s="7">
        <v>1.75365199992363E-3</v>
      </c>
      <c r="AO49" s="7">
        <v>0</v>
      </c>
      <c r="AP49" s="7">
        <v>1.001691629830087E-5</v>
      </c>
      <c r="AQ49" s="7">
        <v>1.679550222352499E-3</v>
      </c>
      <c r="AR49" s="7">
        <v>0</v>
      </c>
      <c r="AS49" s="7">
        <v>4.0620280705980756E-3</v>
      </c>
      <c r="AT49" s="7">
        <v>7.8563054611599569E-4</v>
      </c>
      <c r="AU49" s="7">
        <v>3.7878138300750068E-4</v>
      </c>
      <c r="AV49" s="7">
        <v>1.4477833626786939E-3</v>
      </c>
      <c r="AW49" s="7">
        <v>0</v>
      </c>
      <c r="AX49" s="7">
        <v>4.8135595479293288E-5</v>
      </c>
      <c r="AY49" s="7">
        <v>0</v>
      </c>
      <c r="AZ49" s="7">
        <v>9.4386491461717409E-4</v>
      </c>
      <c r="BA49" s="7">
        <v>4.4316167150009623E-3</v>
      </c>
      <c r="BB49" s="7">
        <v>4.5327794953461172E-3</v>
      </c>
      <c r="BC49" s="7">
        <v>3.1631212644037459E-3</v>
      </c>
      <c r="BD49" s="7">
        <v>1.2330060225398461E-2</v>
      </c>
      <c r="BE49" s="7">
        <v>6.3267819989208636E-3</v>
      </c>
      <c r="BF49" s="7">
        <v>1.6138582677905411E-2</v>
      </c>
      <c r="BG49" s="7">
        <v>3.8567516285602411E-4</v>
      </c>
      <c r="BH49" s="7">
        <v>3.098435768821667E-3</v>
      </c>
      <c r="BI49" s="7">
        <v>1.6098441537269661E-3</v>
      </c>
      <c r="BJ49" s="7">
        <v>7.8558665632918936E-4</v>
      </c>
      <c r="BK49" s="7">
        <v>0</v>
      </c>
      <c r="BL49" s="7">
        <v>0</v>
      </c>
      <c r="BM49" s="7">
        <v>9.9529779780483632E-4</v>
      </c>
      <c r="BN49" s="7">
        <v>1.4204269559767401E-3</v>
      </c>
      <c r="BO49" s="7">
        <v>2.0822613822940768E-3</v>
      </c>
      <c r="BP49" s="7">
        <v>1.0408148958829621E-2</v>
      </c>
      <c r="BQ49" s="7">
        <v>2.7201534376296039E-3</v>
      </c>
      <c r="BR49" s="7">
        <v>2.238579658544417E-3</v>
      </c>
      <c r="BS49" s="7">
        <v>1.6479958155568629E-3</v>
      </c>
      <c r="BT49" s="7">
        <v>5.7255908378515807E-3</v>
      </c>
      <c r="BU49" s="7">
        <v>9.2362948998059476E-3</v>
      </c>
      <c r="BV49" s="7">
        <v>4.3883700039355818E-3</v>
      </c>
      <c r="BW49" s="7">
        <v>6.5154333429279787E-2</v>
      </c>
      <c r="BX49" s="7">
        <v>7.797275792192168E-3</v>
      </c>
      <c r="BY49" s="7">
        <v>5.939045596914729E-3</v>
      </c>
      <c r="BZ49" s="7">
        <v>1.959054527027923E-2</v>
      </c>
    </row>
    <row r="50" spans="1:78">
      <c r="A50" s="4" t="s">
        <v>167</v>
      </c>
      <c r="B50" s="7">
        <v>3.5569191885940247E-5</v>
      </c>
      <c r="C50" s="7">
        <v>5.5188759076016446E-4</v>
      </c>
      <c r="D50" s="7">
        <v>1.297359308689777E-3</v>
      </c>
      <c r="E50" s="7">
        <v>1.2127521802125299E-6</v>
      </c>
      <c r="F50" s="7">
        <v>0</v>
      </c>
      <c r="G50" s="7">
        <v>1.4227758751890661E-4</v>
      </c>
      <c r="H50" s="7">
        <v>0</v>
      </c>
      <c r="I50" s="7">
        <v>1.601448926770563E-3</v>
      </c>
      <c r="J50" s="7">
        <v>0</v>
      </c>
      <c r="K50" s="7">
        <v>1.4170446189277119E-3</v>
      </c>
      <c r="L50" s="7">
        <v>2.5926998004335042E-3</v>
      </c>
      <c r="M50" s="7">
        <v>2.078278240946885E-5</v>
      </c>
      <c r="N50" s="7">
        <v>1.329842260421417E-3</v>
      </c>
      <c r="O50" s="7">
        <v>2.0563638942163991E-6</v>
      </c>
      <c r="P50" s="7">
        <v>0</v>
      </c>
      <c r="Q50" s="7">
        <v>2.8069716037489479E-5</v>
      </c>
      <c r="R50" s="7">
        <v>0</v>
      </c>
      <c r="S50" s="7">
        <v>3.0321510962168291E-3</v>
      </c>
      <c r="T50" s="7">
        <v>9.6372989533461946E-4</v>
      </c>
      <c r="U50" s="7">
        <v>3.3532406740220668E-3</v>
      </c>
      <c r="V50" s="7">
        <v>2.6578171486082201E-8</v>
      </c>
      <c r="W50" s="7">
        <v>4.1532052895940576E-6</v>
      </c>
      <c r="X50" s="7">
        <v>6.5255993402546541E-4</v>
      </c>
      <c r="Y50" s="7">
        <v>3.0939487672510538E-4</v>
      </c>
      <c r="Z50" s="7">
        <v>1.7206673854435481E-4</v>
      </c>
      <c r="AA50" s="7">
        <v>2.187856772515645E-2</v>
      </c>
      <c r="AB50" s="7">
        <v>1.1131239861989989E-2</v>
      </c>
      <c r="AC50" s="7">
        <v>3.2130553790906402E-3</v>
      </c>
      <c r="AD50" s="7">
        <v>1.4436040435155241E-3</v>
      </c>
      <c r="AE50" s="7">
        <v>2.2680549563868741E-4</v>
      </c>
      <c r="AF50" s="7">
        <v>1.5550947493759621E-5</v>
      </c>
      <c r="AG50" s="7">
        <v>2.1439711112898251E-5</v>
      </c>
      <c r="AH50" s="7">
        <v>2.4930390047035771E-4</v>
      </c>
      <c r="AI50" s="7">
        <v>2.4056100114224421E-5</v>
      </c>
      <c r="AJ50" s="7">
        <v>0</v>
      </c>
      <c r="AK50" s="7">
        <v>1.562228548645171E-5</v>
      </c>
      <c r="AL50" s="7">
        <v>1.5144923450937601E-3</v>
      </c>
      <c r="AM50" s="7">
        <v>0</v>
      </c>
      <c r="AN50" s="7">
        <v>1.8117025367630571E-4</v>
      </c>
      <c r="AO50" s="7">
        <v>0</v>
      </c>
      <c r="AP50" s="7">
        <v>1.167598491582377E-4</v>
      </c>
      <c r="AQ50" s="7">
        <v>1.2232157115875161E-3</v>
      </c>
      <c r="AR50" s="7">
        <v>0</v>
      </c>
      <c r="AS50" s="7">
        <v>3.3583586671249043E-5</v>
      </c>
      <c r="AT50" s="7">
        <v>8.0579120553354912E-5</v>
      </c>
      <c r="AU50" s="7">
        <v>0</v>
      </c>
      <c r="AV50" s="7">
        <v>6.1380851504005969E-6</v>
      </c>
      <c r="AW50" s="7">
        <v>1.3941046252460431E-3</v>
      </c>
      <c r="AX50" s="7">
        <v>0</v>
      </c>
      <c r="AY50" s="7">
        <v>0</v>
      </c>
      <c r="AZ50" s="7">
        <v>8.0520459307300305E-4</v>
      </c>
      <c r="BA50" s="7">
        <v>6.3949214654776561E-6</v>
      </c>
      <c r="BB50" s="7">
        <v>9.7422183895524978E-6</v>
      </c>
      <c r="BC50" s="7">
        <v>6.5706902583086363E-4</v>
      </c>
      <c r="BD50" s="7">
        <v>5.8456214956359919E-4</v>
      </c>
      <c r="BE50" s="7">
        <v>0</v>
      </c>
      <c r="BF50" s="7">
        <v>2.0952093424812649E-4</v>
      </c>
      <c r="BG50" s="7">
        <v>1.6046339946662E-4</v>
      </c>
      <c r="BH50" s="7">
        <v>3.325656156460039E-4</v>
      </c>
      <c r="BI50" s="7">
        <v>3.8892049724303374E-6</v>
      </c>
      <c r="BJ50" s="7">
        <v>9.4126914833457631E-5</v>
      </c>
      <c r="BK50" s="7">
        <v>0</v>
      </c>
      <c r="BL50" s="7">
        <v>3.9215298611907038E-6</v>
      </c>
      <c r="BM50" s="7">
        <v>0</v>
      </c>
      <c r="BN50" s="7">
        <v>1.721906545967887E-3</v>
      </c>
      <c r="BO50" s="7">
        <v>5.6875079134859714E-3</v>
      </c>
      <c r="BP50" s="7">
        <v>7.9354651620982381E-4</v>
      </c>
      <c r="BQ50" s="7">
        <v>0</v>
      </c>
      <c r="BR50" s="7">
        <v>9.9232141011243078E-4</v>
      </c>
      <c r="BS50" s="7">
        <v>8.9530883643406403E-5</v>
      </c>
      <c r="BT50" s="7">
        <v>2.6438584203151158E-4</v>
      </c>
      <c r="BU50" s="7">
        <v>2.9652417268901228E-4</v>
      </c>
      <c r="BV50" s="7">
        <v>5.7879795709418367E-4</v>
      </c>
      <c r="BW50" s="7">
        <v>2.9966322494408468E-3</v>
      </c>
      <c r="BX50" s="7">
        <v>4.7993491672585788E-4</v>
      </c>
      <c r="BY50" s="7">
        <v>1.1445010660651571E-3</v>
      </c>
      <c r="BZ50" s="7">
        <v>5.140541838888195E-5</v>
      </c>
    </row>
    <row r="51" spans="1:78">
      <c r="A51" s="4" t="s">
        <v>169</v>
      </c>
      <c r="B51" s="7">
        <v>2.889913764749333E-5</v>
      </c>
      <c r="C51" s="7">
        <v>8.1548782906944788E-7</v>
      </c>
      <c r="D51" s="7">
        <v>3.7121725547211592E-6</v>
      </c>
      <c r="E51" s="7">
        <v>0</v>
      </c>
      <c r="F51" s="7">
        <v>0</v>
      </c>
      <c r="G51" s="7">
        <v>0</v>
      </c>
      <c r="H51" s="7">
        <v>0</v>
      </c>
      <c r="I51" s="7">
        <v>1.9430847154864029E-5</v>
      </c>
      <c r="J51" s="7">
        <v>0</v>
      </c>
      <c r="K51" s="7">
        <v>2.5979614670985671E-6</v>
      </c>
      <c r="L51" s="7">
        <v>1.3012314216886549E-5</v>
      </c>
      <c r="M51" s="7">
        <v>8.7615693277713263E-6</v>
      </c>
      <c r="N51" s="7">
        <v>1.6006706494321631E-7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5.2605491613921506E-6</v>
      </c>
      <c r="V51" s="7">
        <v>6.3749082506198103E-8</v>
      </c>
      <c r="W51" s="7">
        <v>0</v>
      </c>
      <c r="X51" s="7">
        <v>4.3259285539388971E-6</v>
      </c>
      <c r="Y51" s="7">
        <v>1.198120733550868E-4</v>
      </c>
      <c r="Z51" s="7">
        <v>3.932664516592354E-9</v>
      </c>
      <c r="AA51" s="7">
        <v>1.14807697175968E-5</v>
      </c>
      <c r="AB51" s="7">
        <v>3.437305755306722E-6</v>
      </c>
      <c r="AC51" s="7">
        <v>0</v>
      </c>
      <c r="AD51" s="7">
        <v>9.9264228259298703E-8</v>
      </c>
      <c r="AE51" s="7">
        <v>0</v>
      </c>
      <c r="AF51" s="7">
        <v>0</v>
      </c>
      <c r="AG51" s="7">
        <v>2.7662061280847568E-9</v>
      </c>
      <c r="AH51" s="7">
        <v>1.292770827235766E-7</v>
      </c>
      <c r="AI51" s="7">
        <v>1.193803059537299E-7</v>
      </c>
      <c r="AJ51" s="7">
        <v>0</v>
      </c>
      <c r="AK51" s="7">
        <v>0</v>
      </c>
      <c r="AL51" s="7">
        <v>3.9055405261317627E-6</v>
      </c>
      <c r="AM51" s="7">
        <v>0</v>
      </c>
      <c r="AN51" s="7">
        <v>2.5310817542489232E-4</v>
      </c>
      <c r="AO51" s="7">
        <v>0</v>
      </c>
      <c r="AP51" s="7">
        <v>6.3456439759911783E-6</v>
      </c>
      <c r="AQ51" s="7">
        <v>5.4299912622688967E-7</v>
      </c>
      <c r="AR51" s="7">
        <v>0</v>
      </c>
      <c r="AS51" s="7">
        <v>0</v>
      </c>
      <c r="AT51" s="7">
        <v>0</v>
      </c>
      <c r="AU51" s="7">
        <v>0</v>
      </c>
      <c r="AV51" s="7">
        <v>2.7442603397614961E-6</v>
      </c>
      <c r="AW51" s="7">
        <v>0</v>
      </c>
      <c r="AX51" s="7">
        <v>0</v>
      </c>
      <c r="AY51" s="7">
        <v>0</v>
      </c>
      <c r="AZ51" s="7">
        <v>2.401659411624332E-8</v>
      </c>
      <c r="BA51" s="7">
        <v>0</v>
      </c>
      <c r="BB51" s="7">
        <v>7.2153824140337741E-6</v>
      </c>
      <c r="BC51" s="7">
        <v>0</v>
      </c>
      <c r="BD51" s="7">
        <v>0</v>
      </c>
      <c r="BE51" s="7">
        <v>0</v>
      </c>
      <c r="BF51" s="7">
        <v>0</v>
      </c>
      <c r="BG51" s="7">
        <v>6.3640078057653692E-7</v>
      </c>
      <c r="BH51" s="7">
        <v>3.8788687994709482E-7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3.2784490753020088E-6</v>
      </c>
      <c r="BO51" s="7">
        <v>7.5005802977272548E-8</v>
      </c>
      <c r="BP51" s="7">
        <v>0</v>
      </c>
      <c r="BQ51" s="7">
        <v>1.036574356600405E-6</v>
      </c>
      <c r="BR51" s="7">
        <v>9.6095035061101366E-8</v>
      </c>
      <c r="BS51" s="7">
        <v>0</v>
      </c>
      <c r="BT51" s="7">
        <v>4.8516197714814223E-6</v>
      </c>
      <c r="BU51" s="7">
        <v>1.6841448347580249E-7</v>
      </c>
      <c r="BV51" s="7">
        <v>0</v>
      </c>
      <c r="BW51" s="7">
        <v>2.845399078241626E-6</v>
      </c>
      <c r="BX51" s="7">
        <v>2.637286660180603E-5</v>
      </c>
      <c r="BY51" s="7">
        <v>5.1315699408905399E-6</v>
      </c>
      <c r="BZ51" s="7">
        <v>6.3509934866166204E-7</v>
      </c>
    </row>
    <row r="52" spans="1:78">
      <c r="A52" s="4" t="s">
        <v>171</v>
      </c>
      <c r="B52" s="7">
        <v>9.4310220059008271E-2</v>
      </c>
      <c r="C52" s="7">
        <v>9.7977655684627754E-2</v>
      </c>
      <c r="D52" s="7">
        <v>6.2744469384254958E-2</v>
      </c>
      <c r="E52" s="7">
        <v>3.4638478763570041E-2</v>
      </c>
      <c r="F52" s="7">
        <v>1.074775579599205E-3</v>
      </c>
      <c r="G52" s="7">
        <v>9.3695418030554867E-2</v>
      </c>
      <c r="H52" s="7">
        <v>0</v>
      </c>
      <c r="I52" s="7">
        <v>4.6862985000308707E-2</v>
      </c>
      <c r="J52" s="7">
        <v>6.1349746855149948E-2</v>
      </c>
      <c r="K52" s="7">
        <v>0.13453367859013121</v>
      </c>
      <c r="L52" s="7">
        <v>0.10674103952321699</v>
      </c>
      <c r="M52" s="7">
        <v>2.6132181731254579E-2</v>
      </c>
      <c r="N52" s="7">
        <v>7.9885511441578114E-2</v>
      </c>
      <c r="O52" s="7">
        <v>5.2857213491906696E-3</v>
      </c>
      <c r="P52" s="7">
        <v>0</v>
      </c>
      <c r="Q52" s="7">
        <v>7.0539537385074062E-3</v>
      </c>
      <c r="R52" s="7">
        <v>3.0036315067576799E-2</v>
      </c>
      <c r="S52" s="7">
        <v>1.9404134296574931E-2</v>
      </c>
      <c r="T52" s="7">
        <v>0.21636202184981621</v>
      </c>
      <c r="U52" s="7">
        <v>0.1194825291237353</v>
      </c>
      <c r="V52" s="7">
        <v>3.4414680710750573E-2</v>
      </c>
      <c r="W52" s="7">
        <v>4.5981698558233653E-3</v>
      </c>
      <c r="X52" s="7">
        <v>4.6592861448029751E-2</v>
      </c>
      <c r="Y52" s="7">
        <v>0.10432226411104351</v>
      </c>
      <c r="Z52" s="7">
        <v>0.110394006259511</v>
      </c>
      <c r="AA52" s="7">
        <v>9.9807781811637589E-2</v>
      </c>
      <c r="AB52" s="7">
        <v>0.13732888926288031</v>
      </c>
      <c r="AC52" s="7">
        <v>1.370107423983289E-3</v>
      </c>
      <c r="AD52" s="7">
        <v>6.177128598223635E-2</v>
      </c>
      <c r="AE52" s="7">
        <v>2.4323447082952631E-3</v>
      </c>
      <c r="AF52" s="7">
        <v>3.7756667428809668E-3</v>
      </c>
      <c r="AG52" s="7">
        <v>3.8859432478605793E-2</v>
      </c>
      <c r="AH52" s="7">
        <v>6.7910529902665178E-3</v>
      </c>
      <c r="AI52" s="7">
        <v>1.8793400574015469E-2</v>
      </c>
      <c r="AJ52" s="7">
        <v>6.5852501225559537E-2</v>
      </c>
      <c r="AK52" s="7">
        <v>4.2222393206626249E-6</v>
      </c>
      <c r="AL52" s="7">
        <v>1.5321670374723871E-2</v>
      </c>
      <c r="AM52" s="7">
        <v>3.2598049168472802E-2</v>
      </c>
      <c r="AN52" s="7">
        <v>4.04877374773406E-2</v>
      </c>
      <c r="AO52" s="7">
        <v>4.0029629765137882E-4</v>
      </c>
      <c r="AP52" s="7">
        <v>1.1393166702663309E-2</v>
      </c>
      <c r="AQ52" s="7">
        <v>3.479924438739368E-2</v>
      </c>
      <c r="AR52" s="7">
        <v>4.9418773640778099E-4</v>
      </c>
      <c r="AS52" s="7">
        <v>1.5814928768419709E-2</v>
      </c>
      <c r="AT52" s="7">
        <v>5.0058284883668838E-3</v>
      </c>
      <c r="AU52" s="7">
        <v>1.673234963648158E-2</v>
      </c>
      <c r="AV52" s="7">
        <v>3.7863956254234618E-3</v>
      </c>
      <c r="AW52" s="7">
        <v>0.29992539594739021</v>
      </c>
      <c r="AX52" s="7">
        <v>2.3571987730287521E-2</v>
      </c>
      <c r="AY52" s="7">
        <v>3.0206783714597902E-3</v>
      </c>
      <c r="AZ52" s="7">
        <v>0</v>
      </c>
      <c r="BA52" s="7">
        <v>1.1515382762977771E-3</v>
      </c>
      <c r="BB52" s="7">
        <v>0.1129470421160499</v>
      </c>
      <c r="BC52" s="7">
        <v>8.9895428978744557E-2</v>
      </c>
      <c r="BD52" s="7">
        <v>6.8051505270850368E-2</v>
      </c>
      <c r="BE52" s="7">
        <v>9.4864874897294636E-3</v>
      </c>
      <c r="BF52" s="7">
        <v>0.13792811793074861</v>
      </c>
      <c r="BG52" s="7">
        <v>4.2376634208211042E-2</v>
      </c>
      <c r="BH52" s="7">
        <v>5.0426377611312627E-2</v>
      </c>
      <c r="BI52" s="7">
        <v>8.5663059532119605E-3</v>
      </c>
      <c r="BJ52" s="7">
        <v>7.0495358484553051E-3</v>
      </c>
      <c r="BK52" s="7">
        <v>1.964884548591546E-3</v>
      </c>
      <c r="BL52" s="7">
        <v>5.200636057089026E-3</v>
      </c>
      <c r="BM52" s="7">
        <v>2.7538139233829629E-4</v>
      </c>
      <c r="BN52" s="7">
        <v>0.14473849807897779</v>
      </c>
      <c r="BO52" s="7">
        <v>7.480044315812541E-2</v>
      </c>
      <c r="BP52" s="7">
        <v>7.864299261967457E-2</v>
      </c>
      <c r="BQ52" s="7">
        <v>3.5423335489864732E-2</v>
      </c>
      <c r="BR52" s="7">
        <v>7.7491860746751032E-2</v>
      </c>
      <c r="BS52" s="7">
        <v>3.4455392443651603E-2</v>
      </c>
      <c r="BT52" s="7">
        <v>4.5819887695580923E-2</v>
      </c>
      <c r="BU52" s="7">
        <v>7.1480658980091538E-2</v>
      </c>
      <c r="BV52" s="7">
        <v>7.8149567825522848E-2</v>
      </c>
      <c r="BW52" s="7">
        <v>0.29982331769399889</v>
      </c>
      <c r="BX52" s="7">
        <v>1.369342066837595E-2</v>
      </c>
      <c r="BY52" s="7">
        <v>7.8505515389425157E-2</v>
      </c>
      <c r="BZ52" s="7">
        <v>5.6395833105083892E-2</v>
      </c>
    </row>
    <row r="53" spans="1:78">
      <c r="A53" s="4" t="s">
        <v>173</v>
      </c>
      <c r="B53" s="7">
        <v>0</v>
      </c>
      <c r="C53" s="7">
        <v>0</v>
      </c>
      <c r="D53" s="7">
        <v>0</v>
      </c>
      <c r="E53" s="7">
        <v>6.4925612230106086E-8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9.850426018079276E-8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1.6645825301555109E-7</v>
      </c>
      <c r="U53" s="7">
        <v>4.6760523810368189E-7</v>
      </c>
      <c r="V53" s="7">
        <v>1.1330240791588989E-6</v>
      </c>
      <c r="W53" s="7">
        <v>0</v>
      </c>
      <c r="X53" s="7">
        <v>0</v>
      </c>
      <c r="Y53" s="7">
        <v>0</v>
      </c>
      <c r="Z53" s="7">
        <v>0</v>
      </c>
      <c r="AA53" s="7">
        <v>2.3165715939158499E-6</v>
      </c>
      <c r="AB53" s="7">
        <v>9.6089684028900116E-6</v>
      </c>
      <c r="AC53" s="7">
        <v>0</v>
      </c>
      <c r="AD53" s="7">
        <v>9.3753098586598083E-9</v>
      </c>
      <c r="AE53" s="7">
        <v>0</v>
      </c>
      <c r="AF53" s="7">
        <v>8.1539670083279427E-7</v>
      </c>
      <c r="AG53" s="7">
        <v>0</v>
      </c>
      <c r="AH53" s="7">
        <v>2.264863711127961E-7</v>
      </c>
      <c r="AI53" s="7">
        <v>0</v>
      </c>
      <c r="AJ53" s="7">
        <v>0</v>
      </c>
      <c r="AK53" s="7">
        <v>0</v>
      </c>
      <c r="AL53" s="7">
        <v>5.7969760567986683E-6</v>
      </c>
      <c r="AM53" s="7">
        <v>0</v>
      </c>
      <c r="AN53" s="7">
        <v>0</v>
      </c>
      <c r="AO53" s="7">
        <v>0</v>
      </c>
      <c r="AP53" s="7">
        <v>0</v>
      </c>
      <c r="AQ53" s="7">
        <v>1.679250960156722E-6</v>
      </c>
      <c r="AR53" s="7">
        <v>0</v>
      </c>
      <c r="AS53" s="7">
        <v>1.7180763416469411E-6</v>
      </c>
      <c r="AT53" s="7">
        <v>0</v>
      </c>
      <c r="AU53" s="7">
        <v>0</v>
      </c>
      <c r="AV53" s="7">
        <v>0</v>
      </c>
      <c r="AW53" s="7">
        <v>0</v>
      </c>
      <c r="AX53" s="7">
        <v>6.0425207216545677E-8</v>
      </c>
      <c r="AY53" s="7">
        <v>0</v>
      </c>
      <c r="AZ53" s="7">
        <v>0</v>
      </c>
      <c r="BA53" s="7">
        <v>0</v>
      </c>
      <c r="BB53" s="7">
        <v>5.2095685752167618E-6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4.225561067080575E-8</v>
      </c>
      <c r="BO53" s="7">
        <v>1.479028640416672E-8</v>
      </c>
      <c r="BP53" s="7">
        <v>0</v>
      </c>
      <c r="BQ53" s="7">
        <v>1.21949909794966E-6</v>
      </c>
      <c r="BR53" s="7">
        <v>0</v>
      </c>
      <c r="BS53" s="7">
        <v>2.5465497754775092E-7</v>
      </c>
      <c r="BT53" s="7">
        <v>0</v>
      </c>
      <c r="BU53" s="7">
        <v>0</v>
      </c>
      <c r="BV53" s="7">
        <v>0</v>
      </c>
      <c r="BW53" s="7">
        <v>2.3671216356473199E-6</v>
      </c>
      <c r="BX53" s="7">
        <v>0</v>
      </c>
      <c r="BY53" s="7">
        <v>4.6215465191158686E-6</v>
      </c>
      <c r="BZ53" s="7">
        <v>6.0761409623591323E-5</v>
      </c>
    </row>
    <row r="54" spans="1:78">
      <c r="A54" s="4" t="s">
        <v>175</v>
      </c>
      <c r="B54" s="7">
        <v>2.4287687197984361E-4</v>
      </c>
      <c r="C54" s="7">
        <v>3.9986931500328457E-3</v>
      </c>
      <c r="D54" s="7">
        <v>1.337122506887085E-2</v>
      </c>
      <c r="E54" s="7">
        <v>4.8084137392948499E-2</v>
      </c>
      <c r="F54" s="7">
        <v>3.0914288233912942E-3</v>
      </c>
      <c r="G54" s="7">
        <v>5.6153168273634473E-2</v>
      </c>
      <c r="H54" s="7">
        <v>8.6170951514157081E-3</v>
      </c>
      <c r="I54" s="7">
        <v>7.5236878159726933E-4</v>
      </c>
      <c r="J54" s="7">
        <v>1.3568564556748011E-3</v>
      </c>
      <c r="K54" s="7">
        <v>1.619842361752035E-3</v>
      </c>
      <c r="L54" s="7">
        <v>7.8282291690749295E-2</v>
      </c>
      <c r="M54" s="7">
        <v>9.4408760406568433E-3</v>
      </c>
      <c r="N54" s="7">
        <v>3.0593329440846331E-4</v>
      </c>
      <c r="O54" s="7">
        <v>2.1778401097198568E-3</v>
      </c>
      <c r="P54" s="7">
        <v>2.9519460049782599E-2</v>
      </c>
      <c r="Q54" s="7">
        <v>1.5859006032841641E-3</v>
      </c>
      <c r="R54" s="7">
        <v>4.0958303177697974E-3</v>
      </c>
      <c r="S54" s="7">
        <v>0.1534656537332878</v>
      </c>
      <c r="T54" s="7">
        <v>0.1043236258016694</v>
      </c>
      <c r="U54" s="7">
        <v>4.2589156883656713E-2</v>
      </c>
      <c r="V54" s="7">
        <v>0.16595927399198029</v>
      </c>
      <c r="W54" s="7">
        <v>3.9477386824888624E-3</v>
      </c>
      <c r="X54" s="7">
        <v>0.1234667915448414</v>
      </c>
      <c r="Y54" s="7">
        <v>1.779694737283187E-2</v>
      </c>
      <c r="Z54" s="7">
        <v>1.290012546507178E-2</v>
      </c>
      <c r="AA54" s="7">
        <v>6.8392729950458836E-2</v>
      </c>
      <c r="AB54" s="7">
        <v>1.866491423618994E-2</v>
      </c>
      <c r="AC54" s="7">
        <v>9.104933715432377E-2</v>
      </c>
      <c r="AD54" s="7">
        <v>5.4754403524054005E-4</v>
      </c>
      <c r="AE54" s="7">
        <v>5.1970493876065692E-2</v>
      </c>
      <c r="AF54" s="7">
        <v>0.18635822138683361</v>
      </c>
      <c r="AG54" s="7">
        <v>2.37966800960506E-4</v>
      </c>
      <c r="AH54" s="7">
        <v>4.9775712826097317E-3</v>
      </c>
      <c r="AI54" s="7">
        <v>6.4465119578152397E-3</v>
      </c>
      <c r="AJ54" s="7">
        <v>0.15454475176385191</v>
      </c>
      <c r="AK54" s="7">
        <v>8.8413691374675363E-2</v>
      </c>
      <c r="AL54" s="7">
        <v>0.15846286244216451</v>
      </c>
      <c r="AM54" s="7">
        <v>8.3115097947000904E-3</v>
      </c>
      <c r="AN54" s="7">
        <v>5.8081853100857737E-4</v>
      </c>
      <c r="AO54" s="7">
        <v>3.091430316754596E-2</v>
      </c>
      <c r="AP54" s="7">
        <v>6.1021933448522773E-5</v>
      </c>
      <c r="AQ54" s="7">
        <v>3.682899379177677E-4</v>
      </c>
      <c r="AR54" s="7">
        <v>9.8558851819362185E-5</v>
      </c>
      <c r="AS54" s="7">
        <v>7.439003236264112E-2</v>
      </c>
      <c r="AT54" s="7">
        <v>1.077776782655333E-2</v>
      </c>
      <c r="AU54" s="7">
        <v>0.13528092672961631</v>
      </c>
      <c r="AV54" s="7">
        <v>4.688494380846479E-4</v>
      </c>
      <c r="AW54" s="7">
        <v>3.2919632707898278E-3</v>
      </c>
      <c r="AX54" s="7">
        <v>4.6266952903501989E-3</v>
      </c>
      <c r="AY54" s="7">
        <v>6.3860665559141976E-3</v>
      </c>
      <c r="AZ54" s="7">
        <v>1.327451978155079E-3</v>
      </c>
      <c r="BA54" s="7">
        <v>3.3970550069967798E-3</v>
      </c>
      <c r="BB54" s="7">
        <v>0</v>
      </c>
      <c r="BC54" s="7">
        <v>1.340295666779877E-2</v>
      </c>
      <c r="BD54" s="7">
        <v>3.1563054456357651E-3</v>
      </c>
      <c r="BE54" s="7">
        <v>4.5998801688062238E-4</v>
      </c>
      <c r="BF54" s="7">
        <v>1.2669108219851401E-3</v>
      </c>
      <c r="BG54" s="7">
        <v>1.1342871434232339E-3</v>
      </c>
      <c r="BH54" s="7">
        <v>0.28178491571171488</v>
      </c>
      <c r="BI54" s="7">
        <v>8.8173158191281548E-2</v>
      </c>
      <c r="BJ54" s="7">
        <v>0.1141967890144274</v>
      </c>
      <c r="BK54" s="7">
        <v>4.3718589348444477E-2</v>
      </c>
      <c r="BL54" s="7">
        <v>1.395302609119271E-2</v>
      </c>
      <c r="BM54" s="7">
        <v>2.3169165516201792E-2</v>
      </c>
      <c r="BN54" s="7">
        <v>1.449036361382338E-4</v>
      </c>
      <c r="BO54" s="7">
        <v>4.6722099051720603E-2</v>
      </c>
      <c r="BP54" s="7">
        <v>7.7144100741213927E-3</v>
      </c>
      <c r="BQ54" s="7">
        <v>0.16094874296836251</v>
      </c>
      <c r="BR54" s="7">
        <v>1.088070447037341E-2</v>
      </c>
      <c r="BS54" s="7">
        <v>2.4383576864828319E-3</v>
      </c>
      <c r="BT54" s="7">
        <v>2.3336654780897938E-3</v>
      </c>
      <c r="BU54" s="7">
        <v>1.153585368066207E-3</v>
      </c>
      <c r="BV54" s="7">
        <v>3.21849683673269E-3</v>
      </c>
      <c r="BW54" s="7">
        <v>6.9888775153872332E-4</v>
      </c>
      <c r="BX54" s="7">
        <v>1.818024826079497E-5</v>
      </c>
      <c r="BY54" s="7">
        <v>3.8660783944990109E-3</v>
      </c>
      <c r="BZ54" s="7">
        <v>3.668729967159454E-3</v>
      </c>
    </row>
    <row r="55" spans="1:78">
      <c r="A55" s="4" t="s">
        <v>177</v>
      </c>
      <c r="B55" s="7">
        <v>2.1693546116998209E-5</v>
      </c>
      <c r="C55" s="7">
        <v>8.1238899612065833E-4</v>
      </c>
      <c r="D55" s="7">
        <v>5.5157203141769127E-5</v>
      </c>
      <c r="E55" s="7">
        <v>9.4953744499552797E-5</v>
      </c>
      <c r="F55" s="7">
        <v>3.476276517911563E-5</v>
      </c>
      <c r="G55" s="7">
        <v>5.7118175411301569E-6</v>
      </c>
      <c r="H55" s="7">
        <v>0</v>
      </c>
      <c r="I55" s="7">
        <v>1.933191992949733E-3</v>
      </c>
      <c r="J55" s="7">
        <v>4.4078894544996132E-3</v>
      </c>
      <c r="K55" s="7">
        <v>5.6510434727562403E-4</v>
      </c>
      <c r="L55" s="7">
        <v>3.0428288420710441E-4</v>
      </c>
      <c r="M55" s="7">
        <v>1.656971300422789E-3</v>
      </c>
      <c r="N55" s="7">
        <v>3.1968444062534728E-4</v>
      </c>
      <c r="O55" s="7">
        <v>1.0007856818072499E-2</v>
      </c>
      <c r="P55" s="7">
        <v>4.1127969877605922E-3</v>
      </c>
      <c r="Q55" s="7">
        <v>1.195152532310113E-4</v>
      </c>
      <c r="R55" s="7">
        <v>1.928978218179158E-5</v>
      </c>
      <c r="S55" s="7">
        <v>8.8913586618815993E-4</v>
      </c>
      <c r="T55" s="7">
        <v>1.2806760868816369E-4</v>
      </c>
      <c r="U55" s="7">
        <v>1.721986717807399E-4</v>
      </c>
      <c r="V55" s="7">
        <v>3.127643585184514E-3</v>
      </c>
      <c r="W55" s="7">
        <v>1.7718969261380159E-3</v>
      </c>
      <c r="X55" s="7">
        <v>1.0320824859038689E-3</v>
      </c>
      <c r="Y55" s="7">
        <v>1.9628556449548949E-3</v>
      </c>
      <c r="Z55" s="7">
        <v>1.341426172649233E-3</v>
      </c>
      <c r="AA55" s="7">
        <v>2.0066695391286521E-4</v>
      </c>
      <c r="AB55" s="7">
        <v>1.9629621173771778E-3</v>
      </c>
      <c r="AC55" s="7">
        <v>1.6615449346395481E-3</v>
      </c>
      <c r="AD55" s="7">
        <v>1.7604907501013291E-5</v>
      </c>
      <c r="AE55" s="7">
        <v>1.0617895672514409E-2</v>
      </c>
      <c r="AF55" s="7">
        <v>1.2051521014083689E-4</v>
      </c>
      <c r="AG55" s="7">
        <v>2.248833375261971E-5</v>
      </c>
      <c r="AH55" s="7">
        <v>4.5749403482097883E-5</v>
      </c>
      <c r="AI55" s="7">
        <v>1.6132148645758362E-5</v>
      </c>
      <c r="AJ55" s="7">
        <v>3.6284803424427997E-2</v>
      </c>
      <c r="AK55" s="7">
        <v>3.0526790288390779E-4</v>
      </c>
      <c r="AL55" s="7">
        <v>1.8089946306900929E-4</v>
      </c>
      <c r="AM55" s="7">
        <v>0</v>
      </c>
      <c r="AN55" s="7">
        <v>5.4766067117651906E-6</v>
      </c>
      <c r="AO55" s="7">
        <v>4.7191413255734849E-4</v>
      </c>
      <c r="AP55" s="7">
        <v>1.5385600791858391E-5</v>
      </c>
      <c r="AQ55" s="7">
        <v>4.7880015235692871E-4</v>
      </c>
      <c r="AR55" s="7">
        <v>0</v>
      </c>
      <c r="AS55" s="7">
        <v>3.2572684969247828E-3</v>
      </c>
      <c r="AT55" s="7">
        <v>1.2689606261118681E-4</v>
      </c>
      <c r="AU55" s="7">
        <v>3.4722093192983368E-4</v>
      </c>
      <c r="AV55" s="7">
        <v>2.3326862403748639E-4</v>
      </c>
      <c r="AW55" s="7">
        <v>2.4257173552944581E-7</v>
      </c>
      <c r="AX55" s="7">
        <v>4.5450485972251088E-6</v>
      </c>
      <c r="AY55" s="7">
        <v>0</v>
      </c>
      <c r="AZ55" s="7">
        <v>1.137129417699382E-5</v>
      </c>
      <c r="BA55" s="7">
        <v>2.4449410873509641E-3</v>
      </c>
      <c r="BB55" s="7">
        <v>4.3252236551959622E-4</v>
      </c>
      <c r="BC55" s="7">
        <v>0</v>
      </c>
      <c r="BD55" s="7">
        <v>4.2942187046560512E-3</v>
      </c>
      <c r="BE55" s="7">
        <v>1.6567408590983969E-5</v>
      </c>
      <c r="BF55" s="7">
        <v>4.1581707589918323E-4</v>
      </c>
      <c r="BG55" s="7">
        <v>6.3925334872997534E-4</v>
      </c>
      <c r="BH55" s="7">
        <v>2.4781718096356298E-4</v>
      </c>
      <c r="BI55" s="7">
        <v>8.04588008697147E-6</v>
      </c>
      <c r="BJ55" s="7">
        <v>2.007263810369167E-4</v>
      </c>
      <c r="BK55" s="7">
        <v>2.5065513530272808E-4</v>
      </c>
      <c r="BL55" s="7">
        <v>1.8498008658576471E-3</v>
      </c>
      <c r="BM55" s="7">
        <v>2.1347800300398431E-5</v>
      </c>
      <c r="BN55" s="7">
        <v>5.0387918902760981E-5</v>
      </c>
      <c r="BO55" s="7">
        <v>6.1683244283027635E-4</v>
      </c>
      <c r="BP55" s="7">
        <v>2.258398444041254E-5</v>
      </c>
      <c r="BQ55" s="7">
        <v>1.061848244691967E-2</v>
      </c>
      <c r="BR55" s="7">
        <v>3.7882604558565997E-5</v>
      </c>
      <c r="BS55" s="7">
        <v>9.2420751815808349E-7</v>
      </c>
      <c r="BT55" s="7">
        <v>8.9799883451511034E-4</v>
      </c>
      <c r="BU55" s="7">
        <v>1.27266808396766E-6</v>
      </c>
      <c r="BV55" s="7">
        <v>2.1892236409680849E-6</v>
      </c>
      <c r="BW55" s="7">
        <v>1.6696669266939699E-4</v>
      </c>
      <c r="BX55" s="7">
        <v>2.9778526813565731E-5</v>
      </c>
      <c r="BY55" s="7">
        <v>1.736691115143589E-3</v>
      </c>
      <c r="BZ55" s="7">
        <v>4.3185886768660189E-3</v>
      </c>
    </row>
    <row r="56" spans="1:78">
      <c r="A56" s="4" t="s">
        <v>179</v>
      </c>
      <c r="B56" s="7">
        <v>7.3224666836903122E-5</v>
      </c>
      <c r="C56" s="7">
        <v>7.6306162060686099E-3</v>
      </c>
      <c r="D56" s="7">
        <v>1.132887402950684E-6</v>
      </c>
      <c r="E56" s="7">
        <v>3.0557190253501483E-5</v>
      </c>
      <c r="F56" s="7">
        <v>0</v>
      </c>
      <c r="G56" s="7">
        <v>7.7035690408988207E-7</v>
      </c>
      <c r="H56" s="7">
        <v>0</v>
      </c>
      <c r="I56" s="7">
        <v>2.6602757190481841E-5</v>
      </c>
      <c r="J56" s="7">
        <v>3.079461741956036E-5</v>
      </c>
      <c r="K56" s="7">
        <v>1.1930232670613691E-4</v>
      </c>
      <c r="L56" s="7">
        <v>4.9333831720456209E-5</v>
      </c>
      <c r="M56" s="7">
        <v>7.4651342484899428E-4</v>
      </c>
      <c r="N56" s="7">
        <v>1.3504816851929681E-5</v>
      </c>
      <c r="O56" s="7">
        <v>2.0455944154961319E-4</v>
      </c>
      <c r="P56" s="7">
        <v>0</v>
      </c>
      <c r="Q56" s="7">
        <v>3.8637596045324401E-5</v>
      </c>
      <c r="R56" s="7">
        <v>7.4425011774442823E-5</v>
      </c>
      <c r="S56" s="7">
        <v>0</v>
      </c>
      <c r="T56" s="7">
        <v>4.0939536326688087E-5</v>
      </c>
      <c r="U56" s="7">
        <v>4.7479613291751053E-6</v>
      </c>
      <c r="V56" s="7">
        <v>5.119539956295841E-5</v>
      </c>
      <c r="W56" s="7">
        <v>1.467142631951208E-3</v>
      </c>
      <c r="X56" s="7">
        <v>2.561752348449634E-6</v>
      </c>
      <c r="Y56" s="7">
        <v>1.9956426974141749E-5</v>
      </c>
      <c r="Z56" s="7">
        <v>3.8072310427447803E-5</v>
      </c>
      <c r="AA56" s="7">
        <v>9.1138858066445765E-6</v>
      </c>
      <c r="AB56" s="7">
        <v>6.2464298147798161E-5</v>
      </c>
      <c r="AC56" s="7">
        <v>0</v>
      </c>
      <c r="AD56" s="7">
        <v>2.0584928323963309E-5</v>
      </c>
      <c r="AE56" s="7">
        <v>2.4789948847630779E-7</v>
      </c>
      <c r="AF56" s="7">
        <v>1.7311932255886141E-7</v>
      </c>
      <c r="AG56" s="7">
        <v>1.2279880554100259E-5</v>
      </c>
      <c r="AH56" s="7">
        <v>1.1967855489883799E-4</v>
      </c>
      <c r="AI56" s="7">
        <v>7.3695026351978557E-6</v>
      </c>
      <c r="AJ56" s="7">
        <v>0</v>
      </c>
      <c r="AK56" s="7">
        <v>1.9422300875048069E-5</v>
      </c>
      <c r="AL56" s="7">
        <v>9.3719711012345522E-6</v>
      </c>
      <c r="AM56" s="7">
        <v>4.6287219509659353E-4</v>
      </c>
      <c r="AN56" s="7">
        <v>2.698722167225031E-5</v>
      </c>
      <c r="AO56" s="7">
        <v>0</v>
      </c>
      <c r="AP56" s="7">
        <v>4.5323571729197708E-4</v>
      </c>
      <c r="AQ56" s="7">
        <v>1.2567317752831311E-7</v>
      </c>
      <c r="AR56" s="7">
        <v>2.5572001982390311E-5</v>
      </c>
      <c r="AS56" s="7">
        <v>3.8596645087697904E-6</v>
      </c>
      <c r="AT56" s="7">
        <v>0</v>
      </c>
      <c r="AU56" s="7">
        <v>0</v>
      </c>
      <c r="AV56" s="7">
        <v>1.562634832553608E-4</v>
      </c>
      <c r="AW56" s="7">
        <v>1.0031784273713879E-7</v>
      </c>
      <c r="AX56" s="7">
        <v>0</v>
      </c>
      <c r="AY56" s="7">
        <v>3.373632859888745E-3</v>
      </c>
      <c r="AZ56" s="7">
        <v>4.2852240442009201E-6</v>
      </c>
      <c r="BA56" s="7">
        <v>7.4100401924157851E-6</v>
      </c>
      <c r="BB56" s="7">
        <v>4.3114571799683348E-5</v>
      </c>
      <c r="BC56" s="7">
        <v>3.9583770705446609E-5</v>
      </c>
      <c r="BD56" s="7">
        <v>0</v>
      </c>
      <c r="BE56" s="7">
        <v>1.103586147659902E-3</v>
      </c>
      <c r="BF56" s="7">
        <v>8.7463909926489944E-4</v>
      </c>
      <c r="BG56" s="7">
        <v>1.453549318475755E-6</v>
      </c>
      <c r="BH56" s="7">
        <v>1.5473601046071319E-6</v>
      </c>
      <c r="BI56" s="7">
        <v>1.7482364938676311E-6</v>
      </c>
      <c r="BJ56" s="7">
        <v>3.9820958987925464E-6</v>
      </c>
      <c r="BK56" s="7">
        <v>1.048466046679798E-4</v>
      </c>
      <c r="BL56" s="7">
        <v>5.0496040169996819E-7</v>
      </c>
      <c r="BM56" s="7">
        <v>0</v>
      </c>
      <c r="BN56" s="7">
        <v>2.1228302415295808E-6</v>
      </c>
      <c r="BO56" s="7">
        <v>4.2183096660710041E-5</v>
      </c>
      <c r="BP56" s="7">
        <v>0</v>
      </c>
      <c r="BQ56" s="7">
        <v>3.865811795139476E-5</v>
      </c>
      <c r="BR56" s="7">
        <v>2.7177513354059641E-5</v>
      </c>
      <c r="BS56" s="7">
        <v>0</v>
      </c>
      <c r="BT56" s="7">
        <v>8.9622254447778728E-5</v>
      </c>
      <c r="BU56" s="7">
        <v>4.9666412250552978E-5</v>
      </c>
      <c r="BV56" s="7">
        <v>0</v>
      </c>
      <c r="BW56" s="7">
        <v>3.9856731028968858E-5</v>
      </c>
      <c r="BX56" s="7">
        <v>4.3227773424114798E-6</v>
      </c>
      <c r="BY56" s="7">
        <v>9.4862538609851875E-4</v>
      </c>
      <c r="BZ56" s="7">
        <v>3.5724957916925988E-4</v>
      </c>
    </row>
    <row r="57" spans="1:78">
      <c r="A57" s="4" t="s">
        <v>181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1.414742676764907E-6</v>
      </c>
      <c r="L57" s="7">
        <v>1.862466580144724E-7</v>
      </c>
      <c r="M57" s="7">
        <v>0</v>
      </c>
      <c r="N57" s="7">
        <v>6.7906096472602313E-9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6.5736493233030876E-7</v>
      </c>
      <c r="U57" s="7">
        <v>1.3686432272589991E-6</v>
      </c>
      <c r="V57" s="7">
        <v>2.8349682641721978E-7</v>
      </c>
      <c r="W57" s="7">
        <v>1.5260184571618311E-7</v>
      </c>
      <c r="X57" s="7">
        <v>6.8903237181030453E-8</v>
      </c>
      <c r="Y57" s="7">
        <v>0</v>
      </c>
      <c r="Z57" s="7">
        <v>4.7980747936909119E-8</v>
      </c>
      <c r="AA57" s="7">
        <v>1.482816373861954E-5</v>
      </c>
      <c r="AB57" s="7">
        <v>1.5561522452938109E-5</v>
      </c>
      <c r="AC57" s="7">
        <v>2.6377268508867909E-6</v>
      </c>
      <c r="AD57" s="7">
        <v>1.2106525624661329E-8</v>
      </c>
      <c r="AE57" s="7">
        <v>0</v>
      </c>
      <c r="AF57" s="7">
        <v>0</v>
      </c>
      <c r="AG57" s="7">
        <v>7.4918082635628839E-8</v>
      </c>
      <c r="AH57" s="7">
        <v>0</v>
      </c>
      <c r="AI57" s="7">
        <v>7.6288513787341073E-7</v>
      </c>
      <c r="AJ57" s="7">
        <v>0</v>
      </c>
      <c r="AK57" s="7">
        <v>0</v>
      </c>
      <c r="AL57" s="7">
        <v>3.9254328853892977E-5</v>
      </c>
      <c r="AM57" s="7">
        <v>5.0711157584442234E-3</v>
      </c>
      <c r="AN57" s="7">
        <v>5.1740868331164212E-7</v>
      </c>
      <c r="AO57" s="7">
        <v>0</v>
      </c>
      <c r="AP57" s="7">
        <v>0</v>
      </c>
      <c r="AQ57" s="7">
        <v>4.5609479035556311E-8</v>
      </c>
      <c r="AR57" s="7">
        <v>0</v>
      </c>
      <c r="AS57" s="7">
        <v>2.7633395704810951E-7</v>
      </c>
      <c r="AT57" s="7">
        <v>0</v>
      </c>
      <c r="AU57" s="7">
        <v>0</v>
      </c>
      <c r="AV57" s="7">
        <v>3.0893202779278668E-7</v>
      </c>
      <c r="AW57" s="7">
        <v>2.454928252844058E-8</v>
      </c>
      <c r="AX57" s="7">
        <v>0</v>
      </c>
      <c r="AY57" s="7">
        <v>9.5636078887285816E-4</v>
      </c>
      <c r="AZ57" s="7">
        <v>8.1149210085095327E-8</v>
      </c>
      <c r="BA57" s="7">
        <v>0</v>
      </c>
      <c r="BB57" s="7">
        <v>1.079788386746399E-7</v>
      </c>
      <c r="BC57" s="7">
        <v>1.9475733475622882E-6</v>
      </c>
      <c r="BD57" s="7">
        <v>0</v>
      </c>
      <c r="BE57" s="7">
        <v>0</v>
      </c>
      <c r="BF57" s="7">
        <v>0</v>
      </c>
      <c r="BG57" s="7">
        <v>0</v>
      </c>
      <c r="BH57" s="7">
        <v>8.2998976697770401E-7</v>
      </c>
      <c r="BI57" s="7">
        <v>5.5067077972300002E-8</v>
      </c>
      <c r="BJ57" s="7">
        <v>0</v>
      </c>
      <c r="BK57" s="7">
        <v>0</v>
      </c>
      <c r="BL57" s="7">
        <v>0</v>
      </c>
      <c r="BM57" s="7">
        <v>1.497665289560728E-5</v>
      </c>
      <c r="BN57" s="7">
        <v>1.009621284656693E-5</v>
      </c>
      <c r="BO57" s="7">
        <v>2.5776811706112831E-7</v>
      </c>
      <c r="BP57" s="7">
        <v>0</v>
      </c>
      <c r="BQ57" s="7">
        <v>2.4816803683038909E-5</v>
      </c>
      <c r="BR57" s="7">
        <v>1.038068317785246E-7</v>
      </c>
      <c r="BS57" s="7">
        <v>0</v>
      </c>
      <c r="BT57" s="7">
        <v>5.4513728731637664E-6</v>
      </c>
      <c r="BU57" s="7">
        <v>0</v>
      </c>
      <c r="BV57" s="7">
        <v>0</v>
      </c>
      <c r="BW57" s="7">
        <v>6.0037533467074781E-7</v>
      </c>
      <c r="BX57" s="7">
        <v>0</v>
      </c>
      <c r="BY57" s="7">
        <v>6.6389379198193558E-7</v>
      </c>
      <c r="BZ57" s="7">
        <v>1.004641761104672E-4</v>
      </c>
    </row>
    <row r="58" spans="1:78">
      <c r="A58" s="4" t="s">
        <v>183</v>
      </c>
      <c r="B58" s="7">
        <v>3.0998003008306207E-5</v>
      </c>
      <c r="C58" s="7">
        <v>0</v>
      </c>
      <c r="D58" s="7">
        <v>2.7874178002150959E-6</v>
      </c>
      <c r="E58" s="7">
        <v>9.4144131646021777E-6</v>
      </c>
      <c r="F58" s="7">
        <v>0</v>
      </c>
      <c r="G58" s="7">
        <v>0</v>
      </c>
      <c r="H58" s="7">
        <v>0</v>
      </c>
      <c r="I58" s="7">
        <v>9.6173941028554567E-7</v>
      </c>
      <c r="J58" s="7">
        <v>0</v>
      </c>
      <c r="K58" s="7">
        <v>5.2098354700108599E-8</v>
      </c>
      <c r="L58" s="7">
        <v>7.7036036540084315E-6</v>
      </c>
      <c r="M58" s="7">
        <v>1.5884456349820959E-3</v>
      </c>
      <c r="N58" s="7">
        <v>3.7725609151445728E-10</v>
      </c>
      <c r="O58" s="7">
        <v>0</v>
      </c>
      <c r="P58" s="7">
        <v>0</v>
      </c>
      <c r="Q58" s="7">
        <v>1.195319675255019E-5</v>
      </c>
      <c r="R58" s="7">
        <v>2.665995748386577E-4</v>
      </c>
      <c r="S58" s="7">
        <v>0</v>
      </c>
      <c r="T58" s="7">
        <v>0</v>
      </c>
      <c r="U58" s="7">
        <v>3.564158286911644E-7</v>
      </c>
      <c r="V58" s="7">
        <v>6.1244693580250936E-8</v>
      </c>
      <c r="W58" s="7">
        <v>1.831568014952022E-6</v>
      </c>
      <c r="X58" s="7">
        <v>8.7435280407732463E-7</v>
      </c>
      <c r="Y58" s="7">
        <v>0</v>
      </c>
      <c r="Z58" s="7">
        <v>0</v>
      </c>
      <c r="AA58" s="7">
        <v>1.7836240211274289E-5</v>
      </c>
      <c r="AB58" s="7">
        <v>9.7428348756118175E-6</v>
      </c>
      <c r="AC58" s="7">
        <v>0</v>
      </c>
      <c r="AD58" s="7">
        <v>1.100563394108696E-7</v>
      </c>
      <c r="AE58" s="7">
        <v>0</v>
      </c>
      <c r="AF58" s="7">
        <v>0</v>
      </c>
      <c r="AG58" s="7">
        <v>1.135564498327167E-7</v>
      </c>
      <c r="AH58" s="7">
        <v>1.397660106817009E-8</v>
      </c>
      <c r="AI58" s="7">
        <v>0</v>
      </c>
      <c r="AJ58" s="7">
        <v>0</v>
      </c>
      <c r="AK58" s="7">
        <v>1.9483101121265619E-7</v>
      </c>
      <c r="AL58" s="7">
        <v>0</v>
      </c>
      <c r="AM58" s="7">
        <v>0</v>
      </c>
      <c r="AN58" s="7">
        <v>1.7391299499301721E-9</v>
      </c>
      <c r="AO58" s="7">
        <v>0</v>
      </c>
      <c r="AP58" s="7">
        <v>0</v>
      </c>
      <c r="AQ58" s="7">
        <v>6.9755673819086125E-8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8.7947776528584707E-7</v>
      </c>
      <c r="AX58" s="7">
        <v>0</v>
      </c>
      <c r="AY58" s="7">
        <v>0</v>
      </c>
      <c r="AZ58" s="7">
        <v>0</v>
      </c>
      <c r="BA58" s="7">
        <v>0</v>
      </c>
      <c r="BB58" s="7">
        <v>1.2061470000927E-7</v>
      </c>
      <c r="BC58" s="7">
        <v>3.5251133989833579E-7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8.8652323730383666E-7</v>
      </c>
      <c r="BJ58" s="7">
        <v>0</v>
      </c>
      <c r="BK58" s="7">
        <v>0</v>
      </c>
      <c r="BL58" s="7">
        <v>0</v>
      </c>
      <c r="BM58" s="7">
        <v>0</v>
      </c>
      <c r="BN58" s="7">
        <v>6.0765808953905534E-9</v>
      </c>
      <c r="BO58" s="7">
        <v>0</v>
      </c>
      <c r="BP58" s="7">
        <v>0</v>
      </c>
      <c r="BQ58" s="7">
        <v>1.463398547510008E-6</v>
      </c>
      <c r="BR58" s="7">
        <v>8.1614971183073843E-10</v>
      </c>
      <c r="BS58" s="7">
        <v>0</v>
      </c>
      <c r="BT58" s="7">
        <v>1.9077252915214961E-7</v>
      </c>
      <c r="BU58" s="7">
        <v>8.1931238434424263E-9</v>
      </c>
      <c r="BV58" s="7">
        <v>0</v>
      </c>
      <c r="BW58" s="7">
        <v>5.790191293104538E-6</v>
      </c>
      <c r="BX58" s="7">
        <v>0</v>
      </c>
      <c r="BY58" s="7">
        <v>1.362152529315636E-5</v>
      </c>
      <c r="BZ58" s="7">
        <v>5.6275645370979137E-5</v>
      </c>
    </row>
    <row r="59" spans="1:78">
      <c r="A59" s="4" t="s">
        <v>185</v>
      </c>
      <c r="B59" s="7">
        <v>5.7168037504518772E-3</v>
      </c>
      <c r="C59" s="7">
        <v>2.2527736441005759E-2</v>
      </c>
      <c r="D59" s="7">
        <v>9.0299280156096701E-2</v>
      </c>
      <c r="E59" s="7">
        <v>1.6657671328513229E-2</v>
      </c>
      <c r="F59" s="7">
        <v>1.7864121193834469E-5</v>
      </c>
      <c r="G59" s="7">
        <v>0.14459048839449529</v>
      </c>
      <c r="H59" s="7">
        <v>0</v>
      </c>
      <c r="I59" s="7">
        <v>7.9108019133323805E-3</v>
      </c>
      <c r="J59" s="7">
        <v>8.6634255358372853E-4</v>
      </c>
      <c r="K59" s="7">
        <v>5.2280297914760118E-2</v>
      </c>
      <c r="L59" s="7">
        <v>4.6762977692270627E-2</v>
      </c>
      <c r="M59" s="7">
        <v>4.3133123714493692E-3</v>
      </c>
      <c r="N59" s="7">
        <v>2.4422619344863991E-2</v>
      </c>
      <c r="O59" s="7">
        <v>2.7519169449588798E-4</v>
      </c>
      <c r="P59" s="7">
        <v>2.0102217124239041E-3</v>
      </c>
      <c r="Q59" s="7">
        <v>1.25316070129706E-3</v>
      </c>
      <c r="R59" s="7">
        <v>1.9622118152486039E-2</v>
      </c>
      <c r="S59" s="7">
        <v>3.7817283099714979E-3</v>
      </c>
      <c r="T59" s="7">
        <v>2.4492187571505099E-2</v>
      </c>
      <c r="U59" s="7">
        <v>6.8201401033844131E-2</v>
      </c>
      <c r="V59" s="7">
        <v>2.604921998539823E-2</v>
      </c>
      <c r="W59" s="7">
        <v>6.4566938954725758E-3</v>
      </c>
      <c r="X59" s="7">
        <v>1.371681941149766E-2</v>
      </c>
      <c r="Y59" s="7">
        <v>6.4637104347008437E-2</v>
      </c>
      <c r="Z59" s="7">
        <v>9.8152472848888589E-2</v>
      </c>
      <c r="AA59" s="7">
        <v>3.710767330505832E-2</v>
      </c>
      <c r="AB59" s="7">
        <v>4.1490114109997867E-2</v>
      </c>
      <c r="AC59" s="7">
        <v>1.006595678732168E-3</v>
      </c>
      <c r="AD59" s="7">
        <v>3.9429651683864891E-2</v>
      </c>
      <c r="AE59" s="7">
        <v>1.167268545966396E-3</v>
      </c>
      <c r="AF59" s="7">
        <v>1.6579308172507041E-2</v>
      </c>
      <c r="AG59" s="7">
        <v>3.5625954662055773E-2</v>
      </c>
      <c r="AH59" s="7">
        <v>3.642869273144971E-3</v>
      </c>
      <c r="AI59" s="7">
        <v>2.6750958417634482E-3</v>
      </c>
      <c r="AJ59" s="7">
        <v>1.0813960552885721E-2</v>
      </c>
      <c r="AK59" s="7">
        <v>2.7824134899234632E-2</v>
      </c>
      <c r="AL59" s="7">
        <v>8.0568734033397808E-3</v>
      </c>
      <c r="AM59" s="7">
        <v>0</v>
      </c>
      <c r="AN59" s="7">
        <v>2.1256441152009319E-2</v>
      </c>
      <c r="AO59" s="7">
        <v>7.3941634109053108E-6</v>
      </c>
      <c r="AP59" s="7">
        <v>4.2000355440713538E-2</v>
      </c>
      <c r="AQ59" s="7">
        <v>1.242265615834476E-2</v>
      </c>
      <c r="AR59" s="7">
        <v>0</v>
      </c>
      <c r="AS59" s="7">
        <v>7.6149258434848486E-3</v>
      </c>
      <c r="AT59" s="7">
        <v>1.7416244504320121E-2</v>
      </c>
      <c r="AU59" s="7">
        <v>6.253667196577441E-3</v>
      </c>
      <c r="AV59" s="7">
        <v>1.2836181828903121E-3</v>
      </c>
      <c r="AW59" s="7">
        <v>3.0583601831457401E-2</v>
      </c>
      <c r="AX59" s="7">
        <v>7.1128491965613008E-2</v>
      </c>
      <c r="AY59" s="7">
        <v>6.4665943358418427E-6</v>
      </c>
      <c r="AZ59" s="7">
        <v>2.2737358683064771E-2</v>
      </c>
      <c r="BA59" s="7">
        <v>1.549737707036059E-5</v>
      </c>
      <c r="BB59" s="7">
        <v>6.0857892583982477E-2</v>
      </c>
      <c r="BC59" s="7">
        <v>4.2384235761805902E-2</v>
      </c>
      <c r="BD59" s="7">
        <v>3.9123003297373823E-2</v>
      </c>
      <c r="BE59" s="7">
        <v>1.4792141480353611E-3</v>
      </c>
      <c r="BF59" s="7">
        <v>4.3437882584892581E-3</v>
      </c>
      <c r="BG59" s="7">
        <v>0</v>
      </c>
      <c r="BH59" s="7">
        <v>2.2905200270889881E-2</v>
      </c>
      <c r="BI59" s="7">
        <v>1.3095767498443531E-2</v>
      </c>
      <c r="BJ59" s="7">
        <v>1.7666906440714621E-2</v>
      </c>
      <c r="BK59" s="7">
        <v>3.270506086634711E-3</v>
      </c>
      <c r="BL59" s="7">
        <v>5.6382064470784643E-3</v>
      </c>
      <c r="BM59" s="7">
        <v>0</v>
      </c>
      <c r="BN59" s="7">
        <v>5.1749456643224181E-2</v>
      </c>
      <c r="BO59" s="7">
        <v>2.789933586556486E-2</v>
      </c>
      <c r="BP59" s="7">
        <v>3.8150827911878793E-2</v>
      </c>
      <c r="BQ59" s="7">
        <v>2.5436980336352159E-2</v>
      </c>
      <c r="BR59" s="7">
        <v>4.1466075044766397E-2</v>
      </c>
      <c r="BS59" s="7">
        <v>3.3246978733314142E-2</v>
      </c>
      <c r="BT59" s="7">
        <v>1.9589345720734279E-2</v>
      </c>
      <c r="BU59" s="7">
        <v>2.1631585427924229E-2</v>
      </c>
      <c r="BV59" s="7">
        <v>5.7792416620213109E-2</v>
      </c>
      <c r="BW59" s="7">
        <v>3.6834649308410662E-2</v>
      </c>
      <c r="BX59" s="7">
        <v>1.7090652624153751E-2</v>
      </c>
      <c r="BY59" s="7">
        <v>2.9968489322915241E-2</v>
      </c>
      <c r="BZ59" s="7">
        <v>1.0512493287089079E-2</v>
      </c>
    </row>
    <row r="60" spans="1:78">
      <c r="A60" s="4" t="s">
        <v>187</v>
      </c>
      <c r="B60" s="7">
        <v>5.6261289123166001E-3</v>
      </c>
      <c r="C60" s="7">
        <v>2.4644299845734069E-3</v>
      </c>
      <c r="D60" s="7">
        <v>3.7128520412463748E-3</v>
      </c>
      <c r="E60" s="7">
        <v>5.4562585228925674E-4</v>
      </c>
      <c r="F60" s="7">
        <v>1.02146343121902E-5</v>
      </c>
      <c r="G60" s="7">
        <v>7.1234180457528723E-3</v>
      </c>
      <c r="H60" s="7">
        <v>0.1186525180330444</v>
      </c>
      <c r="I60" s="7">
        <v>3.0846397888203521E-3</v>
      </c>
      <c r="J60" s="7">
        <v>5.4990316030830053E-5</v>
      </c>
      <c r="K60" s="7">
        <v>1.95755085961621E-3</v>
      </c>
      <c r="L60" s="7">
        <v>3.6141816785070411E-3</v>
      </c>
      <c r="M60" s="7">
        <v>3.4082284195702771E-3</v>
      </c>
      <c r="N60" s="7">
        <v>1.223744091113643E-4</v>
      </c>
      <c r="O60" s="7">
        <v>1.7437932934934949E-3</v>
      </c>
      <c r="P60" s="7">
        <v>3.7463222822445481E-4</v>
      </c>
      <c r="Q60" s="7">
        <v>7.020652898511049E-3</v>
      </c>
      <c r="R60" s="7">
        <v>2.5499622181947968E-4</v>
      </c>
      <c r="S60" s="7">
        <v>4.9785595254952832E-3</v>
      </c>
      <c r="T60" s="7">
        <v>3.182428723045921E-3</v>
      </c>
      <c r="U60" s="7">
        <v>5.8064908834304773E-3</v>
      </c>
      <c r="V60" s="7">
        <v>6.7008981085840746E-2</v>
      </c>
      <c r="W60" s="7">
        <v>3.583577919968872E-3</v>
      </c>
      <c r="X60" s="7">
        <v>9.1844805091363477E-3</v>
      </c>
      <c r="Y60" s="7">
        <v>9.6864397236627216E-3</v>
      </c>
      <c r="Z60" s="7">
        <v>8.340363203462809E-3</v>
      </c>
      <c r="AA60" s="7">
        <v>2.794323005454429E-3</v>
      </c>
      <c r="AB60" s="7">
        <v>6.565280410696016E-3</v>
      </c>
      <c r="AC60" s="7">
        <v>2.5273797259542149E-2</v>
      </c>
      <c r="AD60" s="7">
        <v>5.6315784103064818E-5</v>
      </c>
      <c r="AE60" s="7">
        <v>3.2442042648966038E-2</v>
      </c>
      <c r="AF60" s="7">
        <v>3.07362894978616E-3</v>
      </c>
      <c r="AG60" s="7">
        <v>8.8952337219595909E-4</v>
      </c>
      <c r="AH60" s="7">
        <v>2.18623344932893E-4</v>
      </c>
      <c r="AI60" s="7">
        <v>7.0265715061063169E-5</v>
      </c>
      <c r="AJ60" s="7">
        <v>4.382967941788888E-2</v>
      </c>
      <c r="AK60" s="7">
        <v>2.9471230458225122E-4</v>
      </c>
      <c r="AL60" s="7">
        <v>1.8757472472818011E-2</v>
      </c>
      <c r="AM60" s="7">
        <v>3.3035776403505649E-3</v>
      </c>
      <c r="AN60" s="7">
        <v>3.1395747428868912E-4</v>
      </c>
      <c r="AO60" s="7">
        <v>3.3816851680392307E-2</v>
      </c>
      <c r="AP60" s="7">
        <v>1.2736405480651651E-4</v>
      </c>
      <c r="AQ60" s="7">
        <v>3.4092144206962022E-4</v>
      </c>
      <c r="AR60" s="7">
        <v>0</v>
      </c>
      <c r="AS60" s="7">
        <v>4.0750614217548491E-2</v>
      </c>
      <c r="AT60" s="7">
        <v>6.3374234833542143E-3</v>
      </c>
      <c r="AU60" s="7">
        <v>9.2625129340376353E-2</v>
      </c>
      <c r="AV60" s="7">
        <v>1.927016984798752E-3</v>
      </c>
      <c r="AW60" s="7">
        <v>1.203999219921558E-3</v>
      </c>
      <c r="AX60" s="7">
        <v>1.165813514876293E-4</v>
      </c>
      <c r="AY60" s="7">
        <v>1.188076391946936E-4</v>
      </c>
      <c r="AZ60" s="7">
        <v>3.469027484571687E-4</v>
      </c>
      <c r="BA60" s="7">
        <v>5.3054701709739362E-4</v>
      </c>
      <c r="BB60" s="7">
        <v>1.450359122224402E-2</v>
      </c>
      <c r="BC60" s="7">
        <v>2.53978229628797E-2</v>
      </c>
      <c r="BD60" s="7">
        <v>3.8274570370912309E-3</v>
      </c>
      <c r="BE60" s="7">
        <v>1.5306268313141989E-3</v>
      </c>
      <c r="BF60" s="7">
        <v>7.4004492259709172E-3</v>
      </c>
      <c r="BG60" s="7">
        <v>3.725055889648594E-6</v>
      </c>
      <c r="BH60" s="7">
        <v>0</v>
      </c>
      <c r="BI60" s="7">
        <v>2.212123325758002E-3</v>
      </c>
      <c r="BJ60" s="7">
        <v>6.2099444517739683E-3</v>
      </c>
      <c r="BK60" s="7">
        <v>6.9263465574450674E-3</v>
      </c>
      <c r="BL60" s="7">
        <v>8.3088962288586465E-4</v>
      </c>
      <c r="BM60" s="7">
        <v>3.1078983473281489E-3</v>
      </c>
      <c r="BN60" s="7">
        <v>5.0898318344158542E-5</v>
      </c>
      <c r="BO60" s="7">
        <v>2.7320509408647341E-2</v>
      </c>
      <c r="BP60" s="7">
        <v>5.1921471730039552E-3</v>
      </c>
      <c r="BQ60" s="7">
        <v>2.221360064664768E-2</v>
      </c>
      <c r="BR60" s="7">
        <v>2.2430263794626741E-4</v>
      </c>
      <c r="BS60" s="7">
        <v>6.2249818209223254E-4</v>
      </c>
      <c r="BT60" s="7">
        <v>9.4290821916204123E-3</v>
      </c>
      <c r="BU60" s="7">
        <v>2.2573032015695141E-5</v>
      </c>
      <c r="BV60" s="7">
        <v>1.866298502299709E-2</v>
      </c>
      <c r="BW60" s="7">
        <v>2.2153926849896128E-3</v>
      </c>
      <c r="BX60" s="7">
        <v>3.8280735294868212E-5</v>
      </c>
      <c r="BY60" s="7">
        <v>4.3857379654717154E-3</v>
      </c>
      <c r="BZ60" s="7">
        <v>5.2016717099873499E-3</v>
      </c>
    </row>
    <row r="61" spans="1:78">
      <c r="A61" s="4" t="s">
        <v>189</v>
      </c>
      <c r="B61" s="7">
        <v>8.1878307939035767E-3</v>
      </c>
      <c r="C61" s="7">
        <v>1.0622358438731971E-4</v>
      </c>
      <c r="D61" s="7">
        <v>5.7220056985324177E-4</v>
      </c>
      <c r="E61" s="7">
        <v>3.3856180479437617E-5</v>
      </c>
      <c r="F61" s="7">
        <v>1.045295071288736E-5</v>
      </c>
      <c r="G61" s="7">
        <v>4.5253488903587648E-6</v>
      </c>
      <c r="H61" s="7">
        <v>0</v>
      </c>
      <c r="I61" s="7">
        <v>7.7547399448605313E-4</v>
      </c>
      <c r="J61" s="7">
        <v>0</v>
      </c>
      <c r="K61" s="7">
        <v>4.8098105783160388E-5</v>
      </c>
      <c r="L61" s="7">
        <v>7.7214183079799405E-5</v>
      </c>
      <c r="M61" s="7">
        <v>1.4298418986796941E-4</v>
      </c>
      <c r="N61" s="7">
        <v>9.7185804034677088E-4</v>
      </c>
      <c r="O61" s="7">
        <v>1.280122620099662E-3</v>
      </c>
      <c r="P61" s="7">
        <v>5.9543788357625338E-4</v>
      </c>
      <c r="Q61" s="7">
        <v>4.589615267048505E-4</v>
      </c>
      <c r="R61" s="7">
        <v>4.8447589210088768E-4</v>
      </c>
      <c r="S61" s="7">
        <v>6.2613385111541661E-4</v>
      </c>
      <c r="T61" s="7">
        <v>3.9050477100096778E-4</v>
      </c>
      <c r="U61" s="7">
        <v>2.359278937747857E-3</v>
      </c>
      <c r="V61" s="7">
        <v>5.8261437970905233E-5</v>
      </c>
      <c r="W61" s="7">
        <v>3.6871835568992767E-5</v>
      </c>
      <c r="X61" s="7">
        <v>1.0849649248160729E-2</v>
      </c>
      <c r="Y61" s="7">
        <v>3.1065817202851668E-5</v>
      </c>
      <c r="Z61" s="7">
        <v>4.4860953448862609E-4</v>
      </c>
      <c r="AA61" s="7">
        <v>4.6846987259206772E-4</v>
      </c>
      <c r="AB61" s="7">
        <v>1.487169605901349E-3</v>
      </c>
      <c r="AC61" s="7">
        <v>1.968376532244495E-3</v>
      </c>
      <c r="AD61" s="7">
        <v>5.0741484814302942E-5</v>
      </c>
      <c r="AE61" s="7">
        <v>4.8572524319362382E-4</v>
      </c>
      <c r="AF61" s="7">
        <v>1.648854579336452E-3</v>
      </c>
      <c r="AG61" s="7">
        <v>9.1826517593546905E-5</v>
      </c>
      <c r="AH61" s="7">
        <v>2.526110596298276E-5</v>
      </c>
      <c r="AI61" s="7">
        <v>1.646188111865679E-5</v>
      </c>
      <c r="AJ61" s="7">
        <v>8.4800968765763444E-4</v>
      </c>
      <c r="AK61" s="7">
        <v>1.9000076942981809E-5</v>
      </c>
      <c r="AL61" s="7">
        <v>1.255220818760675E-3</v>
      </c>
      <c r="AM61" s="7">
        <v>1.176268149948286E-4</v>
      </c>
      <c r="AN61" s="7">
        <v>2.5279252216282589E-4</v>
      </c>
      <c r="AO61" s="7">
        <v>3.0132839008480558E-6</v>
      </c>
      <c r="AP61" s="7">
        <v>0</v>
      </c>
      <c r="AQ61" s="7">
        <v>3.1422172835197492E-4</v>
      </c>
      <c r="AR61" s="7">
        <v>0</v>
      </c>
      <c r="AS61" s="7">
        <v>6.6530403789300272E-6</v>
      </c>
      <c r="AT61" s="7">
        <v>1.7925572151908441E-4</v>
      </c>
      <c r="AU61" s="7">
        <v>1.37883286414792E-2</v>
      </c>
      <c r="AV61" s="7">
        <v>1.0843553019117341E-3</v>
      </c>
      <c r="AW61" s="7">
        <v>1.4509800985950191E-4</v>
      </c>
      <c r="AX61" s="7">
        <v>1.027214177567094E-6</v>
      </c>
      <c r="AY61" s="7">
        <v>0</v>
      </c>
      <c r="AZ61" s="7">
        <v>2.061165182678835E-4</v>
      </c>
      <c r="BA61" s="7">
        <v>5.7920710265491842E-5</v>
      </c>
      <c r="BB61" s="7">
        <v>6.2254690606212547E-4</v>
      </c>
      <c r="BC61" s="7">
        <v>2.6352823134157298E-4</v>
      </c>
      <c r="BD61" s="7">
        <v>4.0734528543622179E-4</v>
      </c>
      <c r="BE61" s="7">
        <v>2.4322774742893141E-6</v>
      </c>
      <c r="BF61" s="7">
        <v>5.7391076962749201E-4</v>
      </c>
      <c r="BG61" s="7">
        <v>1.6530477060403489E-5</v>
      </c>
      <c r="BH61" s="7">
        <v>7.6050512180172669E-5</v>
      </c>
      <c r="BI61" s="7">
        <v>0</v>
      </c>
      <c r="BJ61" s="7">
        <v>2.6014797193505291E-3</v>
      </c>
      <c r="BK61" s="7">
        <v>9.8829105629934255E-5</v>
      </c>
      <c r="BL61" s="7">
        <v>8.3439289098565954E-5</v>
      </c>
      <c r="BM61" s="7">
        <v>2.522246726631496E-3</v>
      </c>
      <c r="BN61" s="7">
        <v>1.110015232426267E-3</v>
      </c>
      <c r="BO61" s="7">
        <v>2.8841416562935271E-3</v>
      </c>
      <c r="BP61" s="7">
        <v>3.8674600030102388E-3</v>
      </c>
      <c r="BQ61" s="7">
        <v>7.4999187123312416E-6</v>
      </c>
      <c r="BR61" s="7">
        <v>8.7690756603378591E-5</v>
      </c>
      <c r="BS61" s="7">
        <v>1.1488346511318939E-3</v>
      </c>
      <c r="BT61" s="7">
        <v>1.4607127159220669E-3</v>
      </c>
      <c r="BU61" s="7">
        <v>7.6057639860502258E-4</v>
      </c>
      <c r="BV61" s="7">
        <v>3.5741212796305718E-4</v>
      </c>
      <c r="BW61" s="7">
        <v>8.0112202099180934E-4</v>
      </c>
      <c r="BX61" s="7">
        <v>2.0264206810214109E-4</v>
      </c>
      <c r="BY61" s="7">
        <v>8.1937216663844159E-5</v>
      </c>
      <c r="BZ61" s="7">
        <v>3.9449567446557757E-3</v>
      </c>
    </row>
    <row r="62" spans="1:78">
      <c r="A62" s="4" t="s">
        <v>191</v>
      </c>
      <c r="B62" s="7">
        <v>9.3300894058688816E-3</v>
      </c>
      <c r="C62" s="7">
        <v>8.6804021544967616E-4</v>
      </c>
      <c r="D62" s="7">
        <v>7.9544386417451166E-3</v>
      </c>
      <c r="E62" s="7">
        <v>1.4193748348241751E-4</v>
      </c>
      <c r="F62" s="7">
        <v>0</v>
      </c>
      <c r="G62" s="7">
        <v>3.874660140101419E-3</v>
      </c>
      <c r="H62" s="7">
        <v>2.6083771348905559E-5</v>
      </c>
      <c r="I62" s="7">
        <v>4.8929068941603628E-3</v>
      </c>
      <c r="J62" s="7">
        <v>9.325753222424036E-4</v>
      </c>
      <c r="K62" s="7">
        <v>3.4768243337001678E-4</v>
      </c>
      <c r="L62" s="7">
        <v>3.4367626183425459E-3</v>
      </c>
      <c r="M62" s="7">
        <v>4.6456369503160039E-4</v>
      </c>
      <c r="N62" s="7">
        <v>4.1746336399241702E-4</v>
      </c>
      <c r="O62" s="7">
        <v>7.8895481222972274E-4</v>
      </c>
      <c r="P62" s="7">
        <v>0</v>
      </c>
      <c r="Q62" s="7">
        <v>1.43657318288429E-3</v>
      </c>
      <c r="R62" s="7">
        <v>4.3856335724595569E-4</v>
      </c>
      <c r="S62" s="7">
        <v>1.8455264927557901E-3</v>
      </c>
      <c r="T62" s="7">
        <v>3.696252929456812E-3</v>
      </c>
      <c r="U62" s="7">
        <v>4.8685725211102078E-3</v>
      </c>
      <c r="V62" s="7">
        <v>1.255064134637667E-2</v>
      </c>
      <c r="W62" s="7">
        <v>1.1084887068418159E-3</v>
      </c>
      <c r="X62" s="7">
        <v>1.2055341411983941E-2</v>
      </c>
      <c r="Y62" s="7">
        <v>7.4120946385215596E-4</v>
      </c>
      <c r="Z62" s="7">
        <v>2.3586387334753778E-3</v>
      </c>
      <c r="AA62" s="7">
        <v>5.2733290244412747E-3</v>
      </c>
      <c r="AB62" s="7">
        <v>1.954100219173199E-3</v>
      </c>
      <c r="AC62" s="7">
        <v>4.4013716406250186E-3</v>
      </c>
      <c r="AD62" s="7">
        <v>4.5184984855286272E-5</v>
      </c>
      <c r="AE62" s="7">
        <v>7.528932828196809E-4</v>
      </c>
      <c r="AF62" s="7">
        <v>1.044312639089307E-2</v>
      </c>
      <c r="AG62" s="7">
        <v>4.9662390169037663E-5</v>
      </c>
      <c r="AH62" s="7">
        <v>1.724668054283105E-4</v>
      </c>
      <c r="AI62" s="7">
        <v>3.8079621660683189E-5</v>
      </c>
      <c r="AJ62" s="7">
        <v>3.7135808180142803E-2</v>
      </c>
      <c r="AK62" s="7">
        <v>2.0224526345973969E-4</v>
      </c>
      <c r="AL62" s="7">
        <v>9.4013878737328523E-3</v>
      </c>
      <c r="AM62" s="7">
        <v>4.3216490750488043E-3</v>
      </c>
      <c r="AN62" s="7">
        <v>8.5677714946564437E-4</v>
      </c>
      <c r="AO62" s="7">
        <v>6.9554911406446751E-5</v>
      </c>
      <c r="AP62" s="7">
        <v>8.4821429821577086E-5</v>
      </c>
      <c r="AQ62" s="7">
        <v>1.371161047358801E-4</v>
      </c>
      <c r="AR62" s="7">
        <v>0</v>
      </c>
      <c r="AS62" s="7">
        <v>8.2815184386340868E-4</v>
      </c>
      <c r="AT62" s="7">
        <v>1.4264118329651651E-2</v>
      </c>
      <c r="AU62" s="7">
        <v>8.4844182931942139E-5</v>
      </c>
      <c r="AV62" s="7">
        <v>0.13587008597595171</v>
      </c>
      <c r="AW62" s="7">
        <v>5.6563217037313459E-4</v>
      </c>
      <c r="AX62" s="7">
        <v>1.1116202914769721E-5</v>
      </c>
      <c r="AY62" s="7">
        <v>0</v>
      </c>
      <c r="AZ62" s="7">
        <v>1.9334165846617342E-5</v>
      </c>
      <c r="BA62" s="7">
        <v>2.032453634174535E-3</v>
      </c>
      <c r="BB62" s="7">
        <v>4.3785023505383946E-3</v>
      </c>
      <c r="BC62" s="7">
        <v>1.5766230784016509E-3</v>
      </c>
      <c r="BD62" s="7">
        <v>1.588446982127257E-3</v>
      </c>
      <c r="BE62" s="7">
        <v>7.6460086879879597E-4</v>
      </c>
      <c r="BF62" s="7">
        <v>1.8257854946989651E-3</v>
      </c>
      <c r="BG62" s="7">
        <v>1.6274518826879429E-5</v>
      </c>
      <c r="BH62" s="7">
        <v>5.4982169623616246E-3</v>
      </c>
      <c r="BI62" s="7">
        <v>2.659842441259248E-4</v>
      </c>
      <c r="BJ62" s="7">
        <v>0</v>
      </c>
      <c r="BK62" s="7">
        <v>4.166128646767118E-3</v>
      </c>
      <c r="BL62" s="7">
        <v>4.3089821542535627E-5</v>
      </c>
      <c r="BM62" s="7">
        <v>4.6940746822273978E-6</v>
      </c>
      <c r="BN62" s="7">
        <v>3.695803367751366E-6</v>
      </c>
      <c r="BO62" s="7">
        <v>6.0441922461179926E-3</v>
      </c>
      <c r="BP62" s="7">
        <v>3.2606284505594489E-3</v>
      </c>
      <c r="BQ62" s="7">
        <v>5.2662233969116568E-3</v>
      </c>
      <c r="BR62" s="7">
        <v>4.2869490501686361E-4</v>
      </c>
      <c r="BS62" s="7">
        <v>1.4329676887483631E-4</v>
      </c>
      <c r="BT62" s="7">
        <v>1.2917396807315559E-2</v>
      </c>
      <c r="BU62" s="7">
        <v>3.7226935683470069E-5</v>
      </c>
      <c r="BV62" s="7">
        <v>1.8064710480274119E-3</v>
      </c>
      <c r="BW62" s="7">
        <v>2.3069950312789179E-4</v>
      </c>
      <c r="BX62" s="7">
        <v>1.118113455228176E-5</v>
      </c>
      <c r="BY62" s="7">
        <v>2.2761048088524292E-3</v>
      </c>
      <c r="BZ62" s="7">
        <v>2.3136470853693729E-3</v>
      </c>
    </row>
    <row r="63" spans="1:78">
      <c r="A63" s="4" t="s">
        <v>193</v>
      </c>
      <c r="B63" s="7">
        <v>1.1622631312814039E-3</v>
      </c>
      <c r="C63" s="7">
        <v>1.76153500888057E-5</v>
      </c>
      <c r="D63" s="7">
        <v>8.1897475722770457E-6</v>
      </c>
      <c r="E63" s="7">
        <v>1.5427630319222839E-6</v>
      </c>
      <c r="F63" s="7">
        <v>0</v>
      </c>
      <c r="G63" s="7">
        <v>3.353368826803053E-4</v>
      </c>
      <c r="H63" s="7">
        <v>0</v>
      </c>
      <c r="I63" s="7">
        <v>2.1202363235305169E-4</v>
      </c>
      <c r="J63" s="7">
        <v>0</v>
      </c>
      <c r="K63" s="7">
        <v>7.3957353929224348E-6</v>
      </c>
      <c r="L63" s="7">
        <v>2.455084896224789E-5</v>
      </c>
      <c r="M63" s="7">
        <v>7.5690715869426936E-6</v>
      </c>
      <c r="N63" s="7">
        <v>5.0422065902655538E-5</v>
      </c>
      <c r="O63" s="7">
        <v>0</v>
      </c>
      <c r="P63" s="7">
        <v>0</v>
      </c>
      <c r="Q63" s="7">
        <v>4.0889236058779697E-3</v>
      </c>
      <c r="R63" s="7">
        <v>0</v>
      </c>
      <c r="S63" s="7">
        <v>0</v>
      </c>
      <c r="T63" s="7">
        <v>2.5604811712765641E-5</v>
      </c>
      <c r="U63" s="7">
        <v>2.4445589809474499E-5</v>
      </c>
      <c r="V63" s="7">
        <v>2.6320307493133409E-5</v>
      </c>
      <c r="W63" s="7">
        <v>5.007312879787262E-3</v>
      </c>
      <c r="X63" s="7">
        <v>2.9711795258356269E-5</v>
      </c>
      <c r="Y63" s="7">
        <v>1.4685129758474361E-4</v>
      </c>
      <c r="Z63" s="7">
        <v>2.595678839068176E-6</v>
      </c>
      <c r="AA63" s="7">
        <v>5.121584289996611E-5</v>
      </c>
      <c r="AB63" s="7">
        <v>7.8937972749803877E-5</v>
      </c>
      <c r="AC63" s="7">
        <v>2.3466027725037149E-5</v>
      </c>
      <c r="AD63" s="7">
        <v>1.382546685947526E-5</v>
      </c>
      <c r="AE63" s="7">
        <v>4.5069253820849458E-4</v>
      </c>
      <c r="AF63" s="7">
        <v>3.0330833722951519E-5</v>
      </c>
      <c r="AG63" s="7">
        <v>1.9132925719252901E-8</v>
      </c>
      <c r="AH63" s="7">
        <v>1.393098009875276E-5</v>
      </c>
      <c r="AI63" s="7">
        <v>0</v>
      </c>
      <c r="AJ63" s="7">
        <v>3.9014938039524079E-3</v>
      </c>
      <c r="AK63" s="7">
        <v>7.0511396655065838E-5</v>
      </c>
      <c r="AL63" s="7">
        <v>4.829641752268867E-5</v>
      </c>
      <c r="AM63" s="7">
        <v>0</v>
      </c>
      <c r="AN63" s="7">
        <v>3.8335793314407001E-7</v>
      </c>
      <c r="AO63" s="7">
        <v>0.1510762990615705</v>
      </c>
      <c r="AP63" s="7">
        <v>0</v>
      </c>
      <c r="AQ63" s="7">
        <v>1.7106974957022899E-5</v>
      </c>
      <c r="AR63" s="7">
        <v>0</v>
      </c>
      <c r="AS63" s="7">
        <v>1.6991534728490819E-4</v>
      </c>
      <c r="AT63" s="7">
        <v>0</v>
      </c>
      <c r="AU63" s="7">
        <v>9.3176435213621544E-4</v>
      </c>
      <c r="AV63" s="7">
        <v>3.2957644098438619E-6</v>
      </c>
      <c r="AW63" s="7">
        <v>0</v>
      </c>
      <c r="AX63" s="7">
        <v>0</v>
      </c>
      <c r="AY63" s="7">
        <v>0</v>
      </c>
      <c r="AZ63" s="7">
        <v>8.0482487321139205E-5</v>
      </c>
      <c r="BA63" s="7">
        <v>0</v>
      </c>
      <c r="BB63" s="7">
        <v>2.325434230721638E-5</v>
      </c>
      <c r="BC63" s="7">
        <v>4.8411851590365933E-4</v>
      </c>
      <c r="BD63" s="7">
        <v>1.017509323109342E-4</v>
      </c>
      <c r="BE63" s="7">
        <v>0</v>
      </c>
      <c r="BF63" s="7">
        <v>1.850944114570952E-5</v>
      </c>
      <c r="BG63" s="7">
        <v>1.394229510398979E-4</v>
      </c>
      <c r="BH63" s="7">
        <v>1.551723832006537E-5</v>
      </c>
      <c r="BI63" s="7">
        <v>6.1009752194187963E-5</v>
      </c>
      <c r="BJ63" s="7">
        <v>1.2393211444422519E-4</v>
      </c>
      <c r="BK63" s="7">
        <v>0</v>
      </c>
      <c r="BL63" s="7">
        <v>0</v>
      </c>
      <c r="BM63" s="7">
        <v>0</v>
      </c>
      <c r="BN63" s="7">
        <v>1.766882873047591E-7</v>
      </c>
      <c r="BO63" s="7">
        <v>1.519246522037954E-5</v>
      </c>
      <c r="BP63" s="7">
        <v>8.7113746260973167E-6</v>
      </c>
      <c r="BQ63" s="7">
        <v>0</v>
      </c>
      <c r="BR63" s="7">
        <v>3.6486202285306841E-5</v>
      </c>
      <c r="BS63" s="7">
        <v>4.2560223927986163E-8</v>
      </c>
      <c r="BT63" s="7">
        <v>4.8643039115467889E-4</v>
      </c>
      <c r="BU63" s="7">
        <v>5.1388793290077308E-5</v>
      </c>
      <c r="BV63" s="7">
        <v>6.6115409867387068E-4</v>
      </c>
      <c r="BW63" s="7">
        <v>2.01853808489218E-5</v>
      </c>
      <c r="BX63" s="7">
        <v>4.1275192696448269E-6</v>
      </c>
      <c r="BY63" s="7">
        <v>1.3665926263452339E-5</v>
      </c>
      <c r="BZ63" s="7">
        <v>3.114536922931573E-3</v>
      </c>
    </row>
    <row r="64" spans="1:78">
      <c r="A64" s="4" t="s">
        <v>195</v>
      </c>
      <c r="B64" s="7">
        <v>0</v>
      </c>
      <c r="C64" s="7">
        <v>0</v>
      </c>
      <c r="D64" s="7">
        <v>7.5828227887991863E-6</v>
      </c>
      <c r="E64" s="7">
        <v>1.8709842120358049E-5</v>
      </c>
      <c r="F64" s="7">
        <v>0</v>
      </c>
      <c r="G64" s="7">
        <v>1.2085926294154889E-4</v>
      </c>
      <c r="H64" s="7">
        <v>0</v>
      </c>
      <c r="I64" s="7">
        <v>0</v>
      </c>
      <c r="J64" s="7">
        <v>0</v>
      </c>
      <c r="K64" s="7">
        <v>2.694735429449931E-8</v>
      </c>
      <c r="L64" s="7">
        <v>3.8305451704961663E-5</v>
      </c>
      <c r="M64" s="7">
        <v>1.1148157804996251E-6</v>
      </c>
      <c r="N64" s="7">
        <v>4.850435462328736E-9</v>
      </c>
      <c r="O64" s="7">
        <v>1.552476294118173E-5</v>
      </c>
      <c r="P64" s="7">
        <v>0</v>
      </c>
      <c r="Q64" s="7">
        <v>7.1485056582844026E-4</v>
      </c>
      <c r="R64" s="7">
        <v>0</v>
      </c>
      <c r="S64" s="7">
        <v>0</v>
      </c>
      <c r="T64" s="7">
        <v>1.046896599997514E-6</v>
      </c>
      <c r="U64" s="7">
        <v>8.5495456776781113E-6</v>
      </c>
      <c r="V64" s="7">
        <v>1.173024949665336E-5</v>
      </c>
      <c r="W64" s="7">
        <v>4.6711158563150722E-5</v>
      </c>
      <c r="X64" s="7">
        <v>2.749819403101218E-6</v>
      </c>
      <c r="Y64" s="7">
        <v>0</v>
      </c>
      <c r="Z64" s="7">
        <v>3.270553947908522E-6</v>
      </c>
      <c r="AA64" s="7">
        <v>5.4129437544859498E-5</v>
      </c>
      <c r="AB64" s="7">
        <v>1.3885814812186401E-3</v>
      </c>
      <c r="AC64" s="7">
        <v>8.6453993585972866E-7</v>
      </c>
      <c r="AD64" s="7">
        <v>1.5077856748872051E-7</v>
      </c>
      <c r="AE64" s="7">
        <v>6.9862583116050371E-7</v>
      </c>
      <c r="AF64" s="7">
        <v>3.3512194498755413E-5</v>
      </c>
      <c r="AG64" s="7">
        <v>6.9155153202118921E-8</v>
      </c>
      <c r="AH64" s="7">
        <v>4.5242824568654308E-5</v>
      </c>
      <c r="AI64" s="7">
        <v>3.6388653460746471E-8</v>
      </c>
      <c r="AJ64" s="7">
        <v>0</v>
      </c>
      <c r="AK64" s="7">
        <v>0</v>
      </c>
      <c r="AL64" s="7">
        <v>3.0354470547491909E-5</v>
      </c>
      <c r="AM64" s="7">
        <v>0</v>
      </c>
      <c r="AN64" s="7">
        <v>4.1007750442319389E-7</v>
      </c>
      <c r="AO64" s="7">
        <v>0</v>
      </c>
      <c r="AP64" s="7">
        <v>0</v>
      </c>
      <c r="AQ64" s="7">
        <v>2.3091858013254821E-7</v>
      </c>
      <c r="AR64" s="7">
        <v>0</v>
      </c>
      <c r="AS64" s="7">
        <v>0</v>
      </c>
      <c r="AT64" s="7">
        <v>0</v>
      </c>
      <c r="AU64" s="7">
        <v>7.987597682202229E-9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8.771016036030953E-5</v>
      </c>
      <c r="BC64" s="7">
        <v>5.4998829612013542E-4</v>
      </c>
      <c r="BD64" s="7">
        <v>0</v>
      </c>
      <c r="BE64" s="7">
        <v>0</v>
      </c>
      <c r="BF64" s="7">
        <v>3.8843737442392762E-5</v>
      </c>
      <c r="BG64" s="7">
        <v>1.135724402915067E-6</v>
      </c>
      <c r="BH64" s="7">
        <v>4.8485859993386853E-9</v>
      </c>
      <c r="BI64" s="7">
        <v>0</v>
      </c>
      <c r="BJ64" s="7">
        <v>0</v>
      </c>
      <c r="BK64" s="7">
        <v>0</v>
      </c>
      <c r="BL64" s="7">
        <v>0</v>
      </c>
      <c r="BM64" s="7">
        <v>7.0723478754154316E-3</v>
      </c>
      <c r="BN64" s="7">
        <v>4.874619130995475E-9</v>
      </c>
      <c r="BO64" s="7">
        <v>0</v>
      </c>
      <c r="BP64" s="7">
        <v>0</v>
      </c>
      <c r="BQ64" s="7">
        <v>5.243845257781176E-6</v>
      </c>
      <c r="BR64" s="7">
        <v>2.5721242295593148E-7</v>
      </c>
      <c r="BS64" s="7">
        <v>0</v>
      </c>
      <c r="BT64" s="7">
        <v>6.0568682917771102E-6</v>
      </c>
      <c r="BU64" s="7">
        <v>3.1861470434116641E-9</v>
      </c>
      <c r="BV64" s="7">
        <v>0</v>
      </c>
      <c r="BW64" s="7">
        <v>9.683942393393338E-6</v>
      </c>
      <c r="BX64" s="7">
        <v>0</v>
      </c>
      <c r="BY64" s="7">
        <v>1.884540702116062E-4</v>
      </c>
      <c r="BZ64" s="7">
        <v>6.9121924581873768E-5</v>
      </c>
    </row>
    <row r="65" spans="1:78">
      <c r="A65" s="4" t="s">
        <v>197</v>
      </c>
      <c r="B65" s="7">
        <v>0</v>
      </c>
      <c r="C65" s="7">
        <v>0</v>
      </c>
      <c r="D65" s="7">
        <v>0</v>
      </c>
      <c r="E65" s="7">
        <v>1.383373309549069E-10</v>
      </c>
      <c r="F65" s="7">
        <v>0</v>
      </c>
      <c r="G65" s="7">
        <v>0</v>
      </c>
      <c r="H65" s="7">
        <v>0</v>
      </c>
      <c r="I65" s="7">
        <v>1.956319035644964E-5</v>
      </c>
      <c r="J65" s="7">
        <v>0</v>
      </c>
      <c r="K65" s="7">
        <v>6.5996618473419742E-6</v>
      </c>
      <c r="L65" s="7">
        <v>1.608066158272065E-6</v>
      </c>
      <c r="M65" s="7">
        <v>0</v>
      </c>
      <c r="N65" s="7">
        <v>6.494194146784586E-9</v>
      </c>
      <c r="O65" s="7">
        <v>2.156219471376888E-5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1.111933501645622E-6</v>
      </c>
      <c r="V65" s="7">
        <v>0</v>
      </c>
      <c r="W65" s="7">
        <v>0</v>
      </c>
      <c r="X65" s="7">
        <v>0</v>
      </c>
      <c r="Y65" s="7">
        <v>0</v>
      </c>
      <c r="Z65" s="7">
        <v>3.3326937819948178E-6</v>
      </c>
      <c r="AA65" s="7">
        <v>1.9169961823139721E-5</v>
      </c>
      <c r="AB65" s="7">
        <v>1.4296094010064031E-6</v>
      </c>
      <c r="AC65" s="7">
        <v>0</v>
      </c>
      <c r="AD65" s="7">
        <v>0</v>
      </c>
      <c r="AE65" s="7">
        <v>0</v>
      </c>
      <c r="AF65" s="7">
        <v>0</v>
      </c>
      <c r="AG65" s="7">
        <v>2.59331824507946E-6</v>
      </c>
      <c r="AH65" s="7">
        <v>2.2802598261725641E-6</v>
      </c>
      <c r="AI65" s="7">
        <v>3.2143323186942491E-7</v>
      </c>
      <c r="AJ65" s="7">
        <v>0</v>
      </c>
      <c r="AK65" s="7">
        <v>0</v>
      </c>
      <c r="AL65" s="7">
        <v>7.4586540005714121E-6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3.7825412336112553E-7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4.4298444812139798E-7</v>
      </c>
      <c r="BI65" s="7">
        <v>3.0255373279363802E-9</v>
      </c>
      <c r="BJ65" s="7">
        <v>0</v>
      </c>
      <c r="BK65" s="7">
        <v>0</v>
      </c>
      <c r="BL65" s="7">
        <v>0</v>
      </c>
      <c r="BM65" s="7">
        <v>0</v>
      </c>
      <c r="BN65" s="7">
        <v>3.971813378905354E-8</v>
      </c>
      <c r="BO65" s="7">
        <v>0</v>
      </c>
      <c r="BP65" s="7">
        <v>1.8488557106735199E-8</v>
      </c>
      <c r="BQ65" s="7">
        <v>0</v>
      </c>
      <c r="BR65" s="7">
        <v>6.5869852026048123E-7</v>
      </c>
      <c r="BS65" s="7">
        <v>0</v>
      </c>
      <c r="BT65" s="7">
        <v>0</v>
      </c>
      <c r="BU65" s="7">
        <v>0</v>
      </c>
      <c r="BV65" s="7">
        <v>0</v>
      </c>
      <c r="BW65" s="7">
        <v>1.917604937360095E-6</v>
      </c>
      <c r="BX65" s="7">
        <v>1.2333399496095771E-6</v>
      </c>
      <c r="BY65" s="7">
        <v>0</v>
      </c>
      <c r="BZ65" s="7">
        <v>5.3526743266504932E-6</v>
      </c>
    </row>
    <row r="66" spans="1:78">
      <c r="A66" s="4" t="s">
        <v>199</v>
      </c>
      <c r="B66" s="7">
        <v>5.9992691568343734E-3</v>
      </c>
      <c r="C66" s="7">
        <v>1.6283181602704509E-2</v>
      </c>
      <c r="D66" s="7">
        <v>1.3533481757194181E-2</v>
      </c>
      <c r="E66" s="7">
        <v>9.0807545848816222E-3</v>
      </c>
      <c r="F66" s="7">
        <v>3.548949358834138E-2</v>
      </c>
      <c r="G66" s="7">
        <v>1.228163794902656E-2</v>
      </c>
      <c r="H66" s="7">
        <v>1.0950313362142831E-4</v>
      </c>
      <c r="I66" s="7">
        <v>2.7661416029686119E-2</v>
      </c>
      <c r="J66" s="7">
        <v>0.70387735822115272</v>
      </c>
      <c r="K66" s="7">
        <v>1.1182315287886791E-2</v>
      </c>
      <c r="L66" s="7">
        <v>2.635803809260279E-2</v>
      </c>
      <c r="M66" s="7">
        <v>4.8790764511372313E-3</v>
      </c>
      <c r="N66" s="7">
        <v>1.9276991672661951E-2</v>
      </c>
      <c r="O66" s="7">
        <v>4.5845576561301691E-5</v>
      </c>
      <c r="P66" s="7">
        <v>0.1190307277527218</v>
      </c>
      <c r="Q66" s="7">
        <v>5.9936522523292762E-2</v>
      </c>
      <c r="R66" s="7">
        <v>3.037337863446192E-2</v>
      </c>
      <c r="S66" s="7">
        <v>1.729066316936661E-3</v>
      </c>
      <c r="T66" s="7">
        <v>9.9316155325079643E-3</v>
      </c>
      <c r="U66" s="7">
        <v>1.3791109940419511E-2</v>
      </c>
      <c r="V66" s="7">
        <v>4.0622783027871147E-3</v>
      </c>
      <c r="W66" s="7">
        <v>5.0776843819796682E-3</v>
      </c>
      <c r="X66" s="7">
        <v>3.5676190338892961E-3</v>
      </c>
      <c r="Y66" s="7">
        <v>2.0389107269569101E-3</v>
      </c>
      <c r="Z66" s="7">
        <v>5.3363126414711873E-2</v>
      </c>
      <c r="AA66" s="7">
        <v>2.3863312982445789E-2</v>
      </c>
      <c r="AB66" s="7">
        <v>1.1575334843383141E-2</v>
      </c>
      <c r="AC66" s="7">
        <v>1.402751676716189E-2</v>
      </c>
      <c r="AD66" s="7">
        <v>0.16273054630125969</v>
      </c>
      <c r="AE66" s="7">
        <v>2.4033855407778039E-4</v>
      </c>
      <c r="AF66" s="7">
        <v>2.8117793592872961E-2</v>
      </c>
      <c r="AG66" s="7">
        <v>8.1191133443113933E-2</v>
      </c>
      <c r="AH66" s="7">
        <v>9.9983348340975164E-2</v>
      </c>
      <c r="AI66" s="7">
        <v>1.148969246994278E-3</v>
      </c>
      <c r="AJ66" s="7">
        <v>3.9278600028653192E-4</v>
      </c>
      <c r="AK66" s="7">
        <v>7.7223068279191134E-2</v>
      </c>
      <c r="AL66" s="7">
        <v>4.0581577985075119E-2</v>
      </c>
      <c r="AM66" s="7">
        <v>3.4358275440068352E-4</v>
      </c>
      <c r="AN66" s="7">
        <v>2.969366194469757E-2</v>
      </c>
      <c r="AO66" s="7">
        <v>6.1826134929150308E-3</v>
      </c>
      <c r="AP66" s="7">
        <v>7.0376545366583479E-3</v>
      </c>
      <c r="AQ66" s="7">
        <v>4.7484626457969678E-2</v>
      </c>
      <c r="AR66" s="7">
        <v>2.900978377237122E-3</v>
      </c>
      <c r="AS66" s="7">
        <v>2.1557232497518529E-3</v>
      </c>
      <c r="AT66" s="7">
        <v>7.9377964060769485E-3</v>
      </c>
      <c r="AU66" s="7">
        <v>3.7512090100436141E-3</v>
      </c>
      <c r="AV66" s="7">
        <v>6.1972445006287856E-4</v>
      </c>
      <c r="AW66" s="7">
        <v>1.7083169345556821E-2</v>
      </c>
      <c r="AX66" s="7">
        <v>5.099241187709027E-2</v>
      </c>
      <c r="AY66" s="7">
        <v>1.437044920754064E-2</v>
      </c>
      <c r="AZ66" s="7">
        <v>0.116682248702437</v>
      </c>
      <c r="BA66" s="7">
        <v>7.2514746119127033E-2</v>
      </c>
      <c r="BB66" s="7">
        <v>9.392877065404899E-2</v>
      </c>
      <c r="BC66" s="7">
        <v>1.149315377773388E-2</v>
      </c>
      <c r="BD66" s="7">
        <v>1.876360638216568E-2</v>
      </c>
      <c r="BE66" s="7">
        <v>3.5373360651364337E-2</v>
      </c>
      <c r="BF66" s="7">
        <v>4.5225562741648751E-4</v>
      </c>
      <c r="BG66" s="7">
        <v>8.4044146037199924E-2</v>
      </c>
      <c r="BH66" s="7">
        <v>1.3200338414817559E-2</v>
      </c>
      <c r="BI66" s="7">
        <v>9.7510452647468895E-2</v>
      </c>
      <c r="BJ66" s="7">
        <v>3.1923554451181682E-2</v>
      </c>
      <c r="BK66" s="7">
        <v>1.147113361951799E-2</v>
      </c>
      <c r="BL66" s="7">
        <v>2.6723639939516621E-2</v>
      </c>
      <c r="BM66" s="7">
        <v>2.9187057047284568E-4</v>
      </c>
      <c r="BN66" s="7">
        <v>0</v>
      </c>
      <c r="BO66" s="7">
        <v>4.0906405438444707E-3</v>
      </c>
      <c r="BP66" s="7">
        <v>1.5659865270890451E-2</v>
      </c>
      <c r="BQ66" s="7">
        <v>5.686279818276985E-3</v>
      </c>
      <c r="BR66" s="7">
        <v>4.0104737858900348E-2</v>
      </c>
      <c r="BS66" s="7">
        <v>6.6273535981231451E-4</v>
      </c>
      <c r="BT66" s="7">
        <v>8.0877018399119101E-3</v>
      </c>
      <c r="BU66" s="7">
        <v>6.6492050324680085E-2</v>
      </c>
      <c r="BV66" s="7">
        <v>2.9090332000351271E-2</v>
      </c>
      <c r="BW66" s="7">
        <v>8.9222658372734819E-3</v>
      </c>
      <c r="BX66" s="7">
        <v>7.3184077629110927E-3</v>
      </c>
      <c r="BY66" s="7">
        <v>4.1570098642551472E-3</v>
      </c>
      <c r="BZ66" s="7">
        <v>8.6643625724824418E-3</v>
      </c>
    </row>
    <row r="67" spans="1:78">
      <c r="A67" s="4" t="s">
        <v>201</v>
      </c>
      <c r="B67" s="7">
        <v>1.9174066498098281E-3</v>
      </c>
      <c r="C67" s="7">
        <v>8.22804793395962E-4</v>
      </c>
      <c r="D67" s="7">
        <v>5.0730616222757121E-3</v>
      </c>
      <c r="E67" s="7">
        <v>9.8465905983399305E-5</v>
      </c>
      <c r="F67" s="7">
        <v>4.3114112326532352E-7</v>
      </c>
      <c r="G67" s="7">
        <v>1.251796496592672E-3</v>
      </c>
      <c r="H67" s="7">
        <v>4.5049354836560813E-2</v>
      </c>
      <c r="I67" s="7">
        <v>5.3968929999677231E-4</v>
      </c>
      <c r="J67" s="7">
        <v>0</v>
      </c>
      <c r="K67" s="7">
        <v>1.0955070826155489E-4</v>
      </c>
      <c r="L67" s="7">
        <v>1.176163295924093E-3</v>
      </c>
      <c r="M67" s="7">
        <v>4.0271593260448902E-4</v>
      </c>
      <c r="N67" s="7">
        <v>1.516158817685641E-5</v>
      </c>
      <c r="O67" s="7">
        <v>7.8624985344687148E-4</v>
      </c>
      <c r="P67" s="7">
        <v>0</v>
      </c>
      <c r="Q67" s="7">
        <v>1.8830454173170039E-3</v>
      </c>
      <c r="R67" s="7">
        <v>4.8466031659839457E-5</v>
      </c>
      <c r="S67" s="7">
        <v>2.513986024087387E-5</v>
      </c>
      <c r="T67" s="7">
        <v>1.9574113886809538E-3</v>
      </c>
      <c r="U67" s="7">
        <v>1.341283067803698E-3</v>
      </c>
      <c r="V67" s="7">
        <v>8.7840330399495108E-3</v>
      </c>
      <c r="W67" s="7">
        <v>3.837882202873481E-3</v>
      </c>
      <c r="X67" s="7">
        <v>1.621934693821548E-3</v>
      </c>
      <c r="Y67" s="7">
        <v>4.7572591589586341E-4</v>
      </c>
      <c r="Z67" s="7">
        <v>1.423029576104117E-4</v>
      </c>
      <c r="AA67" s="7">
        <v>2.84136363729368E-3</v>
      </c>
      <c r="AB67" s="7">
        <v>8.4951577069672976E-4</v>
      </c>
      <c r="AC67" s="7">
        <v>1.050221321098076E-2</v>
      </c>
      <c r="AD67" s="7">
        <v>2.5201554768894721E-5</v>
      </c>
      <c r="AE67" s="7">
        <v>9.3727190782150489E-3</v>
      </c>
      <c r="AF67" s="7">
        <v>1.3006431245944469E-3</v>
      </c>
      <c r="AG67" s="7">
        <v>2.527851366714787E-5</v>
      </c>
      <c r="AH67" s="7">
        <v>7.8559135005272997E-5</v>
      </c>
      <c r="AI67" s="7">
        <v>7.2515588092103947E-6</v>
      </c>
      <c r="AJ67" s="7">
        <v>1.0316339156529969E-3</v>
      </c>
      <c r="AK67" s="7">
        <v>2.8289003448439591E-4</v>
      </c>
      <c r="AL67" s="7">
        <v>2.1031809600922519E-3</v>
      </c>
      <c r="AM67" s="7">
        <v>2.8949479162848179E-4</v>
      </c>
      <c r="AN67" s="7">
        <v>9.6210615916043904E-5</v>
      </c>
      <c r="AO67" s="7">
        <v>3.7297681157893352E-3</v>
      </c>
      <c r="AP67" s="7">
        <v>0</v>
      </c>
      <c r="AQ67" s="7">
        <v>7.2788084438307375E-5</v>
      </c>
      <c r="AR67" s="7">
        <v>0</v>
      </c>
      <c r="AS67" s="7">
        <v>5.5231648938997295E-4</v>
      </c>
      <c r="AT67" s="7">
        <v>5.7289572585606668E-4</v>
      </c>
      <c r="AU67" s="7">
        <v>6.9770894302294511E-4</v>
      </c>
      <c r="AV67" s="7">
        <v>5.5469523773023278E-5</v>
      </c>
      <c r="AW67" s="7">
        <v>6.6132434546678869E-5</v>
      </c>
      <c r="AX67" s="7">
        <v>2.675668628770638E-6</v>
      </c>
      <c r="AY67" s="7">
        <v>0</v>
      </c>
      <c r="AZ67" s="7">
        <v>1.8075782342413961E-5</v>
      </c>
      <c r="BA67" s="7">
        <v>3.6915138249623709E-7</v>
      </c>
      <c r="BB67" s="7">
        <v>3.6573425396633249E-3</v>
      </c>
      <c r="BC67" s="7">
        <v>1.368971666273657E-3</v>
      </c>
      <c r="BD67" s="7">
        <v>5.890290040068834E-4</v>
      </c>
      <c r="BE67" s="7">
        <v>7.9771972221390087E-3</v>
      </c>
      <c r="BF67" s="7">
        <v>1.352385049453581E-3</v>
      </c>
      <c r="BG67" s="7">
        <v>1.2457673807673231E-5</v>
      </c>
      <c r="BH67" s="7">
        <v>1.6798549899180611E-3</v>
      </c>
      <c r="BI67" s="7">
        <v>8.4093248128670249E-5</v>
      </c>
      <c r="BJ67" s="7">
        <v>3.1089010058203909E-3</v>
      </c>
      <c r="BK67" s="7">
        <v>1.2464334560333291E-2</v>
      </c>
      <c r="BL67" s="7">
        <v>2.3700021282415649E-5</v>
      </c>
      <c r="BM67" s="7">
        <v>8.6324829315185883E-6</v>
      </c>
      <c r="BN67" s="7">
        <v>8.7596254266046372E-6</v>
      </c>
      <c r="BO67" s="7">
        <v>0</v>
      </c>
      <c r="BP67" s="7">
        <v>2.176087645619339E-3</v>
      </c>
      <c r="BQ67" s="7">
        <v>2.2085126394353561E-4</v>
      </c>
      <c r="BR67" s="7">
        <v>5.0846834861963498E-5</v>
      </c>
      <c r="BS67" s="7">
        <v>5.3642863455781432E-4</v>
      </c>
      <c r="BT67" s="7">
        <v>3.7746252618044312E-3</v>
      </c>
      <c r="BU67" s="7">
        <v>7.7224956803537741E-6</v>
      </c>
      <c r="BV67" s="7">
        <v>9.5659261267575456E-4</v>
      </c>
      <c r="BW67" s="7">
        <v>4.2868438799001807E-4</v>
      </c>
      <c r="BX67" s="7">
        <v>9.6654791746016662E-5</v>
      </c>
      <c r="BY67" s="7">
        <v>4.9560908120212959E-4</v>
      </c>
      <c r="BZ67" s="7">
        <v>1.8846718192997659E-3</v>
      </c>
    </row>
    <row r="68" spans="1:78">
      <c r="A68" s="4" t="s">
        <v>203</v>
      </c>
      <c r="B68" s="7">
        <v>5.7329127803433953E-5</v>
      </c>
      <c r="C68" s="7">
        <v>2.2666285188428859E-4</v>
      </c>
      <c r="D68" s="7">
        <v>2.134293779947664E-3</v>
      </c>
      <c r="E68" s="7">
        <v>2.334560259124784E-5</v>
      </c>
      <c r="F68" s="7">
        <v>9.4721536417480415E-6</v>
      </c>
      <c r="G68" s="7">
        <v>3.8231719431097038E-3</v>
      </c>
      <c r="H68" s="7">
        <v>6.3676975917510894E-3</v>
      </c>
      <c r="I68" s="7">
        <v>2.3398278040336209E-4</v>
      </c>
      <c r="J68" s="7">
        <v>0</v>
      </c>
      <c r="K68" s="7">
        <v>7.4735014701303605E-5</v>
      </c>
      <c r="L68" s="7">
        <v>8.250197484551907E-4</v>
      </c>
      <c r="M68" s="7">
        <v>7.8332604375719143E-3</v>
      </c>
      <c r="N68" s="7">
        <v>1.0476571426597661E-5</v>
      </c>
      <c r="O68" s="7">
        <v>0</v>
      </c>
      <c r="P68" s="7">
        <v>0</v>
      </c>
      <c r="Q68" s="7">
        <v>1.7910815681630159E-3</v>
      </c>
      <c r="R68" s="7">
        <v>2.0578073327056909E-5</v>
      </c>
      <c r="S68" s="7">
        <v>2.1780392067731209E-3</v>
      </c>
      <c r="T68" s="7">
        <v>2.654423628370864E-4</v>
      </c>
      <c r="U68" s="7">
        <v>9.422111121893279E-4</v>
      </c>
      <c r="V68" s="7">
        <v>4.557458637570966E-3</v>
      </c>
      <c r="W68" s="7">
        <v>7.3006128890627851E-4</v>
      </c>
      <c r="X68" s="7">
        <v>6.3127159000215399E-4</v>
      </c>
      <c r="Y68" s="7">
        <v>1.3656674325664041E-5</v>
      </c>
      <c r="Z68" s="7">
        <v>2.144156248136347E-4</v>
      </c>
      <c r="AA68" s="7">
        <v>2.2049682894022119E-4</v>
      </c>
      <c r="AB68" s="7">
        <v>4.5901598593792658E-4</v>
      </c>
      <c r="AC68" s="7">
        <v>3.084724424465357E-3</v>
      </c>
      <c r="AD68" s="7">
        <v>8.0637273051948657E-6</v>
      </c>
      <c r="AE68" s="7">
        <v>0.1084675197301231</v>
      </c>
      <c r="AF68" s="7">
        <v>1.6402915065035401E-4</v>
      </c>
      <c r="AG68" s="7">
        <v>1.15143330081528E-6</v>
      </c>
      <c r="AH68" s="7">
        <v>1.0659258307532901E-5</v>
      </c>
      <c r="AI68" s="7">
        <v>2.8245584387601069E-5</v>
      </c>
      <c r="AJ68" s="7">
        <v>9.9438902453645884E-3</v>
      </c>
      <c r="AK68" s="7">
        <v>5.0244647915885232E-5</v>
      </c>
      <c r="AL68" s="7">
        <v>7.1042938448272093E-3</v>
      </c>
      <c r="AM68" s="7">
        <v>6.1853563967311442E-5</v>
      </c>
      <c r="AN68" s="7">
        <v>4.3460064810213974E-6</v>
      </c>
      <c r="AO68" s="7">
        <v>0</v>
      </c>
      <c r="AP68" s="7">
        <v>1.5494666547695738E-5</v>
      </c>
      <c r="AQ68" s="7">
        <v>1.595719874368865E-6</v>
      </c>
      <c r="AR68" s="7">
        <v>3.6275060354096751E-6</v>
      </c>
      <c r="AS68" s="7">
        <v>1.6619084612469451E-4</v>
      </c>
      <c r="AT68" s="7">
        <v>1.7099764113966151E-4</v>
      </c>
      <c r="AU68" s="7">
        <v>3.4468076966901351E-6</v>
      </c>
      <c r="AV68" s="7">
        <v>3.166588682362122E-5</v>
      </c>
      <c r="AW68" s="7">
        <v>1.1477953853312741E-6</v>
      </c>
      <c r="AX68" s="7">
        <v>1.374360382059374E-5</v>
      </c>
      <c r="AY68" s="7">
        <v>0</v>
      </c>
      <c r="AZ68" s="7">
        <v>9.3529230620056623E-6</v>
      </c>
      <c r="BA68" s="7">
        <v>1.014884357826416E-5</v>
      </c>
      <c r="BB68" s="7">
        <v>2.8292014641338601E-4</v>
      </c>
      <c r="BC68" s="7">
        <v>4.4808454653845638E-4</v>
      </c>
      <c r="BD68" s="7">
        <v>2.141251582522053E-3</v>
      </c>
      <c r="BE68" s="7">
        <v>2.53275593529039E-5</v>
      </c>
      <c r="BF68" s="7">
        <v>3.8750839029303103E-4</v>
      </c>
      <c r="BG68" s="7">
        <v>1.412645679306631E-5</v>
      </c>
      <c r="BH68" s="7">
        <v>1.2637341325259989E-3</v>
      </c>
      <c r="BI68" s="7">
        <v>1.019005666947352E-4</v>
      </c>
      <c r="BJ68" s="7">
        <v>7.3439350672961895E-4</v>
      </c>
      <c r="BK68" s="7">
        <v>6.595449387669075E-4</v>
      </c>
      <c r="BL68" s="7">
        <v>1.1174767089698291E-4</v>
      </c>
      <c r="BM68" s="7">
        <v>3.2057248072738717E-5</v>
      </c>
      <c r="BN68" s="7">
        <v>3.22721881188045E-6</v>
      </c>
      <c r="BO68" s="7">
        <v>1.2729396409885631E-3</v>
      </c>
      <c r="BP68" s="7">
        <v>0</v>
      </c>
      <c r="BQ68" s="7">
        <v>9.6401394195494634E-5</v>
      </c>
      <c r="BR68" s="7">
        <v>2.5784434517987891E-5</v>
      </c>
      <c r="BS68" s="7">
        <v>1.225574012679781E-5</v>
      </c>
      <c r="BT68" s="7">
        <v>4.8647524503026224E-3</v>
      </c>
      <c r="BU68" s="7">
        <v>1.1502269150257939E-5</v>
      </c>
      <c r="BV68" s="7">
        <v>3.2032530769451602E-4</v>
      </c>
      <c r="BW68" s="7">
        <v>3.7430339784214043E-5</v>
      </c>
      <c r="BX68" s="7">
        <v>4.9066407653958459E-7</v>
      </c>
      <c r="BY68" s="7">
        <v>1.663691865668465E-4</v>
      </c>
      <c r="BZ68" s="7">
        <v>9.591104255481642E-4</v>
      </c>
    </row>
    <row r="69" spans="1:78">
      <c r="A69" s="4" t="s">
        <v>205</v>
      </c>
      <c r="B69" s="7">
        <v>2.1649277731662741E-3</v>
      </c>
      <c r="C69" s="7">
        <v>4.1683059868566448E-3</v>
      </c>
      <c r="D69" s="7">
        <v>2.759291035376121E-3</v>
      </c>
      <c r="E69" s="7">
        <v>1.3004054850688099E-3</v>
      </c>
      <c r="F69" s="7">
        <v>3.6349037310212883E-5</v>
      </c>
      <c r="G69" s="7">
        <v>1.6575422317353481E-3</v>
      </c>
      <c r="H69" s="7">
        <v>0</v>
      </c>
      <c r="I69" s="7">
        <v>2.9934628269238312E-3</v>
      </c>
      <c r="J69" s="7">
        <v>8.859558873474286E-6</v>
      </c>
      <c r="K69" s="7">
        <v>7.1780874751335765E-4</v>
      </c>
      <c r="L69" s="7">
        <v>3.56254270197517E-3</v>
      </c>
      <c r="M69" s="7">
        <v>1.9881244372017749E-2</v>
      </c>
      <c r="N69" s="7">
        <v>1.6498163663578879E-4</v>
      </c>
      <c r="O69" s="7">
        <v>7.3815263363253083E-4</v>
      </c>
      <c r="P69" s="7">
        <v>0</v>
      </c>
      <c r="Q69" s="7">
        <v>3.5803893951349402E-3</v>
      </c>
      <c r="R69" s="7">
        <v>2.9899411912531669E-2</v>
      </c>
      <c r="S69" s="7">
        <v>8.8679381998244215E-3</v>
      </c>
      <c r="T69" s="7">
        <v>9.2299431875690239E-4</v>
      </c>
      <c r="U69" s="7">
        <v>1.3769895138721589E-3</v>
      </c>
      <c r="V69" s="7">
        <v>3.6399313227001642E-2</v>
      </c>
      <c r="W69" s="7">
        <v>3.65071670746595E-3</v>
      </c>
      <c r="X69" s="7">
        <v>3.4964225434317691E-3</v>
      </c>
      <c r="Y69" s="7">
        <v>0.120540471085912</v>
      </c>
      <c r="Z69" s="7">
        <v>8.827797793979875E-3</v>
      </c>
      <c r="AA69" s="7">
        <v>2.4958646747960831E-3</v>
      </c>
      <c r="AB69" s="7">
        <v>2.512245197740683E-3</v>
      </c>
      <c r="AC69" s="7">
        <v>6.574034957826257E-3</v>
      </c>
      <c r="AD69" s="7">
        <v>3.5476971736307262E-5</v>
      </c>
      <c r="AE69" s="7">
        <v>5.475051761694898E-3</v>
      </c>
      <c r="AF69" s="7">
        <v>1.030459457309667E-3</v>
      </c>
      <c r="AG69" s="7">
        <v>5.4352100780003887E-4</v>
      </c>
      <c r="AH69" s="7">
        <v>7.2738516519687527E-4</v>
      </c>
      <c r="AI69" s="7">
        <v>3.1121901072819942E-4</v>
      </c>
      <c r="AJ69" s="7">
        <v>3.4503644026225307E-2</v>
      </c>
      <c r="AK69" s="7">
        <v>2.2517202297093778E-3</v>
      </c>
      <c r="AL69" s="7">
        <v>1.172284843044254E-2</v>
      </c>
      <c r="AM69" s="7">
        <v>2.8909857967474441E-3</v>
      </c>
      <c r="AN69" s="7">
        <v>1.127697317146621E-4</v>
      </c>
      <c r="AO69" s="7">
        <v>2.2799681413315101E-3</v>
      </c>
      <c r="AP69" s="7">
        <v>3.1728219879955891E-6</v>
      </c>
      <c r="AQ69" s="7">
        <v>1.7782950739447201E-4</v>
      </c>
      <c r="AR69" s="7">
        <v>1.7977966077039839E-4</v>
      </c>
      <c r="AS69" s="7">
        <v>2.4772182851825371E-2</v>
      </c>
      <c r="AT69" s="7">
        <v>7.3963637907642986E-4</v>
      </c>
      <c r="AU69" s="7">
        <v>2.056988060329841E-2</v>
      </c>
      <c r="AV69" s="7">
        <v>2.428216934545042E-3</v>
      </c>
      <c r="AW69" s="7">
        <v>8.3692655477065174E-5</v>
      </c>
      <c r="AX69" s="7">
        <v>2.4179206379238541E-5</v>
      </c>
      <c r="AY69" s="7">
        <v>0</v>
      </c>
      <c r="AZ69" s="7">
        <v>2.4247170786558341E-4</v>
      </c>
      <c r="BA69" s="7">
        <v>1.485772266827395E-4</v>
      </c>
      <c r="BB69" s="7">
        <v>3.263873560007778E-3</v>
      </c>
      <c r="BC69" s="7">
        <v>3.2164551922364511E-2</v>
      </c>
      <c r="BD69" s="7">
        <v>4.8794981264137878E-3</v>
      </c>
      <c r="BE69" s="7">
        <v>2.8731751496707562E-3</v>
      </c>
      <c r="BF69" s="7">
        <v>7.418145820296893E-3</v>
      </c>
      <c r="BG69" s="7">
        <v>4.1088546031122021E-5</v>
      </c>
      <c r="BH69" s="7">
        <v>8.4650466798421517E-3</v>
      </c>
      <c r="BI69" s="7">
        <v>4.6994937025833392E-4</v>
      </c>
      <c r="BJ69" s="7">
        <v>1.6933836050673609E-3</v>
      </c>
      <c r="BK69" s="7">
        <v>9.4508189238124666E-4</v>
      </c>
      <c r="BL69" s="7">
        <v>2.9524559013688468E-3</v>
      </c>
      <c r="BM69" s="7">
        <v>1.77584473435376E-3</v>
      </c>
      <c r="BN69" s="7">
        <v>2.4821531799836659E-5</v>
      </c>
      <c r="BO69" s="7">
        <v>1.1478930129053469E-2</v>
      </c>
      <c r="BP69" s="7">
        <v>1.972230564521595E-3</v>
      </c>
      <c r="BQ69" s="7">
        <v>0</v>
      </c>
      <c r="BR69" s="7">
        <v>2.1838162296017931E-4</v>
      </c>
      <c r="BS69" s="7">
        <v>2.2347662761997421E-4</v>
      </c>
      <c r="BT69" s="7">
        <v>2.6635513772123769E-3</v>
      </c>
      <c r="BU69" s="7">
        <v>3.8353492177696619E-5</v>
      </c>
      <c r="BV69" s="7">
        <v>8.4822971897098251E-4</v>
      </c>
      <c r="BW69" s="7">
        <v>3.9392451036896218E-4</v>
      </c>
      <c r="BX69" s="7">
        <v>1.2796605717157351E-5</v>
      </c>
      <c r="BY69" s="7">
        <v>4.5048475995807993E-3</v>
      </c>
      <c r="BZ69" s="7">
        <v>3.0684272409264518E-3</v>
      </c>
    </row>
    <row r="70" spans="1:78">
      <c r="A70" s="4" t="s">
        <v>207</v>
      </c>
      <c r="B70" s="7">
        <v>5.4091755555372031E-2</v>
      </c>
      <c r="C70" s="7">
        <v>3.3256466665333002E-2</v>
      </c>
      <c r="D70" s="7">
        <v>3.445930570317126E-2</v>
      </c>
      <c r="E70" s="7">
        <v>2.4543434605943021E-2</v>
      </c>
      <c r="F70" s="7">
        <v>1.1053329443209939E-3</v>
      </c>
      <c r="G70" s="7">
        <v>1.473178292564167E-2</v>
      </c>
      <c r="H70" s="7">
        <v>2.1471962482751741E-5</v>
      </c>
      <c r="I70" s="7">
        <v>1.7954708138914401E-2</v>
      </c>
      <c r="J70" s="7">
        <v>1.3074079558255311E-2</v>
      </c>
      <c r="K70" s="7">
        <v>5.3402521398022332E-2</v>
      </c>
      <c r="L70" s="7">
        <v>4.5396044944808082E-2</v>
      </c>
      <c r="M70" s="7">
        <v>2.3459766613416991E-2</v>
      </c>
      <c r="N70" s="7">
        <v>2.066021238520999E-2</v>
      </c>
      <c r="O70" s="7">
        <v>2.716258028269455E-3</v>
      </c>
      <c r="P70" s="7">
        <v>0</v>
      </c>
      <c r="Q70" s="7">
        <v>8.4339605713436346E-3</v>
      </c>
      <c r="R70" s="7">
        <v>2.3192187948236281E-2</v>
      </c>
      <c r="S70" s="7">
        <v>4.8162244839135169E-3</v>
      </c>
      <c r="T70" s="7">
        <v>2.1195004028890099E-2</v>
      </c>
      <c r="U70" s="7">
        <v>7.0941443730510825E-2</v>
      </c>
      <c r="V70" s="7">
        <v>2.2019964029342191E-2</v>
      </c>
      <c r="W70" s="7">
        <v>1.9944176144399969E-2</v>
      </c>
      <c r="X70" s="7">
        <v>2.6508379165528721E-2</v>
      </c>
      <c r="Y70" s="7">
        <v>4.8598071055927762E-2</v>
      </c>
      <c r="Z70" s="7">
        <v>1.6353263480530789E-2</v>
      </c>
      <c r="AA70" s="7">
        <v>2.1379302033821931E-2</v>
      </c>
      <c r="AB70" s="7">
        <v>4.8145998381830243E-2</v>
      </c>
      <c r="AC70" s="7">
        <v>3.8104158236178659E-3</v>
      </c>
      <c r="AD70" s="7">
        <v>1.7296357442861971E-2</v>
      </c>
      <c r="AE70" s="7">
        <v>4.598963701261059E-3</v>
      </c>
      <c r="AF70" s="7">
        <v>6.381637300677148E-3</v>
      </c>
      <c r="AG70" s="7">
        <v>2.3280573804600121E-2</v>
      </c>
      <c r="AH70" s="7">
        <v>5.4118630976942557E-3</v>
      </c>
      <c r="AI70" s="7">
        <v>4.6439460959284053E-3</v>
      </c>
      <c r="AJ70" s="7">
        <v>1.375788198537501E-2</v>
      </c>
      <c r="AK70" s="7">
        <v>1.6739067786766971E-2</v>
      </c>
      <c r="AL70" s="7">
        <v>9.2120440886060122E-3</v>
      </c>
      <c r="AM70" s="7">
        <v>3.8006845949305272E-4</v>
      </c>
      <c r="AN70" s="7">
        <v>3.2277440131390452E-2</v>
      </c>
      <c r="AO70" s="7">
        <v>3.3935509367440938E-4</v>
      </c>
      <c r="AP70" s="7">
        <v>0.52138314818535902</v>
      </c>
      <c r="AQ70" s="7">
        <v>1.217248797756031E-2</v>
      </c>
      <c r="AR70" s="7">
        <v>0.94501435546753887</v>
      </c>
      <c r="AS70" s="7">
        <v>7.6510234684392421E-3</v>
      </c>
      <c r="AT70" s="7">
        <v>6.6721289325645831E-3</v>
      </c>
      <c r="AU70" s="7">
        <v>1.2663682856458899E-2</v>
      </c>
      <c r="AV70" s="7">
        <v>4.3547508691422531E-3</v>
      </c>
      <c r="AW70" s="7">
        <v>3.028963108135933E-2</v>
      </c>
      <c r="AX70" s="7">
        <v>8.159259321665885E-4</v>
      </c>
      <c r="AY70" s="7">
        <v>0.32463844451823859</v>
      </c>
      <c r="AZ70" s="7">
        <v>1.9673705793888271E-2</v>
      </c>
      <c r="BA70" s="7">
        <v>5.8531089561739732E-4</v>
      </c>
      <c r="BB70" s="7">
        <v>1.142844678443517E-2</v>
      </c>
      <c r="BC70" s="7">
        <v>4.6411560643019011E-2</v>
      </c>
      <c r="BD70" s="7">
        <v>0.1128754563706421</v>
      </c>
      <c r="BE70" s="7">
        <v>1.1409020754020959E-2</v>
      </c>
      <c r="BF70" s="7">
        <v>9.8407175135729243E-3</v>
      </c>
      <c r="BG70" s="7">
        <v>3.4785305344094887E-2</v>
      </c>
      <c r="BH70" s="7">
        <v>2.2500783238929411E-2</v>
      </c>
      <c r="BI70" s="7">
        <v>1.0009194457880991E-2</v>
      </c>
      <c r="BJ70" s="7">
        <v>2.4471678774524181E-3</v>
      </c>
      <c r="BK70" s="7">
        <v>1.3193921054182379E-3</v>
      </c>
      <c r="BL70" s="7">
        <v>1.0666004579854441E-3</v>
      </c>
      <c r="BM70" s="7">
        <v>0</v>
      </c>
      <c r="BN70" s="7">
        <v>3.9999043989700812E-2</v>
      </c>
      <c r="BO70" s="7">
        <v>2.4487949870868459E-2</v>
      </c>
      <c r="BP70" s="7">
        <v>4.4066410606641633E-2</v>
      </c>
      <c r="BQ70" s="7">
        <v>2.136056111397213E-2</v>
      </c>
      <c r="BR70" s="7">
        <v>0</v>
      </c>
      <c r="BS70" s="7">
        <v>2.2098498260566781E-2</v>
      </c>
      <c r="BT70" s="7">
        <v>3.5440644100479389E-2</v>
      </c>
      <c r="BU70" s="7">
        <v>1.8773081739427482E-2</v>
      </c>
      <c r="BV70" s="7">
        <v>4.0465724121469239E-2</v>
      </c>
      <c r="BW70" s="7">
        <v>4.3851137575362811E-2</v>
      </c>
      <c r="BX70" s="7">
        <v>7.9073264844968984E-3</v>
      </c>
      <c r="BY70" s="7">
        <v>6.1107779882542117E-2</v>
      </c>
      <c r="BZ70" s="7">
        <v>2.0791204799560929E-2</v>
      </c>
    </row>
    <row r="71" spans="1:78">
      <c r="A71" s="4" t="s">
        <v>209</v>
      </c>
      <c r="B71" s="7">
        <v>9.299145352337589E-4</v>
      </c>
      <c r="C71" s="7">
        <v>3.0135873330445437E-4</v>
      </c>
      <c r="D71" s="7">
        <v>3.0968995040059122E-4</v>
      </c>
      <c r="E71" s="7">
        <v>1.660444454750576E-5</v>
      </c>
      <c r="F71" s="7">
        <v>0</v>
      </c>
      <c r="G71" s="7">
        <v>9.6172906784848788E-5</v>
      </c>
      <c r="H71" s="7">
        <v>0</v>
      </c>
      <c r="I71" s="7">
        <v>1.8166000882060339E-4</v>
      </c>
      <c r="J71" s="7">
        <v>0</v>
      </c>
      <c r="K71" s="7">
        <v>9.5160080722636424E-5</v>
      </c>
      <c r="L71" s="7">
        <v>4.3634475263787961E-4</v>
      </c>
      <c r="M71" s="7">
        <v>1.4449406854924961E-6</v>
      </c>
      <c r="N71" s="7">
        <v>1.255419347909971E-6</v>
      </c>
      <c r="O71" s="7">
        <v>2.2903864190383941E-5</v>
      </c>
      <c r="P71" s="7">
        <v>0</v>
      </c>
      <c r="Q71" s="7">
        <v>1.648350216161657E-4</v>
      </c>
      <c r="R71" s="7">
        <v>1.735475158910447E-6</v>
      </c>
      <c r="S71" s="7">
        <v>0</v>
      </c>
      <c r="T71" s="7">
        <v>4.9869779655837209E-4</v>
      </c>
      <c r="U71" s="7">
        <v>5.56037245010883E-4</v>
      </c>
      <c r="V71" s="7">
        <v>3.3800031046548429E-6</v>
      </c>
      <c r="W71" s="7">
        <v>1.678254572573962E-4</v>
      </c>
      <c r="X71" s="7">
        <v>2.8495143306566232E-3</v>
      </c>
      <c r="Y71" s="7">
        <v>4.9300434060554881E-3</v>
      </c>
      <c r="Z71" s="7">
        <v>6.9841369397685498E-4</v>
      </c>
      <c r="AA71" s="7">
        <v>1.6752217329271051E-2</v>
      </c>
      <c r="AB71" s="7">
        <v>9.3937796490768839E-4</v>
      </c>
      <c r="AC71" s="7">
        <v>1.091475490685882E-6</v>
      </c>
      <c r="AD71" s="7">
        <v>4.1309092598193277E-6</v>
      </c>
      <c r="AE71" s="7">
        <v>0</v>
      </c>
      <c r="AF71" s="7">
        <v>4.1403198416855062E-7</v>
      </c>
      <c r="AG71" s="7">
        <v>2.031409573594509E-5</v>
      </c>
      <c r="AH71" s="7">
        <v>2.5809873126908669E-9</v>
      </c>
      <c r="AI71" s="7">
        <v>1.1598727601222211E-5</v>
      </c>
      <c r="AJ71" s="7">
        <v>2.4826755527323748E-4</v>
      </c>
      <c r="AK71" s="7">
        <v>0</v>
      </c>
      <c r="AL71" s="7">
        <v>1.174310949923915E-2</v>
      </c>
      <c r="AM71" s="7">
        <v>1.15777490135843E-3</v>
      </c>
      <c r="AN71" s="7">
        <v>9.1233755506901051E-6</v>
      </c>
      <c r="AO71" s="7">
        <v>0</v>
      </c>
      <c r="AP71" s="7">
        <v>0</v>
      </c>
      <c r="AQ71" s="7">
        <v>9.7364549037135125E-7</v>
      </c>
      <c r="AR71" s="7">
        <v>0</v>
      </c>
      <c r="AS71" s="7">
        <v>0</v>
      </c>
      <c r="AT71" s="7">
        <v>2.1062532507069899E-5</v>
      </c>
      <c r="AU71" s="7">
        <v>0</v>
      </c>
      <c r="AV71" s="7">
        <v>9.5919707297885098E-2</v>
      </c>
      <c r="AW71" s="7">
        <v>1.080726492370655E-5</v>
      </c>
      <c r="AX71" s="7">
        <v>0</v>
      </c>
      <c r="AY71" s="7">
        <v>0</v>
      </c>
      <c r="AZ71" s="7">
        <v>3.8432446435366868E-8</v>
      </c>
      <c r="BA71" s="7">
        <v>0</v>
      </c>
      <c r="BB71" s="7">
        <v>6.8748879251575017E-5</v>
      </c>
      <c r="BC71" s="7">
        <v>3.9692199127770523E-3</v>
      </c>
      <c r="BD71" s="7">
        <v>1.5166812813024549E-4</v>
      </c>
      <c r="BE71" s="7">
        <v>0</v>
      </c>
      <c r="BF71" s="7">
        <v>1.6363053368473191E-4</v>
      </c>
      <c r="BG71" s="7">
        <v>2.056446200283627E-8</v>
      </c>
      <c r="BH71" s="7">
        <v>1.637706892996628E-4</v>
      </c>
      <c r="BI71" s="7">
        <v>5.1159962853260009E-5</v>
      </c>
      <c r="BJ71" s="7">
        <v>2.0079706002670119E-5</v>
      </c>
      <c r="BK71" s="7">
        <v>1.321513102015494E-6</v>
      </c>
      <c r="BL71" s="7">
        <v>2.049803040461158E-6</v>
      </c>
      <c r="BM71" s="7">
        <v>4.306997593536276E-4</v>
      </c>
      <c r="BN71" s="7">
        <v>7.7173247577849731E-7</v>
      </c>
      <c r="BO71" s="7">
        <v>6.5885390572753392E-4</v>
      </c>
      <c r="BP71" s="7">
        <v>1.003489199174144E-3</v>
      </c>
      <c r="BQ71" s="7">
        <v>6.4023696475197424E-6</v>
      </c>
      <c r="BR71" s="7">
        <v>2.27621863031085E-6</v>
      </c>
      <c r="BS71" s="7">
        <v>0</v>
      </c>
      <c r="BT71" s="7">
        <v>2.6559555679830921E-4</v>
      </c>
      <c r="BU71" s="7">
        <v>3.099732531948322E-7</v>
      </c>
      <c r="BV71" s="7">
        <v>2.5202181021236118E-4</v>
      </c>
      <c r="BW71" s="7">
        <v>1.047627800699933E-4</v>
      </c>
      <c r="BX71" s="7">
        <v>1.1816636419316691E-6</v>
      </c>
      <c r="BY71" s="7">
        <v>1.3591808224310871E-4</v>
      </c>
      <c r="BZ71" s="7">
        <v>1.559824786618465E-4</v>
      </c>
    </row>
    <row r="72" spans="1:78">
      <c r="A72" s="4" t="s">
        <v>211</v>
      </c>
      <c r="B72" s="7">
        <v>6.2379333022675651E-4</v>
      </c>
      <c r="C72" s="7">
        <v>2.6488249748477161E-4</v>
      </c>
      <c r="D72" s="7">
        <v>1.244729139157223E-3</v>
      </c>
      <c r="E72" s="7">
        <v>1.7520188777340001E-4</v>
      </c>
      <c r="F72" s="7">
        <v>3.828599517497045E-3</v>
      </c>
      <c r="G72" s="7">
        <v>1.2165326986681831E-2</v>
      </c>
      <c r="H72" s="7">
        <v>5.1785118565321447E-2</v>
      </c>
      <c r="I72" s="7">
        <v>4.7492654033754677E-5</v>
      </c>
      <c r="J72" s="7">
        <v>1.637483269458359E-5</v>
      </c>
      <c r="K72" s="7">
        <v>4.4346118468523849E-5</v>
      </c>
      <c r="L72" s="7">
        <v>4.6409081602167429E-4</v>
      </c>
      <c r="M72" s="7">
        <v>1.003322301835716E-3</v>
      </c>
      <c r="N72" s="7">
        <v>7.7455445182789361E-6</v>
      </c>
      <c r="O72" s="7">
        <v>1.101518522642838E-2</v>
      </c>
      <c r="P72" s="7">
        <v>3.3130765038222793E-2</v>
      </c>
      <c r="Q72" s="7">
        <v>2.775394812276896E-3</v>
      </c>
      <c r="R72" s="7">
        <v>2.099022273855025E-4</v>
      </c>
      <c r="S72" s="7">
        <v>9.6906803820391159E-5</v>
      </c>
      <c r="T72" s="7">
        <v>4.7107637214373929E-4</v>
      </c>
      <c r="U72" s="7">
        <v>2.1335430089892168E-3</v>
      </c>
      <c r="V72" s="7">
        <v>1.300288695618036E-3</v>
      </c>
      <c r="W72" s="7">
        <v>1.0304011608345841E-2</v>
      </c>
      <c r="X72" s="7">
        <v>3.226204856190741E-3</v>
      </c>
      <c r="Y72" s="7">
        <v>8.8964328047351203E-5</v>
      </c>
      <c r="Z72" s="7">
        <v>1.5950758730093781E-4</v>
      </c>
      <c r="AA72" s="7">
        <v>1.1014248038081959E-3</v>
      </c>
      <c r="AB72" s="7">
        <v>6.9206333552374337E-4</v>
      </c>
      <c r="AC72" s="7">
        <v>6.7292689360788943E-2</v>
      </c>
      <c r="AD72" s="7">
        <v>2.5326814850937459E-5</v>
      </c>
      <c r="AE72" s="7">
        <v>1.815018641196422E-3</v>
      </c>
      <c r="AF72" s="7">
        <v>7.5211243985544404E-4</v>
      </c>
      <c r="AG72" s="7">
        <v>1.047170381504219E-4</v>
      </c>
      <c r="AH72" s="7">
        <v>2.9032299570824592E-4</v>
      </c>
      <c r="AI72" s="7">
        <v>2.435502980680376E-5</v>
      </c>
      <c r="AJ72" s="7">
        <v>4.3423813362186893E-4</v>
      </c>
      <c r="AK72" s="7">
        <v>4.9315755265339455E-4</v>
      </c>
      <c r="AL72" s="7">
        <v>8.5931538406363445E-4</v>
      </c>
      <c r="AM72" s="7">
        <v>1.376774494200261E-2</v>
      </c>
      <c r="AN72" s="7">
        <v>9.9154524260457264E-6</v>
      </c>
      <c r="AO72" s="7">
        <v>1.912728202647954E-2</v>
      </c>
      <c r="AP72" s="7">
        <v>4.1824139445757849E-4</v>
      </c>
      <c r="AQ72" s="7">
        <v>2.555652710912532E-6</v>
      </c>
      <c r="AR72" s="7">
        <v>1.158432032444578E-4</v>
      </c>
      <c r="AS72" s="7">
        <v>1.8615897815138841E-4</v>
      </c>
      <c r="AT72" s="7">
        <v>2.3179934294567249E-4</v>
      </c>
      <c r="AU72" s="7">
        <v>2.616258768879503E-4</v>
      </c>
      <c r="AV72" s="7">
        <v>4.657005904724675E-3</v>
      </c>
      <c r="AW72" s="7">
        <v>7.6363701194166628E-5</v>
      </c>
      <c r="AX72" s="7">
        <v>1.036543038428281E-4</v>
      </c>
      <c r="AY72" s="7">
        <v>3.8163315586434019E-4</v>
      </c>
      <c r="AZ72" s="7">
        <v>6.5306343068992851E-6</v>
      </c>
      <c r="BA72" s="7">
        <v>8.5568700533538884E-3</v>
      </c>
      <c r="BB72" s="7">
        <v>2.5614500464590882E-4</v>
      </c>
      <c r="BC72" s="7">
        <v>3.2801185281518068E-4</v>
      </c>
      <c r="BD72" s="7">
        <v>2.4198436509875171E-4</v>
      </c>
      <c r="BE72" s="7">
        <v>9.5122853089826109E-3</v>
      </c>
      <c r="BF72" s="7">
        <v>1.2186353244560599E-3</v>
      </c>
      <c r="BG72" s="7">
        <v>4.3916101791169314E-6</v>
      </c>
      <c r="BH72" s="7">
        <v>5.4757836568940482E-4</v>
      </c>
      <c r="BI72" s="7">
        <v>2.6006965022341573E-4</v>
      </c>
      <c r="BJ72" s="7">
        <v>1.4378384041739329E-3</v>
      </c>
      <c r="BK72" s="7">
        <v>9.4583713844152584E-3</v>
      </c>
      <c r="BL72" s="7">
        <v>2.7291820514826958E-3</v>
      </c>
      <c r="BM72" s="7">
        <v>0.39529367726160047</v>
      </c>
      <c r="BN72" s="7">
        <v>2.1168137582621028E-6</v>
      </c>
      <c r="BO72" s="7">
        <v>9.5949906909358591E-5</v>
      </c>
      <c r="BP72" s="7">
        <v>2.038014690386523E-3</v>
      </c>
      <c r="BQ72" s="7">
        <v>3.8286170381159182E-4</v>
      </c>
      <c r="BR72" s="7">
        <v>1.348989652385473E-5</v>
      </c>
      <c r="BS72" s="7">
        <v>7.637576732658593E-4</v>
      </c>
      <c r="BT72" s="7">
        <v>0</v>
      </c>
      <c r="BU72" s="7">
        <v>5.0283156612735109E-6</v>
      </c>
      <c r="BV72" s="7">
        <v>7.2424965522284663E-4</v>
      </c>
      <c r="BW72" s="7">
        <v>2.077768569398164E-4</v>
      </c>
      <c r="BX72" s="7">
        <v>1.607550355791281E-5</v>
      </c>
      <c r="BY72" s="7">
        <v>2.6062277631944538E-3</v>
      </c>
      <c r="BZ72" s="7">
        <v>7.3989337984962846E-3</v>
      </c>
    </row>
    <row r="73" spans="1:78">
      <c r="A73" s="4" t="s">
        <v>213</v>
      </c>
      <c r="B73" s="7">
        <v>4.8965991946242217E-2</v>
      </c>
      <c r="C73" s="7">
        <v>0.14808255472780921</v>
      </c>
      <c r="D73" s="7">
        <v>0.14865698454282891</v>
      </c>
      <c r="E73" s="7">
        <v>0.1175715988893517</v>
      </c>
      <c r="F73" s="7">
        <v>6.4739271065197262E-3</v>
      </c>
      <c r="G73" s="7">
        <v>3.5566732616312907E-2</v>
      </c>
      <c r="H73" s="7">
        <v>7.9262372895626558E-4</v>
      </c>
      <c r="I73" s="7">
        <v>0.14956992824763779</v>
      </c>
      <c r="J73" s="7">
        <v>7.3790945014956142E-4</v>
      </c>
      <c r="K73" s="7">
        <v>0.18952837469979</v>
      </c>
      <c r="L73" s="7">
        <v>0.1427313626768501</v>
      </c>
      <c r="M73" s="7">
        <v>1.5303236155673351E-2</v>
      </c>
      <c r="N73" s="7">
        <v>0.42883612277502198</v>
      </c>
      <c r="O73" s="7">
        <v>3.6318367859587419E-3</v>
      </c>
      <c r="P73" s="7">
        <v>5.4185687506117278E-4</v>
      </c>
      <c r="Q73" s="7">
        <v>3.1760795538364403E-2</v>
      </c>
      <c r="R73" s="7">
        <v>5.5194808562070138E-2</v>
      </c>
      <c r="S73" s="7">
        <v>7.5328377019641957E-3</v>
      </c>
      <c r="T73" s="7">
        <v>5.6202921481936619E-2</v>
      </c>
      <c r="U73" s="7">
        <v>0.1892199901149898</v>
      </c>
      <c r="V73" s="7">
        <v>5.2406265079354183E-2</v>
      </c>
      <c r="W73" s="7">
        <v>0.16908741527082291</v>
      </c>
      <c r="X73" s="7">
        <v>2.845562379812774E-2</v>
      </c>
      <c r="Y73" s="7">
        <v>0.124642614043522</v>
      </c>
      <c r="Z73" s="7">
        <v>0.3436418015523659</v>
      </c>
      <c r="AA73" s="7">
        <v>0.19181643731583281</v>
      </c>
      <c r="AB73" s="7">
        <v>0.12872207884526149</v>
      </c>
      <c r="AC73" s="7">
        <v>6.3699599034322029E-3</v>
      </c>
      <c r="AD73" s="7">
        <v>0.26330332583486871</v>
      </c>
      <c r="AE73" s="7">
        <v>7.3654205792295499E-3</v>
      </c>
      <c r="AF73" s="7">
        <v>3.2103120502640213E-2</v>
      </c>
      <c r="AG73" s="7">
        <v>0.22601993105320389</v>
      </c>
      <c r="AH73" s="7">
        <v>5.9145127243251522E-2</v>
      </c>
      <c r="AI73" s="7">
        <v>1.717734976576802E-2</v>
      </c>
      <c r="AJ73" s="7">
        <v>3.0376045782573202E-2</v>
      </c>
      <c r="AK73" s="7">
        <v>8.7863955815125086E-2</v>
      </c>
      <c r="AL73" s="7">
        <v>3.7806736893033203E-2</v>
      </c>
      <c r="AM73" s="7">
        <v>3.4010107295527621E-2</v>
      </c>
      <c r="AN73" s="7">
        <v>0.55167592584315239</v>
      </c>
      <c r="AO73" s="7">
        <v>7.2683496164385178E-4</v>
      </c>
      <c r="AP73" s="7">
        <v>0.1532955481099775</v>
      </c>
      <c r="AQ73" s="7">
        <v>0.30445209714145199</v>
      </c>
      <c r="AR73" s="7">
        <v>0</v>
      </c>
      <c r="AS73" s="7">
        <v>9.3168114181527456E-2</v>
      </c>
      <c r="AT73" s="7">
        <v>3.9474098803898877E-2</v>
      </c>
      <c r="AU73" s="7">
        <v>0.27301961897346128</v>
      </c>
      <c r="AV73" s="7">
        <v>4.7266772089298803E-2</v>
      </c>
      <c r="AW73" s="7">
        <v>0.14381292815096039</v>
      </c>
      <c r="AX73" s="7">
        <v>9.0281245955463968E-2</v>
      </c>
      <c r="AY73" s="7">
        <v>4.5093668268580132E-4</v>
      </c>
      <c r="AZ73" s="7">
        <v>0.27232027361970701</v>
      </c>
      <c r="BA73" s="7">
        <v>5.5981497167348923E-4</v>
      </c>
      <c r="BB73" s="7">
        <v>6.1508459505931173E-2</v>
      </c>
      <c r="BC73" s="7">
        <v>0.178801281492528</v>
      </c>
      <c r="BD73" s="7">
        <v>0.13335121542859141</v>
      </c>
      <c r="BE73" s="7">
        <v>5.790243083377505E-3</v>
      </c>
      <c r="BF73" s="7">
        <v>1.118038440928317E-2</v>
      </c>
      <c r="BG73" s="7">
        <v>0.2234950340142593</v>
      </c>
      <c r="BH73" s="7">
        <v>0.1291950472137442</v>
      </c>
      <c r="BI73" s="7">
        <v>0.1092682342851404</v>
      </c>
      <c r="BJ73" s="7">
        <v>3.6921548100194483E-2</v>
      </c>
      <c r="BK73" s="7">
        <v>1.125788812040992E-2</v>
      </c>
      <c r="BL73" s="7">
        <v>3.094193577321336E-3</v>
      </c>
      <c r="BM73" s="7">
        <v>4.7435751559370973E-3</v>
      </c>
      <c r="BN73" s="7">
        <v>0.43358577722588659</v>
      </c>
      <c r="BO73" s="7">
        <v>0.15831409910743791</v>
      </c>
      <c r="BP73" s="7">
        <v>8.004873017626446E-2</v>
      </c>
      <c r="BQ73" s="7">
        <v>9.183717512980176E-2</v>
      </c>
      <c r="BR73" s="7">
        <v>0.30678049770261351</v>
      </c>
      <c r="BS73" s="7">
        <v>0.1389961870105311</v>
      </c>
      <c r="BT73" s="7">
        <v>0.16367642860523671</v>
      </c>
      <c r="BU73" s="7">
        <v>0</v>
      </c>
      <c r="BV73" s="7">
        <v>0.1734468630951774</v>
      </c>
      <c r="BW73" s="7">
        <v>0.17157606767304151</v>
      </c>
      <c r="BX73" s="7">
        <v>0.1757105320394656</v>
      </c>
      <c r="BY73" s="7">
        <v>6.5917410078097607E-2</v>
      </c>
      <c r="BZ73" s="7">
        <v>2.400040441719906E-2</v>
      </c>
    </row>
    <row r="74" spans="1:78">
      <c r="A74" s="4" t="s">
        <v>215</v>
      </c>
      <c r="B74" s="7">
        <v>6.8110801234785867E-4</v>
      </c>
      <c r="C74" s="7">
        <v>8.0418282669092358E-5</v>
      </c>
      <c r="D74" s="7">
        <v>1.5790372865723969E-6</v>
      </c>
      <c r="E74" s="7">
        <v>2.8049433723352779E-6</v>
      </c>
      <c r="F74" s="7">
        <v>0</v>
      </c>
      <c r="G74" s="7">
        <v>7.7969526944552823E-4</v>
      </c>
      <c r="H74" s="7">
        <v>3.1574586461514871E-3</v>
      </c>
      <c r="I74" s="7">
        <v>6.6347603607285853E-6</v>
      </c>
      <c r="J74" s="7">
        <v>0</v>
      </c>
      <c r="K74" s="7">
        <v>6.4027211344937469E-6</v>
      </c>
      <c r="L74" s="7">
        <v>5.9315613300390461E-7</v>
      </c>
      <c r="M74" s="7">
        <v>4.2242765975875811E-4</v>
      </c>
      <c r="N74" s="7">
        <v>5.4087475309064532E-7</v>
      </c>
      <c r="O74" s="7">
        <v>9.133871215942747E-5</v>
      </c>
      <c r="P74" s="7">
        <v>0</v>
      </c>
      <c r="Q74" s="7">
        <v>3.3317730438127608E-3</v>
      </c>
      <c r="R74" s="7">
        <v>2.9014737541178359E-5</v>
      </c>
      <c r="S74" s="7">
        <v>1.11443079451627E-4</v>
      </c>
      <c r="T74" s="7">
        <v>5.0130548122552557E-5</v>
      </c>
      <c r="U74" s="7">
        <v>1.7638724064980299E-5</v>
      </c>
      <c r="V74" s="7">
        <v>3.0770742979894589E-4</v>
      </c>
      <c r="W74" s="7">
        <v>3.2203780536467059E-3</v>
      </c>
      <c r="X74" s="7">
        <v>4.9881331412868427E-5</v>
      </c>
      <c r="Y74" s="7">
        <v>1.6366823173546741E-5</v>
      </c>
      <c r="Z74" s="7">
        <v>3.5838453156692317E-5</v>
      </c>
      <c r="AA74" s="7">
        <v>2.947964943433915E-6</v>
      </c>
      <c r="AB74" s="7">
        <v>3.5207480876752358E-7</v>
      </c>
      <c r="AC74" s="7">
        <v>8.777703733707827E-6</v>
      </c>
      <c r="AD74" s="7">
        <v>1.0772567359372319E-6</v>
      </c>
      <c r="AE74" s="7">
        <v>9.4990576720694296E-6</v>
      </c>
      <c r="AF74" s="7">
        <v>2.8382966886701731E-3</v>
      </c>
      <c r="AG74" s="7">
        <v>2.026250138131276E-5</v>
      </c>
      <c r="AH74" s="7">
        <v>1.072770948358536E-5</v>
      </c>
      <c r="AI74" s="7">
        <v>5.7934640479579189E-8</v>
      </c>
      <c r="AJ74" s="7">
        <v>0</v>
      </c>
      <c r="AK74" s="7">
        <v>2.3644540195710699E-5</v>
      </c>
      <c r="AL74" s="7">
        <v>1.9637110480639982E-6</v>
      </c>
      <c r="AM74" s="7">
        <v>0</v>
      </c>
      <c r="AN74" s="7">
        <v>3.133888825348319E-7</v>
      </c>
      <c r="AO74" s="7">
        <v>9.5459165422771813E-3</v>
      </c>
      <c r="AP74" s="7">
        <v>0</v>
      </c>
      <c r="AQ74" s="7">
        <v>4.0876416930067398E-6</v>
      </c>
      <c r="AR74" s="7">
        <v>0</v>
      </c>
      <c r="AS74" s="7">
        <v>2.2100709303912929E-5</v>
      </c>
      <c r="AT74" s="7">
        <v>0</v>
      </c>
      <c r="AU74" s="7">
        <v>7.9747864251030165E-5</v>
      </c>
      <c r="AV74" s="7">
        <v>1.448330281931535E-5</v>
      </c>
      <c r="AW74" s="7">
        <v>2.760754952239352E-5</v>
      </c>
      <c r="AX74" s="7">
        <v>4.4789606561848982E-6</v>
      </c>
      <c r="AY74" s="7">
        <v>0</v>
      </c>
      <c r="AZ74" s="7">
        <v>5.9406205666135322E-7</v>
      </c>
      <c r="BA74" s="7">
        <v>0</v>
      </c>
      <c r="BB74" s="7">
        <v>4.1246931186373774E-6</v>
      </c>
      <c r="BC74" s="7">
        <v>3.8513494604842667E-5</v>
      </c>
      <c r="BD74" s="7">
        <v>2.466844603487329E-7</v>
      </c>
      <c r="BE74" s="7">
        <v>1.891419284236592E-4</v>
      </c>
      <c r="BF74" s="7">
        <v>5.9137013380035992E-4</v>
      </c>
      <c r="BG74" s="7">
        <v>1.492656455486767E-7</v>
      </c>
      <c r="BH74" s="7">
        <v>1.000610626733342E-3</v>
      </c>
      <c r="BI74" s="7">
        <v>3.400859112360898E-7</v>
      </c>
      <c r="BJ74" s="7">
        <v>3.7950286854046878E-5</v>
      </c>
      <c r="BK74" s="7">
        <v>6.4331305419428151E-4</v>
      </c>
      <c r="BL74" s="7">
        <v>6.9542391918746109E-3</v>
      </c>
      <c r="BM74" s="7">
        <v>0</v>
      </c>
      <c r="BN74" s="7">
        <v>8.5860094556104367E-8</v>
      </c>
      <c r="BO74" s="7">
        <v>2.1066722258282979E-4</v>
      </c>
      <c r="BP74" s="7">
        <v>4.599170379798872E-5</v>
      </c>
      <c r="BQ74" s="7">
        <v>4.6932578887739647E-6</v>
      </c>
      <c r="BR74" s="7">
        <v>8.6844262204747366E-6</v>
      </c>
      <c r="BS74" s="7">
        <v>0</v>
      </c>
      <c r="BT74" s="7">
        <v>1.1473085424618861E-4</v>
      </c>
      <c r="BU74" s="7">
        <v>5.9081702622100736E-7</v>
      </c>
      <c r="BV74" s="7">
        <v>0</v>
      </c>
      <c r="BW74" s="7">
        <v>1.180216496832236E-5</v>
      </c>
      <c r="BX74" s="7">
        <v>7.6799724201922825E-8</v>
      </c>
      <c r="BY74" s="7">
        <v>3.9075214935068993E-4</v>
      </c>
      <c r="BZ74" s="7">
        <v>9.3755433148057492E-4</v>
      </c>
    </row>
    <row r="75" spans="1:78">
      <c r="A75" s="4" t="s">
        <v>217</v>
      </c>
      <c r="B75" s="7">
        <v>3.894651141991741E-2</v>
      </c>
      <c r="C75" s="7">
        <v>0.15222207832662371</v>
      </c>
      <c r="D75" s="7">
        <v>4.2862577899542023E-2</v>
      </c>
      <c r="E75" s="7">
        <v>1.388537758937017E-2</v>
      </c>
      <c r="F75" s="7">
        <v>5.482417745755629E-3</v>
      </c>
      <c r="G75" s="7">
        <v>5.1071060062005673E-2</v>
      </c>
      <c r="H75" s="7">
        <v>7.6194326088902236E-3</v>
      </c>
      <c r="I75" s="7">
        <v>5.4698147316483307E-2</v>
      </c>
      <c r="J75" s="7">
        <v>3.4523801237351687E-2</v>
      </c>
      <c r="K75" s="7">
        <v>0.20493123643592381</v>
      </c>
      <c r="L75" s="7">
        <v>6.2852884509012275E-2</v>
      </c>
      <c r="M75" s="7">
        <v>0.2408713584605523</v>
      </c>
      <c r="N75" s="7">
        <v>3.4585089941955E-2</v>
      </c>
      <c r="O75" s="7">
        <v>3.3620371955829037E-2</v>
      </c>
      <c r="P75" s="7">
        <v>0.1311457357844189</v>
      </c>
      <c r="Q75" s="7">
        <v>0.17166489001623161</v>
      </c>
      <c r="R75" s="7">
        <v>0.41984843478267958</v>
      </c>
      <c r="S75" s="7">
        <v>1.544502996026951E-2</v>
      </c>
      <c r="T75" s="7">
        <v>1.5158466857096009E-2</v>
      </c>
      <c r="U75" s="7">
        <v>9.4464362057952292E-2</v>
      </c>
      <c r="V75" s="7">
        <v>1.8146069210841002E-2</v>
      </c>
      <c r="W75" s="7">
        <v>3.1935862794806882E-2</v>
      </c>
      <c r="X75" s="7">
        <v>4.8494758110724567E-2</v>
      </c>
      <c r="Y75" s="7">
        <v>0.1290242528353448</v>
      </c>
      <c r="Z75" s="7">
        <v>4.0475405934458891E-2</v>
      </c>
      <c r="AA75" s="7">
        <v>6.0383551057451329E-2</v>
      </c>
      <c r="AB75" s="7">
        <v>0.1072716115818813</v>
      </c>
      <c r="AC75" s="7">
        <v>2.2535011546797979E-2</v>
      </c>
      <c r="AD75" s="7">
        <v>1.8654425772315651E-2</v>
      </c>
      <c r="AE75" s="7">
        <v>1.011714997395083E-2</v>
      </c>
      <c r="AF75" s="7">
        <v>2.3766493608111419E-2</v>
      </c>
      <c r="AG75" s="7">
        <v>5.6666124413017726E-3</v>
      </c>
      <c r="AH75" s="7">
        <v>2.2029988304423279E-2</v>
      </c>
      <c r="AI75" s="7">
        <v>0.1644399328118954</v>
      </c>
      <c r="AJ75" s="7">
        <v>6.4498050280248437E-2</v>
      </c>
      <c r="AK75" s="7">
        <v>0.22348017167514819</v>
      </c>
      <c r="AL75" s="7">
        <v>3.100729236448754E-2</v>
      </c>
      <c r="AM75" s="7">
        <v>0.1067727519443879</v>
      </c>
      <c r="AN75" s="7">
        <v>9.0970340884660994E-2</v>
      </c>
      <c r="AO75" s="7">
        <v>2.312386943067864E-2</v>
      </c>
      <c r="AP75" s="7">
        <v>3.9712502672689257E-3</v>
      </c>
      <c r="AQ75" s="7">
        <v>4.394975395307809E-2</v>
      </c>
      <c r="AR75" s="7">
        <v>6.0921857245826343E-4</v>
      </c>
      <c r="AS75" s="7">
        <v>1.68225655246458E-2</v>
      </c>
      <c r="AT75" s="7">
        <v>0.15954474641838029</v>
      </c>
      <c r="AU75" s="7">
        <v>6.560796517277403E-3</v>
      </c>
      <c r="AV75" s="7">
        <v>6.8000507802895632E-3</v>
      </c>
      <c r="AW75" s="7">
        <v>7.9546331794374495E-2</v>
      </c>
      <c r="AX75" s="7">
        <v>3.7605925479924848E-3</v>
      </c>
      <c r="AY75" s="7">
        <v>3.807184087903253E-2</v>
      </c>
      <c r="AZ75" s="7">
        <v>0.13756276104494861</v>
      </c>
      <c r="BA75" s="7">
        <v>3.7869053886823711E-2</v>
      </c>
      <c r="BB75" s="7">
        <v>6.6798299642789674E-2</v>
      </c>
      <c r="BC75" s="7">
        <v>9.4839153087624514E-2</v>
      </c>
      <c r="BD75" s="7">
        <v>0.11062846519080929</v>
      </c>
      <c r="BE75" s="7">
        <v>8.1067840404381059E-2</v>
      </c>
      <c r="BF75" s="7">
        <v>8.2336299353941003E-2</v>
      </c>
      <c r="BG75" s="7">
        <v>0.10021105398045101</v>
      </c>
      <c r="BH75" s="7">
        <v>1.7550161171527641E-2</v>
      </c>
      <c r="BI75" s="7">
        <v>1.8870782285893652E-2</v>
      </c>
      <c r="BJ75" s="7">
        <v>1.3643105268836031E-2</v>
      </c>
      <c r="BK75" s="7">
        <v>1.1796579465415961E-2</v>
      </c>
      <c r="BL75" s="7">
        <v>0.10333586013005459</v>
      </c>
      <c r="BM75" s="7">
        <v>1.543857002525266E-2</v>
      </c>
      <c r="BN75" s="7">
        <v>1.460772616741487E-2</v>
      </c>
      <c r="BO75" s="7">
        <v>1.027682069112454E-2</v>
      </c>
      <c r="BP75" s="7">
        <v>0.1419643098278047</v>
      </c>
      <c r="BQ75" s="7">
        <v>3.2413612020165947E-2</v>
      </c>
      <c r="BR75" s="7">
        <v>7.9844384887765601E-2</v>
      </c>
      <c r="BS75" s="7">
        <v>9.7449889611677561E-3</v>
      </c>
      <c r="BT75" s="7">
        <v>4.9545881275296702E-2</v>
      </c>
      <c r="BU75" s="7">
        <v>7.1885546197204331E-2</v>
      </c>
      <c r="BV75" s="7">
        <v>2.404562997881696E-2</v>
      </c>
      <c r="BW75" s="7">
        <v>0</v>
      </c>
      <c r="BX75" s="7">
        <v>5.9291602649553209E-2</v>
      </c>
      <c r="BY75" s="7">
        <v>8.7725207053861762E-2</v>
      </c>
      <c r="BZ75" s="7">
        <v>0.14679624380685821</v>
      </c>
    </row>
    <row r="76" spans="1:78">
      <c r="A76" s="4" t="s">
        <v>219</v>
      </c>
      <c r="B76" s="7">
        <v>9.4393833354265988E-2</v>
      </c>
      <c r="C76" s="7">
        <v>2.95935377581515E-2</v>
      </c>
      <c r="D76" s="7">
        <v>1.4895344433471401E-3</v>
      </c>
      <c r="E76" s="7">
        <v>4.3181320468353059E-5</v>
      </c>
      <c r="F76" s="7">
        <v>6.3478374934594674E-5</v>
      </c>
      <c r="G76" s="7">
        <v>2.7806702368237841E-5</v>
      </c>
      <c r="H76" s="7">
        <v>0</v>
      </c>
      <c r="I76" s="7">
        <v>9.9025566052451192E-2</v>
      </c>
      <c r="J76" s="7">
        <v>4.8098241132837178E-4</v>
      </c>
      <c r="K76" s="7">
        <v>1.813914555055441E-2</v>
      </c>
      <c r="L76" s="7">
        <v>1.088591491703756E-2</v>
      </c>
      <c r="M76" s="7">
        <v>7.6904250428605284E-3</v>
      </c>
      <c r="N76" s="7">
        <v>4.396067518084084E-2</v>
      </c>
      <c r="O76" s="7">
        <v>3.561564468131048E-3</v>
      </c>
      <c r="P76" s="7">
        <v>0</v>
      </c>
      <c r="Q76" s="7">
        <v>9.1648194356209692E-3</v>
      </c>
      <c r="R76" s="7">
        <v>2.722521381328692E-3</v>
      </c>
      <c r="S76" s="7">
        <v>6.9070254281985088E-4</v>
      </c>
      <c r="T76" s="7">
        <v>3.7522617281950839E-2</v>
      </c>
      <c r="U76" s="7">
        <v>7.7805313624161607E-3</v>
      </c>
      <c r="V76" s="7">
        <v>2.0234877155142649E-4</v>
      </c>
      <c r="W76" s="7">
        <v>4.0830487681145493E-2</v>
      </c>
      <c r="X76" s="7">
        <v>7.333681593490014E-3</v>
      </c>
      <c r="Y76" s="7">
        <v>1.5198330151523971E-3</v>
      </c>
      <c r="Z76" s="7">
        <v>1.3678061314277409E-3</v>
      </c>
      <c r="AA76" s="7">
        <v>1.654929040555497E-3</v>
      </c>
      <c r="AB76" s="7">
        <v>1.5289816149229441E-2</v>
      </c>
      <c r="AC76" s="7">
        <v>5.907087505453817E-5</v>
      </c>
      <c r="AD76" s="7">
        <v>2.4547219991747721E-2</v>
      </c>
      <c r="AE76" s="7">
        <v>0</v>
      </c>
      <c r="AF76" s="7">
        <v>5.3228116090028367E-4</v>
      </c>
      <c r="AG76" s="7">
        <v>1.4270661475188519E-2</v>
      </c>
      <c r="AH76" s="7">
        <v>8.1456607730612061E-3</v>
      </c>
      <c r="AI76" s="7">
        <v>8.1233546814412285E-5</v>
      </c>
      <c r="AJ76" s="7">
        <v>1.643808313693631E-3</v>
      </c>
      <c r="AK76" s="7">
        <v>1.051042034092547E-2</v>
      </c>
      <c r="AL76" s="7">
        <v>5.8802785618940526E-4</v>
      </c>
      <c r="AM76" s="7">
        <v>1.2126495065687149E-2</v>
      </c>
      <c r="AN76" s="7">
        <v>2.6263035194318738E-3</v>
      </c>
      <c r="AO76" s="7">
        <v>0</v>
      </c>
      <c r="AP76" s="7">
        <v>4.4917406095226452E-3</v>
      </c>
      <c r="AQ76" s="7">
        <v>4.0254136542471758E-3</v>
      </c>
      <c r="AR76" s="7">
        <v>4.0575716419064588E-3</v>
      </c>
      <c r="AS76" s="7">
        <v>4.761384261437322E-4</v>
      </c>
      <c r="AT76" s="7">
        <v>2.354805757998715E-4</v>
      </c>
      <c r="AU76" s="7">
        <v>2.3547447069807589E-3</v>
      </c>
      <c r="AV76" s="7">
        <v>1.998825954424303E-4</v>
      </c>
      <c r="AW76" s="7">
        <v>6.3986855324795811E-2</v>
      </c>
      <c r="AX76" s="7">
        <v>0</v>
      </c>
      <c r="AY76" s="7">
        <v>0.31975413436583361</v>
      </c>
      <c r="AZ76" s="7">
        <v>3.1681585686459422E-2</v>
      </c>
      <c r="BA76" s="7">
        <v>5.7051891949442331E-5</v>
      </c>
      <c r="BB76" s="7">
        <v>5.5972261218254313E-2</v>
      </c>
      <c r="BC76" s="7">
        <v>3.98151429060565E-3</v>
      </c>
      <c r="BD76" s="7">
        <v>3.7928508615120302E-2</v>
      </c>
      <c r="BE76" s="7">
        <v>1.040032591070041E-3</v>
      </c>
      <c r="BF76" s="7">
        <v>0.21293268974588819</v>
      </c>
      <c r="BG76" s="7">
        <v>3.3185525082349439E-4</v>
      </c>
      <c r="BH76" s="7">
        <v>1.237583614523975E-2</v>
      </c>
      <c r="BI76" s="7">
        <v>3.2937520395553288E-4</v>
      </c>
      <c r="BJ76" s="7">
        <v>3.1916177233067717E-5</v>
      </c>
      <c r="BK76" s="7">
        <v>6.2469756061469682E-4</v>
      </c>
      <c r="BL76" s="7">
        <v>1.263210324295287E-5</v>
      </c>
      <c r="BM76" s="7">
        <v>0</v>
      </c>
      <c r="BN76" s="7">
        <v>4.3628174002344946E-3</v>
      </c>
      <c r="BO76" s="7">
        <v>1.6791693052716891E-3</v>
      </c>
      <c r="BP76" s="7">
        <v>1.6524754352801E-3</v>
      </c>
      <c r="BQ76" s="7">
        <v>1.040537499867116E-3</v>
      </c>
      <c r="BR76" s="7">
        <v>5.30845671915855E-3</v>
      </c>
      <c r="BS76" s="7">
        <v>1.006798729559409E-2</v>
      </c>
      <c r="BT76" s="7">
        <v>5.8870159802574193E-2</v>
      </c>
      <c r="BU76" s="7">
        <v>1.3915836578787011E-2</v>
      </c>
      <c r="BV76" s="7">
        <v>2.5504420091531959E-2</v>
      </c>
      <c r="BW76" s="7">
        <v>4.9735556038488359E-2</v>
      </c>
      <c r="BX76" s="7">
        <v>0</v>
      </c>
      <c r="BY76" s="7">
        <v>2.4760355674092679E-2</v>
      </c>
      <c r="BZ76" s="7">
        <v>8.6415234189273105E-2</v>
      </c>
    </row>
    <row r="77" spans="1:78">
      <c r="A77" s="4" t="s">
        <v>221</v>
      </c>
      <c r="B77" s="7">
        <v>7.9838748492948872E-5</v>
      </c>
      <c r="C77" s="7">
        <v>4.9513295304337774E-4</v>
      </c>
      <c r="D77" s="7">
        <v>2.288110899468921E-5</v>
      </c>
      <c r="E77" s="7">
        <v>1.7069665649581732E-5</v>
      </c>
      <c r="F77" s="7">
        <v>0</v>
      </c>
      <c r="G77" s="7">
        <v>1.5058357490890569E-3</v>
      </c>
      <c r="H77" s="7">
        <v>0</v>
      </c>
      <c r="I77" s="7">
        <v>5.8098801932373973E-5</v>
      </c>
      <c r="J77" s="7">
        <v>0</v>
      </c>
      <c r="K77" s="7">
        <v>6.0809904994914932E-5</v>
      </c>
      <c r="L77" s="7">
        <v>4.8667392586392239E-4</v>
      </c>
      <c r="M77" s="7">
        <v>3.349543146908589E-3</v>
      </c>
      <c r="N77" s="7">
        <v>4.4969815355024726E-6</v>
      </c>
      <c r="O77" s="7">
        <v>1.718513674210201E-3</v>
      </c>
      <c r="P77" s="7">
        <v>2.268438211960213E-2</v>
      </c>
      <c r="Q77" s="7">
        <v>4.2882632906334167E-5</v>
      </c>
      <c r="R77" s="7">
        <v>6.4328094770295545E-5</v>
      </c>
      <c r="S77" s="7">
        <v>0</v>
      </c>
      <c r="T77" s="7">
        <v>7.1393170493937254E-6</v>
      </c>
      <c r="U77" s="7">
        <v>5.188513627875212E-5</v>
      </c>
      <c r="V77" s="7">
        <v>3.6275045692054843E-5</v>
      </c>
      <c r="W77" s="7">
        <v>1.2309038743420179E-4</v>
      </c>
      <c r="X77" s="7">
        <v>6.9205080316802199E-5</v>
      </c>
      <c r="Y77" s="7">
        <v>1.5585910400306231E-6</v>
      </c>
      <c r="Z77" s="7">
        <v>5.0968899972229753E-5</v>
      </c>
      <c r="AA77" s="7">
        <v>2.7149255484551152E-4</v>
      </c>
      <c r="AB77" s="7">
        <v>2.2800904943136459E-4</v>
      </c>
      <c r="AC77" s="7">
        <v>8.045501682583185E-6</v>
      </c>
      <c r="AD77" s="7">
        <v>3.0675183534264868E-6</v>
      </c>
      <c r="AE77" s="7">
        <v>9.8359756132258665E-5</v>
      </c>
      <c r="AF77" s="7">
        <v>2.8874332538984079E-5</v>
      </c>
      <c r="AG77" s="7">
        <v>5.3141124892281589E-6</v>
      </c>
      <c r="AH77" s="7">
        <v>6.9872040065920372E-6</v>
      </c>
      <c r="AI77" s="7">
        <v>2.51416958265665E-6</v>
      </c>
      <c r="AJ77" s="7">
        <v>7.4385059455750707E-5</v>
      </c>
      <c r="AK77" s="7">
        <v>5.4889111168614123E-6</v>
      </c>
      <c r="AL77" s="7">
        <v>2.9772286538582048E-5</v>
      </c>
      <c r="AM77" s="7">
        <v>0</v>
      </c>
      <c r="AN77" s="7">
        <v>1.358395942162303E-6</v>
      </c>
      <c r="AO77" s="7">
        <v>1.746986286453171E-4</v>
      </c>
      <c r="AP77" s="7">
        <v>0</v>
      </c>
      <c r="AQ77" s="7">
        <v>5.0765060325918815E-7</v>
      </c>
      <c r="AR77" s="7">
        <v>0</v>
      </c>
      <c r="AS77" s="7">
        <v>6.0973688348658943E-6</v>
      </c>
      <c r="AT77" s="7">
        <v>1.2391415943316299E-5</v>
      </c>
      <c r="AU77" s="7">
        <v>3.75130736065876E-6</v>
      </c>
      <c r="AV77" s="7">
        <v>1.034266222239902E-5</v>
      </c>
      <c r="AW77" s="7">
        <v>1.4752528712640881E-6</v>
      </c>
      <c r="AX77" s="7">
        <v>0</v>
      </c>
      <c r="AY77" s="7">
        <v>0</v>
      </c>
      <c r="AZ77" s="7">
        <v>7.903822160990684E-7</v>
      </c>
      <c r="BA77" s="7">
        <v>2.9577916640374951E-3</v>
      </c>
      <c r="BB77" s="7">
        <v>1.0075082024343679E-4</v>
      </c>
      <c r="BC77" s="7">
        <v>5.3370480225869357E-5</v>
      </c>
      <c r="BD77" s="7">
        <v>1.963973545580642E-5</v>
      </c>
      <c r="BE77" s="7">
        <v>3.7489879426703487E-4</v>
      </c>
      <c r="BF77" s="7">
        <v>1.849162156527471E-4</v>
      </c>
      <c r="BG77" s="7">
        <v>1.3887539335640101E-5</v>
      </c>
      <c r="BH77" s="7">
        <v>2.8565444415103861E-5</v>
      </c>
      <c r="BI77" s="7">
        <v>1.2435533068782989E-6</v>
      </c>
      <c r="BJ77" s="7">
        <v>6.3383404230648774E-6</v>
      </c>
      <c r="BK77" s="7">
        <v>0</v>
      </c>
      <c r="BL77" s="7">
        <v>1.747041020373458E-5</v>
      </c>
      <c r="BM77" s="7">
        <v>1.421422391880614E-2</v>
      </c>
      <c r="BN77" s="7">
        <v>1.4658316312285461E-6</v>
      </c>
      <c r="BO77" s="7">
        <v>9.6039700992325249E-6</v>
      </c>
      <c r="BP77" s="7">
        <v>3.6792709318669122E-6</v>
      </c>
      <c r="BQ77" s="7">
        <v>2.3554622782714259E-4</v>
      </c>
      <c r="BR77" s="7">
        <v>6.5747594213400543E-6</v>
      </c>
      <c r="BS77" s="7">
        <v>1.908355875251393E-6</v>
      </c>
      <c r="BT77" s="7">
        <v>1.016198686222838E-5</v>
      </c>
      <c r="BU77" s="7">
        <v>2.3532519821769689E-7</v>
      </c>
      <c r="BV77" s="7">
        <v>2.6855737184764081E-6</v>
      </c>
      <c r="BW77" s="7">
        <v>3.1884822927302231E-5</v>
      </c>
      <c r="BX77" s="7">
        <v>4.478296802097823E-6</v>
      </c>
      <c r="BY77" s="7">
        <v>0</v>
      </c>
      <c r="BZ77" s="7">
        <v>1.227301799549275E-2</v>
      </c>
    </row>
    <row r="78" spans="1:78">
      <c r="A78" s="4" t="s">
        <v>223</v>
      </c>
      <c r="B78" s="7">
        <v>1.810340274636793E-3</v>
      </c>
      <c r="C78" s="7">
        <v>8.8556434483475594E-4</v>
      </c>
      <c r="D78" s="7">
        <v>2.9098117443557771E-3</v>
      </c>
      <c r="E78" s="7">
        <v>3.1886731522795081E-4</v>
      </c>
      <c r="F78" s="7">
        <v>1.7766425130838689E-3</v>
      </c>
      <c r="G78" s="7">
        <v>1.423147184981993E-2</v>
      </c>
      <c r="H78" s="7">
        <v>4.9596682797292582E-2</v>
      </c>
      <c r="I78" s="7">
        <v>5.081816581702052E-4</v>
      </c>
      <c r="J78" s="7">
        <v>6.3300028194700203E-5</v>
      </c>
      <c r="K78" s="7">
        <v>4.0148262586093251E-4</v>
      </c>
      <c r="L78" s="7">
        <v>3.9574630404354957E-3</v>
      </c>
      <c r="M78" s="7">
        <v>5.6487774922945072E-2</v>
      </c>
      <c r="N78" s="7">
        <v>2.499036238996912E-5</v>
      </c>
      <c r="O78" s="7">
        <v>8.9552673718854225E-2</v>
      </c>
      <c r="P78" s="7">
        <v>3.8240486603641571E-2</v>
      </c>
      <c r="Q78" s="7">
        <v>9.4651670911623904E-4</v>
      </c>
      <c r="R78" s="7">
        <v>3.9222292815956038E-3</v>
      </c>
      <c r="S78" s="7">
        <v>1.1966161504688259E-3</v>
      </c>
      <c r="T78" s="7">
        <v>1.248251809588208E-3</v>
      </c>
      <c r="U78" s="7">
        <v>8.6677073273219263E-4</v>
      </c>
      <c r="V78" s="7">
        <v>1.7929010024764641E-3</v>
      </c>
      <c r="W78" s="7">
        <v>6.7770962446558249E-3</v>
      </c>
      <c r="X78" s="7">
        <v>3.2993171350479871E-3</v>
      </c>
      <c r="Y78" s="7">
        <v>7.775734062963357E-3</v>
      </c>
      <c r="Z78" s="7">
        <v>2.581780872954046E-2</v>
      </c>
      <c r="AA78" s="7">
        <v>1.169027476159079E-3</v>
      </c>
      <c r="AB78" s="7">
        <v>2.16638986702392E-3</v>
      </c>
      <c r="AC78" s="7">
        <v>3.9685821981180498E-4</v>
      </c>
      <c r="AD78" s="7">
        <v>5.330665030685946E-4</v>
      </c>
      <c r="AE78" s="7">
        <v>4.5299349618789743E-3</v>
      </c>
      <c r="AF78" s="7">
        <v>1.07341406758516E-2</v>
      </c>
      <c r="AG78" s="7">
        <v>4.4837665647303159E-4</v>
      </c>
      <c r="AH78" s="7">
        <v>6.5141427841471384E-3</v>
      </c>
      <c r="AI78" s="7">
        <v>1.4752220355627481E-4</v>
      </c>
      <c r="AJ78" s="7">
        <v>8.38905959640317E-4</v>
      </c>
      <c r="AK78" s="7">
        <v>5.0202425522678611E-4</v>
      </c>
      <c r="AL78" s="7">
        <v>2.6838731620111599E-3</v>
      </c>
      <c r="AM78" s="7">
        <v>4.483349723350843E-3</v>
      </c>
      <c r="AN78" s="7">
        <v>6.9152292988530536E-5</v>
      </c>
      <c r="AO78" s="7">
        <v>9.2528757469578589E-5</v>
      </c>
      <c r="AP78" s="7">
        <v>0</v>
      </c>
      <c r="AQ78" s="7">
        <v>3.3553115286256631E-2</v>
      </c>
      <c r="AR78" s="7">
        <v>0</v>
      </c>
      <c r="AS78" s="7">
        <v>4.5084485818392642E-4</v>
      </c>
      <c r="AT78" s="7">
        <v>7.4549772229396379E-3</v>
      </c>
      <c r="AU78" s="7">
        <v>2.409809786901608E-4</v>
      </c>
      <c r="AV78" s="7">
        <v>5.566323155233666E-4</v>
      </c>
      <c r="AW78" s="7">
        <v>7.0731835762777179E-5</v>
      </c>
      <c r="AX78" s="7">
        <v>1.3552440111737891E-4</v>
      </c>
      <c r="AY78" s="7">
        <v>0</v>
      </c>
      <c r="AZ78" s="7">
        <v>4.3669585699613678E-3</v>
      </c>
      <c r="BA78" s="7">
        <v>7.2689463714700484E-3</v>
      </c>
      <c r="BB78" s="7">
        <v>2.3760116525565621E-3</v>
      </c>
      <c r="BC78" s="7">
        <v>2.7909262830406881E-4</v>
      </c>
      <c r="BD78" s="7">
        <v>4.6724744674694711E-4</v>
      </c>
      <c r="BE78" s="7">
        <v>4.4170270183458427E-2</v>
      </c>
      <c r="BF78" s="7">
        <v>1.080156866801384E-3</v>
      </c>
      <c r="BG78" s="7">
        <v>9.1938741795208344E-6</v>
      </c>
      <c r="BH78" s="7">
        <v>1.8969572601369041E-3</v>
      </c>
      <c r="BI78" s="7">
        <v>1.4512357455133911E-4</v>
      </c>
      <c r="BJ78" s="7">
        <v>8.9085849826521187E-4</v>
      </c>
      <c r="BK78" s="7">
        <v>2.7750349571626639E-2</v>
      </c>
      <c r="BL78" s="7">
        <v>0.39977305418432041</v>
      </c>
      <c r="BM78" s="7">
        <v>1.401694117397502E-2</v>
      </c>
      <c r="BN78" s="7">
        <v>5.9585792646641302E-5</v>
      </c>
      <c r="BO78" s="7">
        <v>3.4662138760226127E-2</v>
      </c>
      <c r="BP78" s="7">
        <v>2.9720021260582711E-3</v>
      </c>
      <c r="BQ78" s="7">
        <v>2.7789942629385151E-3</v>
      </c>
      <c r="BR78" s="7">
        <v>1.7218121816194311E-4</v>
      </c>
      <c r="BS78" s="7">
        <v>0.1654536883136348</v>
      </c>
      <c r="BT78" s="7">
        <v>2.6683194143707518E-3</v>
      </c>
      <c r="BU78" s="7">
        <v>6.9013583991772866E-6</v>
      </c>
      <c r="BV78" s="7">
        <v>2.556838334644893E-3</v>
      </c>
      <c r="BW78" s="7">
        <v>9.4835293275440471E-4</v>
      </c>
      <c r="BX78" s="7">
        <v>3.0601852852716699E-4</v>
      </c>
      <c r="BY78" s="7">
        <v>5.666401068983265E-3</v>
      </c>
      <c r="BZ78" s="7">
        <v>2.7091555158288969E-2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Z78"/>
  <sheetViews>
    <sheetView showGridLines="0" workbookViewId="0"/>
  </sheetViews>
  <sheetFormatPr defaultRowHeight="13.8"/>
  <cols>
    <col min="1" max="1" width="22" customWidth="1"/>
    <col min="2" max="78" width="11" customWidth="1"/>
  </cols>
  <sheetData>
    <row r="1" spans="1:78">
      <c r="A1" s="1" t="s">
        <v>389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8">
        <f>IF($A2=B$1,0,IF(SUM(IMshareM!B$2:B$78)-IMshareM!B$2&gt;0,IMshareM!B2/(SUM(IMshareM!B$2:B$78)-IMshareM!B$2),0))</f>
        <v>0</v>
      </c>
      <c r="C2" s="8">
        <f>IF($A2=C$1,0,IF(SUM(IMshareM!C$2:C$78)-IMshareM!C$3&gt;0,IMshareM!C2/(SUM(IMshareM!C$2:C$78)-IMshareM!C$3),0))</f>
        <v>0</v>
      </c>
      <c r="D2" s="8">
        <f>IF($A2=D$1,0,IF(SUM(IMshareM!D$2:D$78)-IMshareM!D$4&gt;0,IMshareM!D2/(SUM(IMshareM!D$2:D$78)-IMshareM!D$4),0))</f>
        <v>1.1955596474922231E-7</v>
      </c>
      <c r="E2" s="8">
        <f>IF($A2=E$1,0,IF(SUM(IMshareM!E$2:E$78)-IMshareM!E$5&gt;0,IMshareM!E2/(SUM(IMshareM!E$2:E$78)-IMshareM!E$5),0))</f>
        <v>8.7815507899035351E-6</v>
      </c>
      <c r="F2" s="8">
        <f>IF($A2=F$1,0,IF(SUM(IMshareM!F$2:F$78)-IMshareM!F$6&gt;0,IMshareM!F2/(SUM(IMshareM!F$2:F$78)-IMshareM!F$6),0))</f>
        <v>0</v>
      </c>
      <c r="G2" s="8">
        <f>IF($A2=G$1,0,IF(SUM(IMshareM!G$2:G$78)-IMshareM!G$7&gt;0,IMshareM!G2/(SUM(IMshareM!G$2:G$78)-IMshareM!G$7),0))</f>
        <v>0</v>
      </c>
      <c r="H2" s="8">
        <f>IF($A2=H$1,0,IF(SUM(IMshareM!H$2:H$78)-IMshareM!H$8&gt;0,IMshareM!H2/(SUM(IMshareM!H$2:H$78)-IMshareM!H$8),0))</f>
        <v>0</v>
      </c>
      <c r="I2" s="8">
        <f>IF($A2=I$1,0,IF(SUM(IMshareM!I$2:I$78)-IMshareM!I$9&gt;0,IMshareM!I2/(SUM(IMshareM!I$2:I$78)-IMshareM!I$9),0))</f>
        <v>4.1029260470003331E-3</v>
      </c>
      <c r="J2" s="8">
        <f>IF($A2=J$1,0,IF(SUM(IMshareM!J$2:J$78)-IMshareM!J$10&gt;0,IMshareM!J2/(SUM(IMshareM!J$2:J$78)-IMshareM!J$10),0))</f>
        <v>0</v>
      </c>
      <c r="K2" s="8">
        <f>IF($A2=K$1,0,IF(SUM(IMshareM!K$2:K$78)-IMshareM!K$11&gt;0,IMshareM!K2/(SUM(IMshareM!K$2:K$78)-IMshareM!K$11),0))</f>
        <v>3.0356164743208683E-4</v>
      </c>
      <c r="L2" s="8">
        <f>IF($A2=L$1,0,IF(SUM(IMshareM!L$2:L$78)-IMshareM!L$12&gt;0,IMshareM!L2/(SUM(IMshareM!L$2:L$78)-IMshareM!L$12),0))</f>
        <v>3.51109187801045E-6</v>
      </c>
      <c r="M2" s="8">
        <f>IF($A2=M$1,0,IF(SUM(IMshareM!M$2:M$78)-IMshareM!M$13&gt;0,IMshareM!M2/(SUM(IMshareM!M$2:M$78)-IMshareM!M$13),0))</f>
        <v>5.4236243409640553E-4</v>
      </c>
      <c r="N2" s="8">
        <f>IF($A2=N$1,0,IF(SUM(IMshareM!N$2:N$78)-IMshareM!N$14&gt;0,IMshareM!N2/(SUM(IMshareM!N$2:N$78)-IMshareM!N$14),0))</f>
        <v>1.447842819665602E-8</v>
      </c>
      <c r="O2" s="8">
        <f>IF($A2=O$1,0,IF(SUM(IMshareM!O$2:O$78)-IMshareM!O$15&gt;0,IMshareM!O2/(SUM(IMshareM!O$2:O$78)-IMshareM!O$15),0))</f>
        <v>0</v>
      </c>
      <c r="P2" s="8">
        <f>IF($A2=P$1,0,IF(SUM(IMshareM!P$2:P$78)-IMshareM!P$16&gt;0,IMshareM!P2/(SUM(IMshareM!P$2:P$78)-IMshareM!P$16),0))</f>
        <v>0</v>
      </c>
      <c r="Q2" s="8">
        <f>IF($A2=Q$1,0,IF(SUM(IMshareM!Q$2:Q$78)-IMshareM!Q$17&gt;0,IMshareM!Q2/(SUM(IMshareM!Q$2:Q$78)-IMshareM!Q$17),0))</f>
        <v>4.9809763047056234E-3</v>
      </c>
      <c r="R2" s="8">
        <f>IF($A2=R$1,0,IF(SUM(IMshareM!R$2:R$78)-IMshareM!R$18&gt;0,IMshareM!R2/(SUM(IMshareM!R$2:R$78)-IMshareM!R$18),0))</f>
        <v>3.4552015692054848E-4</v>
      </c>
      <c r="S2" s="8">
        <f>IF($A2=S$1,0,IF(SUM(IMshareM!S$2:S$78)-IMshareM!S$19&gt;0,IMshareM!S2/(SUM(IMshareM!S$2:S$78)-IMshareM!S$19),0))</f>
        <v>0</v>
      </c>
      <c r="T2" s="8">
        <f>IF($A2=T$1,0,IF(SUM(IMshareM!T$2:T$78)-IMshareM!T$20&gt;0,IMshareM!T2/(SUM(IMshareM!T$2:T$78)-IMshareM!T$20),0))</f>
        <v>3.0646653780302106E-7</v>
      </c>
      <c r="U2" s="8">
        <f>IF($A2=U$1,0,IF(SUM(IMshareM!U$2:U$78)-IMshareM!U$21&gt;0,IMshareM!U2/(SUM(IMshareM!U$2:U$78)-IMshareM!U$21),0))</f>
        <v>7.3716386926821343E-6</v>
      </c>
      <c r="V2" s="8">
        <f>IF($A2=V$1,0,IF(SUM(IMshareM!V$2:V$78)-IMshareM!V$22&gt;0,IMshareM!V2/(SUM(IMshareM!V$2:V$78)-IMshareM!V$22),0))</f>
        <v>0</v>
      </c>
      <c r="W2" s="8">
        <f>IF($A2=W$1,0,IF(SUM(IMshareM!W$2:W$78)-IMshareM!W$23&gt;0,IMshareM!W2/(SUM(IMshareM!W$2:W$78)-IMshareM!W$23),0))</f>
        <v>0</v>
      </c>
      <c r="X2" s="8">
        <f>IF($A2=X$1,0,IF(SUM(IMshareM!X$2:X$78)-IMshareM!X$24&gt;0,IMshareM!X2/(SUM(IMshareM!X$2:X$78)-IMshareM!X$24),0))</f>
        <v>2.7026574125143197E-5</v>
      </c>
      <c r="Y2" s="8">
        <f>IF($A2=Y$1,0,IF(SUM(IMshareM!Y$2:Y$78)-IMshareM!Y$25&gt;0,IMshareM!Y2/(SUM(IMshareM!Y$2:Y$78)-IMshareM!Y$25),0))</f>
        <v>4.4566353101509146E-5</v>
      </c>
      <c r="Z2" s="8">
        <f>IF($A2=Z$1,0,IF(SUM(IMshareM!Z$2:Z$78)-IMshareM!Z$26&gt;0,IMshareM!Z2/(SUM(IMshareM!Z$2:Z$78)-IMshareM!Z$26),0))</f>
        <v>3.1126536801240111E-6</v>
      </c>
      <c r="AA2" s="8">
        <f>IF($A2=AA$1,0,IF(SUM(IMshareM!AA$2:AA$78)-IMshareM!AA$27&gt;0,IMshareM!AA2/(SUM(IMshareM!AA$2:AA$78)-IMshareM!AA$27),0))</f>
        <v>8.7235043365432048E-6</v>
      </c>
      <c r="AB2" s="8">
        <f>IF($A2=AB$1,0,IF(SUM(IMshareM!AB$2:AB$78)-IMshareM!AB$28&gt;0,IMshareM!AB2/(SUM(IMshareM!AB$2:AB$78)-IMshareM!AB$28),0))</f>
        <v>7.8595337388581755E-7</v>
      </c>
      <c r="AC2" s="8">
        <f>IF($A2=AC$1,0,IF(SUM(IMshareM!AC$2:AC$78)-IMshareM!AC$29&gt;0,IMshareM!AC2/(SUM(IMshareM!AC$2:AC$78)-IMshareM!AC$29),0))</f>
        <v>0</v>
      </c>
      <c r="AD2" s="8">
        <f>IF($A2=AD$1,0,IF(SUM(IMshareM!AD$2:AD$78)-IMshareM!AD$30&gt;0,IMshareM!AD2/(SUM(IMshareM!AD$2:AD$78)-IMshareM!AD$30),0))</f>
        <v>0</v>
      </c>
      <c r="AE2" s="8">
        <f>IF($A2=AE$1,0,IF(SUM(IMshareM!AE$2:AE$78)-IMshareM!AE$31&gt;0,IMshareM!AE2/(SUM(IMshareM!AE$2:AE$78)-IMshareM!AE$31),0))</f>
        <v>0</v>
      </c>
      <c r="AF2" s="8">
        <f>IF($A2=AF$1,0,IF(SUM(IMshareM!AF$2:AF$78)-IMshareM!AF$32&gt;0,IMshareM!AF2/(SUM(IMshareM!AF$2:AF$78)-IMshareM!AF$32),0))</f>
        <v>0</v>
      </c>
      <c r="AG2" s="8">
        <f>IF($A2=AG$1,0,IF(SUM(IMshareM!AG$2:AG$78)-IMshareM!AG$33&gt;0,IMshareM!AG2/(SUM(IMshareM!AG$2:AG$78)-IMshareM!AG$33),0))</f>
        <v>7.9035286635831933E-6</v>
      </c>
      <c r="AH2" s="8">
        <f>IF($A2=AH$1,0,IF(SUM(IMshareM!AH$2:AH$78)-IMshareM!AH$34&gt;0,IMshareM!AH2/(SUM(IMshareM!AH$2:AH$78)-IMshareM!AH$34),0))</f>
        <v>6.5876186038021648E-6</v>
      </c>
      <c r="AI2" s="8">
        <f>IF($A2=AI$1,0,IF(SUM(IMshareM!AI$2:AI$78)-IMshareM!AI$35&gt;0,IMshareM!AI2/(SUM(IMshareM!AI$2:AI$78)-IMshareM!AI$35),0))</f>
        <v>0</v>
      </c>
      <c r="AJ2" s="8">
        <f>IF($A2=AJ$1,0,IF(SUM(IMshareM!AJ$2:AJ$78)-IMshareM!AJ$36&gt;0,IMshareM!AJ2/(SUM(IMshareM!AJ$2:AJ$78)-IMshareM!AJ$36),0))</f>
        <v>0</v>
      </c>
      <c r="AK2" s="8">
        <f>IF($A2=AK$1,0,IF(SUM(IMshareM!AK$2:AK$78)-IMshareM!AK$37&gt;0,IMshareM!AK2/(SUM(IMshareM!AK$2:AK$78)-IMshareM!AK$37),0))</f>
        <v>0</v>
      </c>
      <c r="AL2" s="8">
        <f>IF($A2=AL$1,0,IF(SUM(IMshareM!AL$2:AL$78)-IMshareM!AL$38&gt;0,IMshareM!AL2/(SUM(IMshareM!AL$2:AL$78)-IMshareM!AL$38),0))</f>
        <v>2.2490496608770985E-6</v>
      </c>
      <c r="AM2" s="8">
        <f>IF($A2=AM$1,0,IF(SUM(IMshareM!AM$2:AM$78)-IMshareM!AM$39&gt;0,IMshareM!AM2/(SUM(IMshareM!AM$2:AM$78)-IMshareM!AM$39),0))</f>
        <v>0</v>
      </c>
      <c r="AN2" s="8">
        <f>IF($A2=AN$1,0,IF(SUM(IMshareM!AN$2:AN$78)-IMshareM!AN$40&gt;0,IMshareM!AN2/(SUM(IMshareM!AN$2:AN$78)-IMshareM!AN$40),0))</f>
        <v>0</v>
      </c>
      <c r="AO2" s="8">
        <f>IF($A2=AO$1,0,IF(SUM(IMshareM!AO$2:AO$78)-IMshareM!AO$41&gt;0,IMshareM!AO2/(SUM(IMshareM!AO$2:AO$78)-IMshareM!AO$41),0))</f>
        <v>0</v>
      </c>
      <c r="AP2" s="8">
        <f>IF($A2=AP$1,0,IF(SUM(IMshareM!AP$2:AP$78)-IMshareM!AP$42&gt;0,IMshareM!AP2/(SUM(IMshareM!AP$2:AP$78)-IMshareM!AP$42),0))</f>
        <v>0</v>
      </c>
      <c r="AQ2" s="8">
        <f>IF($A2=AQ$1,0,IF(SUM(IMshareM!AQ$2:AQ$78)-IMshareM!AQ$43&gt;0,IMshareM!AQ2/(SUM(IMshareM!AQ$2:AQ$78)-IMshareM!AQ$43),0))</f>
        <v>0</v>
      </c>
      <c r="AR2" s="8">
        <f>IF($A2=AR$1,0,IF(SUM(IMshareM!AR$2:AR$78)-IMshareM!AR$44&gt;0,IMshareM!AR2/(SUM(IMshareM!AR$2:AR$78)-IMshareM!AR$44),0))</f>
        <v>0</v>
      </c>
      <c r="AS2" s="8">
        <f>IF($A2=AS$1,0,IF(SUM(IMshareM!AS$2:AS$78)-IMshareM!AS$45&gt;0,IMshareM!AS2/(SUM(IMshareM!AS$2:AS$78)-IMshareM!AS$45),0))</f>
        <v>0</v>
      </c>
      <c r="AT2" s="8">
        <f>IF($A2=AT$1,0,IF(SUM(IMshareM!AT$2:AT$78)-IMshareM!AT$46&gt;0,IMshareM!AT2/(SUM(IMshareM!AT$2:AT$78)-IMshareM!AT$46),0))</f>
        <v>0</v>
      </c>
      <c r="AU2" s="8">
        <f>IF($A2=AU$1,0,IF(SUM(IMshareM!AU$2:AU$78)-IMshareM!AU$47&gt;0,IMshareM!AU2/(SUM(IMshareM!AU$2:AU$78)-IMshareM!AU$47),0))</f>
        <v>0</v>
      </c>
      <c r="AV2" s="8">
        <f>IF($A2=AV$1,0,IF(SUM(IMshareM!AV$2:AV$78)-IMshareM!AV$48&gt;0,IMshareM!AV2/(SUM(IMshareM!AV$2:AV$78)-IMshareM!AV$48),0))</f>
        <v>0</v>
      </c>
      <c r="AW2" s="8">
        <f>IF($A2=AW$1,0,IF(SUM(IMshareM!AW$2:AW$78)-IMshareM!AW$49&gt;0,IMshareM!AW2/(SUM(IMshareM!AW$2:AW$78)-IMshareM!AW$49),0))</f>
        <v>7.169082854036776E-6</v>
      </c>
      <c r="AX2" s="8">
        <f>IF($A2=AX$1,0,IF(SUM(IMshareM!AX$2:AX$78)-IMshareM!AX$50&gt;0,IMshareM!AX2/(SUM(IMshareM!AX$2:AX$78)-IMshareM!AX$50),0))</f>
        <v>0</v>
      </c>
      <c r="AY2" s="8">
        <f>IF($A2=AY$1,0,IF(SUM(IMshareM!AY$2:AY$78)-IMshareM!AY$51&gt;0,IMshareM!AY2/(SUM(IMshareM!AY$2:AY$78)-IMshareM!AY$51),0))</f>
        <v>0</v>
      </c>
      <c r="AZ2" s="8">
        <f>IF($A2=AZ$1,0,IF(SUM(IMshareM!AZ$2:AZ$78)-IMshareM!AZ$52&gt;0,IMshareM!AZ2/(SUM(IMshareM!AZ$2:AZ$78)-IMshareM!AZ$52),0))</f>
        <v>0</v>
      </c>
      <c r="BA2" s="8">
        <f>IF($A2=BA$1,0,IF(SUM(IMshareM!BA$2:BA$78)-IMshareM!BA$53&gt;0,IMshareM!BA2/(SUM(IMshareM!BA$2:BA$78)-IMshareM!BA$53),0))</f>
        <v>0</v>
      </c>
      <c r="BB2" s="8">
        <f>IF($A2=BB$1,0,IF(SUM(IMshareM!BB$2:BB$78)-IMshareM!BB$54&gt;0,IMshareM!BB2/(SUM(IMshareM!BB$2:BB$78)-IMshareM!BB$54),0))</f>
        <v>4.6787999948754197E-7</v>
      </c>
      <c r="BC2" s="8">
        <f>IF($A2=BC$1,0,IF(SUM(IMshareM!BC$2:BC$78)-IMshareM!BC$55&gt;0,IMshareM!BC2/(SUM(IMshareM!BC$2:BC$78)-IMshareM!BC$55),0))</f>
        <v>0</v>
      </c>
      <c r="BD2" s="8">
        <f>IF($A2=BD$1,0,IF(SUM(IMshareM!BD$2:BD$78)-IMshareM!BD$56&gt;0,IMshareM!BD2/(SUM(IMshareM!BD$2:BD$78)-IMshareM!BD$56),0))</f>
        <v>1.0288196393904988E-5</v>
      </c>
      <c r="BE2" s="8">
        <f>IF($A2=BE$1,0,IF(SUM(IMshareM!BE$2:BE$78)-IMshareM!BE$57&gt;0,IMshareM!BE2/(SUM(IMshareM!BE$2:BE$78)-IMshareM!BE$57),0))</f>
        <v>0</v>
      </c>
      <c r="BF2" s="8">
        <f>IF($A2=BF$1,0,IF(SUM(IMshareM!BF$2:BF$78)-IMshareM!BF$58&gt;0,IMshareM!BF2/(SUM(IMshareM!BF$2:BF$78)-IMshareM!BF$58),0))</f>
        <v>4.7403852147939198E-4</v>
      </c>
      <c r="BG2" s="8">
        <f>IF($A2=BG$1,0,IF(SUM(IMshareM!BG$2:BG$78)-IMshareM!BG$59&gt;0,IMshareM!BG2/(SUM(IMshareM!BG$2:BG$78)-IMshareM!BG$59),0))</f>
        <v>0</v>
      </c>
      <c r="BH2" s="8">
        <f>IF($A2=BH$1,0,IF(SUM(IMshareM!BH$2:BH$78)-IMshareM!BH$60&gt;0,IMshareM!BH2/(SUM(IMshareM!BH$2:BH$78)-IMshareM!BH$60),0))</f>
        <v>0</v>
      </c>
      <c r="BI2" s="8">
        <f>IF($A2=BI$1,0,IF(SUM(IMshareM!BI$2:BI$78)-IMshareM!BI$61&gt;0,IMshareM!BI2/(SUM(IMshareM!BI$2:BI$78)-IMshareM!BI$61),0))</f>
        <v>0</v>
      </c>
      <c r="BJ2" s="8">
        <f>IF($A2=BJ$1,0,IF(SUM(IMshareM!BJ$2:BJ$78)-IMshareM!BJ$62&gt;0,IMshareM!BJ2/(SUM(IMshareM!BJ$2:BJ$78)-IMshareM!BJ$62),0))</f>
        <v>4.8352821937200616E-7</v>
      </c>
      <c r="BK2" s="8">
        <f>IF($A2=BK$1,0,IF(SUM(IMshareM!BK$2:BK$78)-IMshareM!BK$63&gt;0,IMshareM!BK2/(SUM(IMshareM!BK$2:BK$78)-IMshareM!BK$63),0))</f>
        <v>0</v>
      </c>
      <c r="BL2" s="8">
        <f>IF($A2=BL$1,0,IF(SUM(IMshareM!BL$2:BL$78)-IMshareM!BL$64&gt;0,IMshareM!BL2/(SUM(IMshareM!BL$2:BL$78)-IMshareM!BL$64),0))</f>
        <v>0</v>
      </c>
      <c r="BM2" s="8">
        <f>IF($A2=BM$1,0,IF(SUM(IMshareM!BM$2:BM$78)-IMshareM!BM$65&gt;0,IMshareM!BM2/(SUM(IMshareM!BM$2:BM$78)-IMshareM!BM$65),0))</f>
        <v>0</v>
      </c>
      <c r="BN2" s="8">
        <f>IF($A2=BN$1,0,IF(SUM(IMshareM!BN$2:BN$78)-IMshareM!BN$66&gt;0,IMshareM!BN2/(SUM(IMshareM!BN$2:BN$78)-IMshareM!BN$66),0))</f>
        <v>0</v>
      </c>
      <c r="BO2" s="8">
        <f>IF($A2=BO$1,0,IF(SUM(IMshareM!BO$2:BO$78)-IMshareM!BO$67&gt;0,IMshareM!BO2/(SUM(IMshareM!BO$2:BO$78)-IMshareM!BO$67),0))</f>
        <v>0</v>
      </c>
      <c r="BP2" s="8">
        <f>IF($A2=BP$1,0,IF(SUM(IMshareM!BP$2:BP$78)-IMshareM!BP$68&gt;0,IMshareM!BP2/(SUM(IMshareM!BP$2:BP$78)-IMshareM!BP$68),0))</f>
        <v>0</v>
      </c>
      <c r="BQ2" s="8">
        <f>IF($A2=BQ$1,0,IF(SUM(IMshareM!BQ$2:BQ$78)-IMshareM!BQ$69&gt;0,IMshareM!BQ2/(SUM(IMshareM!BQ$2:BQ$78)-IMshareM!BQ$69),0))</f>
        <v>1.2743219414132237E-5</v>
      </c>
      <c r="BR2" s="8">
        <f>IF($A2=BR$1,0,IF(SUM(IMshareM!BR$2:BR$78)-IMshareM!BR$70&gt;0,IMshareM!BR2/(SUM(IMshareM!BR$2:BR$78)-IMshareM!BR$70),0))</f>
        <v>4.8657078235829545E-8</v>
      </c>
      <c r="BS2" s="8">
        <f>IF($A2=BS$1,0,IF(SUM(IMshareM!BS$2:BS$78)-IMshareM!BS$71&gt;0,IMshareM!BS2/(SUM(IMshareM!BS$2:BS$78)-IMshareM!BS$71),0))</f>
        <v>0</v>
      </c>
      <c r="BT2" s="8">
        <f>IF($A2=BT$1,0,IF(SUM(IMshareM!BT$2:BT$78)-IMshareM!BT$72&gt;0,IMshareM!BT2/(SUM(IMshareM!BT$2:BT$78)-IMshareM!BT$72),0))</f>
        <v>0</v>
      </c>
      <c r="BU2" s="8">
        <f>IF($A2=BU$1,0,IF(SUM(IMshareM!BU$2:BU$78)-IMshareM!BU$73&gt;0,IMshareM!BU2/(SUM(IMshareM!BU$2:BU$78)-IMshareM!BU$73),0))</f>
        <v>1.0252427667557864E-7</v>
      </c>
      <c r="BV2" s="8">
        <f>IF($A2=BV$1,0,IF(SUM(IMshareM!BV$2:BV$78)-IMshareM!BV$74&gt;0,IMshareM!BV2/(SUM(IMshareM!BV$2:BV$78)-IMshareM!BV$74),0))</f>
        <v>3.2559443950849039E-6</v>
      </c>
      <c r="BW2" s="8">
        <f>IF($A2=BW$1,0,IF(SUM(IMshareM!BW$2:BW$78)-IMshareM!BW$75&gt;0,IMshareM!BW2/(SUM(IMshareM!BW$2:BW$78)-IMshareM!BW$75),0))</f>
        <v>2.5665576849038191E-5</v>
      </c>
      <c r="BX2" s="8">
        <f>IF($A2=BX$1,0,IF(SUM(IMshareM!BX$2:BX$78)-IMshareM!BX$76&gt;0,IMshareM!BX2/(SUM(IMshareM!BX$2:BX$78)-IMshareM!BX$76),0))</f>
        <v>0</v>
      </c>
      <c r="BY2" s="8">
        <f>IF($A2=BY$1,0,IF(SUM(IMshareM!BY$2:BY$78)-IMshareM!BY$77&gt;0,IMshareM!BY2/(SUM(IMshareM!BY$2:BY$78)-IMshareM!BY$77),0))</f>
        <v>0</v>
      </c>
      <c r="BZ2" s="8">
        <f>IF($A2=BZ$1,0,IF(SUM(IMshareM!BZ$2:BZ$78)-IMshareM!BZ$78&gt;0,IMshareM!BZ2/(SUM(IMshareM!BZ$2:BZ$78)-IMshareM!BZ$78),0))</f>
        <v>1.9581396337752893E-4</v>
      </c>
    </row>
    <row r="3" spans="1:78">
      <c r="A3" s="4" t="s">
        <v>72</v>
      </c>
      <c r="B3" s="8">
        <f>IF($A3=B$1,0,IF(SUM(IMshareM!B$2:B$78)-IMshareM!B$2&gt;0,IMshareM!B3/(SUM(IMshareM!B$2:B$78)-IMshareM!B$2),0))</f>
        <v>6.9878270454691056E-5</v>
      </c>
      <c r="C3" s="8">
        <f>IF($A3=C$1,0,IF(SUM(IMshareM!C$2:C$78)-IMshareM!C$3&gt;0,IMshareM!C3/(SUM(IMshareM!C$2:C$78)-IMshareM!C$3),0))</f>
        <v>0</v>
      </c>
      <c r="D3" s="8">
        <f>IF($A3=D$1,0,IF(SUM(IMshareM!D$2:D$78)-IMshareM!D$4&gt;0,IMshareM!D3/(SUM(IMshareM!D$2:D$78)-IMshareM!D$4),0))</f>
        <v>3.6909522623427243E-5</v>
      </c>
      <c r="E3" s="8">
        <f>IF($A3=E$1,0,IF(SUM(IMshareM!E$2:E$78)-IMshareM!E$5&gt;0,IMshareM!E3/(SUM(IMshareM!E$2:E$78)-IMshareM!E$5),0))</f>
        <v>5.1713351602605935E-5</v>
      </c>
      <c r="F3" s="8">
        <f>IF($A3=F$1,0,IF(SUM(IMshareM!F$2:F$78)-IMshareM!F$6&gt;0,IMshareM!F3/(SUM(IMshareM!F$2:F$78)-IMshareM!F$6),0))</f>
        <v>1.2389208809352208E-6</v>
      </c>
      <c r="G3" s="8">
        <f>IF($A3=G$1,0,IF(SUM(IMshareM!G$2:G$78)-IMshareM!G$7&gt;0,IMshareM!G3/(SUM(IMshareM!G$2:G$78)-IMshareM!G$7),0))</f>
        <v>1.7075471565416058E-5</v>
      </c>
      <c r="H3" s="8">
        <f>IF($A3=H$1,0,IF(SUM(IMshareM!H$2:H$78)-IMshareM!H$8&gt;0,IMshareM!H3/(SUM(IMshareM!H$2:H$78)-IMshareM!H$8),0))</f>
        <v>0</v>
      </c>
      <c r="I3" s="8">
        <f>IF($A3=I$1,0,IF(SUM(IMshareM!I$2:I$78)-IMshareM!I$9&gt;0,IMshareM!I3/(SUM(IMshareM!I$2:I$78)-IMshareM!I$9),0))</f>
        <v>2.127452740716864E-4</v>
      </c>
      <c r="J3" s="8">
        <f>IF($A3=J$1,0,IF(SUM(IMshareM!J$2:J$78)-IMshareM!J$10&gt;0,IMshareM!J3/(SUM(IMshareM!J$2:J$78)-IMshareM!J$10),0))</f>
        <v>8.6840821530320309E-4</v>
      </c>
      <c r="K3" s="8">
        <f>IF($A3=K$1,0,IF(SUM(IMshareM!K$2:K$78)-IMshareM!K$11&gt;0,IMshareM!K3/(SUM(IMshareM!K$2:K$78)-IMshareM!K$11),0))</f>
        <v>4.3814644250960936E-3</v>
      </c>
      <c r="L3" s="8">
        <f>IF($A3=L$1,0,IF(SUM(IMshareM!L$2:L$78)-IMshareM!L$12&gt;0,IMshareM!L3/(SUM(IMshareM!L$2:L$78)-IMshareM!L$12),0))</f>
        <v>9.4830612574647852E-5</v>
      </c>
      <c r="M3" s="8">
        <f>IF($A3=M$1,0,IF(SUM(IMshareM!M$2:M$78)-IMshareM!M$13&gt;0,IMshareM!M3/(SUM(IMshareM!M$2:M$78)-IMshareM!M$13),0))</f>
        <v>7.6678652350113896E-5</v>
      </c>
      <c r="N3" s="8">
        <f>IF($A3=N$1,0,IF(SUM(IMshareM!N$2:N$78)-IMshareM!N$14&gt;0,IMshareM!N3/(SUM(IMshareM!N$2:N$78)-IMshareM!N$14),0))</f>
        <v>2.7930842579156008E-4</v>
      </c>
      <c r="O3" s="8">
        <f>IF($A3=O$1,0,IF(SUM(IMshareM!O$2:O$78)-IMshareM!O$15&gt;0,IMshareM!O3/(SUM(IMshareM!O$2:O$78)-IMshareM!O$15),0))</f>
        <v>4.1361960580701008E-3</v>
      </c>
      <c r="P3" s="8">
        <f>IF($A3=P$1,0,IF(SUM(IMshareM!P$2:P$78)-IMshareM!P$16&gt;0,IMshareM!P3/(SUM(IMshareM!P$2:P$78)-IMshareM!P$16),0))</f>
        <v>2.012308340974566E-4</v>
      </c>
      <c r="Q3" s="8">
        <f>IF($A3=Q$1,0,IF(SUM(IMshareM!Q$2:Q$78)-IMshareM!Q$17&gt;0,IMshareM!Q3/(SUM(IMshareM!Q$2:Q$78)-IMshareM!Q$17),0))</f>
        <v>1.8034948651630047E-3</v>
      </c>
      <c r="R3" s="8">
        <f>IF($A3=R$1,0,IF(SUM(IMshareM!R$2:R$78)-IMshareM!R$18&gt;0,IMshareM!R3/(SUM(IMshareM!R$2:R$78)-IMshareM!R$18),0))</f>
        <v>2.1380233382253504E-4</v>
      </c>
      <c r="S3" s="8">
        <f>IF($A3=S$1,0,IF(SUM(IMshareM!S$2:S$78)-IMshareM!S$19&gt;0,IMshareM!S3/(SUM(IMshareM!S$2:S$78)-IMshareM!S$19),0))</f>
        <v>2.1017033839446347E-3</v>
      </c>
      <c r="T3" s="8">
        <f>IF($A3=T$1,0,IF(SUM(IMshareM!T$2:T$78)-IMshareM!T$20&gt;0,IMshareM!T3/(SUM(IMshareM!T$2:T$78)-IMshareM!T$20),0))</f>
        <v>6.6805874409336043E-5</v>
      </c>
      <c r="U3" s="8">
        <f>IF($A3=U$1,0,IF(SUM(IMshareM!U$2:U$78)-IMshareM!U$21&gt;0,IMshareM!U3/(SUM(IMshareM!U$2:U$78)-IMshareM!U$21),0))</f>
        <v>9.0509471932232805E-5</v>
      </c>
      <c r="V3" s="8">
        <f>IF($A3=V$1,0,IF(SUM(IMshareM!V$2:V$78)-IMshareM!V$22&gt;0,IMshareM!V3/(SUM(IMshareM!V$2:V$78)-IMshareM!V$22),0))</f>
        <v>2.6791541925055802E-4</v>
      </c>
      <c r="W3" s="8">
        <f>IF($A3=W$1,0,IF(SUM(IMshareM!W$2:W$78)-IMshareM!W$23&gt;0,IMshareM!W3/(SUM(IMshareM!W$2:W$78)-IMshareM!W$23),0))</f>
        <v>9.7113858865462155E-4</v>
      </c>
      <c r="X3" s="8">
        <f>IF($A3=X$1,0,IF(SUM(IMshareM!X$2:X$78)-IMshareM!X$24&gt;0,IMshareM!X3/(SUM(IMshareM!X$2:X$78)-IMshareM!X$24),0))</f>
        <v>1.0518177601972346E-4</v>
      </c>
      <c r="Y3" s="8">
        <f>IF($A3=Y$1,0,IF(SUM(IMshareM!Y$2:Y$78)-IMshareM!Y$25&gt;0,IMshareM!Y3/(SUM(IMshareM!Y$2:Y$78)-IMshareM!Y$25),0))</f>
        <v>1.9075910359283912E-4</v>
      </c>
      <c r="Z3" s="8">
        <f>IF($A3=Z$1,0,IF(SUM(IMshareM!Z$2:Z$78)-IMshareM!Z$26&gt;0,IMshareM!Z3/(SUM(IMshareM!Z$2:Z$78)-IMshareM!Z$26),0))</f>
        <v>1.5344990268357847E-4</v>
      </c>
      <c r="AA3" s="8">
        <f>IF($A3=AA$1,0,IF(SUM(IMshareM!AA$2:AA$78)-IMshareM!AA$27&gt;0,IMshareM!AA3/(SUM(IMshareM!AA$2:AA$78)-IMshareM!AA$27),0))</f>
        <v>9.8601368251999559E-5</v>
      </c>
      <c r="AB3" s="8">
        <f>IF($A3=AB$1,0,IF(SUM(IMshareM!AB$2:AB$78)-IMshareM!AB$28&gt;0,IMshareM!AB3/(SUM(IMshareM!AB$2:AB$78)-IMshareM!AB$28),0))</f>
        <v>1.0505336258927382E-3</v>
      </c>
      <c r="AC3" s="8">
        <f>IF($A3=AC$1,0,IF(SUM(IMshareM!AC$2:AC$78)-IMshareM!AC$29&gt;0,IMshareM!AC3/(SUM(IMshareM!AC$2:AC$78)-IMshareM!AC$29),0))</f>
        <v>1.8535242536525912E-3</v>
      </c>
      <c r="AD3" s="8">
        <f>IF($A3=AD$1,0,IF(SUM(IMshareM!AD$2:AD$78)-IMshareM!AD$30&gt;0,IMshareM!AD3/(SUM(IMshareM!AD$2:AD$78)-IMshareM!AD$30),0))</f>
        <v>1.5259608904547481E-5</v>
      </c>
      <c r="AE3" s="8">
        <f>IF($A3=AE$1,0,IF(SUM(IMshareM!AE$2:AE$78)-IMshareM!AE$31&gt;0,IMshareM!AE3/(SUM(IMshareM!AE$2:AE$78)-IMshareM!AE$31),0))</f>
        <v>1.4703402555340679E-4</v>
      </c>
      <c r="AF3" s="8">
        <f>IF($A3=AF$1,0,IF(SUM(IMshareM!AF$2:AF$78)-IMshareM!AF$32&gt;0,IMshareM!AF3/(SUM(IMshareM!AF$2:AF$78)-IMshareM!AF$32),0))</f>
        <v>3.723207616328155E-7</v>
      </c>
      <c r="AG3" s="8">
        <f>IF($A3=AG$1,0,IF(SUM(IMshareM!AG$2:AG$78)-IMshareM!AG$33&gt;0,IMshareM!AG3/(SUM(IMshareM!AG$2:AG$78)-IMshareM!AG$33),0))</f>
        <v>3.7330726630552648E-3</v>
      </c>
      <c r="AH3" s="8">
        <f>IF($A3=AH$1,0,IF(SUM(IMshareM!AH$2:AH$78)-IMshareM!AH$34&gt;0,IMshareM!AH3/(SUM(IMshareM!AH$2:AH$78)-IMshareM!AH$34),0))</f>
        <v>7.8896426136938216E-4</v>
      </c>
      <c r="AI3" s="8">
        <f>IF($A3=AI$1,0,IF(SUM(IMshareM!AI$2:AI$78)-IMshareM!AI$35&gt;0,IMshareM!AI3/(SUM(IMshareM!AI$2:AI$78)-IMshareM!AI$35),0))</f>
        <v>1.1067149687117011E-4</v>
      </c>
      <c r="AJ3" s="8">
        <f>IF($A3=AJ$1,0,IF(SUM(IMshareM!AJ$2:AJ$78)-IMshareM!AJ$36&gt;0,IMshareM!AJ3/(SUM(IMshareM!AJ$2:AJ$78)-IMshareM!AJ$36),0))</f>
        <v>3.0304432462782988E-5</v>
      </c>
      <c r="AK3" s="8">
        <f>IF($A3=AK$1,0,IF(SUM(IMshareM!AK$2:AK$78)-IMshareM!AK$37&gt;0,IMshareM!AK3/(SUM(IMshareM!AK$2:AK$78)-IMshareM!AK$37),0))</f>
        <v>2.7392877397193732E-4</v>
      </c>
      <c r="AL3" s="8">
        <f>IF($A3=AL$1,0,IF(SUM(IMshareM!AL$2:AL$78)-IMshareM!AL$38&gt;0,IMshareM!AL3/(SUM(IMshareM!AL$2:AL$78)-IMshareM!AL$38),0))</f>
        <v>1.6152931208110794E-4</v>
      </c>
      <c r="AM3" s="8">
        <f>IF($A3=AM$1,0,IF(SUM(IMshareM!AM$2:AM$78)-IMshareM!AM$39&gt;0,IMshareM!AM3/(SUM(IMshareM!AM$2:AM$78)-IMshareM!AM$39),0))</f>
        <v>0</v>
      </c>
      <c r="AN3" s="8">
        <f>IF($A3=AN$1,0,IF(SUM(IMshareM!AN$2:AN$78)-IMshareM!AN$40&gt;0,IMshareM!AN3/(SUM(IMshareM!AN$2:AN$78)-IMshareM!AN$40),0))</f>
        <v>1.6223325610228217E-4</v>
      </c>
      <c r="AO3" s="8">
        <f>IF($A3=AO$1,0,IF(SUM(IMshareM!AO$2:AO$78)-IMshareM!AO$41&gt;0,IMshareM!AO3/(SUM(IMshareM!AO$2:AO$78)-IMshareM!AO$41),0))</f>
        <v>7.9969935874693734E-5</v>
      </c>
      <c r="AP3" s="8">
        <f>IF($A3=AP$1,0,IF(SUM(IMshareM!AP$2:AP$78)-IMshareM!AP$42&gt;0,IMshareM!AP3/(SUM(IMshareM!AP$2:AP$78)-IMshareM!AP$42),0))</f>
        <v>7.2070178211443086E-4</v>
      </c>
      <c r="AQ3" s="8">
        <f>IF($A3=AQ$1,0,IF(SUM(IMshareM!AQ$2:AQ$78)-IMshareM!AQ$43&gt;0,IMshareM!AQ3/(SUM(IMshareM!AQ$2:AQ$78)-IMshareM!AQ$43),0))</f>
        <v>2.279525771821201E-5</v>
      </c>
      <c r="AR3" s="8">
        <f>IF($A3=AR$1,0,IF(SUM(IMshareM!AR$2:AR$78)-IMshareM!AR$44&gt;0,IMshareM!AR3/(SUM(IMshareM!AR$2:AR$78)-IMshareM!AR$44),0))</f>
        <v>1.16885911786538E-2</v>
      </c>
      <c r="AS3" s="8">
        <f>IF($A3=AS$1,0,IF(SUM(IMshareM!AS$2:AS$78)-IMshareM!AS$45&gt;0,IMshareM!AS3/(SUM(IMshareM!AS$2:AS$78)-IMshareM!AS$45),0))</f>
        <v>4.5817966421499804E-5</v>
      </c>
      <c r="AT3" s="8">
        <f>IF($A3=AT$1,0,IF(SUM(IMshareM!AT$2:AT$78)-IMshareM!AT$46&gt;0,IMshareM!AT3/(SUM(IMshareM!AT$2:AT$78)-IMshareM!AT$46),0))</f>
        <v>4.3437525295848126E-6</v>
      </c>
      <c r="AU3" s="8">
        <f>IF($A3=AU$1,0,IF(SUM(IMshareM!AU$2:AU$78)-IMshareM!AU$47&gt;0,IMshareM!AU3/(SUM(IMshareM!AU$2:AU$78)-IMshareM!AU$47),0))</f>
        <v>0</v>
      </c>
      <c r="AV3" s="8">
        <f>IF($A3=AV$1,0,IF(SUM(IMshareM!AV$2:AV$78)-IMshareM!AV$48&gt;0,IMshareM!AV3/(SUM(IMshareM!AV$2:AV$78)-IMshareM!AV$48),0))</f>
        <v>8.9661613253802128E-6</v>
      </c>
      <c r="AW3" s="8">
        <f>IF($A3=AW$1,0,IF(SUM(IMshareM!AW$2:AW$78)-IMshareM!AW$49&gt;0,IMshareM!AW3/(SUM(IMshareM!AW$2:AW$78)-IMshareM!AW$49),0))</f>
        <v>6.2864190490137783E-5</v>
      </c>
      <c r="AX3" s="8">
        <f>IF($A3=AX$1,0,IF(SUM(IMshareM!AX$2:AX$78)-IMshareM!AX$50&gt;0,IMshareM!AX3/(SUM(IMshareM!AX$2:AX$78)-IMshareM!AX$50),0))</f>
        <v>5.6396534499360279E-5</v>
      </c>
      <c r="AY3" s="8">
        <f>IF($A3=AY$1,0,IF(SUM(IMshareM!AY$2:AY$78)-IMshareM!AY$51&gt;0,IMshareM!AY3/(SUM(IMshareM!AY$2:AY$78)-IMshareM!AY$51),0))</f>
        <v>0</v>
      </c>
      <c r="AZ3" s="8">
        <f>IF($A3=AZ$1,0,IF(SUM(IMshareM!AZ$2:AZ$78)-IMshareM!AZ$52&gt;0,IMshareM!AZ3/(SUM(IMshareM!AZ$2:AZ$78)-IMshareM!AZ$52),0))</f>
        <v>7.9511393546510681E-4</v>
      </c>
      <c r="BA3" s="8">
        <f>IF($A3=BA$1,0,IF(SUM(IMshareM!BA$2:BA$78)-IMshareM!BA$53&gt;0,IMshareM!BA3/(SUM(IMshareM!BA$2:BA$78)-IMshareM!BA$53),0))</f>
        <v>1.1786900464399335E-3</v>
      </c>
      <c r="BB3" s="8">
        <f>IF($A3=BB$1,0,IF(SUM(IMshareM!BB$2:BB$78)-IMshareM!BB$54&gt;0,IMshareM!BB3/(SUM(IMshareM!BB$2:BB$78)-IMshareM!BB$54),0))</f>
        <v>6.9329233841739701E-3</v>
      </c>
      <c r="BC3" s="8">
        <f>IF($A3=BC$1,0,IF(SUM(IMshareM!BC$2:BC$78)-IMshareM!BC$55&gt;0,IMshareM!BC3/(SUM(IMshareM!BC$2:BC$78)-IMshareM!BC$55),0))</f>
        <v>1.1044004341547559E-4</v>
      </c>
      <c r="BD3" s="8">
        <f>IF($A3=BD$1,0,IF(SUM(IMshareM!BD$2:BD$78)-IMshareM!BD$56&gt;0,IMshareM!BD3/(SUM(IMshareM!BD$2:BD$78)-IMshareM!BD$56),0))</f>
        <v>8.2656407129956977E-2</v>
      </c>
      <c r="BE3" s="8">
        <f>IF($A3=BE$1,0,IF(SUM(IMshareM!BE$2:BE$78)-IMshareM!BE$57&gt;0,IMshareM!BE3/(SUM(IMshareM!BE$2:BE$78)-IMshareM!BE$57),0))</f>
        <v>2.9636224954513869E-3</v>
      </c>
      <c r="BF3" s="8">
        <f>IF($A3=BF$1,0,IF(SUM(IMshareM!BF$2:BF$78)-IMshareM!BF$58&gt;0,IMshareM!BF3/(SUM(IMshareM!BF$2:BF$78)-IMshareM!BF$58),0))</f>
        <v>1.4608146813503309E-3</v>
      </c>
      <c r="BG3" s="8">
        <f>IF($A3=BG$1,0,IF(SUM(IMshareM!BG$2:BG$78)-IMshareM!BG$59&gt;0,IMshareM!BG3/(SUM(IMshareM!BG$2:BG$78)-IMshareM!BG$59),0))</f>
        <v>1.3755558290907413E-3</v>
      </c>
      <c r="BH3" s="8">
        <f>IF($A3=BH$1,0,IF(SUM(IMshareM!BH$2:BH$78)-IMshareM!BH$60&gt;0,IMshareM!BH3/(SUM(IMshareM!BH$2:BH$78)-IMshareM!BH$60),0))</f>
        <v>2.0999585978743229E-4</v>
      </c>
      <c r="BI3" s="8">
        <f>IF($A3=BI$1,0,IF(SUM(IMshareM!BI$2:BI$78)-IMshareM!BI$61&gt;0,IMshareM!BI3/(SUM(IMshareM!BI$2:BI$78)-IMshareM!BI$61),0))</f>
        <v>9.5799088769807794E-6</v>
      </c>
      <c r="BJ3" s="8">
        <f>IF($A3=BJ$1,0,IF(SUM(IMshareM!BJ$2:BJ$78)-IMshareM!BJ$62&gt;0,IMshareM!BJ3/(SUM(IMshareM!BJ$2:BJ$78)-IMshareM!BJ$62),0))</f>
        <v>2.0546847232133834E-5</v>
      </c>
      <c r="BK3" s="8">
        <f>IF($A3=BK$1,0,IF(SUM(IMshareM!BK$2:BK$78)-IMshareM!BK$63&gt;0,IMshareM!BK3/(SUM(IMshareM!BK$2:BK$78)-IMshareM!BK$63),0))</f>
        <v>1.6261550578629122E-3</v>
      </c>
      <c r="BL3" s="8">
        <f>IF($A3=BL$1,0,IF(SUM(IMshareM!BL$2:BL$78)-IMshareM!BL$64&gt;0,IMshareM!BL3/(SUM(IMshareM!BL$2:BL$78)-IMshareM!BL$64),0))</f>
        <v>8.6941349033032797E-4</v>
      </c>
      <c r="BM3" s="8">
        <f>IF($A3=BM$1,0,IF(SUM(IMshareM!BM$2:BM$78)-IMshareM!BM$65&gt;0,IMshareM!BM3/(SUM(IMshareM!BM$2:BM$78)-IMshareM!BM$65),0))</f>
        <v>1.7336303970714396E-3</v>
      </c>
      <c r="BN3" s="8">
        <f>IF($A3=BN$1,0,IF(SUM(IMshareM!BN$2:BN$78)-IMshareM!BN$66&gt;0,IMshareM!BN3/(SUM(IMshareM!BN$2:BN$78)-IMshareM!BN$66),0))</f>
        <v>8.2713274588264607E-4</v>
      </c>
      <c r="BO3" s="8">
        <f>IF($A3=BO$1,0,IF(SUM(IMshareM!BO$2:BO$78)-IMshareM!BO$67&gt;0,IMshareM!BO3/(SUM(IMshareM!BO$2:BO$78)-IMshareM!BO$67),0))</f>
        <v>1.8861728871428843E-6</v>
      </c>
      <c r="BP3" s="8">
        <f>IF($A3=BP$1,0,IF(SUM(IMshareM!BP$2:BP$78)-IMshareM!BP$68&gt;0,IMshareM!BP3/(SUM(IMshareM!BP$2:BP$78)-IMshareM!BP$68),0))</f>
        <v>6.3039279191643482E-5</v>
      </c>
      <c r="BQ3" s="8">
        <f>IF($A3=BQ$1,0,IF(SUM(IMshareM!BQ$2:BQ$78)-IMshareM!BQ$69&gt;0,IMshareM!BQ3/(SUM(IMshareM!BQ$2:BQ$78)-IMshareM!BQ$69),0))</f>
        <v>3.5113109742013925E-4</v>
      </c>
      <c r="BR3" s="8">
        <f>IF($A3=BR$1,0,IF(SUM(IMshareM!BR$2:BR$78)-IMshareM!BR$70&gt;0,IMshareM!BR3/(SUM(IMshareM!BR$2:BR$78)-IMshareM!BR$70),0))</f>
        <v>7.4851322038911212E-3</v>
      </c>
      <c r="BS3" s="8">
        <f>IF($A3=BS$1,0,IF(SUM(IMshareM!BS$2:BS$78)-IMshareM!BS$71&gt;0,IMshareM!BS3/(SUM(IMshareM!BS$2:BS$78)-IMshareM!BS$71),0))</f>
        <v>5.5484038895222905E-5</v>
      </c>
      <c r="BT3" s="8">
        <f>IF($A3=BT$1,0,IF(SUM(IMshareM!BT$2:BT$78)-IMshareM!BT$72&gt;0,IMshareM!BT3/(SUM(IMshareM!BT$2:BT$78)-IMshareM!BT$72),0))</f>
        <v>3.8721513763131546E-6</v>
      </c>
      <c r="BU3" s="8">
        <f>IF($A3=BU$1,0,IF(SUM(IMshareM!BU$2:BU$78)-IMshareM!BU$73&gt;0,IMshareM!BU3/(SUM(IMshareM!BU$2:BU$78)-IMshareM!BU$73),0))</f>
        <v>1.3028098395291495E-4</v>
      </c>
      <c r="BV3" s="8">
        <f>IF($A3=BV$1,0,IF(SUM(IMshareM!BV$2:BV$78)-IMshareM!BV$74&gt;0,IMshareM!BV3/(SUM(IMshareM!BV$2:BV$78)-IMshareM!BV$74),0))</f>
        <v>0</v>
      </c>
      <c r="BW3" s="8">
        <f>IF($A3=BW$1,0,IF(SUM(IMshareM!BW$2:BW$78)-IMshareM!BW$75&gt;0,IMshareM!BW3/(SUM(IMshareM!BW$2:BW$78)-IMshareM!BW$75),0))</f>
        <v>5.9306398957659613E-4</v>
      </c>
      <c r="BX3" s="8">
        <f>IF($A3=BX$1,0,IF(SUM(IMshareM!BX$2:BX$78)-IMshareM!BX$76&gt;0,IMshareM!BX3/(SUM(IMshareM!BX$2:BX$78)-IMshareM!BX$76),0))</f>
        <v>9.0752112668144835E-5</v>
      </c>
      <c r="BY3" s="8">
        <f>IF($A3=BY$1,0,IF(SUM(IMshareM!BY$2:BY$78)-IMshareM!BY$77&gt;0,IMshareM!BY3/(SUM(IMshareM!BY$2:BY$78)-IMshareM!BY$77),0))</f>
        <v>1.0726089869536122E-3</v>
      </c>
      <c r="BZ3" s="8">
        <f>IF($A3=BZ$1,0,IF(SUM(IMshareM!BZ$2:BZ$78)-IMshareM!BZ$78&gt;0,IMshareM!BZ3/(SUM(IMshareM!BZ$2:BZ$78)-IMshareM!BZ$78),0))</f>
        <v>2.0190815654869691E-3</v>
      </c>
    </row>
    <row r="4" spans="1:78">
      <c r="A4" s="4" t="s">
        <v>74</v>
      </c>
      <c r="B4" s="8">
        <f>IF($A4=B$1,0,IF(SUM(IMshareM!B$2:B$78)-IMshareM!B$2&gt;0,IMshareM!B4/(SUM(IMshareM!B$2:B$78)-IMshareM!B$2),0))</f>
        <v>1.998935725117322E-3</v>
      </c>
      <c r="C4" s="8">
        <f>IF($A4=C$1,0,IF(SUM(IMshareM!C$2:C$78)-IMshareM!C$3&gt;0,IMshareM!C4/(SUM(IMshareM!C$2:C$78)-IMshareM!C$3),0))</f>
        <v>2.5425627779212339E-3</v>
      </c>
      <c r="D4" s="8">
        <f>IF($A4=D$1,0,IF(SUM(IMshareM!D$2:D$78)-IMshareM!D$4&gt;0,IMshareM!D4/(SUM(IMshareM!D$2:D$78)-IMshareM!D$4),0))</f>
        <v>0</v>
      </c>
      <c r="E4" s="8">
        <f>IF($A4=E$1,0,IF(SUM(IMshareM!E$2:E$78)-IMshareM!E$5&gt;0,IMshareM!E4/(SUM(IMshareM!E$2:E$78)-IMshareM!E$5),0))</f>
        <v>3.3592313377694646E-3</v>
      </c>
      <c r="F4" s="8">
        <f>IF($A4=F$1,0,IF(SUM(IMshareM!F$2:F$78)-IMshareM!F$6&gt;0,IMshareM!F4/(SUM(IMshareM!F$2:F$78)-IMshareM!F$6),0))</f>
        <v>1.7795156314169586E-3</v>
      </c>
      <c r="G4" s="8">
        <f>IF($A4=G$1,0,IF(SUM(IMshareM!G$2:G$78)-IMshareM!G$7&gt;0,IMshareM!G4/(SUM(IMshareM!G$2:G$78)-IMshareM!G$7),0))</f>
        <v>1.5388249383168856E-2</v>
      </c>
      <c r="H4" s="8">
        <f>IF($A4=H$1,0,IF(SUM(IMshareM!H$2:H$78)-IMshareM!H$8&gt;0,IMshareM!H4/(SUM(IMshareM!H$2:H$78)-IMshareM!H$8),0))</f>
        <v>2.032990796743283E-2</v>
      </c>
      <c r="I4" s="8">
        <f>IF($A4=I$1,0,IF(SUM(IMshareM!I$2:I$78)-IMshareM!I$9&gt;0,IMshareM!I4/(SUM(IMshareM!I$2:I$78)-IMshareM!I$9),0))</f>
        <v>6.6398614909908889E-3</v>
      </c>
      <c r="J4" s="8">
        <f>IF($A4=J$1,0,IF(SUM(IMshareM!J$2:J$78)-IMshareM!J$10&gt;0,IMshareM!J4/(SUM(IMshareM!J$2:J$78)-IMshareM!J$10),0))</f>
        <v>4.2092229666714442E-4</v>
      </c>
      <c r="K4" s="8">
        <f>IF($A4=K$1,0,IF(SUM(IMshareM!K$2:K$78)-IMshareM!K$11&gt;0,IMshareM!K4/(SUM(IMshareM!K$2:K$78)-IMshareM!K$11),0))</f>
        <v>7.3288422379484807E-3</v>
      </c>
      <c r="L4" s="8">
        <f>IF($A4=L$1,0,IF(SUM(IMshareM!L$2:L$78)-IMshareM!L$12&gt;0,IMshareM!L4/(SUM(IMshareM!L$2:L$78)-IMshareM!L$12),0))</f>
        <v>5.3370449448799873E-2</v>
      </c>
      <c r="M4" s="8">
        <f>IF($A4=M$1,0,IF(SUM(IMshareM!M$2:M$78)-IMshareM!M$13&gt;0,IMshareM!M4/(SUM(IMshareM!M$2:M$78)-IMshareM!M$13),0))</f>
        <v>2.7656798191954174E-4</v>
      </c>
      <c r="N4" s="8">
        <f>IF($A4=N$1,0,IF(SUM(IMshareM!N$2:N$78)-IMshareM!N$14&gt;0,IMshareM!N4/(SUM(IMshareM!N$2:N$78)-IMshareM!N$14),0))</f>
        <v>1.268576906151595E-2</v>
      </c>
      <c r="O4" s="8">
        <f>IF($A4=O$1,0,IF(SUM(IMshareM!O$2:O$78)-IMshareM!O$15&gt;0,IMshareM!O4/(SUM(IMshareM!O$2:O$78)-IMshareM!O$15),0))</f>
        <v>5.146300720445026E-4</v>
      </c>
      <c r="P4" s="8">
        <f>IF($A4=P$1,0,IF(SUM(IMshareM!P$2:P$78)-IMshareM!P$16&gt;0,IMshareM!P4/(SUM(IMshareM!P$2:P$78)-IMshareM!P$16),0))</f>
        <v>1.5526296182955779E-4</v>
      </c>
      <c r="Q4" s="8">
        <f>IF($A4=Q$1,0,IF(SUM(IMshareM!Q$2:Q$78)-IMshareM!Q$17&gt;0,IMshareM!Q4/(SUM(IMshareM!Q$2:Q$78)-IMshareM!Q$17),0))</f>
        <v>6.593379212791597E-4</v>
      </c>
      <c r="R4" s="8">
        <f>IF($A4=R$1,0,IF(SUM(IMshareM!R$2:R$78)-IMshareM!R$18&gt;0,IMshareM!R4/(SUM(IMshareM!R$2:R$78)-IMshareM!R$18),0))</f>
        <v>2.7284182398109556E-3</v>
      </c>
      <c r="S4" s="8">
        <f>IF($A4=S$1,0,IF(SUM(IMshareM!S$2:S$78)-IMshareM!S$19&gt;0,IMshareM!S4/(SUM(IMshareM!S$2:S$78)-IMshareM!S$19),0))</f>
        <v>1.9251156077506606E-3</v>
      </c>
      <c r="T4" s="8">
        <f>IF($A4=T$1,0,IF(SUM(IMshareM!T$2:T$78)-IMshareM!T$20&gt;0,IMshareM!T4/(SUM(IMshareM!T$2:T$78)-IMshareM!T$20),0))</f>
        <v>2.2762997467737234E-2</v>
      </c>
      <c r="U4" s="8">
        <f>IF($A4=U$1,0,IF(SUM(IMshareM!U$2:U$78)-IMshareM!U$21&gt;0,IMshareM!U4/(SUM(IMshareM!U$2:U$78)-IMshareM!U$21),0))</f>
        <v>2.2223378566153484E-2</v>
      </c>
      <c r="V4" s="8">
        <f>IF($A4=V$1,0,IF(SUM(IMshareM!V$2:V$78)-IMshareM!V$22&gt;0,IMshareM!V4/(SUM(IMshareM!V$2:V$78)-IMshareM!V$22),0))</f>
        <v>1.0578968796627281E-2</v>
      </c>
      <c r="W4" s="8">
        <f>IF($A4=W$1,0,IF(SUM(IMshareM!W$2:W$78)-IMshareM!W$23&gt;0,IMshareM!W4/(SUM(IMshareM!W$2:W$78)-IMshareM!W$23),0))</f>
        <v>8.0544000553114297E-4</v>
      </c>
      <c r="X4" s="8">
        <f>IF($A4=X$1,0,IF(SUM(IMshareM!X$2:X$78)-IMshareM!X$24&gt;0,IMshareM!X4/(SUM(IMshareM!X$2:X$78)-IMshareM!X$24),0))</f>
        <v>2.8394145379735076E-2</v>
      </c>
      <c r="Y4" s="8">
        <f>IF($A4=Y$1,0,IF(SUM(IMshareM!Y$2:Y$78)-IMshareM!Y$25&gt;0,IMshareM!Y4/(SUM(IMshareM!Y$2:Y$78)-IMshareM!Y$25),0))</f>
        <v>5.8454928627134223E-3</v>
      </c>
      <c r="Z4" s="8">
        <f>IF($A4=Z$1,0,IF(SUM(IMshareM!Z$2:Z$78)-IMshareM!Z$26&gt;0,IMshareM!Z4/(SUM(IMshareM!Z$2:Z$78)-IMshareM!Z$26),0))</f>
        <v>2.5628535862445383E-2</v>
      </c>
      <c r="AA4" s="8">
        <f>IF($A4=AA$1,0,IF(SUM(IMshareM!AA$2:AA$78)-IMshareM!AA$27&gt;0,IMshareM!AA4/(SUM(IMshareM!AA$2:AA$78)-IMshareM!AA$27),0))</f>
        <v>6.782490895649757E-3</v>
      </c>
      <c r="AB4" s="8">
        <f>IF($A4=AB$1,0,IF(SUM(IMshareM!AB$2:AB$78)-IMshareM!AB$28&gt;0,IMshareM!AB4/(SUM(IMshareM!AB$2:AB$78)-IMshareM!AB$28),0))</f>
        <v>1.7402593398297493E-2</v>
      </c>
      <c r="AC4" s="8">
        <f>IF($A4=AC$1,0,IF(SUM(IMshareM!AC$2:AC$78)-IMshareM!AC$29&gt;0,IMshareM!AC4/(SUM(IMshareM!AC$2:AC$78)-IMshareM!AC$29),0))</f>
        <v>7.4512056562449289E-3</v>
      </c>
      <c r="AD4" s="8">
        <f>IF($A4=AD$1,0,IF(SUM(IMshareM!AD$2:AD$78)-IMshareM!AD$30&gt;0,IMshareM!AD4/(SUM(IMshareM!AD$2:AD$78)-IMshareM!AD$30),0))</f>
        <v>1.195825132461422E-4</v>
      </c>
      <c r="AE4" s="8">
        <f>IF($A4=AE$1,0,IF(SUM(IMshareM!AE$2:AE$78)-IMshareM!AE$31&gt;0,IMshareM!AE4/(SUM(IMshareM!AE$2:AE$78)-IMshareM!AE$31),0))</f>
        <v>0.14644816359950741</v>
      </c>
      <c r="AF4" s="8">
        <f>IF($A4=AF$1,0,IF(SUM(IMshareM!AF$2:AF$78)-IMshareM!AF$32&gt;0,IMshareM!AF4/(SUM(IMshareM!AF$2:AF$78)-IMshareM!AF$32),0))</f>
        <v>5.4572658901715199E-2</v>
      </c>
      <c r="AG4" s="8">
        <f>IF($A4=AG$1,0,IF(SUM(IMshareM!AG$2:AG$78)-IMshareM!AG$33&gt;0,IMshareM!AG4/(SUM(IMshareM!AG$2:AG$78)-IMshareM!AG$33),0))</f>
        <v>6.3494417835171309E-4</v>
      </c>
      <c r="AH4" s="8">
        <f>IF($A4=AH$1,0,IF(SUM(IMshareM!AH$2:AH$78)-IMshareM!AH$34&gt;0,IMshareM!AH4/(SUM(IMshareM!AH$2:AH$78)-IMshareM!AH$34),0))</f>
        <v>5.7717474378708054E-3</v>
      </c>
      <c r="AI4" s="8">
        <f>IF($A4=AI$1,0,IF(SUM(IMshareM!AI$2:AI$78)-IMshareM!AI$35&gt;0,IMshareM!AI4/(SUM(IMshareM!AI$2:AI$78)-IMshareM!AI$35),0))</f>
        <v>6.2397406726781535E-4</v>
      </c>
      <c r="AJ4" s="8">
        <f>IF($A4=AJ$1,0,IF(SUM(IMshareM!AJ$2:AJ$78)-IMshareM!AJ$36&gt;0,IMshareM!AJ4/(SUM(IMshareM!AJ$2:AJ$78)-IMshareM!AJ$36),0))</f>
        <v>7.505032412779869E-2</v>
      </c>
      <c r="AK4" s="8">
        <f>IF($A4=AK$1,0,IF(SUM(IMshareM!AK$2:AK$78)-IMshareM!AK$37&gt;0,IMshareM!AK4/(SUM(IMshareM!AK$2:AK$78)-IMshareM!AK$37),0))</f>
        <v>4.8211464219060961E-3</v>
      </c>
      <c r="AL4" s="8">
        <f>IF($A4=AL$1,0,IF(SUM(IMshareM!AL$2:AL$78)-IMshareM!AL$38&gt;0,IMshareM!AL4/(SUM(IMshareM!AL$2:AL$78)-IMshareM!AL$38),0))</f>
        <v>1.4831635206022301E-2</v>
      </c>
      <c r="AM4" s="8">
        <f>IF($A4=AM$1,0,IF(SUM(IMshareM!AM$2:AM$78)-IMshareM!AM$39&gt;0,IMshareM!AM4/(SUM(IMshareM!AM$2:AM$78)-IMshareM!AM$39),0))</f>
        <v>3.9141241879349017E-3</v>
      </c>
      <c r="AN4" s="8">
        <f>IF($A4=AN$1,0,IF(SUM(IMshareM!AN$2:AN$78)-IMshareM!AN$40&gt;0,IMshareM!AN4/(SUM(IMshareM!AN$2:AN$78)-IMshareM!AN$40),0))</f>
        <v>1.3265226602685858E-3</v>
      </c>
      <c r="AO4" s="8">
        <f>IF($A4=AO$1,0,IF(SUM(IMshareM!AO$2:AO$78)-IMshareM!AO$41&gt;0,IMshareM!AO4/(SUM(IMshareM!AO$2:AO$78)-IMshareM!AO$41),0))</f>
        <v>1.8562545442808677E-3</v>
      </c>
      <c r="AP4" s="8">
        <f>IF($A4=AP$1,0,IF(SUM(IMshareM!AP$2:AP$78)-IMshareM!AP$42&gt;0,IMshareM!AP4/(SUM(IMshareM!AP$2:AP$78)-IMshareM!AP$42),0))</f>
        <v>7.9999981790611699E-4</v>
      </c>
      <c r="AQ4" s="8">
        <f>IF($A4=AQ$1,0,IF(SUM(IMshareM!AQ$2:AQ$78)-IMshareM!AQ$43&gt;0,IMshareM!AQ4/(SUM(IMshareM!AQ$2:AQ$78)-IMshareM!AQ$43),0))</f>
        <v>1.527706654134062E-3</v>
      </c>
      <c r="AR4" s="8">
        <f>IF($A4=AR$1,0,IF(SUM(IMshareM!AR$2:AR$78)-IMshareM!AR$44&gt;0,IMshareM!AR4/(SUM(IMshareM!AR$2:AR$78)-IMshareM!AR$44),0))</f>
        <v>0</v>
      </c>
      <c r="AS4" s="8">
        <f>IF($A4=AS$1,0,IF(SUM(IMshareM!AS$2:AS$78)-IMshareM!AS$45&gt;0,IMshareM!AS4/(SUM(IMshareM!AS$2:AS$78)-IMshareM!AS$45),0))</f>
        <v>6.3991277251352835E-3</v>
      </c>
      <c r="AT4" s="8">
        <f>IF($A4=AT$1,0,IF(SUM(IMshareM!AT$2:AT$78)-IMshareM!AT$46&gt;0,IMshareM!AT4/(SUM(IMshareM!AT$2:AT$78)-IMshareM!AT$46),0))</f>
        <v>1.006245524967515E-3</v>
      </c>
      <c r="AU4" s="8">
        <f>IF($A4=AU$1,0,IF(SUM(IMshareM!AU$2:AU$78)-IMshareM!AU$47&gt;0,IMshareM!AU4/(SUM(IMshareM!AU$2:AU$78)-IMshareM!AU$47),0))</f>
        <v>1.3154865764119009E-2</v>
      </c>
      <c r="AV4" s="8">
        <f>IF($A4=AV$1,0,IF(SUM(IMshareM!AV$2:AV$78)-IMshareM!AV$48&gt;0,IMshareM!AV4/(SUM(IMshareM!AV$2:AV$78)-IMshareM!AV$48),0))</f>
        <v>4.6800046118593095E-3</v>
      </c>
      <c r="AW4" s="8">
        <f>IF($A4=AW$1,0,IF(SUM(IMshareM!AW$2:AW$78)-IMshareM!AW$49&gt;0,IMshareM!AW4/(SUM(IMshareM!AW$2:AW$78)-IMshareM!AW$49),0))</f>
        <v>6.1618687183629985E-3</v>
      </c>
      <c r="AX4" s="8">
        <f>IF($A4=AX$1,0,IF(SUM(IMshareM!AX$2:AX$78)-IMshareM!AX$50&gt;0,IMshareM!AX4/(SUM(IMshareM!AX$2:AX$78)-IMshareM!AX$50),0))</f>
        <v>3.937580337548332E-4</v>
      </c>
      <c r="AY4" s="8">
        <f>IF($A4=AY$1,0,IF(SUM(IMshareM!AY$2:AY$78)-IMshareM!AY$51&gt;0,IMshareM!AY4/(SUM(IMshareM!AY$2:AY$78)-IMshareM!AY$51),0))</f>
        <v>4.2080799191229626E-4</v>
      </c>
      <c r="AZ4" s="8">
        <f>IF($A4=AZ$1,0,IF(SUM(IMshareM!AZ$2:AZ$78)-IMshareM!AZ$52&gt;0,IMshareM!AZ4/(SUM(IMshareM!AZ$2:AZ$78)-IMshareM!AZ$52),0))</f>
        <v>1.3769721867791383E-3</v>
      </c>
      <c r="BA4" s="8">
        <f>IF($A4=BA$1,0,IF(SUM(IMshareM!BA$2:BA$78)-IMshareM!BA$53&gt;0,IMshareM!BA4/(SUM(IMshareM!BA$2:BA$78)-IMshareM!BA$53),0))</f>
        <v>1.6418077009431656E-3</v>
      </c>
      <c r="BB4" s="8">
        <f>IF($A4=BB$1,0,IF(SUM(IMshareM!BB$2:BB$78)-IMshareM!BB$54&gt;0,IMshareM!BB4/(SUM(IMshareM!BB$2:BB$78)-IMshareM!BB$54),0))</f>
        <v>3.6395927194562781E-3</v>
      </c>
      <c r="BC4" s="8">
        <f>IF($A4=BC$1,0,IF(SUM(IMshareM!BC$2:BC$78)-IMshareM!BC$55&gt;0,IMshareM!BC4/(SUM(IMshareM!BC$2:BC$78)-IMshareM!BC$55),0))</f>
        <v>9.6560014629046113E-3</v>
      </c>
      <c r="BD4" s="8">
        <f>IF($A4=BD$1,0,IF(SUM(IMshareM!BD$2:BD$78)-IMshareM!BD$56&gt;0,IMshareM!BD4/(SUM(IMshareM!BD$2:BD$78)-IMshareM!BD$56),0))</f>
        <v>9.9062598502915444E-3</v>
      </c>
      <c r="BE4" s="8">
        <f>IF($A4=BE$1,0,IF(SUM(IMshareM!BE$2:BE$78)-IMshareM!BE$57&gt;0,IMshareM!BE4/(SUM(IMshareM!BE$2:BE$78)-IMshareM!BE$57),0))</f>
        <v>5.9249895572476225E-4</v>
      </c>
      <c r="BF4" s="8">
        <f>IF($A4=BF$1,0,IF(SUM(IMshareM!BF$2:BF$78)-IMshareM!BF$58&gt;0,IMshareM!BF4/(SUM(IMshareM!BF$2:BF$78)-IMshareM!BF$58),0))</f>
        <v>3.77395032206516E-3</v>
      </c>
      <c r="BG4" s="8">
        <f>IF($A4=BG$1,0,IF(SUM(IMshareM!BG$2:BG$78)-IMshareM!BG$59&gt;0,IMshareM!BG4/(SUM(IMshareM!BG$2:BG$78)-IMshareM!BG$59),0))</f>
        <v>2.2989480642724848E-4</v>
      </c>
      <c r="BH4" s="8">
        <f>IF($A4=BH$1,0,IF(SUM(IMshareM!BH$2:BH$78)-IMshareM!BH$60&gt;0,IMshareM!BH4/(SUM(IMshareM!BH$2:BH$78)-IMshareM!BH$60),0))</f>
        <v>9.8863553918631074E-3</v>
      </c>
      <c r="BI4" s="8">
        <f>IF($A4=BI$1,0,IF(SUM(IMshareM!BI$2:BI$78)-IMshareM!BI$61&gt;0,IMshareM!BI4/(SUM(IMshareM!BI$2:BI$78)-IMshareM!BI$61),0))</f>
        <v>2.8171021570190754E-3</v>
      </c>
      <c r="BJ4" s="8">
        <f>IF($A4=BJ$1,0,IF(SUM(IMshareM!BJ$2:BJ$78)-IMshareM!BJ$62&gt;0,IMshareM!BJ4/(SUM(IMshareM!BJ$2:BJ$78)-IMshareM!BJ$62),0))</f>
        <v>5.0390780770090911E-2</v>
      </c>
      <c r="BK4" s="8">
        <f>IF($A4=BK$1,0,IF(SUM(IMshareM!BK$2:BK$78)-IMshareM!BK$63&gt;0,IMshareM!BK4/(SUM(IMshareM!BK$2:BK$78)-IMshareM!BK$63),0))</f>
        <v>1.5510769551121413E-3</v>
      </c>
      <c r="BL4" s="8">
        <f>IF($A4=BL$1,0,IF(SUM(IMshareM!BL$2:BL$78)-IMshareM!BL$64&gt;0,IMshareM!BL4/(SUM(IMshareM!BL$2:BL$78)-IMshareM!BL$64),0))</f>
        <v>1.602519537414518E-3</v>
      </c>
      <c r="BM4" s="8">
        <f>IF($A4=BM$1,0,IF(SUM(IMshareM!BM$2:BM$78)-IMshareM!BM$65&gt;0,IMshareM!BM4/(SUM(IMshareM!BM$2:BM$78)-IMshareM!BM$65),0))</f>
        <v>8.1467769680451505E-5</v>
      </c>
      <c r="BN4" s="8">
        <f>IF($A4=BN$1,0,IF(SUM(IMshareM!BN$2:BN$78)-IMshareM!BN$66&gt;0,IMshareM!BN4/(SUM(IMshareM!BN$2:BN$78)-IMshareM!BN$66),0))</f>
        <v>1.951735625613651E-3</v>
      </c>
      <c r="BO4" s="8">
        <f>IF($A4=BO$1,0,IF(SUM(IMshareM!BO$2:BO$78)-IMshareM!BO$67&gt;0,IMshareM!BO4/(SUM(IMshareM!BO$2:BO$78)-IMshareM!BO$67),0))</f>
        <v>2.0191104867309424E-2</v>
      </c>
      <c r="BP4" s="8">
        <f>IF($A4=BP$1,0,IF(SUM(IMshareM!BP$2:BP$78)-IMshareM!BP$68&gt;0,IMshareM!BP4/(SUM(IMshareM!BP$2:BP$78)-IMshareM!BP$68),0))</f>
        <v>4.0525391915875182E-2</v>
      </c>
      <c r="BQ4" s="8">
        <f>IF($A4=BQ$1,0,IF(SUM(IMshareM!BQ$2:BQ$78)-IMshareM!BQ$69&gt;0,IMshareM!BQ4/(SUM(IMshareM!BQ$2:BQ$78)-IMshareM!BQ$69),0))</f>
        <v>4.3623363801944624E-3</v>
      </c>
      <c r="BR4" s="8">
        <f>IF($A4=BR$1,0,IF(SUM(IMshareM!BR$2:BR$78)-IMshareM!BR$70&gt;0,IMshareM!BR4/(SUM(IMshareM!BR$2:BR$78)-IMshareM!BR$70),0))</f>
        <v>1.1395118754994097E-3</v>
      </c>
      <c r="BS4" s="8">
        <f>IF($A4=BS$1,0,IF(SUM(IMshareM!BS$2:BS$78)-IMshareM!BS$71&gt;0,IMshareM!BS4/(SUM(IMshareM!BS$2:BS$78)-IMshareM!BS$71),0))</f>
        <v>1.7623671269308935E-3</v>
      </c>
      <c r="BT4" s="8">
        <f>IF($A4=BT$1,0,IF(SUM(IMshareM!BT$2:BT$78)-IMshareM!BT$72&gt;0,IMshareM!BT4/(SUM(IMshareM!BT$2:BT$78)-IMshareM!BT$72),0))</f>
        <v>8.3414576759645066E-3</v>
      </c>
      <c r="BU4" s="8">
        <f>IF($A4=BU$1,0,IF(SUM(IMshareM!BU$2:BU$78)-IMshareM!BU$73&gt;0,IMshareM!BU4/(SUM(IMshareM!BU$2:BU$78)-IMshareM!BU$73),0))</f>
        <v>1.5846641819509215E-3</v>
      </c>
      <c r="BV4" s="8">
        <f>IF($A4=BV$1,0,IF(SUM(IMshareM!BV$2:BV$78)-IMshareM!BV$74&gt;0,IMshareM!BV4/(SUM(IMshareM!BV$2:BV$78)-IMshareM!BV$74),0))</f>
        <v>3.385315156061078E-3</v>
      </c>
      <c r="BW4" s="8">
        <f>IF($A4=BW$1,0,IF(SUM(IMshareM!BW$2:BW$78)-IMshareM!BW$75&gt;0,IMshareM!BW4/(SUM(IMshareM!BW$2:BW$78)-IMshareM!BW$75),0))</f>
        <v>7.4214032015209527E-3</v>
      </c>
      <c r="BX4" s="8">
        <f>IF($A4=BX$1,0,IF(SUM(IMshareM!BX$2:BX$78)-IMshareM!BX$76&gt;0,IMshareM!BX4/(SUM(IMshareM!BX$2:BX$78)-IMshareM!BX$76),0))</f>
        <v>1.2384241041749735E-3</v>
      </c>
      <c r="BY4" s="8">
        <f>IF($A4=BY$1,0,IF(SUM(IMshareM!BY$2:BY$78)-IMshareM!BY$77&gt;0,IMshareM!BY4/(SUM(IMshareM!BY$2:BY$78)-IMshareM!BY$77),0))</f>
        <v>6.1763203322470137E-3</v>
      </c>
      <c r="BZ4" s="8">
        <f>IF($A4=BZ$1,0,IF(SUM(IMshareM!BZ$2:BZ$78)-IMshareM!BZ$78&gt;0,IMshareM!BZ4/(SUM(IMshareM!BZ$2:BZ$78)-IMshareM!BZ$78),0))</f>
        <v>6.8179870064373968E-3</v>
      </c>
    </row>
    <row r="5" spans="1:78">
      <c r="A5" s="4" t="s">
        <v>77</v>
      </c>
      <c r="B5" s="8">
        <f>IF($A5=B$1,0,IF(SUM(IMshareM!B$2:B$78)-IMshareM!B$2&gt;0,IMshareM!B5/(SUM(IMshareM!B$2:B$78)-IMshareM!B$2),0))</f>
        <v>1.6790761714944341E-4</v>
      </c>
      <c r="C5" s="8">
        <f>IF($A5=C$1,0,IF(SUM(IMshareM!C$2:C$78)-IMshareM!C$3&gt;0,IMshareM!C5/(SUM(IMshareM!C$2:C$78)-IMshareM!C$3),0))</f>
        <v>1.655371498779399E-3</v>
      </c>
      <c r="D5" s="8">
        <f>IF($A5=D$1,0,IF(SUM(IMshareM!D$2:D$78)-IMshareM!D$4&gt;0,IMshareM!D5/(SUM(IMshareM!D$2:D$78)-IMshareM!D$4),0))</f>
        <v>2.9797628546281201E-4</v>
      </c>
      <c r="E5" s="8">
        <f>IF($A5=E$1,0,IF(SUM(IMshareM!E$2:E$78)-IMshareM!E$5&gt;0,IMshareM!E5/(SUM(IMshareM!E$2:E$78)-IMshareM!E$5),0))</f>
        <v>0</v>
      </c>
      <c r="F5" s="8">
        <f>IF($A5=F$1,0,IF(SUM(IMshareM!F$2:F$78)-IMshareM!F$6&gt;0,IMshareM!F5/(SUM(IMshareM!F$2:F$78)-IMshareM!F$6),0))</f>
        <v>1.5126063677634606E-3</v>
      </c>
      <c r="G5" s="8">
        <f>IF($A5=G$1,0,IF(SUM(IMshareM!G$2:G$78)-IMshareM!G$7&gt;0,IMshareM!G5/(SUM(IMshareM!G$2:G$78)-IMshareM!G$7),0))</f>
        <v>1.5819991599794155E-3</v>
      </c>
      <c r="H5" s="8">
        <f>IF($A5=H$1,0,IF(SUM(IMshareM!H$2:H$78)-IMshareM!H$8&gt;0,IMshareM!H5/(SUM(IMshareM!H$2:H$78)-IMshareM!H$8),0))</f>
        <v>3.1652061637275523E-4</v>
      </c>
      <c r="I5" s="8">
        <f>IF($A5=I$1,0,IF(SUM(IMshareM!I$2:I$78)-IMshareM!I$9&gt;0,IMshareM!I5/(SUM(IMshareM!I$2:I$78)-IMshareM!I$9),0))</f>
        <v>2.411274834293623E-3</v>
      </c>
      <c r="J5" s="8">
        <f>IF($A5=J$1,0,IF(SUM(IMshareM!J$2:J$78)-IMshareM!J$10&gt;0,IMshareM!J5/(SUM(IMshareM!J$2:J$78)-IMshareM!J$10),0))</f>
        <v>1.7761991569820751E-4</v>
      </c>
      <c r="K5" s="8">
        <f>IF($A5=K$1,0,IF(SUM(IMshareM!K$2:K$78)-IMshareM!K$11&gt;0,IMshareM!K5/(SUM(IMshareM!K$2:K$78)-IMshareM!K$11),0))</f>
        <v>2.5468414491443888E-4</v>
      </c>
      <c r="L5" s="8">
        <f>IF($A5=L$1,0,IF(SUM(IMshareM!L$2:L$78)-IMshareM!L$12&gt;0,IMshareM!L5/(SUM(IMshareM!L$2:L$78)-IMshareM!L$12),0))</f>
        <v>2.3879632003109253E-3</v>
      </c>
      <c r="M5" s="8">
        <f>IF($A5=M$1,0,IF(SUM(IMshareM!M$2:M$78)-IMshareM!M$13&gt;0,IMshareM!M5/(SUM(IMshareM!M$2:M$78)-IMshareM!M$13),0))</f>
        <v>2.1288978203518104E-4</v>
      </c>
      <c r="N5" s="8">
        <f>IF($A5=N$1,0,IF(SUM(IMshareM!N$2:N$78)-IMshareM!N$14&gt;0,IMshareM!N5/(SUM(IMshareM!N$2:N$78)-IMshareM!N$14),0))</f>
        <v>2.1305272529229601E-4</v>
      </c>
      <c r="O5" s="8">
        <f>IF($A5=O$1,0,IF(SUM(IMshareM!O$2:O$78)-IMshareM!O$15&gt;0,IMshareM!O5/(SUM(IMshareM!O$2:O$78)-IMshareM!O$15),0))</f>
        <v>6.3339681910586859E-3</v>
      </c>
      <c r="P5" s="8">
        <f>IF($A5=P$1,0,IF(SUM(IMshareM!P$2:P$78)-IMshareM!P$16&gt;0,IMshareM!P5/(SUM(IMshareM!P$2:P$78)-IMshareM!P$16),0))</f>
        <v>1.456649830628194E-2</v>
      </c>
      <c r="Q5" s="8">
        <f>IF($A5=Q$1,0,IF(SUM(IMshareM!Q$2:Q$78)-IMshareM!Q$17&gt;0,IMshareM!Q5/(SUM(IMshareM!Q$2:Q$78)-IMshareM!Q$17),0))</f>
        <v>4.8331312246830955E-4</v>
      </c>
      <c r="R5" s="8">
        <f>IF($A5=R$1,0,IF(SUM(IMshareM!R$2:R$78)-IMshareM!R$18&gt;0,IMshareM!R5/(SUM(IMshareM!R$2:R$78)-IMshareM!R$18),0))</f>
        <v>5.4230485908314063E-4</v>
      </c>
      <c r="S5" s="8">
        <f>IF($A5=S$1,0,IF(SUM(IMshareM!S$2:S$78)-IMshareM!S$19&gt;0,IMshareM!S5/(SUM(IMshareM!S$2:S$78)-IMshareM!S$19),0))</f>
        <v>1.0981689439779249E-2</v>
      </c>
      <c r="T5" s="8">
        <f>IF($A5=T$1,0,IF(SUM(IMshareM!T$2:T$78)-IMshareM!T$20&gt;0,IMshareM!T5/(SUM(IMshareM!T$2:T$78)-IMshareM!T$20),0))</f>
        <v>5.9845444711071054E-4</v>
      </c>
      <c r="U5" s="8">
        <f>IF($A5=U$1,0,IF(SUM(IMshareM!U$2:U$78)-IMshareM!U$21&gt;0,IMshareM!U5/(SUM(IMshareM!U$2:U$78)-IMshareM!U$21),0))</f>
        <v>2.2156817907580642E-3</v>
      </c>
      <c r="V5" s="8">
        <f>IF($A5=V$1,0,IF(SUM(IMshareM!V$2:V$78)-IMshareM!V$22&gt;0,IMshareM!V5/(SUM(IMshareM!V$2:V$78)-IMshareM!V$22),0))</f>
        <v>2.4676558048791269E-3</v>
      </c>
      <c r="W5" s="8">
        <f>IF($A5=W$1,0,IF(SUM(IMshareM!W$2:W$78)-IMshareM!W$23&gt;0,IMshareM!W5/(SUM(IMshareM!W$2:W$78)-IMshareM!W$23),0))</f>
        <v>2.017249016395811E-3</v>
      </c>
      <c r="X5" s="8">
        <f>IF($A5=X$1,0,IF(SUM(IMshareM!X$2:X$78)-IMshareM!X$24&gt;0,IMshareM!X5/(SUM(IMshareM!X$2:X$78)-IMshareM!X$24),0))</f>
        <v>3.8772841746727181E-3</v>
      </c>
      <c r="Y5" s="8">
        <f>IF($A5=Y$1,0,IF(SUM(IMshareM!Y$2:Y$78)-IMshareM!Y$25&gt;0,IMshareM!Y5/(SUM(IMshareM!Y$2:Y$78)-IMshareM!Y$25),0))</f>
        <v>5.7282954928132308E-3</v>
      </c>
      <c r="Z5" s="8">
        <f>IF($A5=Z$1,0,IF(SUM(IMshareM!Z$2:Z$78)-IMshareM!Z$26&gt;0,IMshareM!Z5/(SUM(IMshareM!Z$2:Z$78)-IMshareM!Z$26),0))</f>
        <v>2.7641267151432185E-3</v>
      </c>
      <c r="AA5" s="8">
        <f>IF($A5=AA$1,0,IF(SUM(IMshareM!AA$2:AA$78)-IMshareM!AA$27&gt;0,IMshareM!AA5/(SUM(IMshareM!AA$2:AA$78)-IMshareM!AA$27),0))</f>
        <v>1.2662577931801195E-2</v>
      </c>
      <c r="AB5" s="8">
        <f>IF($A5=AB$1,0,IF(SUM(IMshareM!AB$2:AB$78)-IMshareM!AB$28&gt;0,IMshareM!AB5/(SUM(IMshareM!AB$2:AB$78)-IMshareM!AB$28),0))</f>
        <v>2.4256257825205595E-3</v>
      </c>
      <c r="AC5" s="8">
        <f>IF($A5=AC$1,0,IF(SUM(IMshareM!AC$2:AC$78)-IMshareM!AC$29&gt;0,IMshareM!AC5/(SUM(IMshareM!AC$2:AC$78)-IMshareM!AC$29),0))</f>
        <v>9.2382010406522313E-3</v>
      </c>
      <c r="AD5" s="8">
        <f>IF($A5=AD$1,0,IF(SUM(IMshareM!AD$2:AD$78)-IMshareM!AD$30&gt;0,IMshareM!AD5/(SUM(IMshareM!AD$2:AD$78)-IMshareM!AD$30),0))</f>
        <v>3.126105236518697E-4</v>
      </c>
      <c r="AE5" s="8">
        <f>IF($A5=AE$1,0,IF(SUM(IMshareM!AE$2:AE$78)-IMshareM!AE$31&gt;0,IMshareM!AE5/(SUM(IMshareM!AE$2:AE$78)-IMshareM!AE$31),0))</f>
        <v>4.3848680609884427E-3</v>
      </c>
      <c r="AF5" s="8">
        <f>IF($A5=AF$1,0,IF(SUM(IMshareM!AF$2:AF$78)-IMshareM!AF$32&gt;0,IMshareM!AF5/(SUM(IMshareM!AF$2:AF$78)-IMshareM!AF$32),0))</f>
        <v>8.9633722701268478E-4</v>
      </c>
      <c r="AG5" s="8">
        <f>IF($A5=AG$1,0,IF(SUM(IMshareM!AG$2:AG$78)-IMshareM!AG$33&gt;0,IMshareM!AG5/(SUM(IMshareM!AG$2:AG$78)-IMshareM!AG$33),0))</f>
        <v>2.2457422582844027E-4</v>
      </c>
      <c r="AH5" s="8">
        <f>IF($A5=AH$1,0,IF(SUM(IMshareM!AH$2:AH$78)-IMshareM!AH$34&gt;0,IMshareM!AH5/(SUM(IMshareM!AH$2:AH$78)-IMshareM!AH$34),0))</f>
        <v>8.3506785700087609E-3</v>
      </c>
      <c r="AI5" s="8">
        <f>IF($A5=AI$1,0,IF(SUM(IMshareM!AI$2:AI$78)-IMshareM!AI$35&gt;0,IMshareM!AI5/(SUM(IMshareM!AI$2:AI$78)-IMshareM!AI$35),0))</f>
        <v>3.9221422543387514E-3</v>
      </c>
      <c r="AJ5" s="8">
        <f>IF($A5=AJ$1,0,IF(SUM(IMshareM!AJ$2:AJ$78)-IMshareM!AJ$36&gt;0,IMshareM!AJ5/(SUM(IMshareM!AJ$2:AJ$78)-IMshareM!AJ$36),0))</f>
        <v>5.1349968306278124E-3</v>
      </c>
      <c r="AK5" s="8">
        <f>IF($A5=AK$1,0,IF(SUM(IMshareM!AK$2:AK$78)-IMshareM!AK$37&gt;0,IMshareM!AK5/(SUM(IMshareM!AK$2:AK$78)-IMshareM!AK$37),0))</f>
        <v>2.9373593147452347E-3</v>
      </c>
      <c r="AL5" s="8">
        <f>IF($A5=AL$1,0,IF(SUM(IMshareM!AL$2:AL$78)-IMshareM!AL$38&gt;0,IMshareM!AL5/(SUM(IMshareM!AL$2:AL$78)-IMshareM!AL$38),0))</f>
        <v>9.5426388011969482E-3</v>
      </c>
      <c r="AM5" s="8">
        <f>IF($A5=AM$1,0,IF(SUM(IMshareM!AM$2:AM$78)-IMshareM!AM$39&gt;0,IMshareM!AM5/(SUM(IMshareM!AM$2:AM$78)-IMshareM!AM$39),0))</f>
        <v>4.3418724681774249E-3</v>
      </c>
      <c r="AN5" s="8">
        <f>IF($A5=AN$1,0,IF(SUM(IMshareM!AN$2:AN$78)-IMshareM!AN$40&gt;0,IMshareM!AN5/(SUM(IMshareM!AN$2:AN$78)-IMshareM!AN$40),0))</f>
        <v>2.0702140206826564E-4</v>
      </c>
      <c r="AO5" s="8">
        <f>IF($A5=AO$1,0,IF(SUM(IMshareM!AO$2:AO$78)-IMshareM!AO$41&gt;0,IMshareM!AO5/(SUM(IMshareM!AO$2:AO$78)-IMshareM!AO$41),0))</f>
        <v>2.0434357267417125E-3</v>
      </c>
      <c r="AP5" s="8">
        <f>IF($A5=AP$1,0,IF(SUM(IMshareM!AP$2:AP$78)-IMshareM!AP$42&gt;0,IMshareM!AP5/(SUM(IMshareM!AP$2:AP$78)-IMshareM!AP$42),0))</f>
        <v>4.583837287255804E-4</v>
      </c>
      <c r="AQ5" s="8">
        <f>IF($A5=AQ$1,0,IF(SUM(IMshareM!AQ$2:AQ$78)-IMshareM!AQ$43&gt;0,IMshareM!AQ5/(SUM(IMshareM!AQ$2:AQ$78)-IMshareM!AQ$43),0))</f>
        <v>1.015144137680617E-4</v>
      </c>
      <c r="AR5" s="8">
        <f>IF($A5=AR$1,0,IF(SUM(IMshareM!AR$2:AR$78)-IMshareM!AR$44&gt;0,IMshareM!AR5/(SUM(IMshareM!AR$2:AR$78)-IMshareM!AR$44),0))</f>
        <v>0</v>
      </c>
      <c r="AS5" s="8">
        <f>IF($A5=AS$1,0,IF(SUM(IMshareM!AS$2:AS$78)-IMshareM!AS$45&gt;0,IMshareM!AS5/(SUM(IMshareM!AS$2:AS$78)-IMshareM!AS$45),0))</f>
        <v>4.9842868493099038E-3</v>
      </c>
      <c r="AT5" s="8">
        <f>IF($A5=AT$1,0,IF(SUM(IMshareM!AT$2:AT$78)-IMshareM!AT$46&gt;0,IMshareM!AT5/(SUM(IMshareM!AT$2:AT$78)-IMshareM!AT$46),0))</f>
        <v>5.0359638332312051E-2</v>
      </c>
      <c r="AU5" s="8">
        <f>IF($A5=AU$1,0,IF(SUM(IMshareM!AU$2:AU$78)-IMshareM!AU$47&gt;0,IMshareM!AU5/(SUM(IMshareM!AU$2:AU$78)-IMshareM!AU$47),0))</f>
        <v>8.6619845165325955E-3</v>
      </c>
      <c r="AV5" s="8">
        <f>IF($A5=AV$1,0,IF(SUM(IMshareM!AV$2:AV$78)-IMshareM!AV$48&gt;0,IMshareM!AV5/(SUM(IMshareM!AV$2:AV$78)-IMshareM!AV$48),0))</f>
        <v>2.287098202151307E-3</v>
      </c>
      <c r="AW5" s="8">
        <f>IF($A5=AW$1,0,IF(SUM(IMshareM!AW$2:AW$78)-IMshareM!AW$49&gt;0,IMshareM!AW5/(SUM(IMshareM!AW$2:AW$78)-IMshareM!AW$49),0))</f>
        <v>1.4374280774816396E-5</v>
      </c>
      <c r="AX5" s="8">
        <f>IF($A5=AX$1,0,IF(SUM(IMshareM!AX$2:AX$78)-IMshareM!AX$50&gt;0,IMshareM!AX5/(SUM(IMshareM!AX$2:AX$78)-IMshareM!AX$50),0))</f>
        <v>5.713296030906167E-4</v>
      </c>
      <c r="AY5" s="8">
        <f>IF($A5=AY$1,0,IF(SUM(IMshareM!AY$2:AY$78)-IMshareM!AY$51&gt;0,IMshareM!AY5/(SUM(IMshareM!AY$2:AY$78)-IMshareM!AY$51),0))</f>
        <v>0</v>
      </c>
      <c r="AZ5" s="8">
        <f>IF($A5=AZ$1,0,IF(SUM(IMshareM!AZ$2:AZ$78)-IMshareM!AZ$52&gt;0,IMshareM!AZ5/(SUM(IMshareM!AZ$2:AZ$78)-IMshareM!AZ$52),0))</f>
        <v>1.2657498204433223E-2</v>
      </c>
      <c r="BA5" s="8">
        <f>IF($A5=BA$1,0,IF(SUM(IMshareM!BA$2:BA$78)-IMshareM!BA$53&gt;0,IMshareM!BA5/(SUM(IMshareM!BA$2:BA$78)-IMshareM!BA$53),0))</f>
        <v>5.2977441174418679E-3</v>
      </c>
      <c r="BB5" s="8">
        <f>IF($A5=BB$1,0,IF(SUM(IMshareM!BB$2:BB$78)-IMshareM!BB$54&gt;0,IMshareM!BB5/(SUM(IMshareM!BB$2:BB$78)-IMshareM!BB$54),0))</f>
        <v>1.6945535209881794E-2</v>
      </c>
      <c r="BC5" s="8">
        <f>IF($A5=BC$1,0,IF(SUM(IMshareM!BC$2:BC$78)-IMshareM!BC$55&gt;0,IMshareM!BC5/(SUM(IMshareM!BC$2:BC$78)-IMshareM!BC$55),0))</f>
        <v>4.2993540170545054E-3</v>
      </c>
      <c r="BD5" s="8">
        <f>IF($A5=BD$1,0,IF(SUM(IMshareM!BD$2:BD$78)-IMshareM!BD$56&gt;0,IMshareM!BD5/(SUM(IMshareM!BD$2:BD$78)-IMshareM!BD$56),0))</f>
        <v>3.6619729072374721E-3</v>
      </c>
      <c r="BE5" s="8">
        <f>IF($A5=BE$1,0,IF(SUM(IMshareM!BE$2:BE$78)-IMshareM!BE$57&gt;0,IMshareM!BE5/(SUM(IMshareM!BE$2:BE$78)-IMshareM!BE$57),0))</f>
        <v>2.828902638432372E-3</v>
      </c>
      <c r="BF5" s="8">
        <f>IF($A5=BF$1,0,IF(SUM(IMshareM!BF$2:BF$78)-IMshareM!BF$58&gt;0,IMshareM!BF5/(SUM(IMshareM!BF$2:BF$78)-IMshareM!BF$58),0))</f>
        <v>3.9710756679416402E-4</v>
      </c>
      <c r="BG5" s="8">
        <f>IF($A5=BG$1,0,IF(SUM(IMshareM!BG$2:BG$78)-IMshareM!BG$59&gt;0,IMshareM!BG5/(SUM(IMshareM!BG$2:BG$78)-IMshareM!BG$59),0))</f>
        <v>8.6105278619272242E-4</v>
      </c>
      <c r="BH5" s="8">
        <f>IF($A5=BH$1,0,IF(SUM(IMshareM!BH$2:BH$78)-IMshareM!BH$60&gt;0,IMshareM!BH5/(SUM(IMshareM!BH$2:BH$78)-IMshareM!BH$60),0))</f>
        <v>5.3355780087936341E-4</v>
      </c>
      <c r="BI5" s="8">
        <f>IF($A5=BI$1,0,IF(SUM(IMshareM!BI$2:BI$78)-IMshareM!BI$61&gt;0,IMshareM!BI5/(SUM(IMshareM!BI$2:BI$78)-IMshareM!BI$61),0))</f>
        <v>1.6649549040976808E-2</v>
      </c>
      <c r="BJ5" s="8">
        <f>IF($A5=BJ$1,0,IF(SUM(IMshareM!BJ$2:BJ$78)-IMshareM!BJ$62&gt;0,IMshareM!BJ5/(SUM(IMshareM!BJ$2:BJ$78)-IMshareM!BJ$62),0))</f>
        <v>4.1047707894067836E-3</v>
      </c>
      <c r="BK5" s="8">
        <f>IF($A5=BK$1,0,IF(SUM(IMshareM!BK$2:BK$78)-IMshareM!BK$63&gt;0,IMshareM!BK5/(SUM(IMshareM!BK$2:BK$78)-IMshareM!BK$63),0))</f>
        <v>2.4603626533509686E-3</v>
      </c>
      <c r="BL5" s="8">
        <f>IF($A5=BL$1,0,IF(SUM(IMshareM!BL$2:BL$78)-IMshareM!BL$64&gt;0,IMshareM!BL5/(SUM(IMshareM!BL$2:BL$78)-IMshareM!BL$64),0))</f>
        <v>3.486898920597553E-3</v>
      </c>
      <c r="BM5" s="8">
        <f>IF($A5=BM$1,0,IF(SUM(IMshareM!BM$2:BM$78)-IMshareM!BM$65&gt;0,IMshareM!BM5/(SUM(IMshareM!BM$2:BM$78)-IMshareM!BM$65),0))</f>
        <v>9.1034653433342081E-3</v>
      </c>
      <c r="BN5" s="8">
        <f>IF($A5=BN$1,0,IF(SUM(IMshareM!BN$2:BN$78)-IMshareM!BN$66&gt;0,IMshareM!BN5/(SUM(IMshareM!BN$2:BN$78)-IMshareM!BN$66),0))</f>
        <v>3.7668673024904059E-4</v>
      </c>
      <c r="BO5" s="8">
        <f>IF($A5=BO$1,0,IF(SUM(IMshareM!BO$2:BO$78)-IMshareM!BO$67&gt;0,IMshareM!BO5/(SUM(IMshareM!BO$2:BO$78)-IMshareM!BO$67),0))</f>
        <v>1.5405682091804133E-4</v>
      </c>
      <c r="BP5" s="8">
        <f>IF($A5=BP$1,0,IF(SUM(IMshareM!BP$2:BP$78)-IMshareM!BP$68&gt;0,IMshareM!BP5/(SUM(IMshareM!BP$2:BP$78)-IMshareM!BP$68),0))</f>
        <v>2.8466977754717111E-4</v>
      </c>
      <c r="BQ5" s="8">
        <f>IF($A5=BQ$1,0,IF(SUM(IMshareM!BQ$2:BQ$78)-IMshareM!BQ$69&gt;0,IMshareM!BQ5/(SUM(IMshareM!BQ$2:BQ$78)-IMshareM!BQ$69),0))</f>
        <v>9.1539253295713791E-3</v>
      </c>
      <c r="BR5" s="8">
        <f>IF($A5=BR$1,0,IF(SUM(IMshareM!BR$2:BR$78)-IMshareM!BR$70&gt;0,IMshareM!BR5/(SUM(IMshareM!BR$2:BR$78)-IMshareM!BR$70),0))</f>
        <v>2.1058314857352175E-3</v>
      </c>
      <c r="BS5" s="8">
        <f>IF($A5=BS$1,0,IF(SUM(IMshareM!BS$2:BS$78)-IMshareM!BS$71&gt;0,IMshareM!BS5/(SUM(IMshareM!BS$2:BS$78)-IMshareM!BS$71),0))</f>
        <v>3.7461217439946747E-3</v>
      </c>
      <c r="BT5" s="8">
        <f>IF($A5=BT$1,0,IF(SUM(IMshareM!BT$2:BT$78)-IMshareM!BT$72&gt;0,IMshareM!BT5/(SUM(IMshareM!BT$2:BT$78)-IMshareM!BT$72),0))</f>
        <v>7.4164473306095988E-4</v>
      </c>
      <c r="BU5" s="8">
        <f>IF($A5=BU$1,0,IF(SUM(IMshareM!BU$2:BU$78)-IMshareM!BU$73&gt;0,IMshareM!BU5/(SUM(IMshareM!BU$2:BU$78)-IMshareM!BU$73),0))</f>
        <v>2.2614606863076097E-4</v>
      </c>
      <c r="BV5" s="8">
        <f>IF($A5=BV$1,0,IF(SUM(IMshareM!BV$2:BV$78)-IMshareM!BV$74&gt;0,IMshareM!BV5/(SUM(IMshareM!BV$2:BV$78)-IMshareM!BV$74),0))</f>
        <v>1.4573820985172229E-3</v>
      </c>
      <c r="BW5" s="8">
        <f>IF($A5=BW$1,0,IF(SUM(IMshareM!BW$2:BW$78)-IMshareM!BW$75&gt;0,IMshareM!BW5/(SUM(IMshareM!BW$2:BW$78)-IMshareM!BW$75),0))</f>
        <v>4.2032136297749434E-4</v>
      </c>
      <c r="BX5" s="8">
        <f>IF($A5=BX$1,0,IF(SUM(IMshareM!BX$2:BX$78)-IMshareM!BX$76&gt;0,IMshareM!BX5/(SUM(IMshareM!BX$2:BX$78)-IMshareM!BX$76),0))</f>
        <v>1.1644144123325144E-4</v>
      </c>
      <c r="BY5" s="8">
        <f>IF($A5=BY$1,0,IF(SUM(IMshareM!BY$2:BY$78)-IMshareM!BY$77&gt;0,IMshareM!BY5/(SUM(IMshareM!BY$2:BY$78)-IMshareM!BY$77),0))</f>
        <v>7.5372644254542188E-4</v>
      </c>
      <c r="BZ5" s="8">
        <f>IF($A5=BZ$1,0,IF(SUM(IMshareM!BZ$2:BZ$78)-IMshareM!BZ$78&gt;0,IMshareM!BZ5/(SUM(IMshareM!BZ$2:BZ$78)-IMshareM!BZ$78),0))</f>
        <v>4.4022063568187452E-3</v>
      </c>
    </row>
    <row r="6" spans="1:78">
      <c r="A6" s="4" t="s">
        <v>79</v>
      </c>
      <c r="B6" s="8">
        <f>IF($A6=B$1,0,IF(SUM(IMshareM!B$2:B$78)-IMshareM!B$2&gt;0,IMshareM!B6/(SUM(IMshareM!B$2:B$78)-IMshareM!B$2),0))</f>
        <v>0</v>
      </c>
      <c r="C6" s="8">
        <f>IF($A6=C$1,0,IF(SUM(IMshareM!C$2:C$78)-IMshareM!C$3&gt;0,IMshareM!C6/(SUM(IMshareM!C$2:C$78)-IMshareM!C$3),0))</f>
        <v>0</v>
      </c>
      <c r="D6" s="8">
        <f>IF($A6=D$1,0,IF(SUM(IMshareM!D$2:D$78)-IMshareM!D$4&gt;0,IMshareM!D6/(SUM(IMshareM!D$2:D$78)-IMshareM!D$4),0))</f>
        <v>4.3645819188067467E-6</v>
      </c>
      <c r="E6" s="8">
        <f>IF($A6=E$1,0,IF(SUM(IMshareM!E$2:E$78)-IMshareM!E$5&gt;0,IMshareM!E6/(SUM(IMshareM!E$2:E$78)-IMshareM!E$5),0))</f>
        <v>0</v>
      </c>
      <c r="F6" s="8">
        <f>IF($A6=F$1,0,IF(SUM(IMshareM!F$2:F$78)-IMshareM!F$6&gt;0,IMshareM!F6/(SUM(IMshareM!F$2:F$78)-IMshareM!F$6),0))</f>
        <v>0</v>
      </c>
      <c r="G6" s="8">
        <f>IF($A6=G$1,0,IF(SUM(IMshareM!G$2:G$78)-IMshareM!G$7&gt;0,IMshareM!G6/(SUM(IMshareM!G$2:G$78)-IMshareM!G$7),0))</f>
        <v>4.644595319449822E-6</v>
      </c>
      <c r="H6" s="8">
        <f>IF($A6=H$1,0,IF(SUM(IMshareM!H$2:H$78)-IMshareM!H$8&gt;0,IMshareM!H6/(SUM(IMshareM!H$2:H$78)-IMshareM!H$8),0))</f>
        <v>0</v>
      </c>
      <c r="I6" s="8">
        <f>IF($A6=I$1,0,IF(SUM(IMshareM!I$2:I$78)-IMshareM!I$9&gt;0,IMshareM!I6/(SUM(IMshareM!I$2:I$78)-IMshareM!I$9),0))</f>
        <v>0</v>
      </c>
      <c r="J6" s="8">
        <f>IF($A6=J$1,0,IF(SUM(IMshareM!J$2:J$78)-IMshareM!J$10&gt;0,IMshareM!J6/(SUM(IMshareM!J$2:J$78)-IMshareM!J$10),0))</f>
        <v>0</v>
      </c>
      <c r="K6" s="8">
        <f>IF($A6=K$1,0,IF(SUM(IMshareM!K$2:K$78)-IMshareM!K$11&gt;0,IMshareM!K6/(SUM(IMshareM!K$2:K$78)-IMshareM!K$11),0))</f>
        <v>8.8902905389183953E-7</v>
      </c>
      <c r="L6" s="8">
        <f>IF($A6=L$1,0,IF(SUM(IMshareM!L$2:L$78)-IMshareM!L$12&gt;0,IMshareM!L6/(SUM(IMshareM!L$2:L$78)-IMshareM!L$12),0))</f>
        <v>0</v>
      </c>
      <c r="M6" s="8">
        <f>IF($A6=M$1,0,IF(SUM(IMshareM!M$2:M$78)-IMshareM!M$13&gt;0,IMshareM!M6/(SUM(IMshareM!M$2:M$78)-IMshareM!M$13),0))</f>
        <v>0</v>
      </c>
      <c r="N6" s="8">
        <f>IF($A6=N$1,0,IF(SUM(IMshareM!N$2:N$78)-IMshareM!N$14&gt;0,IMshareM!N6/(SUM(IMshareM!N$2:N$78)-IMshareM!N$14),0))</f>
        <v>1.1179759639184551E-6</v>
      </c>
      <c r="O6" s="8">
        <f>IF($A6=O$1,0,IF(SUM(IMshareM!O$2:O$78)-IMshareM!O$15&gt;0,IMshareM!O6/(SUM(IMshareM!O$2:O$78)-IMshareM!O$15),0))</f>
        <v>0</v>
      </c>
      <c r="P6" s="8">
        <f>IF($A6=P$1,0,IF(SUM(IMshareM!P$2:P$78)-IMshareM!P$16&gt;0,IMshareM!P6/(SUM(IMshareM!P$2:P$78)-IMshareM!P$16),0))</f>
        <v>0</v>
      </c>
      <c r="Q6" s="8">
        <f>IF($A6=Q$1,0,IF(SUM(IMshareM!Q$2:Q$78)-IMshareM!Q$17&gt;0,IMshareM!Q6/(SUM(IMshareM!Q$2:Q$78)-IMshareM!Q$17),0))</f>
        <v>0</v>
      </c>
      <c r="R6" s="8">
        <f>IF($A6=R$1,0,IF(SUM(IMshareM!R$2:R$78)-IMshareM!R$18&gt;0,IMshareM!R6/(SUM(IMshareM!R$2:R$78)-IMshareM!R$18),0))</f>
        <v>0</v>
      </c>
      <c r="S6" s="8">
        <f>IF($A6=S$1,0,IF(SUM(IMshareM!S$2:S$78)-IMshareM!S$19&gt;0,IMshareM!S6/(SUM(IMshareM!S$2:S$78)-IMshareM!S$19),0))</f>
        <v>0</v>
      </c>
      <c r="T6" s="8">
        <f>IF($A6=T$1,0,IF(SUM(IMshareM!T$2:T$78)-IMshareM!T$20&gt;0,IMshareM!T6/(SUM(IMshareM!T$2:T$78)-IMshareM!T$20),0))</f>
        <v>0</v>
      </c>
      <c r="U6" s="8">
        <f>IF($A6=U$1,0,IF(SUM(IMshareM!U$2:U$78)-IMshareM!U$21&gt;0,IMshareM!U6/(SUM(IMshareM!U$2:U$78)-IMshareM!U$21),0))</f>
        <v>1.0082007833404352E-6</v>
      </c>
      <c r="V6" s="8">
        <f>IF($A6=V$1,0,IF(SUM(IMshareM!V$2:V$78)-IMshareM!V$22&gt;0,IMshareM!V6/(SUM(IMshareM!V$2:V$78)-IMshareM!V$22),0))</f>
        <v>5.2293800631803474E-6</v>
      </c>
      <c r="W6" s="8">
        <f>IF($A6=W$1,0,IF(SUM(IMshareM!W$2:W$78)-IMshareM!W$23&gt;0,IMshareM!W6/(SUM(IMshareM!W$2:W$78)-IMshareM!W$23),0))</f>
        <v>0</v>
      </c>
      <c r="X6" s="8">
        <f>IF($A6=X$1,0,IF(SUM(IMshareM!X$2:X$78)-IMshareM!X$24&gt;0,IMshareM!X6/(SUM(IMshareM!X$2:X$78)-IMshareM!X$24),0))</f>
        <v>1.9436041136920942E-7</v>
      </c>
      <c r="Y6" s="8">
        <f>IF($A6=Y$1,0,IF(SUM(IMshareM!Y$2:Y$78)-IMshareM!Y$25&gt;0,IMshareM!Y6/(SUM(IMshareM!Y$2:Y$78)-IMshareM!Y$25),0))</f>
        <v>0</v>
      </c>
      <c r="Z6" s="8">
        <f>IF($A6=Z$1,0,IF(SUM(IMshareM!Z$2:Z$78)-IMshareM!Z$26&gt;0,IMshareM!Z6/(SUM(IMshareM!Z$2:Z$78)-IMshareM!Z$26),0))</f>
        <v>0</v>
      </c>
      <c r="AA6" s="8">
        <f>IF($A6=AA$1,0,IF(SUM(IMshareM!AA$2:AA$78)-IMshareM!AA$27&gt;0,IMshareM!AA6/(SUM(IMshareM!AA$2:AA$78)-IMshareM!AA$27),0))</f>
        <v>1.2347053596828686E-8</v>
      </c>
      <c r="AB6" s="8">
        <f>IF($A6=AB$1,0,IF(SUM(IMshareM!AB$2:AB$78)-IMshareM!AB$28&gt;0,IMshareM!AB6/(SUM(IMshareM!AB$2:AB$78)-IMshareM!AB$28),0))</f>
        <v>2.0648331770452655E-6</v>
      </c>
      <c r="AC6" s="8">
        <f>IF($A6=AC$1,0,IF(SUM(IMshareM!AC$2:AC$78)-IMshareM!AC$29&gt;0,IMshareM!AC6/(SUM(IMshareM!AC$2:AC$78)-IMshareM!AC$29),0))</f>
        <v>0</v>
      </c>
      <c r="AD6" s="8">
        <f>IF($A6=AD$1,0,IF(SUM(IMshareM!AD$2:AD$78)-IMshareM!AD$30&gt;0,IMshareM!AD6/(SUM(IMshareM!AD$2:AD$78)-IMshareM!AD$30),0))</f>
        <v>0</v>
      </c>
      <c r="AE6" s="8">
        <f>IF($A6=AE$1,0,IF(SUM(IMshareM!AE$2:AE$78)-IMshareM!AE$31&gt;0,IMshareM!AE6/(SUM(IMshareM!AE$2:AE$78)-IMshareM!AE$31),0))</f>
        <v>0</v>
      </c>
      <c r="AF6" s="8">
        <f>IF($A6=AF$1,0,IF(SUM(IMshareM!AF$2:AF$78)-IMshareM!AF$32&gt;0,IMshareM!AF6/(SUM(IMshareM!AF$2:AF$78)-IMshareM!AF$32),0))</f>
        <v>0</v>
      </c>
      <c r="AG6" s="8">
        <f>IF($A6=AG$1,0,IF(SUM(IMshareM!AG$2:AG$78)-IMshareM!AG$33&gt;0,IMshareM!AG6/(SUM(IMshareM!AG$2:AG$78)-IMshareM!AG$33),0))</f>
        <v>6.222337969862563E-6</v>
      </c>
      <c r="AH6" s="8">
        <f>IF($A6=AH$1,0,IF(SUM(IMshareM!AH$2:AH$78)-IMshareM!AH$34&gt;0,IMshareM!AH6/(SUM(IMshareM!AH$2:AH$78)-IMshareM!AH$34),0))</f>
        <v>7.3750493925817541E-5</v>
      </c>
      <c r="AI6" s="8">
        <f>IF($A6=AI$1,0,IF(SUM(IMshareM!AI$2:AI$78)-IMshareM!AI$35&gt;0,IMshareM!AI6/(SUM(IMshareM!AI$2:AI$78)-IMshareM!AI$35),0))</f>
        <v>9.565609387630554E-7</v>
      </c>
      <c r="AJ6" s="8">
        <f>IF($A6=AJ$1,0,IF(SUM(IMshareM!AJ$2:AJ$78)-IMshareM!AJ$36&gt;0,IMshareM!AJ6/(SUM(IMshareM!AJ$2:AJ$78)-IMshareM!AJ$36),0))</f>
        <v>0</v>
      </c>
      <c r="AK6" s="8">
        <f>IF($A6=AK$1,0,IF(SUM(IMshareM!AK$2:AK$78)-IMshareM!AK$37&gt;0,IMshareM!AK6/(SUM(IMshareM!AK$2:AK$78)-IMshareM!AK$37),0))</f>
        <v>0</v>
      </c>
      <c r="AL6" s="8">
        <f>IF($A6=AL$1,0,IF(SUM(IMshareM!AL$2:AL$78)-IMshareM!AL$38&gt;0,IMshareM!AL6/(SUM(IMshareM!AL$2:AL$78)-IMshareM!AL$38),0))</f>
        <v>0</v>
      </c>
      <c r="AM6" s="8">
        <f>IF($A6=AM$1,0,IF(SUM(IMshareM!AM$2:AM$78)-IMshareM!AM$39&gt;0,IMshareM!AM6/(SUM(IMshareM!AM$2:AM$78)-IMshareM!AM$39),0))</f>
        <v>0</v>
      </c>
      <c r="AN6" s="8">
        <f>IF($A6=AN$1,0,IF(SUM(IMshareM!AN$2:AN$78)-IMshareM!AN$40&gt;0,IMshareM!AN6/(SUM(IMshareM!AN$2:AN$78)-IMshareM!AN$40),0))</f>
        <v>0</v>
      </c>
      <c r="AO6" s="8">
        <f>IF($A6=AO$1,0,IF(SUM(IMshareM!AO$2:AO$78)-IMshareM!AO$41&gt;0,IMshareM!AO6/(SUM(IMshareM!AO$2:AO$78)-IMshareM!AO$41),0))</f>
        <v>0</v>
      </c>
      <c r="AP6" s="8">
        <f>IF($A6=AP$1,0,IF(SUM(IMshareM!AP$2:AP$78)-IMshareM!AP$42&gt;0,IMshareM!AP6/(SUM(IMshareM!AP$2:AP$78)-IMshareM!AP$42),0))</f>
        <v>0</v>
      </c>
      <c r="AQ6" s="8">
        <f>IF($A6=AQ$1,0,IF(SUM(IMshareM!AQ$2:AQ$78)-IMshareM!AQ$43&gt;0,IMshareM!AQ6/(SUM(IMshareM!AQ$2:AQ$78)-IMshareM!AQ$43),0))</f>
        <v>2.8239711257733389E-7</v>
      </c>
      <c r="AR6" s="8">
        <f>IF($A6=AR$1,0,IF(SUM(IMshareM!AR$2:AR$78)-IMshareM!AR$44&gt;0,IMshareM!AR6/(SUM(IMshareM!AR$2:AR$78)-IMshareM!AR$44),0))</f>
        <v>0</v>
      </c>
      <c r="AS6" s="8">
        <f>IF($A6=AS$1,0,IF(SUM(IMshareM!AS$2:AS$78)-IMshareM!AS$45&gt;0,IMshareM!AS6/(SUM(IMshareM!AS$2:AS$78)-IMshareM!AS$45),0))</f>
        <v>0</v>
      </c>
      <c r="AT6" s="8">
        <f>IF($A6=AT$1,0,IF(SUM(IMshareM!AT$2:AT$78)-IMshareM!AT$46&gt;0,IMshareM!AT6/(SUM(IMshareM!AT$2:AT$78)-IMshareM!AT$46),0))</f>
        <v>0</v>
      </c>
      <c r="AU6" s="8">
        <f>IF($A6=AU$1,0,IF(SUM(IMshareM!AU$2:AU$78)-IMshareM!AU$47&gt;0,IMshareM!AU6/(SUM(IMshareM!AU$2:AU$78)-IMshareM!AU$47),0))</f>
        <v>0</v>
      </c>
      <c r="AV6" s="8">
        <f>IF($A6=AV$1,0,IF(SUM(IMshareM!AV$2:AV$78)-IMshareM!AV$48&gt;0,IMshareM!AV6/(SUM(IMshareM!AV$2:AV$78)-IMshareM!AV$48),0))</f>
        <v>0</v>
      </c>
      <c r="AW6" s="8">
        <f>IF($A6=AW$1,0,IF(SUM(IMshareM!AW$2:AW$78)-IMshareM!AW$49&gt;0,IMshareM!AW6/(SUM(IMshareM!AW$2:AW$78)-IMshareM!AW$49),0))</f>
        <v>0</v>
      </c>
      <c r="AX6" s="8">
        <f>IF($A6=AX$1,0,IF(SUM(IMshareM!AX$2:AX$78)-IMshareM!AX$50&gt;0,IMshareM!AX6/(SUM(IMshareM!AX$2:AX$78)-IMshareM!AX$50),0))</f>
        <v>0</v>
      </c>
      <c r="AY6" s="8">
        <f>IF($A6=AY$1,0,IF(SUM(IMshareM!AY$2:AY$78)-IMshareM!AY$51&gt;0,IMshareM!AY6/(SUM(IMshareM!AY$2:AY$78)-IMshareM!AY$51),0))</f>
        <v>0</v>
      </c>
      <c r="AZ6" s="8">
        <f>IF($A6=AZ$1,0,IF(SUM(IMshareM!AZ$2:AZ$78)-IMshareM!AZ$52&gt;0,IMshareM!AZ6/(SUM(IMshareM!AZ$2:AZ$78)-IMshareM!AZ$52),0))</f>
        <v>0</v>
      </c>
      <c r="BA6" s="8">
        <f>IF($A6=BA$1,0,IF(SUM(IMshareM!BA$2:BA$78)-IMshareM!BA$53&gt;0,IMshareM!BA6/(SUM(IMshareM!BA$2:BA$78)-IMshareM!BA$53),0))</f>
        <v>1.6080204625813486E-3</v>
      </c>
      <c r="BB6" s="8">
        <f>IF($A6=BB$1,0,IF(SUM(IMshareM!BB$2:BB$78)-IMshareM!BB$54&gt;0,IMshareM!BB6/(SUM(IMshareM!BB$2:BB$78)-IMshareM!BB$54),0))</f>
        <v>4.5998533543334102E-5</v>
      </c>
      <c r="BC6" s="8">
        <f>IF($A6=BC$1,0,IF(SUM(IMshareM!BC$2:BC$78)-IMshareM!BC$55&gt;0,IMshareM!BC6/(SUM(IMshareM!BC$2:BC$78)-IMshareM!BC$55),0))</f>
        <v>3.2168973231879801E-6</v>
      </c>
      <c r="BD6" s="8">
        <f>IF($A6=BD$1,0,IF(SUM(IMshareM!BD$2:BD$78)-IMshareM!BD$56&gt;0,IMshareM!BD6/(SUM(IMshareM!BD$2:BD$78)-IMshareM!BD$56),0))</f>
        <v>0</v>
      </c>
      <c r="BE6" s="8">
        <f>IF($A6=BE$1,0,IF(SUM(IMshareM!BE$2:BE$78)-IMshareM!BE$57&gt;0,IMshareM!BE6/(SUM(IMshareM!BE$2:BE$78)-IMshareM!BE$57),0))</f>
        <v>0</v>
      </c>
      <c r="BF6" s="8">
        <f>IF($A6=BF$1,0,IF(SUM(IMshareM!BF$2:BF$78)-IMshareM!BF$58&gt;0,IMshareM!BF6/(SUM(IMshareM!BF$2:BF$78)-IMshareM!BF$58),0))</f>
        <v>0</v>
      </c>
      <c r="BG6" s="8">
        <f>IF($A6=BG$1,0,IF(SUM(IMshareM!BG$2:BG$78)-IMshareM!BG$59&gt;0,IMshareM!BG6/(SUM(IMshareM!BG$2:BG$78)-IMshareM!BG$59),0))</f>
        <v>0</v>
      </c>
      <c r="BH6" s="8">
        <f>IF($A6=BH$1,0,IF(SUM(IMshareM!BH$2:BH$78)-IMshareM!BH$60&gt;0,IMshareM!BH6/(SUM(IMshareM!BH$2:BH$78)-IMshareM!BH$60),0))</f>
        <v>0</v>
      </c>
      <c r="BI6" s="8">
        <f>IF($A6=BI$1,0,IF(SUM(IMshareM!BI$2:BI$78)-IMshareM!BI$61&gt;0,IMshareM!BI6/(SUM(IMshareM!BI$2:BI$78)-IMshareM!BI$61),0))</f>
        <v>0</v>
      </c>
      <c r="BJ6" s="8">
        <f>IF($A6=BJ$1,0,IF(SUM(IMshareM!BJ$2:BJ$78)-IMshareM!BJ$62&gt;0,IMshareM!BJ6/(SUM(IMshareM!BJ$2:BJ$78)-IMshareM!BJ$62),0))</f>
        <v>0</v>
      </c>
      <c r="BK6" s="8">
        <f>IF($A6=BK$1,0,IF(SUM(IMshareM!BK$2:BK$78)-IMshareM!BK$63&gt;0,IMshareM!BK6/(SUM(IMshareM!BK$2:BK$78)-IMshareM!BK$63),0))</f>
        <v>0</v>
      </c>
      <c r="BL6" s="8">
        <f>IF($A6=BL$1,0,IF(SUM(IMshareM!BL$2:BL$78)-IMshareM!BL$64&gt;0,IMshareM!BL6/(SUM(IMshareM!BL$2:BL$78)-IMshareM!BL$64),0))</f>
        <v>0</v>
      </c>
      <c r="BM6" s="8">
        <f>IF($A6=BM$1,0,IF(SUM(IMshareM!BM$2:BM$78)-IMshareM!BM$65&gt;0,IMshareM!BM6/(SUM(IMshareM!BM$2:BM$78)-IMshareM!BM$65),0))</f>
        <v>0</v>
      </c>
      <c r="BN6" s="8">
        <f>IF($A6=BN$1,0,IF(SUM(IMshareM!BN$2:BN$78)-IMshareM!BN$66&gt;0,IMshareM!BN6/(SUM(IMshareM!BN$2:BN$78)-IMshareM!BN$66),0))</f>
        <v>3.1890729025764379E-6</v>
      </c>
      <c r="BO6" s="8">
        <f>IF($A6=BO$1,0,IF(SUM(IMshareM!BO$2:BO$78)-IMshareM!BO$67&gt;0,IMshareM!BO6/(SUM(IMshareM!BO$2:BO$78)-IMshareM!BO$67),0))</f>
        <v>2.5583030468423958E-8</v>
      </c>
      <c r="BP6" s="8">
        <f>IF($A6=BP$1,0,IF(SUM(IMshareM!BP$2:BP$78)-IMshareM!BP$68&gt;0,IMshareM!BP6/(SUM(IMshareM!BP$2:BP$78)-IMshareM!BP$68),0))</f>
        <v>0</v>
      </c>
      <c r="BQ6" s="8">
        <f>IF($A6=BQ$1,0,IF(SUM(IMshareM!BQ$2:BQ$78)-IMshareM!BQ$69&gt;0,IMshareM!BQ6/(SUM(IMshareM!BQ$2:BQ$78)-IMshareM!BQ$69),0))</f>
        <v>0</v>
      </c>
      <c r="BR6" s="8">
        <f>IF($A6=BR$1,0,IF(SUM(IMshareM!BR$2:BR$78)-IMshareM!BR$70&gt;0,IMshareM!BR6/(SUM(IMshareM!BR$2:BR$78)-IMshareM!BR$70),0))</f>
        <v>1.7155592400207387E-7</v>
      </c>
      <c r="BS6" s="8">
        <f>IF($A6=BS$1,0,IF(SUM(IMshareM!BS$2:BS$78)-IMshareM!BS$71&gt;0,IMshareM!BS6/(SUM(IMshareM!BS$2:BS$78)-IMshareM!BS$71),0))</f>
        <v>0</v>
      </c>
      <c r="BT6" s="8">
        <f>IF($A6=BT$1,0,IF(SUM(IMshareM!BT$2:BT$78)-IMshareM!BT$72&gt;0,IMshareM!BT6/(SUM(IMshareM!BT$2:BT$78)-IMshareM!BT$72),0))</f>
        <v>0</v>
      </c>
      <c r="BU6" s="8">
        <f>IF($A6=BU$1,0,IF(SUM(IMshareM!BU$2:BU$78)-IMshareM!BU$73&gt;0,IMshareM!BU6/(SUM(IMshareM!BU$2:BU$78)-IMshareM!BU$73),0))</f>
        <v>0</v>
      </c>
      <c r="BV6" s="8">
        <f>IF($A6=BV$1,0,IF(SUM(IMshareM!BV$2:BV$78)-IMshareM!BV$74&gt;0,IMshareM!BV6/(SUM(IMshareM!BV$2:BV$78)-IMshareM!BV$74),0))</f>
        <v>0</v>
      </c>
      <c r="BW6" s="8">
        <f>IF($A6=BW$1,0,IF(SUM(IMshareM!BW$2:BW$78)-IMshareM!BW$75&gt;0,IMshareM!BW6/(SUM(IMshareM!BW$2:BW$78)-IMshareM!BW$75),0))</f>
        <v>2.5275123685762866E-5</v>
      </c>
      <c r="BX6" s="8">
        <f>IF($A6=BX$1,0,IF(SUM(IMshareM!BX$2:BX$78)-IMshareM!BX$76&gt;0,IMshareM!BX6/(SUM(IMshareM!BX$2:BX$78)-IMshareM!BX$76),0))</f>
        <v>0</v>
      </c>
      <c r="BY6" s="8">
        <f>IF($A6=BY$1,0,IF(SUM(IMshareM!BY$2:BY$78)-IMshareM!BY$77&gt;0,IMshareM!BY6/(SUM(IMshareM!BY$2:BY$78)-IMshareM!BY$77),0))</f>
        <v>0</v>
      </c>
      <c r="BZ6" s="8">
        <f>IF($A6=BZ$1,0,IF(SUM(IMshareM!BZ$2:BZ$78)-IMshareM!BZ$78&gt;0,IMshareM!BZ6/(SUM(IMshareM!BZ$2:BZ$78)-IMshareM!BZ$78),0))</f>
        <v>3.6914066983555996E-5</v>
      </c>
    </row>
    <row r="7" spans="1:78">
      <c r="A7" s="4" t="s">
        <v>81</v>
      </c>
      <c r="B7" s="8">
        <f>IF($A7=B$1,0,IF(SUM(IMshareM!B$2:B$78)-IMshareM!B$2&gt;0,IMshareM!B7/(SUM(IMshareM!B$2:B$78)-IMshareM!B$2),0))</f>
        <v>7.9758740116940324E-4</v>
      </c>
      <c r="C7" s="8">
        <f>IF($A7=C$1,0,IF(SUM(IMshareM!C$2:C$78)-IMshareM!C$3&gt;0,IMshareM!C7/(SUM(IMshareM!C$2:C$78)-IMshareM!C$3),0))</f>
        <v>8.376773482083905E-5</v>
      </c>
      <c r="D7" s="8">
        <f>IF($A7=D$1,0,IF(SUM(IMshareM!D$2:D$78)-IMshareM!D$4&gt;0,IMshareM!D7/(SUM(IMshareM!D$2:D$78)-IMshareM!D$4),0))</f>
        <v>5.219580736198757E-4</v>
      </c>
      <c r="E7" s="8">
        <f>IF($A7=E$1,0,IF(SUM(IMshareM!E$2:E$78)-IMshareM!E$5&gt;0,IMshareM!E7/(SUM(IMshareM!E$2:E$78)-IMshareM!E$5),0))</f>
        <v>1.1105342946319521E-3</v>
      </c>
      <c r="F7" s="8">
        <f>IF($A7=F$1,0,IF(SUM(IMshareM!F$2:F$78)-IMshareM!F$6&gt;0,IMshareM!F7/(SUM(IMshareM!F$2:F$78)-IMshareM!F$6),0))</f>
        <v>0</v>
      </c>
      <c r="G7" s="8">
        <f>IF($A7=G$1,0,IF(SUM(IMshareM!G$2:G$78)-IMshareM!G$7&gt;0,IMshareM!G7/(SUM(IMshareM!G$2:G$78)-IMshareM!G$7),0))</f>
        <v>0</v>
      </c>
      <c r="H7" s="8">
        <f>IF($A7=H$1,0,IF(SUM(IMshareM!H$2:H$78)-IMshareM!H$8&gt;0,IMshareM!H7/(SUM(IMshareM!H$2:H$78)-IMshareM!H$8),0))</f>
        <v>5.5562423599918027E-4</v>
      </c>
      <c r="I7" s="8">
        <f>IF($A7=I$1,0,IF(SUM(IMshareM!I$2:I$78)-IMshareM!I$9&gt;0,IMshareM!I7/(SUM(IMshareM!I$2:I$78)-IMshareM!I$9),0))</f>
        <v>2.0073776953598391E-4</v>
      </c>
      <c r="J7" s="8">
        <f>IF($A7=J$1,0,IF(SUM(IMshareM!J$2:J$78)-IMshareM!J$10&gt;0,IMshareM!J7/(SUM(IMshareM!J$2:J$78)-IMshareM!J$10),0))</f>
        <v>0</v>
      </c>
      <c r="K7" s="8">
        <f>IF($A7=K$1,0,IF(SUM(IMshareM!K$2:K$78)-IMshareM!K$11&gt;0,IMshareM!K7/(SUM(IMshareM!K$2:K$78)-IMshareM!K$11),0))</f>
        <v>5.91440162569903E-4</v>
      </c>
      <c r="L7" s="8">
        <f>IF($A7=L$1,0,IF(SUM(IMshareM!L$2:L$78)-IMshareM!L$12&gt;0,IMshareM!L7/(SUM(IMshareM!L$2:L$78)-IMshareM!L$12),0))</f>
        <v>4.9937413979032072E-4</v>
      </c>
      <c r="M7" s="8">
        <f>IF($A7=M$1,0,IF(SUM(IMshareM!M$2:M$78)-IMshareM!M$13&gt;0,IMshareM!M7/(SUM(IMshareM!M$2:M$78)-IMshareM!M$13),0))</f>
        <v>2.1427794645763647E-5</v>
      </c>
      <c r="N7" s="8">
        <f>IF($A7=N$1,0,IF(SUM(IMshareM!N$2:N$78)-IMshareM!N$14&gt;0,IMshareM!N7/(SUM(IMshareM!N$2:N$78)-IMshareM!N$14),0))</f>
        <v>1.3098605032658311E-3</v>
      </c>
      <c r="O7" s="8">
        <f>IF($A7=O$1,0,IF(SUM(IMshareM!O$2:O$78)-IMshareM!O$15&gt;0,IMshareM!O7/(SUM(IMshareM!O$2:O$78)-IMshareM!O$15),0))</f>
        <v>0</v>
      </c>
      <c r="P7" s="8">
        <f>IF($A7=P$1,0,IF(SUM(IMshareM!P$2:P$78)-IMshareM!P$16&gt;0,IMshareM!P7/(SUM(IMshareM!P$2:P$78)-IMshareM!P$16),0))</f>
        <v>0</v>
      </c>
      <c r="Q7" s="8">
        <f>IF($A7=Q$1,0,IF(SUM(IMshareM!Q$2:Q$78)-IMshareM!Q$17&gt;0,IMshareM!Q7/(SUM(IMshareM!Q$2:Q$78)-IMshareM!Q$17),0))</f>
        <v>3.2774726240199426E-4</v>
      </c>
      <c r="R7" s="8">
        <f>IF($A7=R$1,0,IF(SUM(IMshareM!R$2:R$78)-IMshareM!R$18&gt;0,IMshareM!R7/(SUM(IMshareM!R$2:R$78)-IMshareM!R$18),0))</f>
        <v>2.5040152564187535E-3</v>
      </c>
      <c r="S7" s="8">
        <f>IF($A7=S$1,0,IF(SUM(IMshareM!S$2:S$78)-IMshareM!S$19&gt;0,IMshareM!S7/(SUM(IMshareM!S$2:S$78)-IMshareM!S$19),0))</f>
        <v>6.7743592705336449E-5</v>
      </c>
      <c r="T7" s="8">
        <f>IF($A7=T$1,0,IF(SUM(IMshareM!T$2:T$78)-IMshareM!T$20&gt;0,IMshareM!T7/(SUM(IMshareM!T$2:T$78)-IMshareM!T$20),0))</f>
        <v>9.2265250031906051E-3</v>
      </c>
      <c r="U7" s="8">
        <f>IF($A7=U$1,0,IF(SUM(IMshareM!U$2:U$78)-IMshareM!U$21&gt;0,IMshareM!U7/(SUM(IMshareM!U$2:U$78)-IMshareM!U$21),0))</f>
        <v>2.6940533010018563E-3</v>
      </c>
      <c r="V7" s="8">
        <f>IF($A7=V$1,0,IF(SUM(IMshareM!V$2:V$78)-IMshareM!V$22&gt;0,IMshareM!V7/(SUM(IMshareM!V$2:V$78)-IMshareM!V$22),0))</f>
        <v>9.7469819602610688E-4</v>
      </c>
      <c r="W7" s="8">
        <f>IF($A7=W$1,0,IF(SUM(IMshareM!W$2:W$78)-IMshareM!W$23&gt;0,IMshareM!W7/(SUM(IMshareM!W$2:W$78)-IMshareM!W$23),0))</f>
        <v>1.4351920479482741E-3</v>
      </c>
      <c r="X7" s="8">
        <f>IF($A7=X$1,0,IF(SUM(IMshareM!X$2:X$78)-IMshareM!X$24&gt;0,IMshareM!X7/(SUM(IMshareM!X$2:X$78)-IMshareM!X$24),0))</f>
        <v>9.3515328874768579E-4</v>
      </c>
      <c r="Y7" s="8">
        <f>IF($A7=Y$1,0,IF(SUM(IMshareM!Y$2:Y$78)-IMshareM!Y$25&gt;0,IMshareM!Y7/(SUM(IMshareM!Y$2:Y$78)-IMshareM!Y$25),0))</f>
        <v>1.3716877977266533E-3</v>
      </c>
      <c r="Z7" s="8">
        <f>IF($A7=Z$1,0,IF(SUM(IMshareM!Z$2:Z$78)-IMshareM!Z$26&gt;0,IMshareM!Z7/(SUM(IMshareM!Z$2:Z$78)-IMshareM!Z$26),0))</f>
        <v>5.618933295789357E-4</v>
      </c>
      <c r="AA7" s="8">
        <f>IF($A7=AA$1,0,IF(SUM(IMshareM!AA$2:AA$78)-IMshareM!AA$27&gt;0,IMshareM!AA7/(SUM(IMshareM!AA$2:AA$78)-IMshareM!AA$27),0))</f>
        <v>1.1825351807924335E-3</v>
      </c>
      <c r="AB7" s="8">
        <f>IF($A7=AB$1,0,IF(SUM(IMshareM!AB$2:AB$78)-IMshareM!AB$28&gt;0,IMshareM!AB7/(SUM(IMshareM!AB$2:AB$78)-IMshareM!AB$28),0))</f>
        <v>1.6598592976253242E-3</v>
      </c>
      <c r="AC7" s="8">
        <f>IF($A7=AC$1,0,IF(SUM(IMshareM!AC$2:AC$78)-IMshareM!AC$29&gt;0,IMshareM!AC7/(SUM(IMshareM!AC$2:AC$78)-IMshareM!AC$29),0))</f>
        <v>7.0131164275719941E-3</v>
      </c>
      <c r="AD7" s="8">
        <f>IF($A7=AD$1,0,IF(SUM(IMshareM!AD$2:AD$78)-IMshareM!AD$30&gt;0,IMshareM!AD7/(SUM(IMshareM!AD$2:AD$78)-IMshareM!AD$30),0))</f>
        <v>1.6877411152241669E-5</v>
      </c>
      <c r="AE7" s="8">
        <f>IF($A7=AE$1,0,IF(SUM(IMshareM!AE$2:AE$78)-IMshareM!AE$31&gt;0,IMshareM!AE7/(SUM(IMshareM!AE$2:AE$78)-IMshareM!AE$31),0))</f>
        <v>6.5226708467519448E-5</v>
      </c>
      <c r="AF7" s="8">
        <f>IF($A7=AF$1,0,IF(SUM(IMshareM!AF$2:AF$78)-IMshareM!AF$32&gt;0,IMshareM!AF7/(SUM(IMshareM!AF$2:AF$78)-IMshareM!AF$32),0))</f>
        <v>1.4183753910322366E-5</v>
      </c>
      <c r="AG7" s="8">
        <f>IF($A7=AG$1,0,IF(SUM(IMshareM!AG$2:AG$78)-IMshareM!AG$33&gt;0,IMshareM!AG7/(SUM(IMshareM!AG$2:AG$78)-IMshareM!AG$33),0))</f>
        <v>4.0203646417077825E-5</v>
      </c>
      <c r="AH7" s="8">
        <f>IF($A7=AH$1,0,IF(SUM(IMshareM!AH$2:AH$78)-IMshareM!AH$34&gt;0,IMshareM!AH7/(SUM(IMshareM!AH$2:AH$78)-IMshareM!AH$34),0))</f>
        <v>9.7976183411942574E-5</v>
      </c>
      <c r="AI7" s="8">
        <f>IF($A7=AI$1,0,IF(SUM(IMshareM!AI$2:AI$78)-IMshareM!AI$35&gt;0,IMshareM!AI7/(SUM(IMshareM!AI$2:AI$78)-IMshareM!AI$35),0))</f>
        <v>1.9246937664819832E-4</v>
      </c>
      <c r="AJ7" s="8">
        <f>IF($A7=AJ$1,0,IF(SUM(IMshareM!AJ$2:AJ$78)-IMshareM!AJ$36&gt;0,IMshareM!AJ7/(SUM(IMshareM!AJ$2:AJ$78)-IMshareM!AJ$36),0))</f>
        <v>1.0765203945788684E-3</v>
      </c>
      <c r="AK7" s="8">
        <f>IF($A7=AK$1,0,IF(SUM(IMshareM!AK$2:AK$78)-IMshareM!AK$37&gt;0,IMshareM!AK7/(SUM(IMshareM!AK$2:AK$78)-IMshareM!AK$37),0))</f>
        <v>7.5857198946074935E-5</v>
      </c>
      <c r="AL7" s="8">
        <f>IF($A7=AL$1,0,IF(SUM(IMshareM!AL$2:AL$78)-IMshareM!AL$38&gt;0,IMshareM!AL7/(SUM(IMshareM!AL$2:AL$78)-IMshareM!AL$38),0))</f>
        <v>1.0725604455920192E-2</v>
      </c>
      <c r="AM7" s="8">
        <f>IF($A7=AM$1,0,IF(SUM(IMshareM!AM$2:AM$78)-IMshareM!AM$39&gt;0,IMshareM!AM7/(SUM(IMshareM!AM$2:AM$78)-IMshareM!AM$39),0))</f>
        <v>3.6631808497775972E-4</v>
      </c>
      <c r="AN7" s="8">
        <f>IF($A7=AN$1,0,IF(SUM(IMshareM!AN$2:AN$78)-IMshareM!AN$40&gt;0,IMshareM!AN7/(SUM(IMshareM!AN$2:AN$78)-IMshareM!AN$40),0))</f>
        <v>3.0991777382862834E-4</v>
      </c>
      <c r="AO7" s="8">
        <f>IF($A7=AO$1,0,IF(SUM(IMshareM!AO$2:AO$78)-IMshareM!AO$41&gt;0,IMshareM!AO7/(SUM(IMshareM!AO$2:AO$78)-IMshareM!AO$41),0))</f>
        <v>1.1629154853223737E-3</v>
      </c>
      <c r="AP7" s="8">
        <f>IF($A7=AP$1,0,IF(SUM(IMshareM!AP$2:AP$78)-IMshareM!AP$42&gt;0,IMshareM!AP7/(SUM(IMshareM!AP$2:AP$78)-IMshareM!AP$42),0))</f>
        <v>0</v>
      </c>
      <c r="AQ7" s="8">
        <f>IF($A7=AQ$1,0,IF(SUM(IMshareM!AQ$2:AQ$78)-IMshareM!AQ$43&gt;0,IMshareM!AQ7/(SUM(IMshareM!AQ$2:AQ$78)-IMshareM!AQ$43),0))</f>
        <v>2.4057769517187651E-4</v>
      </c>
      <c r="AR7" s="8">
        <f>IF($A7=AR$1,0,IF(SUM(IMshareM!AR$2:AR$78)-IMshareM!AR$44&gt;0,IMshareM!AR7/(SUM(IMshareM!AR$2:AR$78)-IMshareM!AR$44),0))</f>
        <v>0</v>
      </c>
      <c r="AS7" s="8">
        <f>IF($A7=AS$1,0,IF(SUM(IMshareM!AS$2:AS$78)-IMshareM!AS$45&gt;0,IMshareM!AS7/(SUM(IMshareM!AS$2:AS$78)-IMshareM!AS$45),0))</f>
        <v>2.0799081371023954E-4</v>
      </c>
      <c r="AT7" s="8">
        <f>IF($A7=AT$1,0,IF(SUM(IMshareM!AT$2:AT$78)-IMshareM!AT$46&gt;0,IMshareM!AT7/(SUM(IMshareM!AT$2:AT$78)-IMshareM!AT$46),0))</f>
        <v>5.5473828526248242E-5</v>
      </c>
      <c r="AU7" s="8">
        <f>IF($A7=AU$1,0,IF(SUM(IMshareM!AU$2:AU$78)-IMshareM!AU$47&gt;0,IMshareM!AU7/(SUM(IMshareM!AU$2:AU$78)-IMshareM!AU$47),0))</f>
        <v>8.3784427835578658E-4</v>
      </c>
      <c r="AV7" s="8">
        <f>IF($A7=AV$1,0,IF(SUM(IMshareM!AV$2:AV$78)-IMshareM!AV$48&gt;0,IMshareM!AV7/(SUM(IMshareM!AV$2:AV$78)-IMshareM!AV$48),0))</f>
        <v>1.3712921581963484E-4</v>
      </c>
      <c r="AW7" s="8">
        <f>IF($A7=AW$1,0,IF(SUM(IMshareM!AW$2:AW$78)-IMshareM!AW$49&gt;0,IMshareM!AW7/(SUM(IMshareM!AW$2:AW$78)-IMshareM!AW$49),0))</f>
        <v>4.6655517059391749E-5</v>
      </c>
      <c r="AX7" s="8">
        <f>IF($A7=AX$1,0,IF(SUM(IMshareM!AX$2:AX$78)-IMshareM!AX$50&gt;0,IMshareM!AX7/(SUM(IMshareM!AX$2:AX$78)-IMshareM!AX$50),0))</f>
        <v>0</v>
      </c>
      <c r="AY7" s="8">
        <f>IF($A7=AY$1,0,IF(SUM(IMshareM!AY$2:AY$78)-IMshareM!AY$51&gt;0,IMshareM!AY7/(SUM(IMshareM!AY$2:AY$78)-IMshareM!AY$51),0))</f>
        <v>0</v>
      </c>
      <c r="AZ7" s="8">
        <f>IF($A7=AZ$1,0,IF(SUM(IMshareM!AZ$2:AZ$78)-IMshareM!AZ$52&gt;0,IMshareM!AZ7/(SUM(IMshareM!AZ$2:AZ$78)-IMshareM!AZ$52),0))</f>
        <v>1.7723337415499605E-4</v>
      </c>
      <c r="BA7" s="8">
        <f>IF($A7=BA$1,0,IF(SUM(IMshareM!BA$2:BA$78)-IMshareM!BA$53&gt;0,IMshareM!BA7/(SUM(IMshareM!BA$2:BA$78)-IMshareM!BA$53),0))</f>
        <v>0</v>
      </c>
      <c r="BB7" s="8">
        <f>IF($A7=BB$1,0,IF(SUM(IMshareM!BB$2:BB$78)-IMshareM!BB$54&gt;0,IMshareM!BB7/(SUM(IMshareM!BB$2:BB$78)-IMshareM!BB$54),0))</f>
        <v>3.4527980188358322E-3</v>
      </c>
      <c r="BC7" s="8">
        <f>IF($A7=BC$1,0,IF(SUM(IMshareM!BC$2:BC$78)-IMshareM!BC$55&gt;0,IMshareM!BC7/(SUM(IMshareM!BC$2:BC$78)-IMshareM!BC$55),0))</f>
        <v>1.390256204990223E-2</v>
      </c>
      <c r="BD7" s="8">
        <f>IF($A7=BD$1,0,IF(SUM(IMshareM!BD$2:BD$78)-IMshareM!BD$56&gt;0,IMshareM!BD7/(SUM(IMshareM!BD$2:BD$78)-IMshareM!BD$56),0))</f>
        <v>1.4434841321626748E-3</v>
      </c>
      <c r="BE7" s="8">
        <f>IF($A7=BE$1,0,IF(SUM(IMshareM!BE$2:BE$78)-IMshareM!BE$57&gt;0,IMshareM!BE7/(SUM(IMshareM!BE$2:BE$78)-IMshareM!BE$57),0))</f>
        <v>3.360760871865534E-6</v>
      </c>
      <c r="BF7" s="8">
        <f>IF($A7=BF$1,0,IF(SUM(IMshareM!BF$2:BF$78)-IMshareM!BF$58&gt;0,IMshareM!BF7/(SUM(IMshareM!BF$2:BF$78)-IMshareM!BF$58),0))</f>
        <v>3.8196655480235152E-5</v>
      </c>
      <c r="BG7" s="8">
        <f>IF($A7=BG$1,0,IF(SUM(IMshareM!BG$2:BG$78)-IMshareM!BG$59&gt;0,IMshareM!BG7/(SUM(IMshareM!BG$2:BG$78)-IMshareM!BG$59),0))</f>
        <v>6.5844957697840223E-5</v>
      </c>
      <c r="BH7" s="8">
        <f>IF($A7=BH$1,0,IF(SUM(IMshareM!BH$2:BH$78)-IMshareM!BH$60&gt;0,IMshareM!BH7/(SUM(IMshareM!BH$2:BH$78)-IMshareM!BH$60),0))</f>
        <v>1.0454145756953661E-3</v>
      </c>
      <c r="BI7" s="8">
        <f>IF($A7=BI$1,0,IF(SUM(IMshareM!BI$2:BI$78)-IMshareM!BI$61&gt;0,IMshareM!BI7/(SUM(IMshareM!BI$2:BI$78)-IMshareM!BI$61),0))</f>
        <v>1.5119994473158587E-5</v>
      </c>
      <c r="BJ7" s="8">
        <f>IF($A7=BJ$1,0,IF(SUM(IMshareM!BJ$2:BJ$78)-IMshareM!BJ$62&gt;0,IMshareM!BJ7/(SUM(IMshareM!BJ$2:BJ$78)-IMshareM!BJ$62),0))</f>
        <v>9.2290464426799865E-4</v>
      </c>
      <c r="BK7" s="8">
        <f>IF($A7=BK$1,0,IF(SUM(IMshareM!BK$2:BK$78)-IMshareM!BK$63&gt;0,IMshareM!BK7/(SUM(IMshareM!BK$2:BK$78)-IMshareM!BK$63),0))</f>
        <v>3.3747179786714106E-3</v>
      </c>
      <c r="BL7" s="8">
        <f>IF($A7=BL$1,0,IF(SUM(IMshareM!BL$2:BL$78)-IMshareM!BL$64&gt;0,IMshareM!BL7/(SUM(IMshareM!BL$2:BL$78)-IMshareM!BL$64),0))</f>
        <v>1.9131237442504171E-4</v>
      </c>
      <c r="BM7" s="8">
        <f>IF($A7=BM$1,0,IF(SUM(IMshareM!BM$2:BM$78)-IMshareM!BM$65&gt;0,IMshareM!BM7/(SUM(IMshareM!BM$2:BM$78)-IMshareM!BM$65),0))</f>
        <v>0</v>
      </c>
      <c r="BN7" s="8">
        <f>IF($A7=BN$1,0,IF(SUM(IMshareM!BN$2:BN$78)-IMshareM!BN$66&gt;0,IMshareM!BN7/(SUM(IMshareM!BN$2:BN$78)-IMshareM!BN$66),0))</f>
        <v>2.6764433178030602E-4</v>
      </c>
      <c r="BO7" s="8">
        <f>IF($A7=BO$1,0,IF(SUM(IMshareM!BO$2:BO$78)-IMshareM!BO$67&gt;0,IMshareM!BO7/(SUM(IMshareM!BO$2:BO$78)-IMshareM!BO$67),0))</f>
        <v>7.5919151151030903E-4</v>
      </c>
      <c r="BP7" s="8">
        <f>IF($A7=BP$1,0,IF(SUM(IMshareM!BP$2:BP$78)-IMshareM!BP$68&gt;0,IMshareM!BP7/(SUM(IMshareM!BP$2:BP$78)-IMshareM!BP$68),0))</f>
        <v>4.0564938533839943E-4</v>
      </c>
      <c r="BQ7" s="8">
        <f>IF($A7=BQ$1,0,IF(SUM(IMshareM!BQ$2:BQ$78)-IMshareM!BQ$69&gt;0,IMshareM!BQ7/(SUM(IMshareM!BQ$2:BQ$78)-IMshareM!BQ$69),0))</f>
        <v>3.0556023632369902E-4</v>
      </c>
      <c r="BR7" s="8">
        <f>IF($A7=BR$1,0,IF(SUM(IMshareM!BR$2:BR$78)-IMshareM!BR$70&gt;0,IMshareM!BR7/(SUM(IMshareM!BR$2:BR$78)-IMshareM!BR$70),0))</f>
        <v>2.3630789460676955E-4</v>
      </c>
      <c r="BS7" s="8">
        <f>IF($A7=BS$1,0,IF(SUM(IMshareM!BS$2:BS$78)-IMshareM!BS$71&gt;0,IMshareM!BS7/(SUM(IMshareM!BS$2:BS$78)-IMshareM!BS$71),0))</f>
        <v>2.5945830551971473E-3</v>
      </c>
      <c r="BT7" s="8">
        <f>IF($A7=BT$1,0,IF(SUM(IMshareM!BT$2:BT$78)-IMshareM!BT$72&gt;0,IMshareM!BT7/(SUM(IMshareM!BT$2:BT$78)-IMshareM!BT$72),0))</f>
        <v>2.193810164951807E-3</v>
      </c>
      <c r="BU7" s="8">
        <f>IF($A7=BU$1,0,IF(SUM(IMshareM!BU$2:BU$78)-IMshareM!BU$73&gt;0,IMshareM!BU7/(SUM(IMshareM!BU$2:BU$78)-IMshareM!BU$73),0))</f>
        <v>5.8363297304996715E-4</v>
      </c>
      <c r="BV7" s="8">
        <f>IF($A7=BV$1,0,IF(SUM(IMshareM!BV$2:BV$78)-IMshareM!BV$74&gt;0,IMshareM!BV7/(SUM(IMshareM!BV$2:BV$78)-IMshareM!BV$74),0))</f>
        <v>3.083139394473577E-3</v>
      </c>
      <c r="BW7" s="8">
        <f>IF($A7=BW$1,0,IF(SUM(IMshareM!BW$2:BW$78)-IMshareM!BW$75&gt;0,IMshareM!BW7/(SUM(IMshareM!BW$2:BW$78)-IMshareM!BW$75),0))</f>
        <v>1.3772679309462726E-4</v>
      </c>
      <c r="BX7" s="8">
        <f>IF($A7=BX$1,0,IF(SUM(IMshareM!BX$2:BX$78)-IMshareM!BX$76&gt;0,IMshareM!BX7/(SUM(IMshareM!BX$2:BX$78)-IMshareM!BX$76),0))</f>
        <v>1.2235208825862407E-4</v>
      </c>
      <c r="BY7" s="8">
        <f>IF($A7=BY$1,0,IF(SUM(IMshareM!BY$2:BY$78)-IMshareM!BY$77&gt;0,IMshareM!BY7/(SUM(IMshareM!BY$2:BY$78)-IMshareM!BY$77),0))</f>
        <v>5.1073447066829719E-4</v>
      </c>
      <c r="BZ7" s="8">
        <f>IF($A7=BZ$1,0,IF(SUM(IMshareM!BZ$2:BZ$78)-IMshareM!BZ$78&gt;0,IMshareM!BZ7/(SUM(IMshareM!BZ$2:BZ$78)-IMshareM!BZ$78),0))</f>
        <v>6.0268361819872389E-4</v>
      </c>
    </row>
    <row r="8" spans="1:78">
      <c r="A8" s="4" t="s">
        <v>83</v>
      </c>
      <c r="B8" s="8">
        <f>IF($A8=B$1,0,IF(SUM(IMshareM!B$2:B$78)-IMshareM!B$2&gt;0,IMshareM!B8/(SUM(IMshareM!B$2:B$78)-IMshareM!B$2),0))</f>
        <v>0</v>
      </c>
      <c r="C8" s="8">
        <f>IF($A8=C$1,0,IF(SUM(IMshareM!C$2:C$78)-IMshareM!C$3&gt;0,IMshareM!C8/(SUM(IMshareM!C$2:C$78)-IMshareM!C$3),0))</f>
        <v>0</v>
      </c>
      <c r="D8" s="8">
        <f>IF($A8=D$1,0,IF(SUM(IMshareM!D$2:D$78)-IMshareM!D$4&gt;0,IMshareM!D8/(SUM(IMshareM!D$2:D$78)-IMshareM!D$4),0))</f>
        <v>1.0804631175003933E-4</v>
      </c>
      <c r="E8" s="8">
        <f>IF($A8=E$1,0,IF(SUM(IMshareM!E$2:E$78)-IMshareM!E$5&gt;0,IMshareM!E8/(SUM(IMshareM!E$2:E$78)-IMshareM!E$5),0))</f>
        <v>0</v>
      </c>
      <c r="F8" s="8">
        <f>IF($A8=F$1,0,IF(SUM(IMshareM!F$2:F$78)-IMshareM!F$6&gt;0,IMshareM!F8/(SUM(IMshareM!F$2:F$78)-IMshareM!F$6),0))</f>
        <v>0</v>
      </c>
      <c r="G8" s="8">
        <f>IF($A8=G$1,0,IF(SUM(IMshareM!G$2:G$78)-IMshareM!G$7&gt;0,IMshareM!G8/(SUM(IMshareM!G$2:G$78)-IMshareM!G$7),0))</f>
        <v>3.1175634667234947E-4</v>
      </c>
      <c r="H8" s="8">
        <f>IF($A8=H$1,0,IF(SUM(IMshareM!H$2:H$78)-IMshareM!H$8&gt;0,IMshareM!H8/(SUM(IMshareM!H$2:H$78)-IMshareM!H$8),0))</f>
        <v>0</v>
      </c>
      <c r="I8" s="8">
        <f>IF($A8=I$1,0,IF(SUM(IMshareM!I$2:I$78)-IMshareM!I$9&gt;0,IMshareM!I8/(SUM(IMshareM!I$2:I$78)-IMshareM!I$9),0))</f>
        <v>5.5985314074401386E-6</v>
      </c>
      <c r="J8" s="8">
        <f>IF($A8=J$1,0,IF(SUM(IMshareM!J$2:J$78)-IMshareM!J$10&gt;0,IMshareM!J8/(SUM(IMshareM!J$2:J$78)-IMshareM!J$10),0))</f>
        <v>0</v>
      </c>
      <c r="K8" s="8">
        <f>IF($A8=K$1,0,IF(SUM(IMshareM!K$2:K$78)-IMshareM!K$11&gt;0,IMshareM!K8/(SUM(IMshareM!K$2:K$78)-IMshareM!K$11),0))</f>
        <v>0</v>
      </c>
      <c r="L8" s="8">
        <f>IF($A8=L$1,0,IF(SUM(IMshareM!L$2:L$78)-IMshareM!L$12&gt;0,IMshareM!L8/(SUM(IMshareM!L$2:L$78)-IMshareM!L$12),0))</f>
        <v>8.9727886301822319E-6</v>
      </c>
      <c r="M8" s="8">
        <f>IF($A8=M$1,0,IF(SUM(IMshareM!M$2:M$78)-IMshareM!M$13&gt;0,IMshareM!M8/(SUM(IMshareM!M$2:M$78)-IMshareM!M$13),0))</f>
        <v>0</v>
      </c>
      <c r="N8" s="8">
        <f>IF($A8=N$1,0,IF(SUM(IMshareM!N$2:N$78)-IMshareM!N$14&gt;0,IMshareM!N8/(SUM(IMshareM!N$2:N$78)-IMshareM!N$14),0))</f>
        <v>5.4897373578987401E-6</v>
      </c>
      <c r="O8" s="8">
        <f>IF($A8=O$1,0,IF(SUM(IMshareM!O$2:O$78)-IMshareM!O$15&gt;0,IMshareM!O8/(SUM(IMshareM!O$2:O$78)-IMshareM!O$15),0))</f>
        <v>0</v>
      </c>
      <c r="P8" s="8">
        <f>IF($A8=P$1,0,IF(SUM(IMshareM!P$2:P$78)-IMshareM!P$16&gt;0,IMshareM!P8/(SUM(IMshareM!P$2:P$78)-IMshareM!P$16),0))</f>
        <v>0</v>
      </c>
      <c r="Q8" s="8">
        <f>IF($A8=Q$1,0,IF(SUM(IMshareM!Q$2:Q$78)-IMshareM!Q$17&gt;0,IMshareM!Q8/(SUM(IMshareM!Q$2:Q$78)-IMshareM!Q$17),0))</f>
        <v>0</v>
      </c>
      <c r="R8" s="8">
        <f>IF($A8=R$1,0,IF(SUM(IMshareM!R$2:R$78)-IMshareM!R$18&gt;0,IMshareM!R8/(SUM(IMshareM!R$2:R$78)-IMshareM!R$18),0))</f>
        <v>0</v>
      </c>
      <c r="S8" s="8">
        <f>IF($A8=S$1,0,IF(SUM(IMshareM!S$2:S$78)-IMshareM!S$19&gt;0,IMshareM!S8/(SUM(IMshareM!S$2:S$78)-IMshareM!S$19),0))</f>
        <v>0</v>
      </c>
      <c r="T8" s="8">
        <f>IF($A8=T$1,0,IF(SUM(IMshareM!T$2:T$78)-IMshareM!T$20&gt;0,IMshareM!T8/(SUM(IMshareM!T$2:T$78)-IMshareM!T$20),0))</f>
        <v>4.4426793958224189E-5</v>
      </c>
      <c r="U8" s="8">
        <f>IF($A8=U$1,0,IF(SUM(IMshareM!U$2:U$78)-IMshareM!U$21&gt;0,IMshareM!U8/(SUM(IMshareM!U$2:U$78)-IMshareM!U$21),0))</f>
        <v>2.7868122994045336E-6</v>
      </c>
      <c r="V8" s="8">
        <f>IF($A8=V$1,0,IF(SUM(IMshareM!V$2:V$78)-IMshareM!V$22&gt;0,IMshareM!V8/(SUM(IMshareM!V$2:V$78)-IMshareM!V$22),0))</f>
        <v>0</v>
      </c>
      <c r="W8" s="8">
        <f>IF($A8=W$1,0,IF(SUM(IMshareM!W$2:W$78)-IMshareM!W$23&gt;0,IMshareM!W8/(SUM(IMshareM!W$2:W$78)-IMshareM!W$23),0))</f>
        <v>0</v>
      </c>
      <c r="X8" s="8">
        <f>IF($A8=X$1,0,IF(SUM(IMshareM!X$2:X$78)-IMshareM!X$24&gt;0,IMshareM!X8/(SUM(IMshareM!X$2:X$78)-IMshareM!X$24),0))</f>
        <v>0</v>
      </c>
      <c r="Y8" s="8">
        <f>IF($A8=Y$1,0,IF(SUM(IMshareM!Y$2:Y$78)-IMshareM!Y$25&gt;0,IMshareM!Y8/(SUM(IMshareM!Y$2:Y$78)-IMshareM!Y$25),0))</f>
        <v>1.4039627722543282E-5</v>
      </c>
      <c r="Z8" s="8">
        <f>IF($A8=Z$1,0,IF(SUM(IMshareM!Z$2:Z$78)-IMshareM!Z$26&gt;0,IMshareM!Z8/(SUM(IMshareM!Z$2:Z$78)-IMshareM!Z$26),0))</f>
        <v>6.0314349382536246E-7</v>
      </c>
      <c r="AA8" s="8">
        <f>IF($A8=AA$1,0,IF(SUM(IMshareM!AA$2:AA$78)-IMshareM!AA$27&gt;0,IMshareM!AA8/(SUM(IMshareM!AA$2:AA$78)-IMshareM!AA$27),0))</f>
        <v>0</v>
      </c>
      <c r="AB8" s="8">
        <f>IF($A8=AB$1,0,IF(SUM(IMshareM!AB$2:AB$78)-IMshareM!AB$28&gt;0,IMshareM!AB8/(SUM(IMshareM!AB$2:AB$78)-IMshareM!AB$28),0))</f>
        <v>0</v>
      </c>
      <c r="AC8" s="8">
        <f>IF($A8=AC$1,0,IF(SUM(IMshareM!AC$2:AC$78)-IMshareM!AC$29&gt;0,IMshareM!AC8/(SUM(IMshareM!AC$2:AC$78)-IMshareM!AC$29),0))</f>
        <v>0</v>
      </c>
      <c r="AD8" s="8">
        <f>IF($A8=AD$1,0,IF(SUM(IMshareM!AD$2:AD$78)-IMshareM!AD$30&gt;0,IMshareM!AD8/(SUM(IMshareM!AD$2:AD$78)-IMshareM!AD$30),0))</f>
        <v>0</v>
      </c>
      <c r="AE8" s="8">
        <f>IF($A8=AE$1,0,IF(SUM(IMshareM!AE$2:AE$78)-IMshareM!AE$31&gt;0,IMshareM!AE8/(SUM(IMshareM!AE$2:AE$78)-IMshareM!AE$31),0))</f>
        <v>0</v>
      </c>
      <c r="AF8" s="8">
        <f>IF($A8=AF$1,0,IF(SUM(IMshareM!AF$2:AF$78)-IMshareM!AF$32&gt;0,IMshareM!AF8/(SUM(IMshareM!AF$2:AF$78)-IMshareM!AF$32),0))</f>
        <v>2.7427258971864542E-5</v>
      </c>
      <c r="AG8" s="8">
        <f>IF($A8=AG$1,0,IF(SUM(IMshareM!AG$2:AG$78)-IMshareM!AG$33&gt;0,IMshareM!AG8/(SUM(IMshareM!AG$2:AG$78)-IMshareM!AG$33),0))</f>
        <v>4.0764043314984694E-5</v>
      </c>
      <c r="AH8" s="8">
        <f>IF($A8=AH$1,0,IF(SUM(IMshareM!AH$2:AH$78)-IMshareM!AH$34&gt;0,IMshareM!AH8/(SUM(IMshareM!AH$2:AH$78)-IMshareM!AH$34),0))</f>
        <v>0</v>
      </c>
      <c r="AI8" s="8">
        <f>IF($A8=AI$1,0,IF(SUM(IMshareM!AI$2:AI$78)-IMshareM!AI$35&gt;0,IMshareM!AI8/(SUM(IMshareM!AI$2:AI$78)-IMshareM!AI$35),0))</f>
        <v>1.1285797748863572E-5</v>
      </c>
      <c r="AJ8" s="8">
        <f>IF($A8=AJ$1,0,IF(SUM(IMshareM!AJ$2:AJ$78)-IMshareM!AJ$36&gt;0,IMshareM!AJ8/(SUM(IMshareM!AJ$2:AJ$78)-IMshareM!AJ$36),0))</f>
        <v>0</v>
      </c>
      <c r="AK8" s="8">
        <f>IF($A8=AK$1,0,IF(SUM(IMshareM!AK$2:AK$78)-IMshareM!AK$37&gt;0,IMshareM!AK8/(SUM(IMshareM!AK$2:AK$78)-IMshareM!AK$37),0))</f>
        <v>0</v>
      </c>
      <c r="AL8" s="8">
        <f>IF($A8=AL$1,0,IF(SUM(IMshareM!AL$2:AL$78)-IMshareM!AL$38&gt;0,IMshareM!AL8/(SUM(IMshareM!AL$2:AL$78)-IMshareM!AL$38),0))</f>
        <v>3.9791208325181486E-6</v>
      </c>
      <c r="AM8" s="8">
        <f>IF($A8=AM$1,0,IF(SUM(IMshareM!AM$2:AM$78)-IMshareM!AM$39&gt;0,IMshareM!AM8/(SUM(IMshareM!AM$2:AM$78)-IMshareM!AM$39),0))</f>
        <v>0</v>
      </c>
      <c r="AN8" s="8">
        <f>IF($A8=AN$1,0,IF(SUM(IMshareM!AN$2:AN$78)-IMshareM!AN$40&gt;0,IMshareM!AN8/(SUM(IMshareM!AN$2:AN$78)-IMshareM!AN$40),0))</f>
        <v>0</v>
      </c>
      <c r="AO8" s="8">
        <f>IF($A8=AO$1,0,IF(SUM(IMshareM!AO$2:AO$78)-IMshareM!AO$41&gt;0,IMshareM!AO8/(SUM(IMshareM!AO$2:AO$78)-IMshareM!AO$41),0))</f>
        <v>2.6615851345779128E-3</v>
      </c>
      <c r="AP8" s="8">
        <f>IF($A8=AP$1,0,IF(SUM(IMshareM!AP$2:AP$78)-IMshareM!AP$42&gt;0,IMshareM!AP8/(SUM(IMshareM!AP$2:AP$78)-IMshareM!AP$42),0))</f>
        <v>0</v>
      </c>
      <c r="AQ8" s="8">
        <f>IF($A8=AQ$1,0,IF(SUM(IMshareM!AQ$2:AQ$78)-IMshareM!AQ$43&gt;0,IMshareM!AQ8/(SUM(IMshareM!AQ$2:AQ$78)-IMshareM!AQ$43),0))</f>
        <v>2.1725811487234601E-6</v>
      </c>
      <c r="AR8" s="8">
        <f>IF($A8=AR$1,0,IF(SUM(IMshareM!AR$2:AR$78)-IMshareM!AR$44&gt;0,IMshareM!AR8/(SUM(IMshareM!AR$2:AR$78)-IMshareM!AR$44),0))</f>
        <v>0</v>
      </c>
      <c r="AS8" s="8">
        <f>IF($A8=AS$1,0,IF(SUM(IMshareM!AS$2:AS$78)-IMshareM!AS$45&gt;0,IMshareM!AS8/(SUM(IMshareM!AS$2:AS$78)-IMshareM!AS$45),0))</f>
        <v>5.9074838225908633E-3</v>
      </c>
      <c r="AT8" s="8">
        <f>IF($A8=AT$1,0,IF(SUM(IMshareM!AT$2:AT$78)-IMshareM!AT$46&gt;0,IMshareM!AT8/(SUM(IMshareM!AT$2:AT$78)-IMshareM!AT$46),0))</f>
        <v>0</v>
      </c>
      <c r="AU8" s="8">
        <f>IF($A8=AU$1,0,IF(SUM(IMshareM!AU$2:AU$78)-IMshareM!AU$47&gt;0,IMshareM!AU8/(SUM(IMshareM!AU$2:AU$78)-IMshareM!AU$47),0))</f>
        <v>9.1642589283033918E-4</v>
      </c>
      <c r="AV8" s="8">
        <f>IF($A8=AV$1,0,IF(SUM(IMshareM!AV$2:AV$78)-IMshareM!AV$48&gt;0,IMshareM!AV8/(SUM(IMshareM!AV$2:AV$78)-IMshareM!AV$48),0))</f>
        <v>0</v>
      </c>
      <c r="AW8" s="8">
        <f>IF($A8=AW$1,0,IF(SUM(IMshareM!AW$2:AW$78)-IMshareM!AW$49&gt;0,IMshareM!AW8/(SUM(IMshareM!AW$2:AW$78)-IMshareM!AW$49),0))</f>
        <v>0</v>
      </c>
      <c r="AX8" s="8">
        <f>IF($A8=AX$1,0,IF(SUM(IMshareM!AX$2:AX$78)-IMshareM!AX$50&gt;0,IMshareM!AX8/(SUM(IMshareM!AX$2:AX$78)-IMshareM!AX$50),0))</f>
        <v>5.086258926820327E-6</v>
      </c>
      <c r="AY8" s="8">
        <f>IF($A8=AY$1,0,IF(SUM(IMshareM!AY$2:AY$78)-IMshareM!AY$51&gt;0,IMshareM!AY8/(SUM(IMshareM!AY$2:AY$78)-IMshareM!AY$51),0))</f>
        <v>0</v>
      </c>
      <c r="AZ8" s="8">
        <f>IF($A8=AZ$1,0,IF(SUM(IMshareM!AZ$2:AZ$78)-IMshareM!AZ$52&gt;0,IMshareM!AZ8/(SUM(IMshareM!AZ$2:AZ$78)-IMshareM!AZ$52),0))</f>
        <v>0</v>
      </c>
      <c r="BA8" s="8">
        <f>IF($A8=BA$1,0,IF(SUM(IMshareM!BA$2:BA$78)-IMshareM!BA$53&gt;0,IMshareM!BA8/(SUM(IMshareM!BA$2:BA$78)-IMshareM!BA$53),0))</f>
        <v>0</v>
      </c>
      <c r="BB8" s="8">
        <f>IF($A8=BB$1,0,IF(SUM(IMshareM!BB$2:BB$78)-IMshareM!BB$54&gt;0,IMshareM!BB8/(SUM(IMshareM!BB$2:BB$78)-IMshareM!BB$54),0))</f>
        <v>0</v>
      </c>
      <c r="BC8" s="8">
        <f>IF($A8=BC$1,0,IF(SUM(IMshareM!BC$2:BC$78)-IMshareM!BC$55&gt;0,IMshareM!BC8/(SUM(IMshareM!BC$2:BC$78)-IMshareM!BC$55),0))</f>
        <v>4.9523722694678691E-6</v>
      </c>
      <c r="BD8" s="8">
        <f>IF($A8=BD$1,0,IF(SUM(IMshareM!BD$2:BD$78)-IMshareM!BD$56&gt;0,IMshareM!BD8/(SUM(IMshareM!BD$2:BD$78)-IMshareM!BD$56),0))</f>
        <v>0</v>
      </c>
      <c r="BE8" s="8">
        <f>IF($A8=BE$1,0,IF(SUM(IMshareM!BE$2:BE$78)-IMshareM!BE$57&gt;0,IMshareM!BE8/(SUM(IMshareM!BE$2:BE$78)-IMshareM!BE$57),0))</f>
        <v>0</v>
      </c>
      <c r="BF8" s="8">
        <f>IF($A8=BF$1,0,IF(SUM(IMshareM!BF$2:BF$78)-IMshareM!BF$58&gt;0,IMshareM!BF8/(SUM(IMshareM!BF$2:BF$78)-IMshareM!BF$58),0))</f>
        <v>0</v>
      </c>
      <c r="BG8" s="8">
        <f>IF($A8=BG$1,0,IF(SUM(IMshareM!BG$2:BG$78)-IMshareM!BG$59&gt;0,IMshareM!BG8/(SUM(IMshareM!BG$2:BG$78)-IMshareM!BG$59),0))</f>
        <v>0</v>
      </c>
      <c r="BH8" s="8">
        <f>IF($A8=BH$1,0,IF(SUM(IMshareM!BH$2:BH$78)-IMshareM!BH$60&gt;0,IMshareM!BH8/(SUM(IMshareM!BH$2:BH$78)-IMshareM!BH$60),0))</f>
        <v>2.4725584226393159E-6</v>
      </c>
      <c r="BI8" s="8">
        <f>IF($A8=BI$1,0,IF(SUM(IMshareM!BI$2:BI$78)-IMshareM!BI$61&gt;0,IMshareM!BI8/(SUM(IMshareM!BI$2:BI$78)-IMshareM!BI$61),0))</f>
        <v>0</v>
      </c>
      <c r="BJ8" s="8">
        <f>IF($A8=BJ$1,0,IF(SUM(IMshareM!BJ$2:BJ$78)-IMshareM!BJ$62&gt;0,IMshareM!BJ8/(SUM(IMshareM!BJ$2:BJ$78)-IMshareM!BJ$62),0))</f>
        <v>0</v>
      </c>
      <c r="BK8" s="8">
        <f>IF($A8=BK$1,0,IF(SUM(IMshareM!BK$2:BK$78)-IMshareM!BK$63&gt;0,IMshareM!BK8/(SUM(IMshareM!BK$2:BK$78)-IMshareM!BK$63),0))</f>
        <v>0</v>
      </c>
      <c r="BL8" s="8">
        <f>IF($A8=BL$1,0,IF(SUM(IMshareM!BL$2:BL$78)-IMshareM!BL$64&gt;0,IMshareM!BL8/(SUM(IMshareM!BL$2:BL$78)-IMshareM!BL$64),0))</f>
        <v>0</v>
      </c>
      <c r="BM8" s="8">
        <f>IF($A8=BM$1,0,IF(SUM(IMshareM!BM$2:BM$78)-IMshareM!BM$65&gt;0,IMshareM!BM8/(SUM(IMshareM!BM$2:BM$78)-IMshareM!BM$65),0))</f>
        <v>6.4506530246981591E-4</v>
      </c>
      <c r="BN8" s="8">
        <f>IF($A8=BN$1,0,IF(SUM(IMshareM!BN$2:BN$78)-IMshareM!BN$66&gt;0,IMshareM!BN8/(SUM(IMshareM!BN$2:BN$78)-IMshareM!BN$66),0))</f>
        <v>0</v>
      </c>
      <c r="BO8" s="8">
        <f>IF($A8=BO$1,0,IF(SUM(IMshareM!BO$2:BO$78)-IMshareM!BO$67&gt;0,IMshareM!BO8/(SUM(IMshareM!BO$2:BO$78)-IMshareM!BO$67),0))</f>
        <v>0</v>
      </c>
      <c r="BP8" s="8">
        <f>IF($A8=BP$1,0,IF(SUM(IMshareM!BP$2:BP$78)-IMshareM!BP$68&gt;0,IMshareM!BP8/(SUM(IMshareM!BP$2:BP$78)-IMshareM!BP$68),0))</f>
        <v>1.9491133359952006E-3</v>
      </c>
      <c r="BQ8" s="8">
        <f>IF($A8=BQ$1,0,IF(SUM(IMshareM!BQ$2:BQ$78)-IMshareM!BQ$69&gt;0,IMshareM!BQ8/(SUM(IMshareM!BQ$2:BQ$78)-IMshareM!BQ$69),0))</f>
        <v>0</v>
      </c>
      <c r="BR8" s="8">
        <f>IF($A8=BR$1,0,IF(SUM(IMshareM!BR$2:BR$78)-IMshareM!BR$70&gt;0,IMshareM!BR8/(SUM(IMshareM!BR$2:BR$78)-IMshareM!BR$70),0))</f>
        <v>0</v>
      </c>
      <c r="BS8" s="8">
        <f>IF($A8=BS$1,0,IF(SUM(IMshareM!BS$2:BS$78)-IMshareM!BS$71&gt;0,IMshareM!BS8/(SUM(IMshareM!BS$2:BS$78)-IMshareM!BS$71),0))</f>
        <v>0</v>
      </c>
      <c r="BT8" s="8">
        <f>IF($A8=BT$1,0,IF(SUM(IMshareM!BT$2:BT$78)-IMshareM!BT$72&gt;0,IMshareM!BT8/(SUM(IMshareM!BT$2:BT$78)-IMshareM!BT$72),0))</f>
        <v>7.1503737925919875E-7</v>
      </c>
      <c r="BU8" s="8">
        <f>IF($A8=BU$1,0,IF(SUM(IMshareM!BU$2:BU$78)-IMshareM!BU$73&gt;0,IMshareM!BU8/(SUM(IMshareM!BU$2:BU$78)-IMshareM!BU$73),0))</f>
        <v>0</v>
      </c>
      <c r="BV8" s="8">
        <f>IF($A8=BV$1,0,IF(SUM(IMshareM!BV$2:BV$78)-IMshareM!BV$74&gt;0,IMshareM!BV8/(SUM(IMshareM!BV$2:BV$78)-IMshareM!BV$74),0))</f>
        <v>3.9161162235107974E-3</v>
      </c>
      <c r="BW8" s="8">
        <f>IF($A8=BW$1,0,IF(SUM(IMshareM!BW$2:BW$78)-IMshareM!BW$75&gt;0,IMshareM!BW8/(SUM(IMshareM!BW$2:BW$78)-IMshareM!BW$75),0))</f>
        <v>3.9295527610960286E-6</v>
      </c>
      <c r="BX8" s="8">
        <f>IF($A8=BX$1,0,IF(SUM(IMshareM!BX$2:BX$78)-IMshareM!BX$76&gt;0,IMshareM!BX8/(SUM(IMshareM!BX$2:BX$78)-IMshareM!BX$76),0))</f>
        <v>1.5293996442693735E-5</v>
      </c>
      <c r="BY8" s="8">
        <f>IF($A8=BY$1,0,IF(SUM(IMshareM!BY$2:BY$78)-IMshareM!BY$77&gt;0,IMshareM!BY8/(SUM(IMshareM!BY$2:BY$78)-IMshareM!BY$77),0))</f>
        <v>0</v>
      </c>
      <c r="BZ8" s="8">
        <f>IF($A8=BZ$1,0,IF(SUM(IMshareM!BZ$2:BZ$78)-IMshareM!BZ$78&gt;0,IMshareM!BZ8/(SUM(IMshareM!BZ$2:BZ$78)-IMshareM!BZ$78),0))</f>
        <v>2.3988742623632528E-4</v>
      </c>
    </row>
    <row r="9" spans="1:78">
      <c r="A9" s="4" t="s">
        <v>85</v>
      </c>
      <c r="B9" s="8">
        <f>IF($A9=B$1,0,IF(SUM(IMshareM!B$2:B$78)-IMshareM!B$2&gt;0,IMshareM!B9/(SUM(IMshareM!B$2:B$78)-IMshareM!B$2),0))</f>
        <v>0.15759139122707619</v>
      </c>
      <c r="C9" s="8">
        <f>IF($A9=C$1,0,IF(SUM(IMshareM!C$2:C$78)-IMshareM!C$3&gt;0,IMshareM!C9/(SUM(IMshareM!C$2:C$78)-IMshareM!C$3),0))</f>
        <v>2.238911229292093E-2</v>
      </c>
      <c r="D9" s="8">
        <f>IF($A9=D$1,0,IF(SUM(IMshareM!D$2:D$78)-IMshareM!D$4&gt;0,IMshareM!D9/(SUM(IMshareM!D$2:D$78)-IMshareM!D$4),0))</f>
        <v>6.3750801943661083E-3</v>
      </c>
      <c r="E9" s="8">
        <f>IF($A9=E$1,0,IF(SUM(IMshareM!E$2:E$78)-IMshareM!E$5&gt;0,IMshareM!E9/(SUM(IMshareM!E$2:E$78)-IMshareM!E$5),0))</f>
        <v>4.5471381237313598E-2</v>
      </c>
      <c r="F9" s="8">
        <f>IF($A9=F$1,0,IF(SUM(IMshareM!F$2:F$78)-IMshareM!F$6&gt;0,IMshareM!F9/(SUM(IMshareM!F$2:F$78)-IMshareM!F$6),0))</f>
        <v>1.3474746932649819E-4</v>
      </c>
      <c r="G9" s="8">
        <f>IF($A9=G$1,0,IF(SUM(IMshareM!G$2:G$78)-IMshareM!G$7&gt;0,IMshareM!G9/(SUM(IMshareM!G$2:G$78)-IMshareM!G$7),0))</f>
        <v>1.6010350019347965E-5</v>
      </c>
      <c r="H9" s="8">
        <f>IF($A9=H$1,0,IF(SUM(IMshareM!H$2:H$78)-IMshareM!H$8&gt;0,IMshareM!H9/(SUM(IMshareM!H$2:H$78)-IMshareM!H$8),0))</f>
        <v>0</v>
      </c>
      <c r="I9" s="8">
        <f>IF($A9=I$1,0,IF(SUM(IMshareM!I$2:I$78)-IMshareM!I$9&gt;0,IMshareM!I9/(SUM(IMshareM!I$2:I$78)-IMshareM!I$9),0))</f>
        <v>0</v>
      </c>
      <c r="J9" s="8">
        <f>IF($A9=J$1,0,IF(SUM(IMshareM!J$2:J$78)-IMshareM!J$10&gt;0,IMshareM!J9/(SUM(IMshareM!J$2:J$78)-IMshareM!J$10),0))</f>
        <v>7.1786735009447527E-3</v>
      </c>
      <c r="K9" s="8">
        <f>IF($A9=K$1,0,IF(SUM(IMshareM!K$2:K$78)-IMshareM!K$11&gt;0,IMshareM!K9/(SUM(IMshareM!K$2:K$78)-IMshareM!K$11),0))</f>
        <v>3.9434636662275313E-2</v>
      </c>
      <c r="L9" s="8">
        <f>IF($A9=L$1,0,IF(SUM(IMshareM!L$2:L$78)-IMshareM!L$12&gt;0,IMshareM!L9/(SUM(IMshareM!L$2:L$78)-IMshareM!L$12),0))</f>
        <v>5.1392213780899502E-3</v>
      </c>
      <c r="M9" s="8">
        <f>IF($A9=M$1,0,IF(SUM(IMshareM!M$2:M$78)-IMshareM!M$13&gt;0,IMshareM!M9/(SUM(IMshareM!M$2:M$78)-IMshareM!M$13),0))</f>
        <v>3.0728465197764555E-2</v>
      </c>
      <c r="N9" s="8">
        <f>IF($A9=N$1,0,IF(SUM(IMshareM!N$2:N$78)-IMshareM!N$14&gt;0,IMshareM!N9/(SUM(IMshareM!N$2:N$78)-IMshareM!N$14),0))</f>
        <v>2.8056003764773368E-3</v>
      </c>
      <c r="O9" s="8">
        <f>IF($A9=O$1,0,IF(SUM(IMshareM!O$2:O$78)-IMshareM!O$15&gt;0,IMshareM!O9/(SUM(IMshareM!O$2:O$78)-IMshareM!O$15),0))</f>
        <v>6.1988397146368911E-2</v>
      </c>
      <c r="P9" s="8">
        <f>IF($A9=P$1,0,IF(SUM(IMshareM!P$2:P$78)-IMshareM!P$16&gt;0,IMshareM!P9/(SUM(IMshareM!P$2:P$78)-IMshareM!P$16),0))</f>
        <v>1.4206904539907169E-4</v>
      </c>
      <c r="Q9" s="8">
        <f>IF($A9=Q$1,0,IF(SUM(IMshareM!Q$2:Q$78)-IMshareM!Q$17&gt;0,IMshareM!Q9/(SUM(IMshareM!Q$2:Q$78)-IMshareM!Q$17),0))</f>
        <v>0.13433004692282652</v>
      </c>
      <c r="R9" s="8">
        <f>IF($A9=R$1,0,IF(SUM(IMshareM!R$2:R$78)-IMshareM!R$18&gt;0,IMshareM!R9/(SUM(IMshareM!R$2:R$78)-IMshareM!R$18),0))</f>
        <v>4.0957682784559114E-2</v>
      </c>
      <c r="S9" s="8">
        <f>IF($A9=S$1,0,IF(SUM(IMshareM!S$2:S$78)-IMshareM!S$19&gt;0,IMshareM!S9/(SUM(IMshareM!S$2:S$78)-IMshareM!S$19),0))</f>
        <v>4.9279327293681912E-3</v>
      </c>
      <c r="T9" s="8">
        <f>IF($A9=T$1,0,IF(SUM(IMshareM!T$2:T$78)-IMshareM!T$20&gt;0,IMshareM!T9/(SUM(IMshareM!T$2:T$78)-IMshareM!T$20),0))</f>
        <v>6.8793373754184005E-4</v>
      </c>
      <c r="U9" s="8">
        <f>IF($A9=U$1,0,IF(SUM(IMshareM!U$2:U$78)-IMshareM!U$21&gt;0,IMshareM!U9/(SUM(IMshareM!U$2:U$78)-IMshareM!U$21),0))</f>
        <v>1.5074239276675734E-2</v>
      </c>
      <c r="V9" s="8">
        <f>IF($A9=V$1,0,IF(SUM(IMshareM!V$2:V$78)-IMshareM!V$22&gt;0,IMshareM!V9/(SUM(IMshareM!V$2:V$78)-IMshareM!V$22),0))</f>
        <v>1.164973646710679E-4</v>
      </c>
      <c r="W9" s="8">
        <f>IF($A9=W$1,0,IF(SUM(IMshareM!W$2:W$78)-IMshareM!W$23&gt;0,IMshareM!W9/(SUM(IMshareM!W$2:W$78)-IMshareM!W$23),0))</f>
        <v>3.8488077344576738E-2</v>
      </c>
      <c r="X9" s="8">
        <f>IF($A9=X$1,0,IF(SUM(IMshareM!X$2:X$78)-IMshareM!X$24&gt;0,IMshareM!X9/(SUM(IMshareM!X$2:X$78)-IMshareM!X$24),0))</f>
        <v>2.0457932148549601E-2</v>
      </c>
      <c r="Y9" s="8">
        <f>IF($A9=Y$1,0,IF(SUM(IMshareM!Y$2:Y$78)-IMshareM!Y$25&gt;0,IMshareM!Y9/(SUM(IMshareM!Y$2:Y$78)-IMshareM!Y$25),0))</f>
        <v>1.4640870836045543E-3</v>
      </c>
      <c r="Z9" s="8">
        <f>IF($A9=Z$1,0,IF(SUM(IMshareM!Z$2:Z$78)-IMshareM!Z$26&gt;0,IMshareM!Z9/(SUM(IMshareM!Z$2:Z$78)-IMshareM!Z$26),0))</f>
        <v>1.8488728148777347E-2</v>
      </c>
      <c r="AA9" s="8">
        <f>IF($A9=AA$1,0,IF(SUM(IMshareM!AA$2:AA$78)-IMshareM!AA$27&gt;0,IMshareM!AA9/(SUM(IMshareM!AA$2:AA$78)-IMshareM!AA$27),0))</f>
        <v>9.4235391173822167E-3</v>
      </c>
      <c r="AB9" s="8">
        <f>IF($A9=AB$1,0,IF(SUM(IMshareM!AB$2:AB$78)-IMshareM!AB$28&gt;0,IMshareM!AB9/(SUM(IMshareM!AB$2:AB$78)-IMshareM!AB$28),0))</f>
        <v>2.2202310036246793E-2</v>
      </c>
      <c r="AC9" s="8">
        <f>IF($A9=AC$1,0,IF(SUM(IMshareM!AC$2:AC$78)-IMshareM!AC$29&gt;0,IMshareM!AC9/(SUM(IMshareM!AC$2:AC$78)-IMshareM!AC$29),0))</f>
        <v>8.2053413902291109E-3</v>
      </c>
      <c r="AD9" s="8">
        <f>IF($A9=AD$1,0,IF(SUM(IMshareM!AD$2:AD$78)-IMshareM!AD$30&gt;0,IMshareM!AD9/(SUM(IMshareM!AD$2:AD$78)-IMshareM!AD$30),0))</f>
        <v>5.3928578691624508E-6</v>
      </c>
      <c r="AE9" s="8">
        <f>IF($A9=AE$1,0,IF(SUM(IMshareM!AE$2:AE$78)-IMshareM!AE$31&gt;0,IMshareM!AE9/(SUM(IMshareM!AE$2:AE$78)-IMshareM!AE$31),0))</f>
        <v>4.7542104212966002E-4</v>
      </c>
      <c r="AF9" s="8">
        <f>IF($A9=AF$1,0,IF(SUM(IMshareM!AF$2:AF$78)-IMshareM!AF$32&gt;0,IMshareM!AF9/(SUM(IMshareM!AF$2:AF$78)-IMshareM!AF$32),0))</f>
        <v>4.8108954867149347E-4</v>
      </c>
      <c r="AG9" s="8">
        <f>IF($A9=AG$1,0,IF(SUM(IMshareM!AG$2:AG$78)-IMshareM!AG$33&gt;0,IMshareM!AG9/(SUM(IMshareM!AG$2:AG$78)-IMshareM!AG$33),0))</f>
        <v>3.9457577788341459E-3</v>
      </c>
      <c r="AH9" s="8">
        <f>IF($A9=AH$1,0,IF(SUM(IMshareM!AH$2:AH$78)-IMshareM!AH$34&gt;0,IMshareM!AH9/(SUM(IMshareM!AH$2:AH$78)-IMshareM!AH$34),0))</f>
        <v>7.4667209675225079E-3</v>
      </c>
      <c r="AI9" s="8">
        <f>IF($A9=AI$1,0,IF(SUM(IMshareM!AI$2:AI$78)-IMshareM!AI$35&gt;0,IMshareM!AI9/(SUM(IMshareM!AI$2:AI$78)-IMshareM!AI$35),0))</f>
        <v>1.2483822063221392E-3</v>
      </c>
      <c r="AJ9" s="8">
        <f>IF($A9=AJ$1,0,IF(SUM(IMshareM!AJ$2:AJ$78)-IMshareM!AJ$36&gt;0,IMshareM!AJ9/(SUM(IMshareM!AJ$2:AJ$78)-IMshareM!AJ$36),0))</f>
        <v>1.1893356831380142E-3</v>
      </c>
      <c r="AK9" s="8">
        <f>IF($A9=AK$1,0,IF(SUM(IMshareM!AK$2:AK$78)-IMshareM!AK$37&gt;0,IMshareM!AK9/(SUM(IMshareM!AK$2:AK$78)-IMshareM!AK$37),0))</f>
        <v>3.0448236799188406E-2</v>
      </c>
      <c r="AL9" s="8">
        <f>IF($A9=AL$1,0,IF(SUM(IMshareM!AL$2:AL$78)-IMshareM!AL$38&gt;0,IMshareM!AL9/(SUM(IMshareM!AL$2:AL$78)-IMshareM!AL$38),0))</f>
        <v>1.9036125833527654E-2</v>
      </c>
      <c r="AM9" s="8">
        <f>IF($A9=AM$1,0,IF(SUM(IMshareM!AM$2:AM$78)-IMshareM!AM$39&gt;0,IMshareM!AM9/(SUM(IMshareM!AM$2:AM$78)-IMshareM!AM$39),0))</f>
        <v>4.2295720390923768E-2</v>
      </c>
      <c r="AN9" s="8">
        <f>IF($A9=AN$1,0,IF(SUM(IMshareM!AN$2:AN$78)-IMshareM!AN$40&gt;0,IMshareM!AN9/(SUM(IMshareM!AN$2:AN$78)-IMshareM!AN$40),0))</f>
        <v>1.6220145595802155E-3</v>
      </c>
      <c r="AO9" s="8">
        <f>IF($A9=AO$1,0,IF(SUM(IMshareM!AO$2:AO$78)-IMshareM!AO$41&gt;0,IMshareM!AO9/(SUM(IMshareM!AO$2:AO$78)-IMshareM!AO$41),0))</f>
        <v>7.1009133322341399E-3</v>
      </c>
      <c r="AP9" s="8">
        <f>IF($A9=AP$1,0,IF(SUM(IMshareM!AP$2:AP$78)-IMshareM!AP$42&gt;0,IMshareM!AP9/(SUM(IMshareM!AP$2:AP$78)-IMshareM!AP$42),0))</f>
        <v>9.067767668423885E-4</v>
      </c>
      <c r="AQ9" s="8">
        <f>IF($A9=AQ$1,0,IF(SUM(IMshareM!AQ$2:AQ$78)-IMshareM!AQ$43&gt;0,IMshareM!AQ9/(SUM(IMshareM!AQ$2:AQ$78)-IMshareM!AQ$43),0))</f>
        <v>3.8764500157449449E-3</v>
      </c>
      <c r="AR9" s="8">
        <f>IF($A9=AR$1,0,IF(SUM(IMshareM!AR$2:AR$78)-IMshareM!AR$44&gt;0,IMshareM!AR9/(SUM(IMshareM!AR$2:AR$78)-IMshareM!AR$44),0))</f>
        <v>0</v>
      </c>
      <c r="AS9" s="8">
        <f>IF($A9=AS$1,0,IF(SUM(IMshareM!AS$2:AS$78)-IMshareM!AS$45&gt;0,IMshareM!AS9/(SUM(IMshareM!AS$2:AS$78)-IMshareM!AS$45),0))</f>
        <v>2.9771795191501213E-3</v>
      </c>
      <c r="AT9" s="8">
        <f>IF($A9=AT$1,0,IF(SUM(IMshareM!AT$2:AT$78)-IMshareM!AT$46&gt;0,IMshareM!AT9/(SUM(IMshareM!AT$2:AT$78)-IMshareM!AT$46),0))</f>
        <v>9.995720050027016E-4</v>
      </c>
      <c r="AU9" s="8">
        <f>IF($A9=AU$1,0,IF(SUM(IMshareM!AU$2:AU$78)-IMshareM!AU$47&gt;0,IMshareM!AU9/(SUM(IMshareM!AU$2:AU$78)-IMshareM!AU$47),0))</f>
        <v>2.778532033458363E-3</v>
      </c>
      <c r="AV9" s="8">
        <f>IF($A9=AV$1,0,IF(SUM(IMshareM!AV$2:AV$78)-IMshareM!AV$48&gt;0,IMshareM!AV9/(SUM(IMshareM!AV$2:AV$78)-IMshareM!AV$48),0))</f>
        <v>1.9471867271447733E-2</v>
      </c>
      <c r="AW9" s="8">
        <f>IF($A9=AW$1,0,IF(SUM(IMshareM!AW$2:AW$78)-IMshareM!AW$49&gt;0,IMshareM!AW9/(SUM(IMshareM!AW$2:AW$78)-IMshareM!AW$49),0))</f>
        <v>4.7513680960569737E-3</v>
      </c>
      <c r="AX9" s="8">
        <f>IF($A9=AX$1,0,IF(SUM(IMshareM!AX$2:AX$78)-IMshareM!AX$50&gt;0,IMshareM!AX9/(SUM(IMshareM!AX$2:AX$78)-IMshareM!AX$50),0))</f>
        <v>1.4486241627465726E-4</v>
      </c>
      <c r="AY9" s="8">
        <f>IF($A9=AY$1,0,IF(SUM(IMshareM!AY$2:AY$78)-IMshareM!AY$51&gt;0,IMshareM!AY9/(SUM(IMshareM!AY$2:AY$78)-IMshareM!AY$51),0))</f>
        <v>3.8837237402530002E-5</v>
      </c>
      <c r="AZ9" s="8">
        <f>IF($A9=AZ$1,0,IF(SUM(IMshareM!AZ$2:AZ$78)-IMshareM!AZ$52&gt;0,IMshareM!AZ9/(SUM(IMshareM!AZ$2:AZ$78)-IMshareM!AZ$52),0))</f>
        <v>2.140368679541494E-3</v>
      </c>
      <c r="BA9" s="8">
        <f>IF($A9=BA$1,0,IF(SUM(IMshareM!BA$2:BA$78)-IMshareM!BA$53&gt;0,IMshareM!BA9/(SUM(IMshareM!BA$2:BA$78)-IMshareM!BA$53),0))</f>
        <v>2.4699092622386784E-3</v>
      </c>
      <c r="BB9" s="8">
        <f>IF($A9=BB$1,0,IF(SUM(IMshareM!BB$2:BB$78)-IMshareM!BB$54&gt;0,IMshareM!BB9/(SUM(IMshareM!BB$2:BB$78)-IMshareM!BB$54),0))</f>
        <v>1.6503430814175063E-3</v>
      </c>
      <c r="BC9" s="8">
        <f>IF($A9=BC$1,0,IF(SUM(IMshareM!BC$2:BC$78)-IMshareM!BC$55&gt;0,IMshareM!BC9/(SUM(IMshareM!BC$2:BC$78)-IMshareM!BC$55),0))</f>
        <v>4.1560805092579426E-3</v>
      </c>
      <c r="BD9" s="8">
        <f>IF($A9=BD$1,0,IF(SUM(IMshareM!BD$2:BD$78)-IMshareM!BD$56&gt;0,IMshareM!BD9/(SUM(IMshareM!BD$2:BD$78)-IMshareM!BD$56),0))</f>
        <v>4.6865602545450934E-2</v>
      </c>
      <c r="BE9" s="8">
        <f>IF($A9=BE$1,0,IF(SUM(IMshareM!BE$2:BE$78)-IMshareM!BE$57&gt;0,IMshareM!BE9/(SUM(IMshareM!BE$2:BE$78)-IMshareM!BE$57),0))</f>
        <v>4.2579204288515551E-3</v>
      </c>
      <c r="BF9" s="8">
        <f>IF($A9=BF$1,0,IF(SUM(IMshareM!BF$2:BF$78)-IMshareM!BF$58&gt;0,IMshareM!BF9/(SUM(IMshareM!BF$2:BF$78)-IMshareM!BF$58),0))</f>
        <v>0.17021972624344919</v>
      </c>
      <c r="BG9" s="8">
        <f>IF($A9=BG$1,0,IF(SUM(IMshareM!BG$2:BG$78)-IMshareM!BG$59&gt;0,IMshareM!BG9/(SUM(IMshareM!BG$2:BG$78)-IMshareM!BG$59),0))</f>
        <v>5.5519552340307964E-3</v>
      </c>
      <c r="BH9" s="8">
        <f>IF($A9=BH$1,0,IF(SUM(IMshareM!BH$2:BH$78)-IMshareM!BH$60&gt;0,IMshareM!BH9/(SUM(IMshareM!BH$2:BH$78)-IMshareM!BH$60),0))</f>
        <v>1.651213555034682E-3</v>
      </c>
      <c r="BI9" s="8">
        <f>IF($A9=BI$1,0,IF(SUM(IMshareM!BI$2:BI$78)-IMshareM!BI$61&gt;0,IMshareM!BI9/(SUM(IMshareM!BI$2:BI$78)-IMshareM!BI$61),0))</f>
        <v>6.6094232509761172E-3</v>
      </c>
      <c r="BJ9" s="8">
        <f>IF($A9=BJ$1,0,IF(SUM(IMshareM!BJ$2:BJ$78)-IMshareM!BJ$62&gt;0,IMshareM!BJ9/(SUM(IMshareM!BJ$2:BJ$78)-IMshareM!BJ$62),0))</f>
        <v>4.8188237855984172E-4</v>
      </c>
      <c r="BK9" s="8">
        <f>IF($A9=BK$1,0,IF(SUM(IMshareM!BK$2:BK$78)-IMshareM!BK$63&gt;0,IMshareM!BK9/(SUM(IMshareM!BK$2:BK$78)-IMshareM!BK$63),0))</f>
        <v>1.4329964620403072E-2</v>
      </c>
      <c r="BL9" s="8">
        <f>IF($A9=BL$1,0,IF(SUM(IMshareM!BL$2:BL$78)-IMshareM!BL$64&gt;0,IMshareM!BL9/(SUM(IMshareM!BL$2:BL$78)-IMshareM!BL$64),0))</f>
        <v>2.1710827998492679E-2</v>
      </c>
      <c r="BM9" s="8">
        <f>IF($A9=BM$1,0,IF(SUM(IMshareM!BM$2:BM$78)-IMshareM!BM$65&gt;0,IMshareM!BM9/(SUM(IMshareM!BM$2:BM$78)-IMshareM!BM$65),0))</f>
        <v>1.7285689720596367E-2</v>
      </c>
      <c r="BN9" s="8">
        <f>IF($A9=BN$1,0,IF(SUM(IMshareM!BN$2:BN$78)-IMshareM!BN$66&gt;0,IMshareM!BN9/(SUM(IMshareM!BN$2:BN$78)-IMshareM!BN$66),0))</f>
        <v>5.4034427140542494E-3</v>
      </c>
      <c r="BO9" s="8">
        <f>IF($A9=BO$1,0,IF(SUM(IMshareM!BO$2:BO$78)-IMshareM!BO$67&gt;0,IMshareM!BO9/(SUM(IMshareM!BO$2:BO$78)-IMshareM!BO$67),0))</f>
        <v>1.4253163311553262E-4</v>
      </c>
      <c r="BP9" s="8">
        <f>IF($A9=BP$1,0,IF(SUM(IMshareM!BP$2:BP$78)-IMshareM!BP$68&gt;0,IMshareM!BP9/(SUM(IMshareM!BP$2:BP$78)-IMshareM!BP$68),0))</f>
        <v>1.1765855470044523E-2</v>
      </c>
      <c r="BQ9" s="8">
        <f>IF($A9=BQ$1,0,IF(SUM(IMshareM!BQ$2:BQ$78)-IMshareM!BQ$69&gt;0,IMshareM!BQ9/(SUM(IMshareM!BQ$2:BQ$78)-IMshareM!BQ$69),0))</f>
        <v>2.9370488608882094E-2</v>
      </c>
      <c r="BR9" s="8">
        <f>IF($A9=BR$1,0,IF(SUM(IMshareM!BR$2:BR$78)-IMshareM!BR$70&gt;0,IMshareM!BR9/(SUM(IMshareM!BR$2:BR$78)-IMshareM!BR$70),0))</f>
        <v>1.2094947402253088E-3</v>
      </c>
      <c r="BS9" s="8">
        <f>IF($A9=BS$1,0,IF(SUM(IMshareM!BS$2:BS$78)-IMshareM!BS$71&gt;0,IMshareM!BS9/(SUM(IMshareM!BS$2:BS$78)-IMshareM!BS$71),0))</f>
        <v>1.7283896444541032E-2</v>
      </c>
      <c r="BT9" s="8">
        <f>IF($A9=BT$1,0,IF(SUM(IMshareM!BT$2:BT$78)-IMshareM!BT$72&gt;0,IMshareM!BT9/(SUM(IMshareM!BT$2:BT$78)-IMshareM!BT$72),0))</f>
        <v>1.2280691503392151E-2</v>
      </c>
      <c r="BU9" s="8">
        <f>IF($A9=BU$1,0,IF(SUM(IMshareM!BU$2:BU$78)-IMshareM!BU$73&gt;0,IMshareM!BU9/(SUM(IMshareM!BU$2:BU$78)-IMshareM!BU$73),0))</f>
        <v>1.3320311618804724E-3</v>
      </c>
      <c r="BV9" s="8">
        <f>IF($A9=BV$1,0,IF(SUM(IMshareM!BV$2:BV$78)-IMshareM!BV$74&gt;0,IMshareM!BV9/(SUM(IMshareM!BV$2:BV$78)-IMshareM!BV$74),0))</f>
        <v>1.0961601857259371E-2</v>
      </c>
      <c r="BW9" s="8">
        <f>IF($A9=BW$1,0,IF(SUM(IMshareM!BW$2:BW$78)-IMshareM!BW$75&gt;0,IMshareM!BW9/(SUM(IMshareM!BW$2:BW$78)-IMshareM!BW$75),0))</f>
        <v>2.8386568490456201E-2</v>
      </c>
      <c r="BX9" s="8">
        <f>IF($A9=BX$1,0,IF(SUM(IMshareM!BX$2:BX$78)-IMshareM!BX$76&gt;0,IMshareM!BX9/(SUM(IMshareM!BX$2:BX$78)-IMshareM!BX$76),0))</f>
        <v>6.9225922896568688E-4</v>
      </c>
      <c r="BY9" s="8">
        <f>IF($A9=BY$1,0,IF(SUM(IMshareM!BY$2:BY$78)-IMshareM!BY$77&gt;0,IMshareM!BY9/(SUM(IMshareM!BY$2:BY$78)-IMshareM!BY$77),0))</f>
        <v>0.11199600151384773</v>
      </c>
      <c r="BZ9" s="8">
        <f>IF($A9=BZ$1,0,IF(SUM(IMshareM!BZ$2:BZ$78)-IMshareM!BZ$78&gt;0,IMshareM!BZ9/(SUM(IMshareM!BZ$2:BZ$78)-IMshareM!BZ$78),0))</f>
        <v>3.6672823854366432E-2</v>
      </c>
    </row>
    <row r="10" spans="1:78">
      <c r="A10" s="4" t="s">
        <v>87</v>
      </c>
      <c r="B10" s="8">
        <f>IF($A10=B$1,0,IF(SUM(IMshareM!B$2:B$78)-IMshareM!B$2&gt;0,IMshareM!B10/(SUM(IMshareM!B$2:B$78)-IMshareM!B$2),0))</f>
        <v>0</v>
      </c>
      <c r="C10" s="8">
        <f>IF($A10=C$1,0,IF(SUM(IMshareM!C$2:C$78)-IMshareM!C$3&gt;0,IMshareM!C10/(SUM(IMshareM!C$2:C$78)-IMshareM!C$3),0))</f>
        <v>2.2158253605847599E-5</v>
      </c>
      <c r="D10" s="8">
        <f>IF($A10=D$1,0,IF(SUM(IMshareM!D$2:D$78)-IMshareM!D$4&gt;0,IMshareM!D10/(SUM(IMshareM!D$2:D$78)-IMshareM!D$4),0))</f>
        <v>0</v>
      </c>
      <c r="E10" s="8">
        <f>IF($A10=E$1,0,IF(SUM(IMshareM!E$2:E$78)-IMshareM!E$5&gt;0,IMshareM!E10/(SUM(IMshareM!E$2:E$78)-IMshareM!E$5),0))</f>
        <v>0</v>
      </c>
      <c r="F10" s="8">
        <f>IF($A10=F$1,0,IF(SUM(IMshareM!F$2:F$78)-IMshareM!F$6&gt;0,IMshareM!F10/(SUM(IMshareM!F$2:F$78)-IMshareM!F$6),0))</f>
        <v>0</v>
      </c>
      <c r="G10" s="8">
        <f>IF($A10=G$1,0,IF(SUM(IMshareM!G$2:G$78)-IMshareM!G$7&gt;0,IMshareM!G10/(SUM(IMshareM!G$2:G$78)-IMshareM!G$7),0))</f>
        <v>0</v>
      </c>
      <c r="H10" s="8">
        <f>IF($A10=H$1,0,IF(SUM(IMshareM!H$2:H$78)-IMshareM!H$8&gt;0,IMshareM!H10/(SUM(IMshareM!H$2:H$78)-IMshareM!H$8),0))</f>
        <v>0</v>
      </c>
      <c r="I10" s="8">
        <f>IF($A10=I$1,0,IF(SUM(IMshareM!I$2:I$78)-IMshareM!I$9&gt;0,IMshareM!I10/(SUM(IMshareM!I$2:I$78)-IMshareM!I$9),0))</f>
        <v>0</v>
      </c>
      <c r="J10" s="8">
        <f>IF($A10=J$1,0,IF(SUM(IMshareM!J$2:J$78)-IMshareM!J$10&gt;0,IMshareM!J10/(SUM(IMshareM!J$2:J$78)-IMshareM!J$10),0))</f>
        <v>0</v>
      </c>
      <c r="K10" s="8">
        <f>IF($A10=K$1,0,IF(SUM(IMshareM!K$2:K$78)-IMshareM!K$11&gt;0,IMshareM!K10/(SUM(IMshareM!K$2:K$78)-IMshareM!K$11),0))</f>
        <v>0</v>
      </c>
      <c r="L10" s="8">
        <f>IF($A10=L$1,0,IF(SUM(IMshareM!L$2:L$78)-IMshareM!L$12&gt;0,IMshareM!L10/(SUM(IMshareM!L$2:L$78)-IMshareM!L$12),0))</f>
        <v>0</v>
      </c>
      <c r="M10" s="8">
        <f>IF($A10=M$1,0,IF(SUM(IMshareM!M$2:M$78)-IMshareM!M$13&gt;0,IMshareM!M10/(SUM(IMshareM!M$2:M$78)-IMshareM!M$13),0))</f>
        <v>0</v>
      </c>
      <c r="N10" s="8">
        <f>IF($A10=N$1,0,IF(SUM(IMshareM!N$2:N$78)-IMshareM!N$14&gt;0,IMshareM!N10/(SUM(IMshareM!N$2:N$78)-IMshareM!N$14),0))</f>
        <v>0</v>
      </c>
      <c r="O10" s="8">
        <f>IF($A10=O$1,0,IF(SUM(IMshareM!O$2:O$78)-IMshareM!O$15&gt;0,IMshareM!O10/(SUM(IMshareM!O$2:O$78)-IMshareM!O$15),0))</f>
        <v>0</v>
      </c>
      <c r="P10" s="8">
        <f>IF($A10=P$1,0,IF(SUM(IMshareM!P$2:P$78)-IMshareM!P$16&gt;0,IMshareM!P10/(SUM(IMshareM!P$2:P$78)-IMshareM!P$16),0))</f>
        <v>0</v>
      </c>
      <c r="Q10" s="8">
        <f>IF($A10=Q$1,0,IF(SUM(IMshareM!Q$2:Q$78)-IMshareM!Q$17&gt;0,IMshareM!Q10/(SUM(IMshareM!Q$2:Q$78)-IMshareM!Q$17),0))</f>
        <v>0</v>
      </c>
      <c r="R10" s="8">
        <f>IF($A10=R$1,0,IF(SUM(IMshareM!R$2:R$78)-IMshareM!R$18&gt;0,IMshareM!R10/(SUM(IMshareM!R$2:R$78)-IMshareM!R$18),0))</f>
        <v>0</v>
      </c>
      <c r="S10" s="8">
        <f>IF($A10=S$1,0,IF(SUM(IMshareM!S$2:S$78)-IMshareM!S$19&gt;0,IMshareM!S10/(SUM(IMshareM!S$2:S$78)-IMshareM!S$19),0))</f>
        <v>0</v>
      </c>
      <c r="T10" s="8">
        <f>IF($A10=T$1,0,IF(SUM(IMshareM!T$2:T$78)-IMshareM!T$20&gt;0,IMshareM!T10/(SUM(IMshareM!T$2:T$78)-IMshareM!T$20),0))</f>
        <v>0</v>
      </c>
      <c r="U10" s="8">
        <f>IF($A10=U$1,0,IF(SUM(IMshareM!U$2:U$78)-IMshareM!U$21&gt;0,IMshareM!U10/(SUM(IMshareM!U$2:U$78)-IMshareM!U$21),0))</f>
        <v>9.4824266741926729E-7</v>
      </c>
      <c r="V10" s="8">
        <f>IF($A10=V$1,0,IF(SUM(IMshareM!V$2:V$78)-IMshareM!V$22&gt;0,IMshareM!V10/(SUM(IMshareM!V$2:V$78)-IMshareM!V$22),0))</f>
        <v>0</v>
      </c>
      <c r="W10" s="8">
        <f>IF($A10=W$1,0,IF(SUM(IMshareM!W$2:W$78)-IMshareM!W$23&gt;0,IMshareM!W10/(SUM(IMshareM!W$2:W$78)-IMshareM!W$23),0))</f>
        <v>0</v>
      </c>
      <c r="X10" s="8">
        <f>IF($A10=X$1,0,IF(SUM(IMshareM!X$2:X$78)-IMshareM!X$24&gt;0,IMshareM!X10/(SUM(IMshareM!X$2:X$78)-IMshareM!X$24),0))</f>
        <v>0</v>
      </c>
      <c r="Y10" s="8">
        <f>IF($A10=Y$1,0,IF(SUM(IMshareM!Y$2:Y$78)-IMshareM!Y$25&gt;0,IMshareM!Y10/(SUM(IMshareM!Y$2:Y$78)-IMshareM!Y$25),0))</f>
        <v>0</v>
      </c>
      <c r="Z10" s="8">
        <f>IF($A10=Z$1,0,IF(SUM(IMshareM!Z$2:Z$78)-IMshareM!Z$26&gt;0,IMshareM!Z10/(SUM(IMshareM!Z$2:Z$78)-IMshareM!Z$26),0))</f>
        <v>0</v>
      </c>
      <c r="AA10" s="8">
        <f>IF($A10=AA$1,0,IF(SUM(IMshareM!AA$2:AA$78)-IMshareM!AA$27&gt;0,IMshareM!AA10/(SUM(IMshareM!AA$2:AA$78)-IMshareM!AA$27),0))</f>
        <v>4.5591986841453739E-5</v>
      </c>
      <c r="AB10" s="8">
        <f>IF($A10=AB$1,0,IF(SUM(IMshareM!AB$2:AB$78)-IMshareM!AB$28&gt;0,IMshareM!AB10/(SUM(IMshareM!AB$2:AB$78)-IMshareM!AB$28),0))</f>
        <v>4.7233941304695099E-9</v>
      </c>
      <c r="AC10" s="8">
        <f>IF($A10=AC$1,0,IF(SUM(IMshareM!AC$2:AC$78)-IMshareM!AC$29&gt;0,IMshareM!AC10/(SUM(IMshareM!AC$2:AC$78)-IMshareM!AC$29),0))</f>
        <v>0</v>
      </c>
      <c r="AD10" s="8">
        <f>IF($A10=AD$1,0,IF(SUM(IMshareM!AD$2:AD$78)-IMshareM!AD$30&gt;0,IMshareM!AD10/(SUM(IMshareM!AD$2:AD$78)-IMshareM!AD$30),0))</f>
        <v>0</v>
      </c>
      <c r="AE10" s="8">
        <f>IF($A10=AE$1,0,IF(SUM(IMshareM!AE$2:AE$78)-IMshareM!AE$31&gt;0,IMshareM!AE10/(SUM(IMshareM!AE$2:AE$78)-IMshareM!AE$31),0))</f>
        <v>0</v>
      </c>
      <c r="AF10" s="8">
        <f>IF($A10=AF$1,0,IF(SUM(IMshareM!AF$2:AF$78)-IMshareM!AF$32&gt;0,IMshareM!AF10/(SUM(IMshareM!AF$2:AF$78)-IMshareM!AF$32),0))</f>
        <v>0</v>
      </c>
      <c r="AG10" s="8">
        <f>IF($A10=AG$1,0,IF(SUM(IMshareM!AG$2:AG$78)-IMshareM!AG$33&gt;0,IMshareM!AG10/(SUM(IMshareM!AG$2:AG$78)-IMshareM!AG$33),0))</f>
        <v>1.8807414266880235E-5</v>
      </c>
      <c r="AH10" s="8">
        <f>IF($A10=AH$1,0,IF(SUM(IMshareM!AH$2:AH$78)-IMshareM!AH$34&gt;0,IMshareM!AH10/(SUM(IMshareM!AH$2:AH$78)-IMshareM!AH$34),0))</f>
        <v>0</v>
      </c>
      <c r="AI10" s="8">
        <f>IF($A10=AI$1,0,IF(SUM(IMshareM!AI$2:AI$78)-IMshareM!AI$35&gt;0,IMshareM!AI10/(SUM(IMshareM!AI$2:AI$78)-IMshareM!AI$35),0))</f>
        <v>0</v>
      </c>
      <c r="AJ10" s="8">
        <f>IF($A10=AJ$1,0,IF(SUM(IMshareM!AJ$2:AJ$78)-IMshareM!AJ$36&gt;0,IMshareM!AJ10/(SUM(IMshareM!AJ$2:AJ$78)-IMshareM!AJ$36),0))</f>
        <v>0</v>
      </c>
      <c r="AK10" s="8">
        <f>IF($A10=AK$1,0,IF(SUM(IMshareM!AK$2:AK$78)-IMshareM!AK$37&gt;0,IMshareM!AK10/(SUM(IMshareM!AK$2:AK$78)-IMshareM!AK$37),0))</f>
        <v>0</v>
      </c>
      <c r="AL10" s="8">
        <f>IF($A10=AL$1,0,IF(SUM(IMshareM!AL$2:AL$78)-IMshareM!AL$38&gt;0,IMshareM!AL10/(SUM(IMshareM!AL$2:AL$78)-IMshareM!AL$38),0))</f>
        <v>0</v>
      </c>
      <c r="AM10" s="8">
        <f>IF($A10=AM$1,0,IF(SUM(IMshareM!AM$2:AM$78)-IMshareM!AM$39&gt;0,IMshareM!AM10/(SUM(IMshareM!AM$2:AM$78)-IMshareM!AM$39),0))</f>
        <v>0</v>
      </c>
      <c r="AN10" s="8">
        <f>IF($A10=AN$1,0,IF(SUM(IMshareM!AN$2:AN$78)-IMshareM!AN$40&gt;0,IMshareM!AN10/(SUM(IMshareM!AN$2:AN$78)-IMshareM!AN$40),0))</f>
        <v>6.8922179421674365E-9</v>
      </c>
      <c r="AO10" s="8">
        <f>IF($A10=AO$1,0,IF(SUM(IMshareM!AO$2:AO$78)-IMshareM!AO$41&gt;0,IMshareM!AO10/(SUM(IMshareM!AO$2:AO$78)-IMshareM!AO$41),0))</f>
        <v>0</v>
      </c>
      <c r="AP10" s="8">
        <f>IF($A10=AP$1,0,IF(SUM(IMshareM!AP$2:AP$78)-IMshareM!AP$42&gt;0,IMshareM!AP10/(SUM(IMshareM!AP$2:AP$78)-IMshareM!AP$42),0))</f>
        <v>0</v>
      </c>
      <c r="AQ10" s="8">
        <f>IF($A10=AQ$1,0,IF(SUM(IMshareM!AQ$2:AQ$78)-IMshareM!AQ$43&gt;0,IMshareM!AQ10/(SUM(IMshareM!AQ$2:AQ$78)-IMshareM!AQ$43),0))</f>
        <v>3.1061195299248642E-8</v>
      </c>
      <c r="AR10" s="8">
        <f>IF($A10=AR$1,0,IF(SUM(IMshareM!AR$2:AR$78)-IMshareM!AR$44&gt;0,IMshareM!AR10/(SUM(IMshareM!AR$2:AR$78)-IMshareM!AR$44),0))</f>
        <v>0</v>
      </c>
      <c r="AS10" s="8">
        <f>IF($A10=AS$1,0,IF(SUM(IMshareM!AS$2:AS$78)-IMshareM!AS$45&gt;0,IMshareM!AS10/(SUM(IMshareM!AS$2:AS$78)-IMshareM!AS$45),0))</f>
        <v>0</v>
      </c>
      <c r="AT10" s="8">
        <f>IF($A10=AT$1,0,IF(SUM(IMshareM!AT$2:AT$78)-IMshareM!AT$46&gt;0,IMshareM!AT10/(SUM(IMshareM!AT$2:AT$78)-IMshareM!AT$46),0))</f>
        <v>0</v>
      </c>
      <c r="AU10" s="8">
        <f>IF($A10=AU$1,0,IF(SUM(IMshareM!AU$2:AU$78)-IMshareM!AU$47&gt;0,IMshareM!AU10/(SUM(IMshareM!AU$2:AU$78)-IMshareM!AU$47),0))</f>
        <v>0</v>
      </c>
      <c r="AV10" s="8">
        <f>IF($A10=AV$1,0,IF(SUM(IMshareM!AV$2:AV$78)-IMshareM!AV$48&gt;0,IMshareM!AV10/(SUM(IMshareM!AV$2:AV$78)-IMshareM!AV$48),0))</f>
        <v>0</v>
      </c>
      <c r="AW10" s="8">
        <f>IF($A10=AW$1,0,IF(SUM(IMshareM!AW$2:AW$78)-IMshareM!AW$49&gt;0,IMshareM!AW10/(SUM(IMshareM!AW$2:AW$78)-IMshareM!AW$49),0))</f>
        <v>0</v>
      </c>
      <c r="AX10" s="8">
        <f>IF($A10=AX$1,0,IF(SUM(IMshareM!AX$2:AX$78)-IMshareM!AX$50&gt;0,IMshareM!AX10/(SUM(IMshareM!AX$2:AX$78)-IMshareM!AX$50),0))</f>
        <v>0</v>
      </c>
      <c r="AY10" s="8">
        <f>IF($A10=AY$1,0,IF(SUM(IMshareM!AY$2:AY$78)-IMshareM!AY$51&gt;0,IMshareM!AY10/(SUM(IMshareM!AY$2:AY$78)-IMshareM!AY$51),0))</f>
        <v>0</v>
      </c>
      <c r="AZ10" s="8">
        <f>IF($A10=AZ$1,0,IF(SUM(IMshareM!AZ$2:AZ$78)-IMshareM!AZ$52&gt;0,IMshareM!AZ10/(SUM(IMshareM!AZ$2:AZ$78)-IMshareM!AZ$52),0))</f>
        <v>6.399506115366907E-5</v>
      </c>
      <c r="BA10" s="8">
        <f>IF($A10=BA$1,0,IF(SUM(IMshareM!BA$2:BA$78)-IMshareM!BA$53&gt;0,IMshareM!BA10/(SUM(IMshareM!BA$2:BA$78)-IMshareM!BA$53),0))</f>
        <v>0</v>
      </c>
      <c r="BB10" s="8">
        <f>IF($A10=BB$1,0,IF(SUM(IMshareM!BB$2:BB$78)-IMshareM!BB$54&gt;0,IMshareM!BB10/(SUM(IMshareM!BB$2:BB$78)-IMshareM!BB$54),0))</f>
        <v>2.1775464731087669E-5</v>
      </c>
      <c r="BC10" s="8">
        <f>IF($A10=BC$1,0,IF(SUM(IMshareM!BC$2:BC$78)-IMshareM!BC$55&gt;0,IMshareM!BC10/(SUM(IMshareM!BC$2:BC$78)-IMshareM!BC$55),0))</f>
        <v>0</v>
      </c>
      <c r="BD10" s="8">
        <f>IF($A10=BD$1,0,IF(SUM(IMshareM!BD$2:BD$78)-IMshareM!BD$56&gt;0,IMshareM!BD10/(SUM(IMshareM!BD$2:BD$78)-IMshareM!BD$56),0))</f>
        <v>0</v>
      </c>
      <c r="BE10" s="8">
        <f>IF($A10=BE$1,0,IF(SUM(IMshareM!BE$2:BE$78)-IMshareM!BE$57&gt;0,IMshareM!BE10/(SUM(IMshareM!BE$2:BE$78)-IMshareM!BE$57),0))</f>
        <v>0</v>
      </c>
      <c r="BF10" s="8">
        <f>IF($A10=BF$1,0,IF(SUM(IMshareM!BF$2:BF$78)-IMshareM!BF$58&gt;0,IMshareM!BF10/(SUM(IMshareM!BF$2:BF$78)-IMshareM!BF$58),0))</f>
        <v>0</v>
      </c>
      <c r="BG10" s="8">
        <f>IF($A10=BG$1,0,IF(SUM(IMshareM!BG$2:BG$78)-IMshareM!BG$59&gt;0,IMshareM!BG10/(SUM(IMshareM!BG$2:BG$78)-IMshareM!BG$59),0))</f>
        <v>0</v>
      </c>
      <c r="BH10" s="8">
        <f>IF($A10=BH$1,0,IF(SUM(IMshareM!BH$2:BH$78)-IMshareM!BH$60&gt;0,IMshareM!BH10/(SUM(IMshareM!BH$2:BH$78)-IMshareM!BH$60),0))</f>
        <v>0</v>
      </c>
      <c r="BI10" s="8">
        <f>IF($A10=BI$1,0,IF(SUM(IMshareM!BI$2:BI$78)-IMshareM!BI$61&gt;0,IMshareM!BI10/(SUM(IMshareM!BI$2:BI$78)-IMshareM!BI$61),0))</f>
        <v>0</v>
      </c>
      <c r="BJ10" s="8">
        <f>IF($A10=BJ$1,0,IF(SUM(IMshareM!BJ$2:BJ$78)-IMshareM!BJ$62&gt;0,IMshareM!BJ10/(SUM(IMshareM!BJ$2:BJ$78)-IMshareM!BJ$62),0))</f>
        <v>0</v>
      </c>
      <c r="BK10" s="8">
        <f>IF($A10=BK$1,0,IF(SUM(IMshareM!BK$2:BK$78)-IMshareM!BK$63&gt;0,IMshareM!BK10/(SUM(IMshareM!BK$2:BK$78)-IMshareM!BK$63),0))</f>
        <v>0</v>
      </c>
      <c r="BL10" s="8">
        <f>IF($A10=BL$1,0,IF(SUM(IMshareM!BL$2:BL$78)-IMshareM!BL$64&gt;0,IMshareM!BL10/(SUM(IMshareM!BL$2:BL$78)-IMshareM!BL$64),0))</f>
        <v>0</v>
      </c>
      <c r="BM10" s="8">
        <f>IF($A10=BM$1,0,IF(SUM(IMshareM!BM$2:BM$78)-IMshareM!BM$65&gt;0,IMshareM!BM10/(SUM(IMshareM!BM$2:BM$78)-IMshareM!BM$65),0))</f>
        <v>0</v>
      </c>
      <c r="BN10" s="8">
        <f>IF($A10=BN$1,0,IF(SUM(IMshareM!BN$2:BN$78)-IMshareM!BN$66&gt;0,IMshareM!BN10/(SUM(IMshareM!BN$2:BN$78)-IMshareM!BN$66),0))</f>
        <v>3.3599547740089289E-5</v>
      </c>
      <c r="BO10" s="8">
        <f>IF($A10=BO$1,0,IF(SUM(IMshareM!BO$2:BO$78)-IMshareM!BO$67&gt;0,IMshareM!BO10/(SUM(IMshareM!BO$2:BO$78)-IMshareM!BO$67),0))</f>
        <v>0</v>
      </c>
      <c r="BP10" s="8">
        <f>IF($A10=BP$1,0,IF(SUM(IMshareM!BP$2:BP$78)-IMshareM!BP$68&gt;0,IMshareM!BP10/(SUM(IMshareM!BP$2:BP$78)-IMshareM!BP$68),0))</f>
        <v>0</v>
      </c>
      <c r="BQ10" s="8">
        <f>IF($A10=BQ$1,0,IF(SUM(IMshareM!BQ$2:BQ$78)-IMshareM!BQ$69&gt;0,IMshareM!BQ10/(SUM(IMshareM!BQ$2:BQ$78)-IMshareM!BQ$69),0))</f>
        <v>0</v>
      </c>
      <c r="BR10" s="8">
        <f>IF($A10=BR$1,0,IF(SUM(IMshareM!BR$2:BR$78)-IMshareM!BR$70&gt;0,IMshareM!BR10/(SUM(IMshareM!BR$2:BR$78)-IMshareM!BR$70),0))</f>
        <v>1.3164311062095758E-6</v>
      </c>
      <c r="BS10" s="8">
        <f>IF($A10=BS$1,0,IF(SUM(IMshareM!BS$2:BS$78)-IMshareM!BS$71&gt;0,IMshareM!BS10/(SUM(IMshareM!BS$2:BS$78)-IMshareM!BS$71),0))</f>
        <v>0</v>
      </c>
      <c r="BT10" s="8">
        <f>IF($A10=BT$1,0,IF(SUM(IMshareM!BT$2:BT$78)-IMshareM!BT$72&gt;0,IMshareM!BT10/(SUM(IMshareM!BT$2:BT$78)-IMshareM!BT$72),0))</f>
        <v>0</v>
      </c>
      <c r="BU10" s="8">
        <f>IF($A10=BU$1,0,IF(SUM(IMshareM!BU$2:BU$78)-IMshareM!BU$73&gt;0,IMshareM!BU10/(SUM(IMshareM!BU$2:BU$78)-IMshareM!BU$73),0))</f>
        <v>0</v>
      </c>
      <c r="BV10" s="8">
        <f>IF($A10=BV$1,0,IF(SUM(IMshareM!BV$2:BV$78)-IMshareM!BV$74&gt;0,IMshareM!BV10/(SUM(IMshareM!BV$2:BV$78)-IMshareM!BV$74),0))</f>
        <v>0</v>
      </c>
      <c r="BW10" s="8">
        <f>IF($A10=BW$1,0,IF(SUM(IMshareM!BW$2:BW$78)-IMshareM!BW$75&gt;0,IMshareM!BW10/(SUM(IMshareM!BW$2:BW$78)-IMshareM!BW$75),0))</f>
        <v>2.9268542104696853E-7</v>
      </c>
      <c r="BX10" s="8">
        <f>IF($A10=BX$1,0,IF(SUM(IMshareM!BX$2:BX$78)-IMshareM!BX$76&gt;0,IMshareM!BX10/(SUM(IMshareM!BX$2:BX$78)-IMshareM!BX$76),0))</f>
        <v>1.7288965271925116E-6</v>
      </c>
      <c r="BY10" s="8">
        <f>IF($A10=BY$1,0,IF(SUM(IMshareM!BY$2:BY$78)-IMshareM!BY$77&gt;0,IMshareM!BY10/(SUM(IMshareM!BY$2:BY$78)-IMshareM!BY$77),0))</f>
        <v>0</v>
      </c>
      <c r="BZ10" s="8">
        <f>IF($A10=BZ$1,0,IF(SUM(IMshareM!BZ$2:BZ$78)-IMshareM!BZ$78&gt;0,IMshareM!BZ10/(SUM(IMshareM!BZ$2:BZ$78)-IMshareM!BZ$78),0))</f>
        <v>7.6932464254242128E-7</v>
      </c>
    </row>
    <row r="11" spans="1:78">
      <c r="A11" s="4" t="s">
        <v>89</v>
      </c>
      <c r="B11" s="8">
        <f>IF($A11=B$1,0,IF(SUM(IMshareM!B$2:B$78)-IMshareM!B$2&gt;0,IMshareM!B11/(SUM(IMshareM!B$2:B$78)-IMshareM!B$2),0))</f>
        <v>9.4707628506675182E-4</v>
      </c>
      <c r="C11" s="8">
        <f>IF($A11=C$1,0,IF(SUM(IMshareM!C$2:C$78)-IMshareM!C$3&gt;0,IMshareM!C11/(SUM(IMshareM!C$2:C$78)-IMshareM!C$3),0))</f>
        <v>4.7417982861695388E-3</v>
      </c>
      <c r="D11" s="8">
        <f>IF($A11=D$1,0,IF(SUM(IMshareM!D$2:D$78)-IMshareM!D$4&gt;0,IMshareM!D11/(SUM(IMshareM!D$2:D$78)-IMshareM!D$4),0))</f>
        <v>1.34151978838878E-3</v>
      </c>
      <c r="E11" s="8">
        <f>IF($A11=E$1,0,IF(SUM(IMshareM!E$2:E$78)-IMshareM!E$5&gt;0,IMshareM!E11/(SUM(IMshareM!E$2:E$78)-IMshareM!E$5),0))</f>
        <v>3.2454419226566633E-3</v>
      </c>
      <c r="F11" s="8">
        <f>IF($A11=F$1,0,IF(SUM(IMshareM!F$2:F$78)-IMshareM!F$6&gt;0,IMshareM!F11/(SUM(IMshareM!F$2:F$78)-IMshareM!F$6),0))</f>
        <v>1.0077175885889558E-5</v>
      </c>
      <c r="G11" s="8">
        <f>IF($A11=G$1,0,IF(SUM(IMshareM!G$2:G$78)-IMshareM!G$7&gt;0,IMshareM!G11/(SUM(IMshareM!G$2:G$78)-IMshareM!G$7),0))</f>
        <v>1.2678220164047036E-4</v>
      </c>
      <c r="H11" s="8">
        <f>IF($A11=H$1,0,IF(SUM(IMshareM!H$2:H$78)-IMshareM!H$8&gt;0,IMshareM!H11/(SUM(IMshareM!H$2:H$78)-IMshareM!H$8),0))</f>
        <v>2.4485572091477247E-4</v>
      </c>
      <c r="I11" s="8">
        <f>IF($A11=I$1,0,IF(SUM(IMshareM!I$2:I$78)-IMshareM!I$9&gt;0,IMshareM!I11/(SUM(IMshareM!I$2:I$78)-IMshareM!I$9),0))</f>
        <v>3.1804326538571932E-4</v>
      </c>
      <c r="J11" s="8">
        <f>IF($A11=J$1,0,IF(SUM(IMshareM!J$2:J$78)-IMshareM!J$10&gt;0,IMshareM!J11/(SUM(IMshareM!J$2:J$78)-IMshareM!J$10),0))</f>
        <v>7.4193332241416282E-4</v>
      </c>
      <c r="K11" s="8">
        <f>IF($A11=K$1,0,IF(SUM(IMshareM!K$2:K$78)-IMshareM!K$11&gt;0,IMshareM!K11/(SUM(IMshareM!K$2:K$78)-IMshareM!K$11),0))</f>
        <v>0</v>
      </c>
      <c r="L11" s="8">
        <f>IF($A11=L$1,0,IF(SUM(IMshareM!L$2:L$78)-IMshareM!L$12&gt;0,IMshareM!L11/(SUM(IMshareM!L$2:L$78)-IMshareM!L$12),0))</f>
        <v>1.1127869444849162E-3</v>
      </c>
      <c r="M11" s="8">
        <f>IF($A11=M$1,0,IF(SUM(IMshareM!M$2:M$78)-IMshareM!M$13&gt;0,IMshareM!M11/(SUM(IMshareM!M$2:M$78)-IMshareM!M$13),0))</f>
        <v>9.7094073424910292E-4</v>
      </c>
      <c r="N11" s="8">
        <f>IF($A11=N$1,0,IF(SUM(IMshareM!N$2:N$78)-IMshareM!N$14&gt;0,IMshareM!N11/(SUM(IMshareM!N$2:N$78)-IMshareM!N$14),0))</f>
        <v>6.4392230267499781E-4</v>
      </c>
      <c r="O11" s="8">
        <f>IF($A11=O$1,0,IF(SUM(IMshareM!O$2:O$78)-IMshareM!O$15&gt;0,IMshareM!O11/(SUM(IMshareM!O$2:O$78)-IMshareM!O$15),0))</f>
        <v>3.8231140441423412E-4</v>
      </c>
      <c r="P11" s="8">
        <f>IF($A11=P$1,0,IF(SUM(IMshareM!P$2:P$78)-IMshareM!P$16&gt;0,IMshareM!P11/(SUM(IMshareM!P$2:P$78)-IMshareM!P$16),0))</f>
        <v>0</v>
      </c>
      <c r="Q11" s="8">
        <f>IF($A11=Q$1,0,IF(SUM(IMshareM!Q$2:Q$78)-IMshareM!Q$17&gt;0,IMshareM!Q11/(SUM(IMshareM!Q$2:Q$78)-IMshareM!Q$17),0))</f>
        <v>4.7487956510078669E-4</v>
      </c>
      <c r="R11" s="8">
        <f>IF($A11=R$1,0,IF(SUM(IMshareM!R$2:R$78)-IMshareM!R$18&gt;0,IMshareM!R11/(SUM(IMshareM!R$2:R$78)-IMshareM!R$18),0))</f>
        <v>4.3020440035272476E-3</v>
      </c>
      <c r="S11" s="8">
        <f>IF($A11=S$1,0,IF(SUM(IMshareM!S$2:S$78)-IMshareM!S$19&gt;0,IMshareM!S11/(SUM(IMshareM!S$2:S$78)-IMshareM!S$19),0))</f>
        <v>4.977506564772384E-5</v>
      </c>
      <c r="T11" s="8">
        <f>IF($A11=T$1,0,IF(SUM(IMshareM!T$2:T$78)-IMshareM!T$20&gt;0,IMshareM!T11/(SUM(IMshareM!T$2:T$78)-IMshareM!T$20),0))</f>
        <v>3.7486284584916399E-4</v>
      </c>
      <c r="U11" s="8">
        <f>IF($A11=U$1,0,IF(SUM(IMshareM!U$2:U$78)-IMshareM!U$21&gt;0,IMshareM!U11/(SUM(IMshareM!U$2:U$78)-IMshareM!U$21),0))</f>
        <v>6.1424119177199751E-3</v>
      </c>
      <c r="V11" s="8">
        <f>IF($A11=V$1,0,IF(SUM(IMshareM!V$2:V$78)-IMshareM!V$22&gt;0,IMshareM!V11/(SUM(IMshareM!V$2:V$78)-IMshareM!V$22),0))</f>
        <v>1.4970251851850171E-2</v>
      </c>
      <c r="W11" s="8">
        <f>IF($A11=W$1,0,IF(SUM(IMshareM!W$2:W$78)-IMshareM!W$23&gt;0,IMshareM!W11/(SUM(IMshareM!W$2:W$78)-IMshareM!W$23),0))</f>
        <v>1.138284560244417E-4</v>
      </c>
      <c r="X11" s="8">
        <f>IF($A11=X$1,0,IF(SUM(IMshareM!X$2:X$78)-IMshareM!X$24&gt;0,IMshareM!X11/(SUM(IMshareM!X$2:X$78)-IMshareM!X$24),0))</f>
        <v>8.5618090591226481E-4</v>
      </c>
      <c r="Y11" s="8">
        <f>IF($A11=Y$1,0,IF(SUM(IMshareM!Y$2:Y$78)-IMshareM!Y$25&gt;0,IMshareM!Y11/(SUM(IMshareM!Y$2:Y$78)-IMshareM!Y$25),0))</f>
        <v>7.4217739241699667E-3</v>
      </c>
      <c r="Z11" s="8">
        <f>IF($A11=Z$1,0,IF(SUM(IMshareM!Z$2:Z$78)-IMshareM!Z$26&gt;0,IMshareM!Z11/(SUM(IMshareM!Z$2:Z$78)-IMshareM!Z$26),0))</f>
        <v>2.5325588646167737E-4</v>
      </c>
      <c r="AA11" s="8">
        <f>IF($A11=AA$1,0,IF(SUM(IMshareM!AA$2:AA$78)-IMshareM!AA$27&gt;0,IMshareM!AA11/(SUM(IMshareM!AA$2:AA$78)-IMshareM!AA$27),0))</f>
        <v>1.0943891328648616E-3</v>
      </c>
      <c r="AB11" s="8">
        <f>IF($A11=AB$1,0,IF(SUM(IMshareM!AB$2:AB$78)-IMshareM!AB$28&gt;0,IMshareM!AB11/(SUM(IMshareM!AB$2:AB$78)-IMshareM!AB$28),0))</f>
        <v>1.4852841601344032E-2</v>
      </c>
      <c r="AC11" s="8">
        <f>IF($A11=AC$1,0,IF(SUM(IMshareM!AC$2:AC$78)-IMshareM!AC$29&gt;0,IMshareM!AC11/(SUM(IMshareM!AC$2:AC$78)-IMshareM!AC$29),0))</f>
        <v>2.399256823336678E-4</v>
      </c>
      <c r="AD11" s="8">
        <f>IF($A11=AD$1,0,IF(SUM(IMshareM!AD$2:AD$78)-IMshareM!AD$30&gt;0,IMshareM!AD11/(SUM(IMshareM!AD$2:AD$78)-IMshareM!AD$30),0))</f>
        <v>2.5557658384939581E-5</v>
      </c>
      <c r="AE11" s="8">
        <f>IF($A11=AE$1,0,IF(SUM(IMshareM!AE$2:AE$78)-IMshareM!AE$31&gt;0,IMshareM!AE11/(SUM(IMshareM!AE$2:AE$78)-IMshareM!AE$31),0))</f>
        <v>2.3957118786738999E-4</v>
      </c>
      <c r="AF11" s="8">
        <f>IF($A11=AF$1,0,IF(SUM(IMshareM!AF$2:AF$78)-IMshareM!AF$32&gt;0,IMshareM!AF11/(SUM(IMshareM!AF$2:AF$78)-IMshareM!AF$32),0))</f>
        <v>1.3854777953775158E-4</v>
      </c>
      <c r="AG11" s="8">
        <f>IF($A11=AG$1,0,IF(SUM(IMshareM!AG$2:AG$78)-IMshareM!AG$33&gt;0,IMshareM!AG11/(SUM(IMshareM!AG$2:AG$78)-IMshareM!AG$33),0))</f>
        <v>1.5866446515657203E-3</v>
      </c>
      <c r="AH11" s="8">
        <f>IF($A11=AH$1,0,IF(SUM(IMshareM!AH$2:AH$78)-IMshareM!AH$34&gt;0,IMshareM!AH11/(SUM(IMshareM!AH$2:AH$78)-IMshareM!AH$34),0))</f>
        <v>1.0673992795794407E-3</v>
      </c>
      <c r="AI11" s="8">
        <f>IF($A11=AI$1,0,IF(SUM(IMshareM!AI$2:AI$78)-IMshareM!AI$35&gt;0,IMshareM!AI11/(SUM(IMshareM!AI$2:AI$78)-IMshareM!AI$35),0))</f>
        <v>6.2496278760931399E-4</v>
      </c>
      <c r="AJ11" s="8">
        <f>IF($A11=AJ$1,0,IF(SUM(IMshareM!AJ$2:AJ$78)-IMshareM!AJ$36&gt;0,IMshareM!AJ11/(SUM(IMshareM!AJ$2:AJ$78)-IMshareM!AJ$36),0))</f>
        <v>3.8523350757378406E-3</v>
      </c>
      <c r="AK11" s="8">
        <f>IF($A11=AK$1,0,IF(SUM(IMshareM!AK$2:AK$78)-IMshareM!AK$37&gt;0,IMshareM!AK11/(SUM(IMshareM!AK$2:AK$78)-IMshareM!AK$37),0))</f>
        <v>1.3907153140113734E-3</v>
      </c>
      <c r="AL11" s="8">
        <f>IF($A11=AL$1,0,IF(SUM(IMshareM!AL$2:AL$78)-IMshareM!AL$38&gt;0,IMshareM!AL11/(SUM(IMshareM!AL$2:AL$78)-IMshareM!AL$38),0))</f>
        <v>4.2352335292803237E-4</v>
      </c>
      <c r="AM11" s="8">
        <f>IF($A11=AM$1,0,IF(SUM(IMshareM!AM$2:AM$78)-IMshareM!AM$39&gt;0,IMshareM!AM11/(SUM(IMshareM!AM$2:AM$78)-IMshareM!AM$39),0))</f>
        <v>3.6284990212002641E-3</v>
      </c>
      <c r="AN11" s="8">
        <f>IF($A11=AN$1,0,IF(SUM(IMshareM!AN$2:AN$78)-IMshareM!AN$40&gt;0,IMshareM!AN11/(SUM(IMshareM!AN$2:AN$78)-IMshareM!AN$40),0))</f>
        <v>7.9899354873606537E-3</v>
      </c>
      <c r="AO11" s="8">
        <f>IF($A11=AO$1,0,IF(SUM(IMshareM!AO$2:AO$78)-IMshareM!AO$41&gt;0,IMshareM!AO11/(SUM(IMshareM!AO$2:AO$78)-IMshareM!AO$41),0))</f>
        <v>2.2038408857415225E-4</v>
      </c>
      <c r="AP11" s="8">
        <f>IF($A11=AP$1,0,IF(SUM(IMshareM!AP$2:AP$78)-IMshareM!AP$42&gt;0,IMshareM!AP11/(SUM(IMshareM!AP$2:AP$78)-IMshareM!AP$42),0))</f>
        <v>0</v>
      </c>
      <c r="AQ11" s="8">
        <f>IF($A11=AQ$1,0,IF(SUM(IMshareM!AQ$2:AQ$78)-IMshareM!AQ$43&gt;0,IMshareM!AQ11/(SUM(IMshareM!AQ$2:AQ$78)-IMshareM!AQ$43),0))</f>
        <v>3.2363296957641652E-4</v>
      </c>
      <c r="AR11" s="8">
        <f>IF($A11=AR$1,0,IF(SUM(IMshareM!AR$2:AR$78)-IMshareM!AR$44&gt;0,IMshareM!AR11/(SUM(IMshareM!AR$2:AR$78)-IMshareM!AR$44),0))</f>
        <v>6.2575014986767527E-5</v>
      </c>
      <c r="AS11" s="8">
        <f>IF($A11=AS$1,0,IF(SUM(IMshareM!AS$2:AS$78)-IMshareM!AS$45&gt;0,IMshareM!AS11/(SUM(IMshareM!AS$2:AS$78)-IMshareM!AS$45),0))</f>
        <v>1.3374203491683348E-4</v>
      </c>
      <c r="AT11" s="8">
        <f>IF($A11=AT$1,0,IF(SUM(IMshareM!AT$2:AT$78)-IMshareM!AT$46&gt;0,IMshareM!AT11/(SUM(IMshareM!AT$2:AT$78)-IMshareM!AT$46),0))</f>
        <v>1.139634641166174E-3</v>
      </c>
      <c r="AU11" s="8">
        <f>IF($A11=AU$1,0,IF(SUM(IMshareM!AU$2:AU$78)-IMshareM!AU$47&gt;0,IMshareM!AU11/(SUM(IMshareM!AU$2:AU$78)-IMshareM!AU$47),0))</f>
        <v>9.1201522873942786E-4</v>
      </c>
      <c r="AV11" s="8">
        <f>IF($A11=AV$1,0,IF(SUM(IMshareM!AV$2:AV$78)-IMshareM!AV$48&gt;0,IMshareM!AV11/(SUM(IMshareM!AV$2:AV$78)-IMshareM!AV$48),0))</f>
        <v>1.9941697059380992E-4</v>
      </c>
      <c r="AW11" s="8">
        <f>IF($A11=AW$1,0,IF(SUM(IMshareM!AW$2:AW$78)-IMshareM!AW$49&gt;0,IMshareM!AW11/(SUM(IMshareM!AW$2:AW$78)-IMshareM!AW$49),0))</f>
        <v>1.4592427942272416E-2</v>
      </c>
      <c r="AX11" s="8">
        <f>IF($A11=AX$1,0,IF(SUM(IMshareM!AX$2:AX$78)-IMshareM!AX$50&gt;0,IMshareM!AX11/(SUM(IMshareM!AX$2:AX$78)-IMshareM!AX$50),0))</f>
        <v>1.6194644404406617E-5</v>
      </c>
      <c r="AY11" s="8">
        <f>IF($A11=AY$1,0,IF(SUM(IMshareM!AY$2:AY$78)-IMshareM!AY$51&gt;0,IMshareM!AY11/(SUM(IMshareM!AY$2:AY$78)-IMshareM!AY$51),0))</f>
        <v>2.9759525098029048E-5</v>
      </c>
      <c r="AZ11" s="8">
        <f>IF($A11=AZ$1,0,IF(SUM(IMshareM!AZ$2:AZ$78)-IMshareM!AZ$52&gt;0,IMshareM!AZ11/(SUM(IMshareM!AZ$2:AZ$78)-IMshareM!AZ$52),0))</f>
        <v>2.8519211387924058E-3</v>
      </c>
      <c r="BA11" s="8">
        <f>IF($A11=BA$1,0,IF(SUM(IMshareM!BA$2:BA$78)-IMshareM!BA$53&gt;0,IMshareM!BA11/(SUM(IMshareM!BA$2:BA$78)-IMshareM!BA$53),0))</f>
        <v>6.4019334056989211E-4</v>
      </c>
      <c r="BB11" s="8">
        <f>IF($A11=BB$1,0,IF(SUM(IMshareM!BB$2:BB$78)-IMshareM!BB$54&gt;0,IMshareM!BB11/(SUM(IMshareM!BB$2:BB$78)-IMshareM!BB$54),0))</f>
        <v>2.5516224125470186E-3</v>
      </c>
      <c r="BC11" s="8">
        <f>IF($A11=BC$1,0,IF(SUM(IMshareM!BC$2:BC$78)-IMshareM!BC$55&gt;0,IMshareM!BC11/(SUM(IMshareM!BC$2:BC$78)-IMshareM!BC$55),0))</f>
        <v>6.3350822779571006E-3</v>
      </c>
      <c r="BD11" s="8">
        <f>IF($A11=BD$1,0,IF(SUM(IMshareM!BD$2:BD$78)-IMshareM!BD$56&gt;0,IMshareM!BD11/(SUM(IMshareM!BD$2:BD$78)-IMshareM!BD$56),0))</f>
        <v>3.0268608162382022E-3</v>
      </c>
      <c r="BE11" s="8">
        <f>IF($A11=BE$1,0,IF(SUM(IMshareM!BE$2:BE$78)-IMshareM!BE$57&gt;0,IMshareM!BE11/(SUM(IMshareM!BE$2:BE$78)-IMshareM!BE$57),0))</f>
        <v>2.427168459882654E-3</v>
      </c>
      <c r="BF11" s="8">
        <f>IF($A11=BF$1,0,IF(SUM(IMshareM!BF$2:BF$78)-IMshareM!BF$58&gt;0,IMshareM!BF11/(SUM(IMshareM!BF$2:BF$78)-IMshareM!BF$58),0))</f>
        <v>1.8849078161967249E-3</v>
      </c>
      <c r="BG11" s="8">
        <f>IF($A11=BG$1,0,IF(SUM(IMshareM!BG$2:BG$78)-IMshareM!BG$59&gt;0,IMshareM!BG11/(SUM(IMshareM!BG$2:BG$78)-IMshareM!BG$59),0))</f>
        <v>6.5736428016452652E-5</v>
      </c>
      <c r="BH11" s="8">
        <f>IF($A11=BH$1,0,IF(SUM(IMshareM!BH$2:BH$78)-IMshareM!BH$60&gt;0,IMshareM!BH11/(SUM(IMshareM!BH$2:BH$78)-IMshareM!BH$60),0))</f>
        <v>3.3867007388289632E-3</v>
      </c>
      <c r="BI11" s="8">
        <f>IF($A11=BI$1,0,IF(SUM(IMshareM!BI$2:BI$78)-IMshareM!BI$61&gt;0,IMshareM!BI11/(SUM(IMshareM!BI$2:BI$78)-IMshareM!BI$61),0))</f>
        <v>1.3571180723444625E-4</v>
      </c>
      <c r="BJ11" s="8">
        <f>IF($A11=BJ$1,0,IF(SUM(IMshareM!BJ$2:BJ$78)-IMshareM!BJ$62&gt;0,IMshareM!BJ11/(SUM(IMshareM!BJ$2:BJ$78)-IMshareM!BJ$62),0))</f>
        <v>9.0462143393832059E-4</v>
      </c>
      <c r="BK11" s="8">
        <f>IF($A11=BK$1,0,IF(SUM(IMshareM!BK$2:BK$78)-IMshareM!BK$63&gt;0,IMshareM!BK11/(SUM(IMshareM!BK$2:BK$78)-IMshareM!BK$63),0))</f>
        <v>9.936413690935006E-5</v>
      </c>
      <c r="BL11" s="8">
        <f>IF($A11=BL$1,0,IF(SUM(IMshareM!BL$2:BL$78)-IMshareM!BL$64&gt;0,IMshareM!BL11/(SUM(IMshareM!BL$2:BL$78)-IMshareM!BL$64),0))</f>
        <v>4.0406132188705243E-3</v>
      </c>
      <c r="BM11" s="8">
        <f>IF($A11=BM$1,0,IF(SUM(IMshareM!BM$2:BM$78)-IMshareM!BM$65&gt;0,IMshareM!BM11/(SUM(IMshareM!BM$2:BM$78)-IMshareM!BM$65),0))</f>
        <v>6.0612944946227259E-4</v>
      </c>
      <c r="BN11" s="8">
        <f>IF($A11=BN$1,0,IF(SUM(IMshareM!BN$2:BN$78)-IMshareM!BN$66&gt;0,IMshareM!BN11/(SUM(IMshareM!BN$2:BN$78)-IMshareM!BN$66),0))</f>
        <v>1.472945392092758E-3</v>
      </c>
      <c r="BO11" s="8">
        <f>IF($A11=BO$1,0,IF(SUM(IMshareM!BO$2:BO$78)-IMshareM!BO$67&gt;0,IMshareM!BO11/(SUM(IMshareM!BO$2:BO$78)-IMshareM!BO$67),0))</f>
        <v>1.4402010345486953E-4</v>
      </c>
      <c r="BP11" s="8">
        <f>IF($A11=BP$1,0,IF(SUM(IMshareM!BP$2:BP$78)-IMshareM!BP$68&gt;0,IMshareM!BP11/(SUM(IMshareM!BP$2:BP$78)-IMshareM!BP$68),0))</f>
        <v>2.7867951743559393E-4</v>
      </c>
      <c r="BQ11" s="8">
        <f>IF($A11=BQ$1,0,IF(SUM(IMshareM!BQ$2:BQ$78)-IMshareM!BQ$69&gt;0,IMshareM!BQ11/(SUM(IMshareM!BQ$2:BQ$78)-IMshareM!BQ$69),0))</f>
        <v>8.1044103874835453E-4</v>
      </c>
      <c r="BR11" s="8">
        <f>IF($A11=BR$1,0,IF(SUM(IMshareM!BR$2:BR$78)-IMshareM!BR$70&gt;0,IMshareM!BR11/(SUM(IMshareM!BR$2:BR$78)-IMshareM!BR$70),0))</f>
        <v>1.4856784832078685E-3</v>
      </c>
      <c r="BS11" s="8">
        <f>IF($A11=BS$1,0,IF(SUM(IMshareM!BS$2:BS$78)-IMshareM!BS$71&gt;0,IMshareM!BS11/(SUM(IMshareM!BS$2:BS$78)-IMshareM!BS$71),0))</f>
        <v>9.8705346115757851E-5</v>
      </c>
      <c r="BT11" s="8">
        <f>IF($A11=BT$1,0,IF(SUM(IMshareM!BT$2:BT$78)-IMshareM!BT$72&gt;0,IMshareM!BT11/(SUM(IMshareM!BT$2:BT$78)-IMshareM!BT$72),0))</f>
        <v>5.7621477994838292E-4</v>
      </c>
      <c r="BU11" s="8">
        <f>IF($A11=BU$1,0,IF(SUM(IMshareM!BU$2:BU$78)-IMshareM!BU$73&gt;0,IMshareM!BU11/(SUM(IMshareM!BU$2:BU$78)-IMshareM!BU$73),0))</f>
        <v>2.8404124876108238E-4</v>
      </c>
      <c r="BV11" s="8">
        <f>IF($A11=BV$1,0,IF(SUM(IMshareM!BV$2:BV$78)-IMshareM!BV$74&gt;0,IMshareM!BV11/(SUM(IMshareM!BV$2:BV$78)-IMshareM!BV$74),0))</f>
        <v>1.348709143632659E-3</v>
      </c>
      <c r="BW11" s="8">
        <f>IF($A11=BW$1,0,IF(SUM(IMshareM!BW$2:BW$78)-IMshareM!BW$75&gt;0,IMshareM!BW11/(SUM(IMshareM!BW$2:BW$78)-IMshareM!BW$75),0))</f>
        <v>2.1144281275722637E-2</v>
      </c>
      <c r="BX11" s="8">
        <f>IF($A11=BX$1,0,IF(SUM(IMshareM!BX$2:BX$78)-IMshareM!BX$76&gt;0,IMshareM!BX11/(SUM(IMshareM!BX$2:BX$78)-IMshareM!BX$76),0))</f>
        <v>1.6138898148622607E-5</v>
      </c>
      <c r="BY11" s="8">
        <f>IF($A11=BY$1,0,IF(SUM(IMshareM!BY$2:BY$78)-IMshareM!BY$77&gt;0,IMshareM!BY11/(SUM(IMshareM!BY$2:BY$78)-IMshareM!BY$77),0))</f>
        <v>1.5717037712968884E-3</v>
      </c>
      <c r="BZ11" s="8">
        <f>IF($A11=BZ$1,0,IF(SUM(IMshareM!BZ$2:BZ$78)-IMshareM!BZ$78&gt;0,IMshareM!BZ11/(SUM(IMshareM!BZ$2:BZ$78)-IMshareM!BZ$78),0))</f>
        <v>2.2844681242288356E-3</v>
      </c>
    </row>
    <row r="12" spans="1:78">
      <c r="A12" s="4" t="s">
        <v>91</v>
      </c>
      <c r="B12" s="8">
        <f>IF($A12=B$1,0,IF(SUM(IMshareM!B$2:B$78)-IMshareM!B$2&gt;0,IMshareM!B12/(SUM(IMshareM!B$2:B$78)-IMshareM!B$2),0))</f>
        <v>5.3854236241566442E-3</v>
      </c>
      <c r="C12" s="8">
        <f>IF($A12=C$1,0,IF(SUM(IMshareM!C$2:C$78)-IMshareM!C$3&gt;0,IMshareM!C12/(SUM(IMshareM!C$2:C$78)-IMshareM!C$3),0))</f>
        <v>1.3805758158487679E-2</v>
      </c>
      <c r="D12" s="8">
        <f>IF($A12=D$1,0,IF(SUM(IMshareM!D$2:D$78)-IMshareM!D$4&gt;0,IMshareM!D12/(SUM(IMshareM!D$2:D$78)-IMshareM!D$4),0))</f>
        <v>6.990156730516596E-2</v>
      </c>
      <c r="E12" s="8">
        <f>IF($A12=E$1,0,IF(SUM(IMshareM!E$2:E$78)-IMshareM!E$5&gt;0,IMshareM!E12/(SUM(IMshareM!E$2:E$78)-IMshareM!E$5),0))</f>
        <v>4.3813348657601101E-3</v>
      </c>
      <c r="F12" s="8">
        <f>IF($A12=F$1,0,IF(SUM(IMshareM!F$2:F$78)-IMshareM!F$6&gt;0,IMshareM!F12/(SUM(IMshareM!F$2:F$78)-IMshareM!F$6),0))</f>
        <v>1.2355215697772118E-3</v>
      </c>
      <c r="G12" s="8">
        <f>IF($A12=G$1,0,IF(SUM(IMshareM!G$2:G$78)-IMshareM!G$7&gt;0,IMshareM!G12/(SUM(IMshareM!G$2:G$78)-IMshareM!G$7),0))</f>
        <v>7.3233514868046301E-3</v>
      </c>
      <c r="H12" s="8">
        <f>IF($A12=H$1,0,IF(SUM(IMshareM!H$2:H$78)-IMshareM!H$8&gt;0,IMshareM!H12/(SUM(IMshareM!H$2:H$78)-IMshareM!H$8),0))</f>
        <v>6.7489034816933064E-3</v>
      </c>
      <c r="I12" s="8">
        <f>IF($A12=I$1,0,IF(SUM(IMshareM!I$2:I$78)-IMshareM!I$9&gt;0,IMshareM!I12/(SUM(IMshareM!I$2:I$78)-IMshareM!I$9),0))</f>
        <v>9.7825124324123092E-3</v>
      </c>
      <c r="J12" s="8">
        <f>IF($A12=J$1,0,IF(SUM(IMshareM!J$2:J$78)-IMshareM!J$10&gt;0,IMshareM!J12/(SUM(IMshareM!J$2:J$78)-IMshareM!J$10),0))</f>
        <v>2.2635968438193509E-3</v>
      </c>
      <c r="K12" s="8">
        <f>IF($A12=K$1,0,IF(SUM(IMshareM!K$2:K$78)-IMshareM!K$11&gt;0,IMshareM!K12/(SUM(IMshareM!K$2:K$78)-IMshareM!K$11),0))</f>
        <v>1.056302254173834E-2</v>
      </c>
      <c r="L12" s="8">
        <f>IF($A12=L$1,0,IF(SUM(IMshareM!L$2:L$78)-IMshareM!L$12&gt;0,IMshareM!L12/(SUM(IMshareM!L$2:L$78)-IMshareM!L$12),0))</f>
        <v>0</v>
      </c>
      <c r="M12" s="8">
        <f>IF($A12=M$1,0,IF(SUM(IMshareM!M$2:M$78)-IMshareM!M$13&gt;0,IMshareM!M12/(SUM(IMshareM!M$2:M$78)-IMshareM!M$13),0))</f>
        <v>5.4746986544764625E-4</v>
      </c>
      <c r="N12" s="8">
        <f>IF($A12=N$1,0,IF(SUM(IMshareM!N$2:N$78)-IMshareM!N$14&gt;0,IMshareM!N12/(SUM(IMshareM!N$2:N$78)-IMshareM!N$14),0))</f>
        <v>4.1553987552179511E-2</v>
      </c>
      <c r="O12" s="8">
        <f>IF($A12=O$1,0,IF(SUM(IMshareM!O$2:O$78)-IMshareM!O$15&gt;0,IMshareM!O12/(SUM(IMshareM!O$2:O$78)-IMshareM!O$15),0))</f>
        <v>2.097129002774581E-3</v>
      </c>
      <c r="P12" s="8">
        <f>IF($A12=P$1,0,IF(SUM(IMshareM!P$2:P$78)-IMshareM!P$16&gt;0,IMshareM!P12/(SUM(IMshareM!P$2:P$78)-IMshareM!P$16),0))</f>
        <v>4.6396463537572248E-3</v>
      </c>
      <c r="Q12" s="8">
        <f>IF($A12=Q$1,0,IF(SUM(IMshareM!Q$2:Q$78)-IMshareM!Q$17&gt;0,IMshareM!Q12/(SUM(IMshareM!Q$2:Q$78)-IMshareM!Q$17),0))</f>
        <v>4.2967106856873641E-3</v>
      </c>
      <c r="R12" s="8">
        <f>IF($A12=R$1,0,IF(SUM(IMshareM!R$2:R$78)-IMshareM!R$18&gt;0,IMshareM!R12/(SUM(IMshareM!R$2:R$78)-IMshareM!R$18),0))</f>
        <v>3.9023969976064838E-3</v>
      </c>
      <c r="S12" s="8">
        <f>IF($A12=S$1,0,IF(SUM(IMshareM!S$2:S$78)-IMshareM!S$19&gt;0,IMshareM!S12/(SUM(IMshareM!S$2:S$78)-IMshareM!S$19),0))</f>
        <v>3.6209772089228843E-3</v>
      </c>
      <c r="T12" s="8">
        <f>IF($A12=T$1,0,IF(SUM(IMshareM!T$2:T$78)-IMshareM!T$20&gt;0,IMshareM!T12/(SUM(IMshareM!T$2:T$78)-IMshareM!T$20),0))</f>
        <v>5.1028839133294514E-2</v>
      </c>
      <c r="U12" s="8">
        <f>IF($A12=U$1,0,IF(SUM(IMshareM!U$2:U$78)-IMshareM!U$21&gt;0,IMshareM!U12/(SUM(IMshareM!U$2:U$78)-IMshareM!U$21),0))</f>
        <v>8.6103714857340793E-2</v>
      </c>
      <c r="V12" s="8">
        <f>IF($A12=V$1,0,IF(SUM(IMshareM!V$2:V$78)-IMshareM!V$22&gt;0,IMshareM!V12/(SUM(IMshareM!V$2:V$78)-IMshareM!V$22),0))</f>
        <v>4.1687407936185144E-3</v>
      </c>
      <c r="W12" s="8">
        <f>IF($A12=W$1,0,IF(SUM(IMshareM!W$2:W$78)-IMshareM!W$23&gt;0,IMshareM!W12/(SUM(IMshareM!W$2:W$78)-IMshareM!W$23),0))</f>
        <v>5.03385893110209E-3</v>
      </c>
      <c r="X12" s="8">
        <f>IF($A12=X$1,0,IF(SUM(IMshareM!X$2:X$78)-IMshareM!X$24&gt;0,IMshareM!X12/(SUM(IMshareM!X$2:X$78)-IMshareM!X$24),0))</f>
        <v>2.0849962762689789E-2</v>
      </c>
      <c r="Y12" s="8">
        <f>IF($A12=Y$1,0,IF(SUM(IMshareM!Y$2:Y$78)-IMshareM!Y$25&gt;0,IMshareM!Y12/(SUM(IMshareM!Y$2:Y$78)-IMshareM!Y$25),0))</f>
        <v>0.10451484769237801</v>
      </c>
      <c r="Z12" s="8">
        <f>IF($A12=Z$1,0,IF(SUM(IMshareM!Z$2:Z$78)-IMshareM!Z$26&gt;0,IMshareM!Z12/(SUM(IMshareM!Z$2:Z$78)-IMshareM!Z$26),0))</f>
        <v>4.7547444880165733E-2</v>
      </c>
      <c r="AA12" s="8">
        <f>IF($A12=AA$1,0,IF(SUM(IMshareM!AA$2:AA$78)-IMshareM!AA$27&gt;0,IMshareM!AA12/(SUM(IMshareM!AA$2:AA$78)-IMshareM!AA$27),0))</f>
        <v>2.4504306842558481E-2</v>
      </c>
      <c r="AB12" s="8">
        <f>IF($A12=AB$1,0,IF(SUM(IMshareM!AB$2:AB$78)-IMshareM!AB$28&gt;0,IMshareM!AB12/(SUM(IMshareM!AB$2:AB$78)-IMshareM!AB$28),0))</f>
        <v>4.4270699748616769E-2</v>
      </c>
      <c r="AC12" s="8">
        <f>IF($A12=AC$1,0,IF(SUM(IMshareM!AC$2:AC$78)-IMshareM!AC$29&gt;0,IMshareM!AC12/(SUM(IMshareM!AC$2:AC$78)-IMshareM!AC$29),0))</f>
        <v>2.5923702678004577E-3</v>
      </c>
      <c r="AD12" s="8">
        <f>IF($A12=AD$1,0,IF(SUM(IMshareM!AD$2:AD$78)-IMshareM!AD$30&gt;0,IMshareM!AD12/(SUM(IMshareM!AD$2:AD$78)-IMshareM!AD$30),0))</f>
        <v>2.8616780512525351E-3</v>
      </c>
      <c r="AE12" s="8">
        <f>IF($A12=AE$1,0,IF(SUM(IMshareM!AE$2:AE$78)-IMshareM!AE$31&gt;0,IMshareM!AE12/(SUM(IMshareM!AE$2:AE$78)-IMshareM!AE$31),0))</f>
        <v>1.082385024977636E-2</v>
      </c>
      <c r="AF12" s="8">
        <f>IF($A12=AF$1,0,IF(SUM(IMshareM!AF$2:AF$78)-IMshareM!AF$32&gt;0,IMshareM!AF12/(SUM(IMshareM!AF$2:AF$78)-IMshareM!AF$32),0))</f>
        <v>8.9846945800131934E-3</v>
      </c>
      <c r="AG12" s="8">
        <f>IF($A12=AG$1,0,IF(SUM(IMshareM!AG$2:AG$78)-IMshareM!AG$33&gt;0,IMshareM!AG12/(SUM(IMshareM!AG$2:AG$78)-IMshareM!AG$33),0))</f>
        <v>1.0956355178367442E-3</v>
      </c>
      <c r="AH12" s="8">
        <f>IF($A12=AH$1,0,IF(SUM(IMshareM!AH$2:AH$78)-IMshareM!AH$34&gt;0,IMshareM!AH12/(SUM(IMshareM!AH$2:AH$78)-IMshareM!AH$34),0))</f>
        <v>1.0105585847621735E-2</v>
      </c>
      <c r="AI12" s="8">
        <f>IF($A12=AI$1,0,IF(SUM(IMshareM!AI$2:AI$78)-IMshareM!AI$35&gt;0,IMshareM!AI12/(SUM(IMshareM!AI$2:AI$78)-IMshareM!AI$35),0))</f>
        <v>2.0383667455237064E-2</v>
      </c>
      <c r="AJ12" s="8">
        <f>IF($A12=AJ$1,0,IF(SUM(IMshareM!AJ$2:AJ$78)-IMshareM!AJ$36&gt;0,IMshareM!AJ12/(SUM(IMshareM!AJ$2:AJ$78)-IMshareM!AJ$36),0))</f>
        <v>1.7528989161741251E-2</v>
      </c>
      <c r="AK12" s="8">
        <f>IF($A12=AK$1,0,IF(SUM(IMshareM!AK$2:AK$78)-IMshareM!AK$37&gt;0,IMshareM!AK12/(SUM(IMshareM!AK$2:AK$78)-IMshareM!AK$37),0))</f>
        <v>7.1073981123641883E-2</v>
      </c>
      <c r="AL12" s="8">
        <f>IF($A12=AL$1,0,IF(SUM(IMshareM!AL$2:AL$78)-IMshareM!AL$38&gt;0,IMshareM!AL12/(SUM(IMshareM!AL$2:AL$78)-IMshareM!AL$38),0))</f>
        <v>1.6662692810025404E-2</v>
      </c>
      <c r="AM12" s="8">
        <f>IF($A12=AM$1,0,IF(SUM(IMshareM!AM$2:AM$78)-IMshareM!AM$39&gt;0,IMshareM!AM12/(SUM(IMshareM!AM$2:AM$78)-IMshareM!AM$39),0))</f>
        <v>7.0298775604687464E-3</v>
      </c>
      <c r="AN12" s="8">
        <f>IF($A12=AN$1,0,IF(SUM(IMshareM!AN$2:AN$78)-IMshareM!AN$40&gt;0,IMshareM!AN12/(SUM(IMshareM!AN$2:AN$78)-IMshareM!AN$40),0))</f>
        <v>8.0242294602693581E-3</v>
      </c>
      <c r="AO12" s="8">
        <f>IF($A12=AO$1,0,IF(SUM(IMshareM!AO$2:AO$78)-IMshareM!AO$41&gt;0,IMshareM!AO12/(SUM(IMshareM!AO$2:AO$78)-IMshareM!AO$41),0))</f>
        <v>1.1480458389387889E-2</v>
      </c>
      <c r="AP12" s="8">
        <f>IF($A12=AP$1,0,IF(SUM(IMshareM!AP$2:AP$78)-IMshareM!AP$42&gt;0,IMshareM!AP12/(SUM(IMshareM!AP$2:AP$78)-IMshareM!AP$42),0))</f>
        <v>6.0328979294617419E-5</v>
      </c>
      <c r="AQ12" s="8">
        <f>IF($A12=AQ$1,0,IF(SUM(IMshareM!AQ$2:AQ$78)-IMshareM!AQ$43&gt;0,IMshareM!AQ12/(SUM(IMshareM!AQ$2:AQ$78)-IMshareM!AQ$43),0))</f>
        <v>4.9308934761818713E-3</v>
      </c>
      <c r="AR12" s="8">
        <f>IF($A12=AR$1,0,IF(SUM(IMshareM!AR$2:AR$78)-IMshareM!AR$44&gt;0,IMshareM!AR12/(SUM(IMshareM!AR$2:AR$78)-IMshareM!AR$44),0))</f>
        <v>2.0297715707647199E-4</v>
      </c>
      <c r="AS12" s="8">
        <f>IF($A12=AS$1,0,IF(SUM(IMshareM!AS$2:AS$78)-IMshareM!AS$45&gt;0,IMshareM!AS12/(SUM(IMshareM!AS$2:AS$78)-IMshareM!AS$45),0))</f>
        <v>3.4095140350124853E-3</v>
      </c>
      <c r="AT12" s="8">
        <f>IF($A12=AT$1,0,IF(SUM(IMshareM!AT$2:AT$78)-IMshareM!AT$46&gt;0,IMshareM!AT12/(SUM(IMshareM!AT$2:AT$78)-IMshareM!AT$46),0))</f>
        <v>8.4208841413563537E-3</v>
      </c>
      <c r="AU12" s="8">
        <f>IF($A12=AU$1,0,IF(SUM(IMshareM!AU$2:AU$78)-IMshareM!AU$47&gt;0,IMshareM!AU12/(SUM(IMshareM!AU$2:AU$78)-IMshareM!AU$47),0))</f>
        <v>2.560812252970962E-2</v>
      </c>
      <c r="AV12" s="8">
        <f>IF($A12=AV$1,0,IF(SUM(IMshareM!AV$2:AV$78)-IMshareM!AV$48&gt;0,IMshareM!AV12/(SUM(IMshareM!AV$2:AV$78)-IMshareM!AV$48),0))</f>
        <v>1.991103686609124E-2</v>
      </c>
      <c r="AW12" s="8">
        <f>IF($A12=AW$1,0,IF(SUM(IMshareM!AW$2:AW$78)-IMshareM!AW$49&gt;0,IMshareM!AW12/(SUM(IMshareM!AW$2:AW$78)-IMshareM!AW$49),0))</f>
        <v>1.1619592839478738E-2</v>
      </c>
      <c r="AX12" s="8">
        <f>IF($A12=AX$1,0,IF(SUM(IMshareM!AX$2:AX$78)-IMshareM!AX$50&gt;0,IMshareM!AX12/(SUM(IMshareM!AX$2:AX$78)-IMshareM!AX$50),0))</f>
        <v>8.59806142017909E-3</v>
      </c>
      <c r="AY12" s="8">
        <f>IF($A12=AY$1,0,IF(SUM(IMshareM!AY$2:AY$78)-IMshareM!AY$51&gt;0,IMshareM!AY12/(SUM(IMshareM!AY$2:AY$78)-IMshareM!AY$51),0))</f>
        <v>2.7808031593026718E-4</v>
      </c>
      <c r="AZ12" s="8">
        <f>IF($A12=AZ$1,0,IF(SUM(IMshareM!AZ$2:AZ$78)-IMshareM!AZ$52&gt;0,IMshareM!AZ12/(SUM(IMshareM!AZ$2:AZ$78)-IMshareM!AZ$52),0))</f>
        <v>1.6026265334429177E-2</v>
      </c>
      <c r="BA12" s="8">
        <f>IF($A12=BA$1,0,IF(SUM(IMshareM!BA$2:BA$78)-IMshareM!BA$53&gt;0,IMshareM!BA12/(SUM(IMshareM!BA$2:BA$78)-IMshareM!BA$53),0))</f>
        <v>3.2145499834476343E-2</v>
      </c>
      <c r="BB12" s="8">
        <f>IF($A12=BB$1,0,IF(SUM(IMshareM!BB$2:BB$78)-IMshareM!BB$54&gt;0,IMshareM!BB12/(SUM(IMshareM!BB$2:BB$78)-IMshareM!BB$54),0))</f>
        <v>1.8482176651421291E-2</v>
      </c>
      <c r="BC12" s="8">
        <f>IF($A12=BC$1,0,IF(SUM(IMshareM!BC$2:BC$78)-IMshareM!BC$55&gt;0,IMshareM!BC12/(SUM(IMshareM!BC$2:BC$78)-IMshareM!BC$55),0))</f>
        <v>4.714091460221069E-2</v>
      </c>
      <c r="BD12" s="8">
        <f>IF($A12=BD$1,0,IF(SUM(IMshareM!BD$2:BD$78)-IMshareM!BD$56&gt;0,IMshareM!BD12/(SUM(IMshareM!BD$2:BD$78)-IMshareM!BD$56),0))</f>
        <v>1.7212876533150536E-2</v>
      </c>
      <c r="BE12" s="8">
        <f>IF($A12=BE$1,0,IF(SUM(IMshareM!BE$2:BE$78)-IMshareM!BE$57&gt;0,IMshareM!BE12/(SUM(IMshareM!BE$2:BE$78)-IMshareM!BE$57),0))</f>
        <v>1.1404769210308001E-3</v>
      </c>
      <c r="BF12" s="8">
        <f>IF($A12=BF$1,0,IF(SUM(IMshareM!BF$2:BF$78)-IMshareM!BF$58&gt;0,IMshareM!BF12/(SUM(IMshareM!BF$2:BF$78)-IMshareM!BF$58),0))</f>
        <v>3.0788860198342509E-3</v>
      </c>
      <c r="BG12" s="8">
        <f>IF($A12=BG$1,0,IF(SUM(IMshareM!BG$2:BG$78)-IMshareM!BG$59&gt;0,IMshareM!BG12/(SUM(IMshareM!BG$2:BG$78)-IMshareM!BG$59),0))</f>
        <v>1.1831833511752226E-3</v>
      </c>
      <c r="BH12" s="8">
        <f>IF($A12=BH$1,0,IF(SUM(IMshareM!BH$2:BH$78)-IMshareM!BH$60&gt;0,IMshareM!BH12/(SUM(IMshareM!BH$2:BH$78)-IMshareM!BH$60),0))</f>
        <v>2.2646230520382692E-2</v>
      </c>
      <c r="BI12" s="8">
        <f>IF($A12=BI$1,0,IF(SUM(IMshareM!BI$2:BI$78)-IMshareM!BI$61&gt;0,IMshareM!BI12/(SUM(IMshareM!BI$2:BI$78)-IMshareM!BI$61),0))</f>
        <v>0.13289767060520855</v>
      </c>
      <c r="BJ12" s="8">
        <f>IF($A12=BJ$1,0,IF(SUM(IMshareM!BJ$2:BJ$78)-IMshareM!BJ$62&gt;0,IMshareM!BJ12/(SUM(IMshareM!BJ$2:BJ$78)-IMshareM!BJ$62),0))</f>
        <v>2.5675858268558865E-2</v>
      </c>
      <c r="BK12" s="8">
        <f>IF($A12=BK$1,0,IF(SUM(IMshareM!BK$2:BK$78)-IMshareM!BK$63&gt;0,IMshareM!BK12/(SUM(IMshareM!BK$2:BK$78)-IMshareM!BK$63),0))</f>
        <v>8.8838372197834435E-3</v>
      </c>
      <c r="BL12" s="8">
        <f>IF($A12=BL$1,0,IF(SUM(IMshareM!BL$2:BL$78)-IMshareM!BL$64&gt;0,IMshareM!BL12/(SUM(IMshareM!BL$2:BL$78)-IMshareM!BL$64),0))</f>
        <v>8.3166756981956427E-3</v>
      </c>
      <c r="BM12" s="8">
        <f>IF($A12=BM$1,0,IF(SUM(IMshareM!BM$2:BM$78)-IMshareM!BM$65&gt;0,IMshareM!BM12/(SUM(IMshareM!BM$2:BM$78)-IMshareM!BM$65),0))</f>
        <v>1.5677661038478925E-3</v>
      </c>
      <c r="BN12" s="8">
        <f>IF($A12=BN$1,0,IF(SUM(IMshareM!BN$2:BN$78)-IMshareM!BN$66&gt;0,IMshareM!BN12/(SUM(IMshareM!BN$2:BN$78)-IMshareM!BN$66),0))</f>
        <v>2.3182125367997339E-2</v>
      </c>
      <c r="BO12" s="8">
        <f>IF($A12=BO$1,0,IF(SUM(IMshareM!BO$2:BO$78)-IMshareM!BO$67&gt;0,IMshareM!BO12/(SUM(IMshareM!BO$2:BO$78)-IMshareM!BO$67),0))</f>
        <v>3.287557360368093E-2</v>
      </c>
      <c r="BP12" s="8">
        <f>IF($A12=BP$1,0,IF(SUM(IMshareM!BP$2:BP$78)-IMshareM!BP$68&gt;0,IMshareM!BP12/(SUM(IMshareM!BP$2:BP$78)-IMshareM!BP$68),0))</f>
        <v>1.0497960724947443E-2</v>
      </c>
      <c r="BQ12" s="8">
        <f>IF($A12=BQ$1,0,IF(SUM(IMshareM!BQ$2:BQ$78)-IMshareM!BQ$69&gt;0,IMshareM!BQ12/(SUM(IMshareM!BQ$2:BQ$78)-IMshareM!BQ$69),0))</f>
        <v>9.1174963463175954E-3</v>
      </c>
      <c r="BR12" s="8">
        <f>IF($A12=BR$1,0,IF(SUM(IMshareM!BR$2:BR$78)-IMshareM!BR$70&gt;0,IMshareM!BR12/(SUM(IMshareM!BR$2:BR$78)-IMshareM!BR$70),0))</f>
        <v>4.019580409679732E-3</v>
      </c>
      <c r="BS12" s="8">
        <f>IF($A12=BS$1,0,IF(SUM(IMshareM!BS$2:BS$78)-IMshareM!BS$71&gt;0,IMshareM!BS12/(SUM(IMshareM!BS$2:BS$78)-IMshareM!BS$71),0))</f>
        <v>1.6213282099692684E-2</v>
      </c>
      <c r="BT12" s="8">
        <f>IF($A12=BT$1,0,IF(SUM(IMshareM!BT$2:BT$78)-IMshareM!BT$72&gt;0,IMshareM!BT12/(SUM(IMshareM!BT$2:BT$78)-IMshareM!BT$72),0))</f>
        <v>1.4557851634591459E-2</v>
      </c>
      <c r="BU12" s="8">
        <f>IF($A12=BU$1,0,IF(SUM(IMshareM!BU$2:BU$78)-IMshareM!BU$73&gt;0,IMshareM!BU12/(SUM(IMshareM!BU$2:BU$78)-IMshareM!BU$73),0))</f>
        <v>1.0425183272449994E-2</v>
      </c>
      <c r="BV12" s="8">
        <f>IF($A12=BV$1,0,IF(SUM(IMshareM!BV$2:BV$78)-IMshareM!BV$74&gt;0,IMshareM!BV12/(SUM(IMshareM!BV$2:BV$78)-IMshareM!BV$74),0))</f>
        <v>4.6507466563757947E-2</v>
      </c>
      <c r="BW12" s="8">
        <f>IF($A12=BW$1,0,IF(SUM(IMshareM!BW$2:BW$78)-IMshareM!BW$75&gt;0,IMshareM!BW12/(SUM(IMshareM!BW$2:BW$78)-IMshareM!BW$75),0))</f>
        <v>2.2082952535110958E-2</v>
      </c>
      <c r="BX12" s="8">
        <f>IF($A12=BX$1,0,IF(SUM(IMshareM!BX$2:BX$78)-IMshareM!BX$76&gt;0,IMshareM!BX12/(SUM(IMshareM!BX$2:BX$78)-IMshareM!BX$76),0))</f>
        <v>2.438926896917415E-3</v>
      </c>
      <c r="BY12" s="8">
        <f>IF($A12=BY$1,0,IF(SUM(IMshareM!BY$2:BY$78)-IMshareM!BY$77&gt;0,IMshareM!BY12/(SUM(IMshareM!BY$2:BY$78)-IMshareM!BY$77),0))</f>
        <v>6.5439845417027765E-3</v>
      </c>
      <c r="BZ12" s="8">
        <f>IF($A12=BZ$1,0,IF(SUM(IMshareM!BZ$2:BZ$78)-IMshareM!BZ$78&gt;0,IMshareM!BZ12/(SUM(IMshareM!BZ$2:BZ$78)-IMshareM!BZ$78),0))</f>
        <v>8.5351597100151774E-3</v>
      </c>
    </row>
    <row r="13" spans="1:78">
      <c r="A13" s="4" t="s">
        <v>93</v>
      </c>
      <c r="B13" s="8">
        <f>IF($A13=B$1,0,IF(SUM(IMshareM!B$2:B$78)-IMshareM!B$2&gt;0,IMshareM!B13/(SUM(IMshareM!B$2:B$78)-IMshareM!B$2),0))</f>
        <v>2.244358525943894E-5</v>
      </c>
      <c r="C13" s="8">
        <f>IF($A13=C$1,0,IF(SUM(IMshareM!C$2:C$78)-IMshareM!C$3&gt;0,IMshareM!C13/(SUM(IMshareM!C$2:C$78)-IMshareM!C$3),0))</f>
        <v>1.245876903056675E-4</v>
      </c>
      <c r="D13" s="8">
        <f>IF($A13=D$1,0,IF(SUM(IMshareM!D$2:D$78)-IMshareM!D$4&gt;0,IMshareM!D13/(SUM(IMshareM!D$2:D$78)-IMshareM!D$4),0))</f>
        <v>3.7947482990561505E-6</v>
      </c>
      <c r="E13" s="8">
        <f>IF($A13=E$1,0,IF(SUM(IMshareM!E$2:E$78)-IMshareM!E$5&gt;0,IMshareM!E13/(SUM(IMshareM!E$2:E$78)-IMshareM!E$5),0))</f>
        <v>1.3443066264863933E-6</v>
      </c>
      <c r="F13" s="8">
        <f>IF($A13=F$1,0,IF(SUM(IMshareM!F$2:F$78)-IMshareM!F$6&gt;0,IMshareM!F13/(SUM(IMshareM!F$2:F$78)-IMshareM!F$6),0))</f>
        <v>0</v>
      </c>
      <c r="G13" s="8">
        <f>IF($A13=G$1,0,IF(SUM(IMshareM!G$2:G$78)-IMshareM!G$7&gt;0,IMshareM!G13/(SUM(IMshareM!G$2:G$78)-IMshareM!G$7),0))</f>
        <v>0</v>
      </c>
      <c r="H13" s="8">
        <f>IF($A13=H$1,0,IF(SUM(IMshareM!H$2:H$78)-IMshareM!H$8&gt;0,IMshareM!H13/(SUM(IMshareM!H$2:H$78)-IMshareM!H$8),0))</f>
        <v>0</v>
      </c>
      <c r="I13" s="8">
        <f>IF($A13=I$1,0,IF(SUM(IMshareM!I$2:I$78)-IMshareM!I$9&gt;0,IMshareM!I13/(SUM(IMshareM!I$2:I$78)-IMshareM!I$9),0))</f>
        <v>2.1383558833343259E-4</v>
      </c>
      <c r="J13" s="8">
        <f>IF($A13=J$1,0,IF(SUM(IMshareM!J$2:J$78)-IMshareM!J$10&gt;0,IMshareM!J13/(SUM(IMshareM!J$2:J$78)-IMshareM!J$10),0))</f>
        <v>0</v>
      </c>
      <c r="K13" s="8">
        <f>IF($A13=K$1,0,IF(SUM(IMshareM!K$2:K$78)-IMshareM!K$11&gt;0,IMshareM!K13/(SUM(IMshareM!K$2:K$78)-IMshareM!K$11),0))</f>
        <v>6.018646412962593E-5</v>
      </c>
      <c r="L13" s="8">
        <f>IF($A13=L$1,0,IF(SUM(IMshareM!L$2:L$78)-IMshareM!L$12&gt;0,IMshareM!L13/(SUM(IMshareM!L$2:L$78)-IMshareM!L$12),0))</f>
        <v>9.7896046718626081E-6</v>
      </c>
      <c r="M13" s="8">
        <f>IF($A13=M$1,0,IF(SUM(IMshareM!M$2:M$78)-IMshareM!M$13&gt;0,IMshareM!M13/(SUM(IMshareM!M$2:M$78)-IMshareM!M$13),0))</f>
        <v>0</v>
      </c>
      <c r="N13" s="8">
        <f>IF($A13=N$1,0,IF(SUM(IMshareM!N$2:N$78)-IMshareM!N$14&gt;0,IMshareM!N13/(SUM(IMshareM!N$2:N$78)-IMshareM!N$14),0))</f>
        <v>3.4024306262141642E-8</v>
      </c>
      <c r="O13" s="8">
        <f>IF($A13=O$1,0,IF(SUM(IMshareM!O$2:O$78)-IMshareM!O$15&gt;0,IMshareM!O13/(SUM(IMshareM!O$2:O$78)-IMshareM!O$15),0))</f>
        <v>0</v>
      </c>
      <c r="P13" s="8">
        <f>IF($A13=P$1,0,IF(SUM(IMshareM!P$2:P$78)-IMshareM!P$16&gt;0,IMshareM!P13/(SUM(IMshareM!P$2:P$78)-IMshareM!P$16),0))</f>
        <v>0</v>
      </c>
      <c r="Q13" s="8">
        <f>IF($A13=Q$1,0,IF(SUM(IMshareM!Q$2:Q$78)-IMshareM!Q$17&gt;0,IMshareM!Q13/(SUM(IMshareM!Q$2:Q$78)-IMshareM!Q$17),0))</f>
        <v>1.2767700282369812E-4</v>
      </c>
      <c r="R13" s="8">
        <f>IF($A13=R$1,0,IF(SUM(IMshareM!R$2:R$78)-IMshareM!R$18&gt;0,IMshareM!R13/(SUM(IMshareM!R$2:R$78)-IMshareM!R$18),0))</f>
        <v>8.1499014272608109E-4</v>
      </c>
      <c r="S13" s="8">
        <f>IF($A13=S$1,0,IF(SUM(IMshareM!S$2:S$78)-IMshareM!S$19&gt;0,IMshareM!S13/(SUM(IMshareM!S$2:S$78)-IMshareM!S$19),0))</f>
        <v>0</v>
      </c>
      <c r="T13" s="8">
        <f>IF($A13=T$1,0,IF(SUM(IMshareM!T$2:T$78)-IMshareM!T$20&gt;0,IMshareM!T13/(SUM(IMshareM!T$2:T$78)-IMshareM!T$20),0))</f>
        <v>0</v>
      </c>
      <c r="U13" s="8">
        <f>IF($A13=U$1,0,IF(SUM(IMshareM!U$2:U$78)-IMshareM!U$21&gt;0,IMshareM!U13/(SUM(IMshareM!U$2:U$78)-IMshareM!U$21),0))</f>
        <v>1.6263091213123044E-6</v>
      </c>
      <c r="V13" s="8">
        <f>IF($A13=V$1,0,IF(SUM(IMshareM!V$2:V$78)-IMshareM!V$22&gt;0,IMshareM!V13/(SUM(IMshareM!V$2:V$78)-IMshareM!V$22),0))</f>
        <v>2.2951468811019821E-5</v>
      </c>
      <c r="W13" s="8">
        <f>IF($A13=W$1,0,IF(SUM(IMshareM!W$2:W$78)-IMshareM!W$23&gt;0,IMshareM!W13/(SUM(IMshareM!W$2:W$78)-IMshareM!W$23),0))</f>
        <v>0</v>
      </c>
      <c r="X13" s="8">
        <f>IF($A13=X$1,0,IF(SUM(IMshareM!X$2:X$78)-IMshareM!X$24&gt;0,IMshareM!X13/(SUM(IMshareM!X$2:X$78)-IMshareM!X$24),0))</f>
        <v>4.296188718093295E-5</v>
      </c>
      <c r="Y13" s="8">
        <f>IF($A13=Y$1,0,IF(SUM(IMshareM!Y$2:Y$78)-IMshareM!Y$25&gt;0,IMshareM!Y13/(SUM(IMshareM!Y$2:Y$78)-IMshareM!Y$25),0))</f>
        <v>0</v>
      </c>
      <c r="Z13" s="8">
        <f>IF($A13=Z$1,0,IF(SUM(IMshareM!Z$2:Z$78)-IMshareM!Z$26&gt;0,IMshareM!Z13/(SUM(IMshareM!Z$2:Z$78)-IMshareM!Z$26),0))</f>
        <v>2.8208290800913984E-5</v>
      </c>
      <c r="AA13" s="8">
        <f>IF($A13=AA$1,0,IF(SUM(IMshareM!AA$2:AA$78)-IMshareM!AA$27&gt;0,IMshareM!AA13/(SUM(IMshareM!AA$2:AA$78)-IMshareM!AA$27),0))</f>
        <v>2.388899977229192E-7</v>
      </c>
      <c r="AB13" s="8">
        <f>IF($A13=AB$1,0,IF(SUM(IMshareM!AB$2:AB$78)-IMshareM!AB$28&gt;0,IMshareM!AB13/(SUM(IMshareM!AB$2:AB$78)-IMshareM!AB$28),0))</f>
        <v>7.4581233965238742E-7</v>
      </c>
      <c r="AC13" s="8">
        <f>IF($A13=AC$1,0,IF(SUM(IMshareM!AC$2:AC$78)-IMshareM!AC$29&gt;0,IMshareM!AC13/(SUM(IMshareM!AC$2:AC$78)-IMshareM!AC$29),0))</f>
        <v>0</v>
      </c>
      <c r="AD13" s="8">
        <f>IF($A13=AD$1,0,IF(SUM(IMshareM!AD$2:AD$78)-IMshareM!AD$30&gt;0,IMshareM!AD13/(SUM(IMshareM!AD$2:AD$78)-IMshareM!AD$30),0))</f>
        <v>0</v>
      </c>
      <c r="AE13" s="8">
        <f>IF($A13=AE$1,0,IF(SUM(IMshareM!AE$2:AE$78)-IMshareM!AE$31&gt;0,IMshareM!AE13/(SUM(IMshareM!AE$2:AE$78)-IMshareM!AE$31),0))</f>
        <v>0</v>
      </c>
      <c r="AF13" s="8">
        <f>IF($A13=AF$1,0,IF(SUM(IMshareM!AF$2:AF$78)-IMshareM!AF$32&gt;0,IMshareM!AF13/(SUM(IMshareM!AF$2:AF$78)-IMshareM!AF$32),0))</f>
        <v>0</v>
      </c>
      <c r="AG13" s="8">
        <f>IF($A13=AG$1,0,IF(SUM(IMshareM!AG$2:AG$78)-IMshareM!AG$33&gt;0,IMshareM!AG13/(SUM(IMshareM!AG$2:AG$78)-IMshareM!AG$33),0))</f>
        <v>2.3448101236844926E-5</v>
      </c>
      <c r="AH13" s="8">
        <f>IF($A13=AH$1,0,IF(SUM(IMshareM!AH$2:AH$78)-IMshareM!AH$34&gt;0,IMshareM!AH13/(SUM(IMshareM!AH$2:AH$78)-IMshareM!AH$34),0))</f>
        <v>1.2482912417106435E-5</v>
      </c>
      <c r="AI13" s="8">
        <f>IF($A13=AI$1,0,IF(SUM(IMshareM!AI$2:AI$78)-IMshareM!AI$35&gt;0,IMshareM!AI13/(SUM(IMshareM!AI$2:AI$78)-IMshareM!AI$35),0))</f>
        <v>6.4303538724154549E-8</v>
      </c>
      <c r="AJ13" s="8">
        <f>IF($A13=AJ$1,0,IF(SUM(IMshareM!AJ$2:AJ$78)-IMshareM!AJ$36&gt;0,IMshareM!AJ13/(SUM(IMshareM!AJ$2:AJ$78)-IMshareM!AJ$36),0))</f>
        <v>2.3019099944890722E-4</v>
      </c>
      <c r="AK13" s="8">
        <f>IF($A13=AK$1,0,IF(SUM(IMshareM!AK$2:AK$78)-IMshareM!AK$37&gt;0,IMshareM!AK13/(SUM(IMshareM!AK$2:AK$78)-IMshareM!AK$37),0))</f>
        <v>0</v>
      </c>
      <c r="AL13" s="8">
        <f>IF($A13=AL$1,0,IF(SUM(IMshareM!AL$2:AL$78)-IMshareM!AL$38&gt;0,IMshareM!AL13/(SUM(IMshareM!AL$2:AL$78)-IMshareM!AL$38),0))</f>
        <v>5.5046862819250415E-5</v>
      </c>
      <c r="AM13" s="8">
        <f>IF($A13=AM$1,0,IF(SUM(IMshareM!AM$2:AM$78)-IMshareM!AM$39&gt;0,IMshareM!AM13/(SUM(IMshareM!AM$2:AM$78)-IMshareM!AM$39),0))</f>
        <v>0</v>
      </c>
      <c r="AN13" s="8">
        <f>IF($A13=AN$1,0,IF(SUM(IMshareM!AN$2:AN$78)-IMshareM!AN$40&gt;0,IMshareM!AN13/(SUM(IMshareM!AN$2:AN$78)-IMshareM!AN$40),0))</f>
        <v>8.0231272666030662E-5</v>
      </c>
      <c r="AO13" s="8">
        <f>IF($A13=AO$1,0,IF(SUM(IMshareM!AO$2:AO$78)-IMshareM!AO$41&gt;0,IMshareM!AO13/(SUM(IMshareM!AO$2:AO$78)-IMshareM!AO$41),0))</f>
        <v>0</v>
      </c>
      <c r="AP13" s="8">
        <f>IF($A13=AP$1,0,IF(SUM(IMshareM!AP$2:AP$78)-IMshareM!AP$42&gt;0,IMshareM!AP13/(SUM(IMshareM!AP$2:AP$78)-IMshareM!AP$42),0))</f>
        <v>0</v>
      </c>
      <c r="AQ13" s="8">
        <f>IF($A13=AQ$1,0,IF(SUM(IMshareM!AQ$2:AQ$78)-IMshareM!AQ$43&gt;0,IMshareM!AQ13/(SUM(IMshareM!AQ$2:AQ$78)-IMshareM!AQ$43),0))</f>
        <v>5.0872178006325163E-8</v>
      </c>
      <c r="AR13" s="8">
        <f>IF($A13=AR$1,0,IF(SUM(IMshareM!AR$2:AR$78)-IMshareM!AR$44&gt;0,IMshareM!AR13/(SUM(IMshareM!AR$2:AR$78)-IMshareM!AR$44),0))</f>
        <v>0</v>
      </c>
      <c r="AS13" s="8">
        <f>IF($A13=AS$1,0,IF(SUM(IMshareM!AS$2:AS$78)-IMshareM!AS$45&gt;0,IMshareM!AS13/(SUM(IMshareM!AS$2:AS$78)-IMshareM!AS$45),0))</f>
        <v>0</v>
      </c>
      <c r="AT13" s="8">
        <f>IF($A13=AT$1,0,IF(SUM(IMshareM!AT$2:AT$78)-IMshareM!AT$46&gt;0,IMshareM!AT13/(SUM(IMshareM!AT$2:AT$78)-IMshareM!AT$46),0))</f>
        <v>0</v>
      </c>
      <c r="AU13" s="8">
        <f>IF($A13=AU$1,0,IF(SUM(IMshareM!AU$2:AU$78)-IMshareM!AU$47&gt;0,IMshareM!AU13/(SUM(IMshareM!AU$2:AU$78)-IMshareM!AU$47),0))</f>
        <v>0</v>
      </c>
      <c r="AV13" s="8">
        <f>IF($A13=AV$1,0,IF(SUM(IMshareM!AV$2:AV$78)-IMshareM!AV$48&gt;0,IMshareM!AV13/(SUM(IMshareM!AV$2:AV$78)-IMshareM!AV$48),0))</f>
        <v>0</v>
      </c>
      <c r="AW13" s="8">
        <f>IF($A13=AW$1,0,IF(SUM(IMshareM!AW$2:AW$78)-IMshareM!AW$49&gt;0,IMshareM!AW13/(SUM(IMshareM!AW$2:AW$78)-IMshareM!AW$49),0))</f>
        <v>4.7782116114559791E-4</v>
      </c>
      <c r="AX13" s="8">
        <f>IF($A13=AX$1,0,IF(SUM(IMshareM!AX$2:AX$78)-IMshareM!AX$50&gt;0,IMshareM!AX13/(SUM(IMshareM!AX$2:AX$78)-IMshareM!AX$50),0))</f>
        <v>0</v>
      </c>
      <c r="AY13" s="8">
        <f>IF($A13=AY$1,0,IF(SUM(IMshareM!AY$2:AY$78)-IMshareM!AY$51&gt;0,IMshareM!AY13/(SUM(IMshareM!AY$2:AY$78)-IMshareM!AY$51),0))</f>
        <v>0</v>
      </c>
      <c r="AZ13" s="8">
        <f>IF($A13=AZ$1,0,IF(SUM(IMshareM!AZ$2:AZ$78)-IMshareM!AZ$52&gt;0,IMshareM!AZ13/(SUM(IMshareM!AZ$2:AZ$78)-IMshareM!AZ$52),0))</f>
        <v>9.0981526002103526E-6</v>
      </c>
      <c r="BA13" s="8">
        <f>IF($A13=BA$1,0,IF(SUM(IMshareM!BA$2:BA$78)-IMshareM!BA$53&gt;0,IMshareM!BA13/(SUM(IMshareM!BA$2:BA$78)-IMshareM!BA$53),0))</f>
        <v>0</v>
      </c>
      <c r="BB13" s="8">
        <f>IF($A13=BB$1,0,IF(SUM(IMshareM!BB$2:BB$78)-IMshareM!BB$54&gt;0,IMshareM!BB13/(SUM(IMshareM!BB$2:BB$78)-IMshareM!BB$54),0))</f>
        <v>2.3861588727403339E-6</v>
      </c>
      <c r="BC13" s="8">
        <f>IF($A13=BC$1,0,IF(SUM(IMshareM!BC$2:BC$78)-IMshareM!BC$55&gt;0,IMshareM!BC13/(SUM(IMshareM!BC$2:BC$78)-IMshareM!BC$55),0))</f>
        <v>0</v>
      </c>
      <c r="BD13" s="8">
        <f>IF($A13=BD$1,0,IF(SUM(IMshareM!BD$2:BD$78)-IMshareM!BD$56&gt;0,IMshareM!BD13/(SUM(IMshareM!BD$2:BD$78)-IMshareM!BD$56),0))</f>
        <v>0</v>
      </c>
      <c r="BE13" s="8">
        <f>IF($A13=BE$1,0,IF(SUM(IMshareM!BE$2:BE$78)-IMshareM!BE$57&gt;0,IMshareM!BE13/(SUM(IMshareM!BE$2:BE$78)-IMshareM!BE$57),0))</f>
        <v>1.824615766066103E-5</v>
      </c>
      <c r="BF13" s="8">
        <f>IF($A13=BF$1,0,IF(SUM(IMshareM!BF$2:BF$78)-IMshareM!BF$58&gt;0,IMshareM!BF13/(SUM(IMshareM!BF$2:BF$78)-IMshareM!BF$58),0))</f>
        <v>1.2761050833447699E-3</v>
      </c>
      <c r="BG13" s="8">
        <f>IF($A13=BG$1,0,IF(SUM(IMshareM!BG$2:BG$78)-IMshareM!BG$59&gt;0,IMshareM!BG13/(SUM(IMshareM!BG$2:BG$78)-IMshareM!BG$59),0))</f>
        <v>1.4799830885218633E-5</v>
      </c>
      <c r="BH13" s="8">
        <f>IF($A13=BH$1,0,IF(SUM(IMshareM!BH$2:BH$78)-IMshareM!BH$60&gt;0,IMshareM!BH13/(SUM(IMshareM!BH$2:BH$78)-IMshareM!BH$60),0))</f>
        <v>3.3679920947779639E-6</v>
      </c>
      <c r="BI13" s="8">
        <f>IF($A13=BI$1,0,IF(SUM(IMshareM!BI$2:BI$78)-IMshareM!BI$61&gt;0,IMshareM!BI13/(SUM(IMshareM!BI$2:BI$78)-IMshareM!BI$61),0))</f>
        <v>1.8151770594179256E-5</v>
      </c>
      <c r="BJ13" s="8">
        <f>IF($A13=BJ$1,0,IF(SUM(IMshareM!BJ$2:BJ$78)-IMshareM!BJ$62&gt;0,IMshareM!BJ13/(SUM(IMshareM!BJ$2:BJ$78)-IMshareM!BJ$62),0))</f>
        <v>0</v>
      </c>
      <c r="BK13" s="8">
        <f>IF($A13=BK$1,0,IF(SUM(IMshareM!BK$2:BK$78)-IMshareM!BK$63&gt;0,IMshareM!BK13/(SUM(IMshareM!BK$2:BK$78)-IMshareM!BK$63),0))</f>
        <v>0</v>
      </c>
      <c r="BL13" s="8">
        <f>IF($A13=BL$1,0,IF(SUM(IMshareM!BL$2:BL$78)-IMshareM!BL$64&gt;0,IMshareM!BL13/(SUM(IMshareM!BL$2:BL$78)-IMshareM!BL$64),0))</f>
        <v>0</v>
      </c>
      <c r="BM13" s="8">
        <f>IF($A13=BM$1,0,IF(SUM(IMshareM!BM$2:BM$78)-IMshareM!BM$65&gt;0,IMshareM!BM13/(SUM(IMshareM!BM$2:BM$78)-IMshareM!BM$65),0))</f>
        <v>0</v>
      </c>
      <c r="BN13" s="8">
        <f>IF($A13=BN$1,0,IF(SUM(IMshareM!BN$2:BN$78)-IMshareM!BN$66&gt;0,IMshareM!BN13/(SUM(IMshareM!BN$2:BN$78)-IMshareM!BN$66),0))</f>
        <v>0</v>
      </c>
      <c r="BO13" s="8">
        <f>IF($A13=BO$1,0,IF(SUM(IMshareM!BO$2:BO$78)-IMshareM!BO$67&gt;0,IMshareM!BO13/(SUM(IMshareM!BO$2:BO$78)-IMshareM!BO$67),0))</f>
        <v>0</v>
      </c>
      <c r="BP13" s="8">
        <f>IF($A13=BP$1,0,IF(SUM(IMshareM!BP$2:BP$78)-IMshareM!BP$68&gt;0,IMshareM!BP13/(SUM(IMshareM!BP$2:BP$78)-IMshareM!BP$68),0))</f>
        <v>4.8103105377893141E-7</v>
      </c>
      <c r="BQ13" s="8">
        <f>IF($A13=BQ$1,0,IF(SUM(IMshareM!BQ$2:BQ$78)-IMshareM!BQ$69&gt;0,IMshareM!BQ13/(SUM(IMshareM!BQ$2:BQ$78)-IMshareM!BQ$69),0))</f>
        <v>1.1912140374413316E-5</v>
      </c>
      <c r="BR13" s="8">
        <f>IF($A13=BR$1,0,IF(SUM(IMshareM!BR$2:BR$78)-IMshareM!BR$70&gt;0,IMshareM!BR13/(SUM(IMshareM!BR$2:BR$78)-IMshareM!BR$70),0))</f>
        <v>1.1394864685036048E-6</v>
      </c>
      <c r="BS13" s="8">
        <f>IF($A13=BS$1,0,IF(SUM(IMshareM!BS$2:BS$78)-IMshareM!BS$71&gt;0,IMshareM!BS13/(SUM(IMshareM!BS$2:BS$78)-IMshareM!BS$71),0))</f>
        <v>0</v>
      </c>
      <c r="BT13" s="8">
        <f>IF($A13=BT$1,0,IF(SUM(IMshareM!BT$2:BT$78)-IMshareM!BT$72&gt;0,IMshareM!BT13/(SUM(IMshareM!BT$2:BT$78)-IMshareM!BT$72),0))</f>
        <v>1.6776004591807461E-5</v>
      </c>
      <c r="BU13" s="8">
        <f>IF($A13=BU$1,0,IF(SUM(IMshareM!BU$2:BU$78)-IMshareM!BU$73&gt;0,IMshareM!BU13/(SUM(IMshareM!BU$2:BU$78)-IMshareM!BU$73),0))</f>
        <v>0</v>
      </c>
      <c r="BV13" s="8">
        <f>IF($A13=BV$1,0,IF(SUM(IMshareM!BV$2:BV$78)-IMshareM!BV$74&gt;0,IMshareM!BV13/(SUM(IMshareM!BV$2:BV$78)-IMshareM!BV$74),0))</f>
        <v>0</v>
      </c>
      <c r="BW13" s="8">
        <f>IF($A13=BW$1,0,IF(SUM(IMshareM!BW$2:BW$78)-IMshareM!BW$75&gt;0,IMshareM!BW13/(SUM(IMshareM!BW$2:BW$78)-IMshareM!BW$75),0))</f>
        <v>3.56554554041636E-4</v>
      </c>
      <c r="BX13" s="8">
        <f>IF($A13=BX$1,0,IF(SUM(IMshareM!BX$2:BX$78)-IMshareM!BX$76&gt;0,IMshareM!BX13/(SUM(IMshareM!BX$2:BX$78)-IMshareM!BX$76),0))</f>
        <v>0</v>
      </c>
      <c r="BY13" s="8">
        <f>IF($A13=BY$1,0,IF(SUM(IMshareM!BY$2:BY$78)-IMshareM!BY$77&gt;0,IMshareM!BY13/(SUM(IMshareM!BY$2:BY$78)-IMshareM!BY$77),0))</f>
        <v>7.3939412842885594E-6</v>
      </c>
      <c r="BZ13" s="8">
        <f>IF($A13=BZ$1,0,IF(SUM(IMshareM!BZ$2:BZ$78)-IMshareM!BZ$78&gt;0,IMshareM!BZ13/(SUM(IMshareM!BZ$2:BZ$78)-IMshareM!BZ$78),0))</f>
        <v>1.7773869051174141E-4</v>
      </c>
    </row>
    <row r="14" spans="1:78">
      <c r="A14" s="4" t="s">
        <v>95</v>
      </c>
      <c r="B14" s="8">
        <f>IF($A14=B$1,0,IF(SUM(IMshareM!B$2:B$78)-IMshareM!B$2&gt;0,IMshareM!B14/(SUM(IMshareM!B$2:B$78)-IMshareM!B$2),0))</f>
        <v>0.49734022403201522</v>
      </c>
      <c r="C14" s="8">
        <f>IF($A14=C$1,0,IF(SUM(IMshareM!C$2:C$78)-IMshareM!C$3&gt;0,IMshareM!C14/(SUM(IMshareM!C$2:C$78)-IMshareM!C$3),0))</f>
        <v>0.46671706206280761</v>
      </c>
      <c r="D14" s="8">
        <f>IF($A14=D$1,0,IF(SUM(IMshareM!D$2:D$78)-IMshareM!D$4&gt;0,IMshareM!D14/(SUM(IMshareM!D$2:D$78)-IMshareM!D$4),0))</f>
        <v>0.152402058578434</v>
      </c>
      <c r="E14" s="8">
        <f>IF($A14=E$1,0,IF(SUM(IMshareM!E$2:E$78)-IMshareM!E$5&gt;0,IMshareM!E14/(SUM(IMshareM!E$2:E$78)-IMshareM!E$5),0))</f>
        <v>0.29454224365527026</v>
      </c>
      <c r="F14" s="8">
        <f>IF($A14=F$1,0,IF(SUM(IMshareM!F$2:F$78)-IMshareM!F$6&gt;0,IMshareM!F14/(SUM(IMshareM!F$2:F$78)-IMshareM!F$6),0))</f>
        <v>0.62276234372411032</v>
      </c>
      <c r="G14" s="8">
        <f>IF($A14=G$1,0,IF(SUM(IMshareM!G$2:G$78)-IMshareM!G$7&gt;0,IMshareM!G14/(SUM(IMshareM!G$2:G$78)-IMshareM!G$7),0))</f>
        <v>0.19760276780339656</v>
      </c>
      <c r="H14" s="8">
        <f>IF($A14=H$1,0,IF(SUM(IMshareM!H$2:H$78)-IMshareM!H$8&gt;0,IMshareM!H14/(SUM(IMshareM!H$2:H$78)-IMshareM!H$8),0))</f>
        <v>0.61035110515549695</v>
      </c>
      <c r="I14" s="8">
        <f>IF($A14=I$1,0,IF(SUM(IMshareM!I$2:I$78)-IMshareM!I$9&gt;0,IMshareM!I14/(SUM(IMshareM!I$2:I$78)-IMshareM!I$9),0))</f>
        <v>0.43186544705992502</v>
      </c>
      <c r="J14" s="8">
        <f>IF($A14=J$1,0,IF(SUM(IMshareM!J$2:J$78)-IMshareM!J$10&gt;0,IMshareM!J14/(SUM(IMshareM!J$2:J$78)-IMshareM!J$10),0))</f>
        <v>0.13759796100552141</v>
      </c>
      <c r="K14" s="8">
        <f>IF($A14=K$1,0,IF(SUM(IMshareM!K$2:K$78)-IMshareM!K$11&gt;0,IMshareM!K14/(SUM(IMshareM!K$2:K$78)-IMshareM!K$11),0))</f>
        <v>0.15509035767678989</v>
      </c>
      <c r="L14" s="8">
        <f>IF($A14=L$1,0,IF(SUM(IMshareM!L$2:L$78)-IMshareM!L$12&gt;0,IMshareM!L14/(SUM(IMshareM!L$2:L$78)-IMshareM!L$12),0))</f>
        <v>0.15758627920903373</v>
      </c>
      <c r="M14" s="8">
        <f>IF($A14=M$1,0,IF(SUM(IMshareM!M$2:M$78)-IMshareM!M$13&gt;0,IMshareM!M14/(SUM(IMshareM!M$2:M$78)-IMshareM!M$13),0))</f>
        <v>0.71577327503788235</v>
      </c>
      <c r="N14" s="8">
        <f>IF($A14=N$1,0,IF(SUM(IMshareM!N$2:N$78)-IMshareM!N$14&gt;0,IMshareM!N14/(SUM(IMshareM!N$2:N$78)-IMshareM!N$14),0))</f>
        <v>0</v>
      </c>
      <c r="O14" s="8">
        <f>IF($A14=O$1,0,IF(SUM(IMshareM!O$2:O$78)-IMshareM!O$15&gt;0,IMshareM!O14/(SUM(IMshareM!O$2:O$78)-IMshareM!O$15),0))</f>
        <v>9.2127585340996743E-2</v>
      </c>
      <c r="P14" s="8">
        <f>IF($A14=P$1,0,IF(SUM(IMshareM!P$2:P$78)-IMshareM!P$16&gt;0,IMshareM!P14/(SUM(IMshareM!P$2:P$78)-IMshareM!P$16),0))</f>
        <v>0.20291721754349409</v>
      </c>
      <c r="Q14" s="8">
        <f>IF($A14=Q$1,0,IF(SUM(IMshareM!Q$2:Q$78)-IMshareM!Q$17&gt;0,IMshareM!Q14/(SUM(IMshareM!Q$2:Q$78)-IMshareM!Q$17),0))</f>
        <v>0.38381095843010854</v>
      </c>
      <c r="R14" s="8">
        <f>IF($A14=R$1,0,IF(SUM(IMshareM!R$2:R$78)-IMshareM!R$18&gt;0,IMshareM!R14/(SUM(IMshareM!R$2:R$78)-IMshareM!R$18),0))</f>
        <v>0.24147872680101976</v>
      </c>
      <c r="S14" s="8">
        <f>IF($A14=S$1,0,IF(SUM(IMshareM!S$2:S$78)-IMshareM!S$19&gt;0,IMshareM!S14/(SUM(IMshareM!S$2:S$78)-IMshareM!S$19),0))</f>
        <v>0.31984347908413147</v>
      </c>
      <c r="T14" s="8">
        <f>IF($A14=T$1,0,IF(SUM(IMshareM!T$2:T$78)-IMshareM!T$20&gt;0,IMshareM!T14/(SUM(IMshareM!T$2:T$78)-IMshareM!T$20),0))</f>
        <v>0.19278467952835646</v>
      </c>
      <c r="U14" s="8">
        <f>IF($A14=U$1,0,IF(SUM(IMshareM!U$2:U$78)-IMshareM!U$21&gt;0,IMshareM!U14/(SUM(IMshareM!U$2:U$78)-IMshareM!U$21),0))</f>
        <v>0.20010462682170865</v>
      </c>
      <c r="V14" s="8">
        <f>IF($A14=V$1,0,IF(SUM(IMshareM!V$2:V$78)-IMshareM!V$22&gt;0,IMshareM!V14/(SUM(IMshareM!V$2:V$78)-IMshareM!V$22),0))</f>
        <v>0.20868156513897529</v>
      </c>
      <c r="W14" s="8">
        <f>IF($A14=W$1,0,IF(SUM(IMshareM!W$2:W$78)-IMshareM!W$23&gt;0,IMshareM!W14/(SUM(IMshareM!W$2:W$78)-IMshareM!W$23),0))</f>
        <v>0.48240393058232123</v>
      </c>
      <c r="X14" s="8">
        <f>IF($A14=X$1,0,IF(SUM(IMshareM!X$2:X$78)-IMshareM!X$24&gt;0,IMshareM!X14/(SUM(IMshareM!X$2:X$78)-IMshareM!X$24),0))</f>
        <v>0.21100302075188951</v>
      </c>
      <c r="Y14" s="8">
        <f>IF($A14=Y$1,0,IF(SUM(IMshareM!Y$2:Y$78)-IMshareM!Y$25&gt;0,IMshareM!Y14/(SUM(IMshareM!Y$2:Y$78)-IMshareM!Y$25),0))</f>
        <v>0.17050235682236764</v>
      </c>
      <c r="Z14" s="8">
        <f>IF($A14=Z$1,0,IF(SUM(IMshareM!Z$2:Z$78)-IMshareM!Z$26&gt;0,IMshareM!Z14/(SUM(IMshareM!Z$2:Z$78)-IMshareM!Z$26),0))</f>
        <v>0.36372646395837593</v>
      </c>
      <c r="AA14" s="8">
        <f>IF($A14=AA$1,0,IF(SUM(IMshareM!AA$2:AA$78)-IMshareM!AA$27&gt;0,IMshareM!AA14/(SUM(IMshareM!AA$2:AA$78)-IMshareM!AA$27),0))</f>
        <v>0.19396893932480241</v>
      </c>
      <c r="AB14" s="8">
        <f>IF($A14=AB$1,0,IF(SUM(IMshareM!AB$2:AB$78)-IMshareM!AB$28&gt;0,IMshareM!AB14/(SUM(IMshareM!AB$2:AB$78)-IMshareM!AB$28),0))</f>
        <v>0.17011587621871474</v>
      </c>
      <c r="AC14" s="8">
        <f>IF($A14=AC$1,0,IF(SUM(IMshareM!AC$2:AC$78)-IMshareM!AC$29&gt;0,IMshareM!AC14/(SUM(IMshareM!AC$2:AC$78)-IMshareM!AC$29),0))</f>
        <v>0.32725768011105955</v>
      </c>
      <c r="AD14" s="8">
        <f>IF($A14=AD$1,0,IF(SUM(IMshareM!AD$2:AD$78)-IMshareM!AD$30&gt;0,IMshareM!AD14/(SUM(IMshareM!AD$2:AD$78)-IMshareM!AD$30),0))</f>
        <v>0.70904643598295902</v>
      </c>
      <c r="AE14" s="8">
        <f>IF($A14=AE$1,0,IF(SUM(IMshareM!AE$2:AE$78)-IMshareM!AE$31&gt;0,IMshareM!AE14/(SUM(IMshareM!AE$2:AE$78)-IMshareM!AE$31),0))</f>
        <v>0.1159748656257498</v>
      </c>
      <c r="AF14" s="8">
        <f>IF($A14=AF$1,0,IF(SUM(IMshareM!AF$2:AF$78)-IMshareM!AF$32&gt;0,IMshareM!AF14/(SUM(IMshareM!AF$2:AF$78)-IMshareM!AF$32),0))</f>
        <v>0.10145962257562267</v>
      </c>
      <c r="AG14" s="8">
        <f>IF($A14=AG$1,0,IF(SUM(IMshareM!AG$2:AG$78)-IMshareM!AG$33&gt;0,IMshareM!AG14/(SUM(IMshareM!AG$2:AG$78)-IMshareM!AG$33),0))</f>
        <v>0.6087328807864828</v>
      </c>
      <c r="AH14" s="8">
        <f>IF($A14=AH$1,0,IF(SUM(IMshareM!AH$2:AH$78)-IMshareM!AH$34&gt;0,IMshareM!AH14/(SUM(IMshareM!AH$2:AH$78)-IMshareM!AH$34),0))</f>
        <v>0.54550960830339867</v>
      </c>
      <c r="AI14" s="8">
        <f>IF($A14=AI$1,0,IF(SUM(IMshareM!AI$2:AI$78)-IMshareM!AI$35&gt;0,IMshareM!AI14/(SUM(IMshareM!AI$2:AI$78)-IMshareM!AI$35),0))</f>
        <v>0.16104332299402133</v>
      </c>
      <c r="AJ14" s="8">
        <f>IF($A14=AJ$1,0,IF(SUM(IMshareM!AJ$2:AJ$78)-IMshareM!AJ$36&gt;0,IMshareM!AJ14/(SUM(IMshareM!AJ$2:AJ$78)-IMshareM!AJ$36),0))</f>
        <v>0.11138627150281173</v>
      </c>
      <c r="AK14" s="8">
        <f>IF($A14=AK$1,0,IF(SUM(IMshareM!AK$2:AK$78)-IMshareM!AK$37&gt;0,IMshareM!AK14/(SUM(IMshareM!AK$2:AK$78)-IMshareM!AK$37),0))</f>
        <v>0.2980724346809408</v>
      </c>
      <c r="AL14" s="8">
        <f>IF($A14=AL$1,0,IF(SUM(IMshareM!AL$2:AL$78)-IMshareM!AL$38&gt;0,IMshareM!AL14/(SUM(IMshareM!AL$2:AL$78)-IMshareM!AL$38),0))</f>
        <v>0.31212775813475668</v>
      </c>
      <c r="AM14" s="8">
        <f>IF($A14=AM$1,0,IF(SUM(IMshareM!AM$2:AM$78)-IMshareM!AM$39&gt;0,IMshareM!AM14/(SUM(IMshareM!AM$2:AM$78)-IMshareM!AM$39),0))</f>
        <v>0.3305584143680641</v>
      </c>
      <c r="AN14" s="8">
        <f>IF($A14=AN$1,0,IF(SUM(IMshareM!AN$2:AN$78)-IMshareM!AN$40&gt;0,IMshareM!AN14/(SUM(IMshareM!AN$2:AN$78)-IMshareM!AN$40),0))</f>
        <v>0.4699075074020892</v>
      </c>
      <c r="AO14" s="8">
        <f>IF($A14=AO$1,0,IF(SUM(IMshareM!AO$2:AO$78)-IMshareM!AO$41&gt;0,IMshareM!AO14/(SUM(IMshareM!AO$2:AO$78)-IMshareM!AO$41),0))</f>
        <v>0.12710150205335838</v>
      </c>
      <c r="AP14" s="8">
        <f>IF($A14=AP$1,0,IF(SUM(IMshareM!AP$2:AP$78)-IMshareM!AP$42&gt;0,IMshareM!AP14/(SUM(IMshareM!AP$2:AP$78)-IMshareM!AP$42),0))</f>
        <v>0.62644742743421744</v>
      </c>
      <c r="AQ14" s="8">
        <f>IF($A14=AQ$1,0,IF(SUM(IMshareM!AQ$2:AQ$78)-IMshareM!AQ$43&gt;0,IMshareM!AQ14/(SUM(IMshareM!AQ$2:AQ$78)-IMshareM!AQ$43),0))</f>
        <v>0.36994381854821462</v>
      </c>
      <c r="AR14" s="8">
        <f>IF($A14=AR$1,0,IF(SUM(IMshareM!AR$2:AR$78)-IMshareM!AR$44&gt;0,IMshareM!AR14/(SUM(IMshareM!AR$2:AR$78)-IMshareM!AR$44),0))</f>
        <v>0.4739079487820716</v>
      </c>
      <c r="AS14" s="8">
        <f>IF($A14=AS$1,0,IF(SUM(IMshareM!AS$2:AS$78)-IMshareM!AS$45&gt;0,IMshareM!AS14/(SUM(IMshareM!AS$2:AS$78)-IMshareM!AS$45),0))</f>
        <v>0.17561786349903089</v>
      </c>
      <c r="AT14" s="8">
        <f>IF($A14=AT$1,0,IF(SUM(IMshareM!AT$2:AT$78)-IMshareM!AT$46&gt;0,IMshareM!AT14/(SUM(IMshareM!AT$2:AT$78)-IMshareM!AT$46),0))</f>
        <v>2.0683292685931921E-2</v>
      </c>
      <c r="AU14" s="8">
        <f>IF($A14=AU$1,0,IF(SUM(IMshareM!AU$2:AU$78)-IMshareM!AU$47&gt;0,IMshareM!AU14/(SUM(IMshareM!AU$2:AU$78)-IMshareM!AU$47),0))</f>
        <v>0.119978792283847</v>
      </c>
      <c r="AV14" s="8">
        <f>IF($A14=AV$1,0,IF(SUM(IMshareM!AV$2:AV$78)-IMshareM!AV$48&gt;0,IMshareM!AV14/(SUM(IMshareM!AV$2:AV$78)-IMshareM!AV$48),0))</f>
        <v>0.33136541397990593</v>
      </c>
      <c r="AW14" s="8">
        <f>IF($A14=AW$1,0,IF(SUM(IMshareM!AW$2:AW$78)-IMshareM!AW$49&gt;0,IMshareM!AW14/(SUM(IMshareM!AW$2:AW$78)-IMshareM!AW$49),0))</f>
        <v>0.41498894246900137</v>
      </c>
      <c r="AX14" s="8">
        <f>IF($A14=AX$1,0,IF(SUM(IMshareM!AX$2:AX$78)-IMshareM!AX$50&gt;0,IMshareM!AX14/(SUM(IMshareM!AX$2:AX$78)-IMshareM!AX$50),0))</f>
        <v>0.84054006882844001</v>
      </c>
      <c r="AY14" s="8">
        <f>IF($A14=AY$1,0,IF(SUM(IMshareM!AY$2:AY$78)-IMshareM!AY$51&gt;0,IMshareM!AY14/(SUM(IMshareM!AY$2:AY$78)-IMshareM!AY$51),0))</f>
        <v>0.67812830186408735</v>
      </c>
      <c r="AZ14" s="8">
        <f>IF($A14=AZ$1,0,IF(SUM(IMshareM!AZ$2:AZ$78)-IMshareM!AZ$52&gt;0,IMshareM!AZ14/(SUM(IMshareM!AZ$2:AZ$78)-IMshareM!AZ$52),0))</f>
        <v>0.42432346789889708</v>
      </c>
      <c r="BA14" s="8">
        <f>IF($A14=BA$1,0,IF(SUM(IMshareM!BA$2:BA$78)-IMshareM!BA$53&gt;0,IMshareM!BA14/(SUM(IMshareM!BA$2:BA$78)-IMshareM!BA$53),0))</f>
        <v>0.69960665164375246</v>
      </c>
      <c r="BB14" s="8">
        <f>IF($A14=BB$1,0,IF(SUM(IMshareM!BB$2:BB$78)-IMshareM!BB$54&gt;0,IMshareM!BB14/(SUM(IMshareM!BB$2:BB$78)-IMshareM!BB$54),0))</f>
        <v>0.25096406507703228</v>
      </c>
      <c r="BC14" s="8">
        <f>IF($A14=BC$1,0,IF(SUM(IMshareM!BC$2:BC$78)-IMshareM!BC$55&gt;0,IMshareM!BC14/(SUM(IMshareM!BC$2:BC$78)-IMshareM!BC$55),0))</f>
        <v>8.8318356444913634E-2</v>
      </c>
      <c r="BD14" s="8">
        <f>IF($A14=BD$1,0,IF(SUM(IMshareM!BD$2:BD$78)-IMshareM!BD$56&gt;0,IMshareM!BD14/(SUM(IMshareM!BD$2:BD$78)-IMshareM!BD$56),0))</f>
        <v>0.31566437042299633</v>
      </c>
      <c r="BE14" s="8">
        <f>IF($A14=BE$1,0,IF(SUM(IMshareM!BE$2:BE$78)-IMshareM!BE$57&gt;0,IMshareM!BE14/(SUM(IMshareM!BE$2:BE$78)-IMshareM!BE$57),0))</f>
        <v>0.81248627473740032</v>
      </c>
      <c r="BF14" s="8">
        <f>IF($A14=BF$1,0,IF(SUM(IMshareM!BF$2:BF$78)-IMshareM!BF$58&gt;0,IMshareM!BF14/(SUM(IMshareM!BF$2:BF$78)-IMshareM!BF$58),0))</f>
        <v>0.28303062621601838</v>
      </c>
      <c r="BG14" s="8">
        <f>IF($A14=BG$1,0,IF(SUM(IMshareM!BG$2:BG$78)-IMshareM!BG$59&gt;0,IMshareM!BG14/(SUM(IMshareM!BG$2:BG$78)-IMshareM!BG$59),0))</f>
        <v>0.33249539193796845</v>
      </c>
      <c r="BH14" s="8">
        <f>IF($A14=BH$1,0,IF(SUM(IMshareM!BH$2:BH$78)-IMshareM!BH$60&gt;0,IMshareM!BH14/(SUM(IMshareM!BH$2:BH$78)-IMshareM!BH$60),0))</f>
        <v>0.25785346648190433</v>
      </c>
      <c r="BI14" s="8">
        <f>IF($A14=BI$1,0,IF(SUM(IMshareM!BI$2:BI$78)-IMshareM!BI$61&gt;0,IMshareM!BI14/(SUM(IMshareM!BI$2:BI$78)-IMshareM!BI$61),0))</f>
        <v>0.20287086279205277</v>
      </c>
      <c r="BJ14" s="8">
        <f>IF($A14=BJ$1,0,IF(SUM(IMshareM!BJ$2:BJ$78)-IMshareM!BJ$62&gt;0,IMshareM!BJ14/(SUM(IMshareM!BJ$2:BJ$78)-IMshareM!BJ$62),0))</f>
        <v>0.27956576127864474</v>
      </c>
      <c r="BK14" s="8">
        <f>IF($A14=BK$1,0,IF(SUM(IMshareM!BK$2:BK$78)-IMshareM!BK$63&gt;0,IMshareM!BK14/(SUM(IMshareM!BK$2:BK$78)-IMshareM!BK$63),0))</f>
        <v>0.54552059264238861</v>
      </c>
      <c r="BL14" s="8">
        <f>IF($A14=BL$1,0,IF(SUM(IMshareM!BL$2:BL$78)-IMshareM!BL$64&gt;0,IMshareM!BL14/(SUM(IMshareM!BL$2:BL$78)-IMshareM!BL$64),0))</f>
        <v>0.19791649759864949</v>
      </c>
      <c r="BM14" s="8">
        <f>IF($A14=BM$1,0,IF(SUM(IMshareM!BM$2:BM$78)-IMshareM!BM$65&gt;0,IMshareM!BM14/(SUM(IMshareM!BM$2:BM$78)-IMshareM!BM$65),0))</f>
        <v>0.23462961617449443</v>
      </c>
      <c r="BN14" s="8">
        <f>IF($A14=BN$1,0,IF(SUM(IMshareM!BN$2:BN$78)-IMshareM!BN$66&gt;0,IMshareM!BN14/(SUM(IMshareM!BN$2:BN$78)-IMshareM!BN$66),0))</f>
        <v>0.19335536290868649</v>
      </c>
      <c r="BO14" s="8">
        <f>IF($A14=BO$1,0,IF(SUM(IMshareM!BO$2:BO$78)-IMshareM!BO$67&gt;0,IMshareM!BO14/(SUM(IMshareM!BO$2:BO$78)-IMshareM!BO$67),0))</f>
        <v>0.11452155557040183</v>
      </c>
      <c r="BP14" s="8">
        <f>IF($A14=BP$1,0,IF(SUM(IMshareM!BP$2:BP$78)-IMshareM!BP$68&gt;0,IMshareM!BP14/(SUM(IMshareM!BP$2:BP$78)-IMshareM!BP$68),0))</f>
        <v>0.22696123165399579</v>
      </c>
      <c r="BQ14" s="8">
        <f>IF($A14=BQ$1,0,IF(SUM(IMshareM!BQ$2:BQ$78)-IMshareM!BQ$69&gt;0,IMshareM!BQ14/(SUM(IMshareM!BQ$2:BQ$78)-IMshareM!BQ$69),0))</f>
        <v>0.31283425886205646</v>
      </c>
      <c r="BR14" s="8">
        <f>IF($A14=BR$1,0,IF(SUM(IMshareM!BR$2:BR$78)-IMshareM!BR$70&gt;0,IMshareM!BR14/(SUM(IMshareM!BR$2:BR$78)-IMshareM!BR$70),0))</f>
        <v>0.52968824162058314</v>
      </c>
      <c r="BS14" s="8">
        <f>IF($A14=BS$1,0,IF(SUM(IMshareM!BS$2:BS$78)-IMshareM!BS$71&gt;0,IMshareM!BS14/(SUM(IMshareM!BS$2:BS$78)-IMshareM!BS$71),0))</f>
        <v>0.37656870896565708</v>
      </c>
      <c r="BT14" s="8">
        <f>IF($A14=BT$1,0,IF(SUM(IMshareM!BT$2:BT$78)-IMshareM!BT$72&gt;0,IMshareM!BT14/(SUM(IMshareM!BT$2:BT$78)-IMshareM!BT$72),0))</f>
        <v>0.40640256182065942</v>
      </c>
      <c r="BU14" s="8">
        <f>IF($A14=BU$1,0,IF(SUM(IMshareM!BU$2:BU$78)-IMshareM!BU$73&gt;0,IMshareM!BU14/(SUM(IMshareM!BU$2:BU$78)-IMshareM!BU$73),0))</f>
        <v>0.28687138515453009</v>
      </c>
      <c r="BV14" s="8">
        <f>IF($A14=BV$1,0,IF(SUM(IMshareM!BV$2:BV$78)-IMshareM!BV$74&gt;0,IMshareM!BV14/(SUM(IMshareM!BV$2:BV$78)-IMshareM!BV$74),0))</f>
        <v>0.56919600479414478</v>
      </c>
      <c r="BW14" s="8">
        <f>IF($A14=BW$1,0,IF(SUM(IMshareM!BW$2:BW$78)-IMshareM!BW$75&gt;0,IMshareM!BW14/(SUM(IMshareM!BW$2:BW$78)-IMshareM!BW$75),0))</f>
        <v>0.16304300502551136</v>
      </c>
      <c r="BX14" s="8">
        <f>IF($A14=BX$1,0,IF(SUM(IMshareM!BX$2:BX$78)-IMshareM!BX$76&gt;0,IMshareM!BX14/(SUM(IMshareM!BX$2:BX$78)-IMshareM!BX$76),0))</f>
        <v>0.6739412338926386</v>
      </c>
      <c r="BY14" s="8">
        <f>IF($A14=BY$1,0,IF(SUM(IMshareM!BY$2:BY$78)-IMshareM!BY$77&gt;0,IMshareM!BY14/(SUM(IMshareM!BY$2:BY$78)-IMshareM!BY$77),0))</f>
        <v>0.35643870267070937</v>
      </c>
      <c r="BZ14" s="8">
        <f>IF($A14=BZ$1,0,IF(SUM(IMshareM!BZ$2:BZ$78)-IMshareM!BZ$78&gt;0,IMshareM!BZ14/(SUM(IMshareM!BZ$2:BZ$78)-IMshareM!BZ$78),0))</f>
        <v>0.28490762852839391</v>
      </c>
    </row>
    <row r="15" spans="1:78">
      <c r="A15" s="4" t="s">
        <v>97</v>
      </c>
      <c r="B15" s="8">
        <f>IF($A15=B$1,0,IF(SUM(IMshareM!B$2:B$78)-IMshareM!B$2&gt;0,IMshareM!B15/(SUM(IMshareM!B$2:B$78)-IMshareM!B$2),0))</f>
        <v>0</v>
      </c>
      <c r="C15" s="8">
        <f>IF($A15=C$1,0,IF(SUM(IMshareM!C$2:C$78)-IMshareM!C$3&gt;0,IMshareM!C15/(SUM(IMshareM!C$2:C$78)-IMshareM!C$3),0))</f>
        <v>0</v>
      </c>
      <c r="D15" s="8">
        <f>IF($A15=D$1,0,IF(SUM(IMshareM!D$2:D$78)-IMshareM!D$4&gt;0,IMshareM!D15/(SUM(IMshareM!D$2:D$78)-IMshareM!D$4),0))</f>
        <v>1.7906765939641687E-6</v>
      </c>
      <c r="E15" s="8">
        <f>IF($A15=E$1,0,IF(SUM(IMshareM!E$2:E$78)-IMshareM!E$5&gt;0,IMshareM!E15/(SUM(IMshareM!E$2:E$78)-IMshareM!E$5),0))</f>
        <v>2.2978680039289814E-6</v>
      </c>
      <c r="F15" s="8">
        <f>IF($A15=F$1,0,IF(SUM(IMshareM!F$2:F$78)-IMshareM!F$6&gt;0,IMshareM!F15/(SUM(IMshareM!F$2:F$78)-IMshareM!F$6),0))</f>
        <v>0</v>
      </c>
      <c r="G15" s="8">
        <f>IF($A15=G$1,0,IF(SUM(IMshareM!G$2:G$78)-IMshareM!G$7&gt;0,IMshareM!G15/(SUM(IMshareM!G$2:G$78)-IMshareM!G$7),0))</f>
        <v>0</v>
      </c>
      <c r="H15" s="8">
        <f>IF($A15=H$1,0,IF(SUM(IMshareM!H$2:H$78)-IMshareM!H$8&gt;0,IMshareM!H15/(SUM(IMshareM!H$2:H$78)-IMshareM!H$8),0))</f>
        <v>0</v>
      </c>
      <c r="I15" s="8">
        <f>IF($A15=I$1,0,IF(SUM(IMshareM!I$2:I$78)-IMshareM!I$9&gt;0,IMshareM!I15/(SUM(IMshareM!I$2:I$78)-IMshareM!I$9),0))</f>
        <v>0</v>
      </c>
      <c r="J15" s="8">
        <f>IF($A15=J$1,0,IF(SUM(IMshareM!J$2:J$78)-IMshareM!J$10&gt;0,IMshareM!J15/(SUM(IMshareM!J$2:J$78)-IMshareM!J$10),0))</f>
        <v>0</v>
      </c>
      <c r="K15" s="8">
        <f>IF($A15=K$1,0,IF(SUM(IMshareM!K$2:K$78)-IMshareM!K$11&gt;0,IMshareM!K15/(SUM(IMshareM!K$2:K$78)-IMshareM!K$11),0))</f>
        <v>0</v>
      </c>
      <c r="L15" s="8">
        <f>IF($A15=L$1,0,IF(SUM(IMshareM!L$2:L$78)-IMshareM!L$12&gt;0,IMshareM!L15/(SUM(IMshareM!L$2:L$78)-IMshareM!L$12),0))</f>
        <v>1.7745048548942753E-7</v>
      </c>
      <c r="M15" s="8">
        <f>IF($A15=M$1,0,IF(SUM(IMshareM!M$2:M$78)-IMshareM!M$13&gt;0,IMshareM!M15/(SUM(IMshareM!M$2:M$78)-IMshareM!M$13),0))</f>
        <v>0</v>
      </c>
      <c r="N15" s="8">
        <f>IF($A15=N$1,0,IF(SUM(IMshareM!N$2:N$78)-IMshareM!N$14&gt;0,IMshareM!N15/(SUM(IMshareM!N$2:N$78)-IMshareM!N$14),0))</f>
        <v>0</v>
      </c>
      <c r="O15" s="8">
        <f>IF($A15=O$1,0,IF(SUM(IMshareM!O$2:O$78)-IMshareM!O$15&gt;0,IMshareM!O15/(SUM(IMshareM!O$2:O$78)-IMshareM!O$15),0))</f>
        <v>0</v>
      </c>
      <c r="P15" s="8">
        <f>IF($A15=P$1,0,IF(SUM(IMshareM!P$2:P$78)-IMshareM!P$16&gt;0,IMshareM!P15/(SUM(IMshareM!P$2:P$78)-IMshareM!P$16),0))</f>
        <v>2.1148062624141472E-3</v>
      </c>
      <c r="Q15" s="8">
        <f>IF($A15=Q$1,0,IF(SUM(IMshareM!Q$2:Q$78)-IMshareM!Q$17&gt;0,IMshareM!Q15/(SUM(IMshareM!Q$2:Q$78)-IMshareM!Q$17),0))</f>
        <v>0</v>
      </c>
      <c r="R15" s="8">
        <f>IF($A15=R$1,0,IF(SUM(IMshareM!R$2:R$78)-IMshareM!R$18&gt;0,IMshareM!R15/(SUM(IMshareM!R$2:R$78)-IMshareM!R$18),0))</f>
        <v>0</v>
      </c>
      <c r="S15" s="8">
        <f>IF($A15=S$1,0,IF(SUM(IMshareM!S$2:S$78)-IMshareM!S$19&gt;0,IMshareM!S15/(SUM(IMshareM!S$2:S$78)-IMshareM!S$19),0))</f>
        <v>0</v>
      </c>
      <c r="T15" s="8">
        <f>IF($A15=T$1,0,IF(SUM(IMshareM!T$2:T$78)-IMshareM!T$20&gt;0,IMshareM!T15/(SUM(IMshareM!T$2:T$78)-IMshareM!T$20),0))</f>
        <v>1.2839670990039062E-6</v>
      </c>
      <c r="U15" s="8">
        <f>IF($A15=U$1,0,IF(SUM(IMshareM!U$2:U$78)-IMshareM!U$21&gt;0,IMshareM!U15/(SUM(IMshareM!U$2:U$78)-IMshareM!U$21),0))</f>
        <v>1.5381663284590593E-5</v>
      </c>
      <c r="V15" s="8">
        <f>IF($A15=V$1,0,IF(SUM(IMshareM!V$2:V$78)-IMshareM!V$22&gt;0,IMshareM!V15/(SUM(IMshareM!V$2:V$78)-IMshareM!V$22),0))</f>
        <v>0</v>
      </c>
      <c r="W15" s="8">
        <f>IF($A15=W$1,0,IF(SUM(IMshareM!W$2:W$78)-IMshareM!W$23&gt;0,IMshareM!W15/(SUM(IMshareM!W$2:W$78)-IMshareM!W$23),0))</f>
        <v>0</v>
      </c>
      <c r="X15" s="8">
        <f>IF($A15=X$1,0,IF(SUM(IMshareM!X$2:X$78)-IMshareM!X$24&gt;0,IMshareM!X15/(SUM(IMshareM!X$2:X$78)-IMshareM!X$24),0))</f>
        <v>1.5060486358248053E-6</v>
      </c>
      <c r="Y15" s="8">
        <f>IF($A15=Y$1,0,IF(SUM(IMshareM!Y$2:Y$78)-IMshareM!Y$25&gt;0,IMshareM!Y15/(SUM(IMshareM!Y$2:Y$78)-IMshareM!Y$25),0))</f>
        <v>0</v>
      </c>
      <c r="Z15" s="8">
        <f>IF($A15=Z$1,0,IF(SUM(IMshareM!Z$2:Z$78)-IMshareM!Z$26&gt;0,IMshareM!Z15/(SUM(IMshareM!Z$2:Z$78)-IMshareM!Z$26),0))</f>
        <v>0</v>
      </c>
      <c r="AA15" s="8">
        <f>IF($A15=AA$1,0,IF(SUM(IMshareM!AA$2:AA$78)-IMshareM!AA$27&gt;0,IMshareM!AA15/(SUM(IMshareM!AA$2:AA$78)-IMshareM!AA$27),0))</f>
        <v>2.268111178479985E-5</v>
      </c>
      <c r="AB15" s="8">
        <f>IF($A15=AB$1,0,IF(SUM(IMshareM!AB$2:AB$78)-IMshareM!AB$28&gt;0,IMshareM!AB15/(SUM(IMshareM!AB$2:AB$78)-IMshareM!AB$28),0))</f>
        <v>0</v>
      </c>
      <c r="AC15" s="8">
        <f>IF($A15=AC$1,0,IF(SUM(IMshareM!AC$2:AC$78)-IMshareM!AC$29&gt;0,IMshareM!AC15/(SUM(IMshareM!AC$2:AC$78)-IMshareM!AC$29),0))</f>
        <v>0</v>
      </c>
      <c r="AD15" s="8">
        <f>IF($A15=AD$1,0,IF(SUM(IMshareM!AD$2:AD$78)-IMshareM!AD$30&gt;0,IMshareM!AD15/(SUM(IMshareM!AD$2:AD$78)-IMshareM!AD$30),0))</f>
        <v>0</v>
      </c>
      <c r="AE15" s="8">
        <f>IF($A15=AE$1,0,IF(SUM(IMshareM!AE$2:AE$78)-IMshareM!AE$31&gt;0,IMshareM!AE15/(SUM(IMshareM!AE$2:AE$78)-IMshareM!AE$31),0))</f>
        <v>0</v>
      </c>
      <c r="AF15" s="8">
        <f>IF($A15=AF$1,0,IF(SUM(IMshareM!AF$2:AF$78)-IMshareM!AF$32&gt;0,IMshareM!AF15/(SUM(IMshareM!AF$2:AF$78)-IMshareM!AF$32),0))</f>
        <v>0</v>
      </c>
      <c r="AG15" s="8">
        <f>IF($A15=AG$1,0,IF(SUM(IMshareM!AG$2:AG$78)-IMshareM!AG$33&gt;0,IMshareM!AG15/(SUM(IMshareM!AG$2:AG$78)-IMshareM!AG$33),0))</f>
        <v>0</v>
      </c>
      <c r="AH15" s="8">
        <f>IF($A15=AH$1,0,IF(SUM(IMshareM!AH$2:AH$78)-IMshareM!AH$34&gt;0,IMshareM!AH15/(SUM(IMshareM!AH$2:AH$78)-IMshareM!AH$34),0))</f>
        <v>0</v>
      </c>
      <c r="AI15" s="8">
        <f>IF($A15=AI$1,0,IF(SUM(IMshareM!AI$2:AI$78)-IMshareM!AI$35&gt;0,IMshareM!AI15/(SUM(IMshareM!AI$2:AI$78)-IMshareM!AI$35),0))</f>
        <v>0</v>
      </c>
      <c r="AJ15" s="8">
        <f>IF($A15=AJ$1,0,IF(SUM(IMshareM!AJ$2:AJ$78)-IMshareM!AJ$36&gt;0,IMshareM!AJ15/(SUM(IMshareM!AJ$2:AJ$78)-IMshareM!AJ$36),0))</f>
        <v>0</v>
      </c>
      <c r="AK15" s="8">
        <f>IF($A15=AK$1,0,IF(SUM(IMshareM!AK$2:AK$78)-IMshareM!AK$37&gt;0,IMshareM!AK15/(SUM(IMshareM!AK$2:AK$78)-IMshareM!AK$37),0))</f>
        <v>0</v>
      </c>
      <c r="AL15" s="8">
        <f>IF($A15=AL$1,0,IF(SUM(IMshareM!AL$2:AL$78)-IMshareM!AL$38&gt;0,IMshareM!AL15/(SUM(IMshareM!AL$2:AL$78)-IMshareM!AL$38),0))</f>
        <v>4.0540606615080726E-6</v>
      </c>
      <c r="AM15" s="8">
        <f>IF($A15=AM$1,0,IF(SUM(IMshareM!AM$2:AM$78)-IMshareM!AM$39&gt;0,IMshareM!AM15/(SUM(IMshareM!AM$2:AM$78)-IMshareM!AM$39),0))</f>
        <v>0</v>
      </c>
      <c r="AN15" s="8">
        <f>IF($A15=AN$1,0,IF(SUM(IMshareM!AN$2:AN$78)-IMshareM!AN$40&gt;0,IMshareM!AN15/(SUM(IMshareM!AN$2:AN$78)-IMshareM!AN$40),0))</f>
        <v>0</v>
      </c>
      <c r="AO15" s="8">
        <f>IF($A15=AO$1,0,IF(SUM(IMshareM!AO$2:AO$78)-IMshareM!AO$41&gt;0,IMshareM!AO15/(SUM(IMshareM!AO$2:AO$78)-IMshareM!AO$41),0))</f>
        <v>0</v>
      </c>
      <c r="AP15" s="8">
        <f>IF($A15=AP$1,0,IF(SUM(IMshareM!AP$2:AP$78)-IMshareM!AP$42&gt;0,IMshareM!AP15/(SUM(IMshareM!AP$2:AP$78)-IMshareM!AP$42),0))</f>
        <v>0</v>
      </c>
      <c r="AQ15" s="8">
        <f>IF($A15=AQ$1,0,IF(SUM(IMshareM!AQ$2:AQ$78)-IMshareM!AQ$43&gt;0,IMshareM!AQ15/(SUM(IMshareM!AQ$2:AQ$78)-IMshareM!AQ$43),0))</f>
        <v>0</v>
      </c>
      <c r="AR15" s="8">
        <f>IF($A15=AR$1,0,IF(SUM(IMshareM!AR$2:AR$78)-IMshareM!AR$44&gt;0,IMshareM!AR15/(SUM(IMshareM!AR$2:AR$78)-IMshareM!AR$44),0))</f>
        <v>0</v>
      </c>
      <c r="AS15" s="8">
        <f>IF($A15=AS$1,0,IF(SUM(IMshareM!AS$2:AS$78)-IMshareM!AS$45&gt;0,IMshareM!AS15/(SUM(IMshareM!AS$2:AS$78)-IMshareM!AS$45),0))</f>
        <v>0</v>
      </c>
      <c r="AT15" s="8">
        <f>IF($A15=AT$1,0,IF(SUM(IMshareM!AT$2:AT$78)-IMshareM!AT$46&gt;0,IMshareM!AT15/(SUM(IMshareM!AT$2:AT$78)-IMshareM!AT$46),0))</f>
        <v>8.228464375440658E-6</v>
      </c>
      <c r="AU15" s="8">
        <f>IF($A15=AU$1,0,IF(SUM(IMshareM!AU$2:AU$78)-IMshareM!AU$47&gt;0,IMshareM!AU15/(SUM(IMshareM!AU$2:AU$78)-IMshareM!AU$47),0))</f>
        <v>0</v>
      </c>
      <c r="AV15" s="8">
        <f>IF($A15=AV$1,0,IF(SUM(IMshareM!AV$2:AV$78)-IMshareM!AV$48&gt;0,IMshareM!AV15/(SUM(IMshareM!AV$2:AV$78)-IMshareM!AV$48),0))</f>
        <v>0</v>
      </c>
      <c r="AW15" s="8">
        <f>IF($A15=AW$1,0,IF(SUM(IMshareM!AW$2:AW$78)-IMshareM!AW$49&gt;0,IMshareM!AW15/(SUM(IMshareM!AW$2:AW$78)-IMshareM!AW$49),0))</f>
        <v>0</v>
      </c>
      <c r="AX15" s="8">
        <f>IF($A15=AX$1,0,IF(SUM(IMshareM!AX$2:AX$78)-IMshareM!AX$50&gt;0,IMshareM!AX15/(SUM(IMshareM!AX$2:AX$78)-IMshareM!AX$50),0))</f>
        <v>0</v>
      </c>
      <c r="AY15" s="8">
        <f>IF($A15=AY$1,0,IF(SUM(IMshareM!AY$2:AY$78)-IMshareM!AY$51&gt;0,IMshareM!AY15/(SUM(IMshareM!AY$2:AY$78)-IMshareM!AY$51),0))</f>
        <v>0</v>
      </c>
      <c r="AZ15" s="8">
        <f>IF($A15=AZ$1,0,IF(SUM(IMshareM!AZ$2:AZ$78)-IMshareM!AZ$52&gt;0,IMshareM!AZ15/(SUM(IMshareM!AZ$2:AZ$78)-IMshareM!AZ$52),0))</f>
        <v>0</v>
      </c>
      <c r="BA15" s="8">
        <f>IF($A15=BA$1,0,IF(SUM(IMshareM!BA$2:BA$78)-IMshareM!BA$53&gt;0,IMshareM!BA15/(SUM(IMshareM!BA$2:BA$78)-IMshareM!BA$53),0))</f>
        <v>1.5094227875734286E-4</v>
      </c>
      <c r="BB15" s="8">
        <f>IF($A15=BB$1,0,IF(SUM(IMshareM!BB$2:BB$78)-IMshareM!BB$54&gt;0,IMshareM!BB15/(SUM(IMshareM!BB$2:BB$78)-IMshareM!BB$54),0))</f>
        <v>2.7109450214256637E-5</v>
      </c>
      <c r="BC15" s="8">
        <f>IF($A15=BC$1,0,IF(SUM(IMshareM!BC$2:BC$78)-IMshareM!BC$55&gt;0,IMshareM!BC15/(SUM(IMshareM!BC$2:BC$78)-IMshareM!BC$55),0))</f>
        <v>0</v>
      </c>
      <c r="BD15" s="8">
        <f>IF($A15=BD$1,0,IF(SUM(IMshareM!BD$2:BD$78)-IMshareM!BD$56&gt;0,IMshareM!BD15/(SUM(IMshareM!BD$2:BD$78)-IMshareM!BD$56),0))</f>
        <v>0</v>
      </c>
      <c r="BE15" s="8">
        <f>IF($A15=BE$1,0,IF(SUM(IMshareM!BE$2:BE$78)-IMshareM!BE$57&gt;0,IMshareM!BE15/(SUM(IMshareM!BE$2:BE$78)-IMshareM!BE$57),0))</f>
        <v>0</v>
      </c>
      <c r="BF15" s="8">
        <f>IF($A15=BF$1,0,IF(SUM(IMshareM!BF$2:BF$78)-IMshareM!BF$58&gt;0,IMshareM!BF15/(SUM(IMshareM!BF$2:BF$78)-IMshareM!BF$58),0))</f>
        <v>0</v>
      </c>
      <c r="BG15" s="8">
        <f>IF($A15=BG$1,0,IF(SUM(IMshareM!BG$2:BG$78)-IMshareM!BG$59&gt;0,IMshareM!BG15/(SUM(IMshareM!BG$2:BG$78)-IMshareM!BG$59),0))</f>
        <v>0</v>
      </c>
      <c r="BH15" s="8">
        <f>IF($A15=BH$1,0,IF(SUM(IMshareM!BH$2:BH$78)-IMshareM!BH$60&gt;0,IMshareM!BH15/(SUM(IMshareM!BH$2:BH$78)-IMshareM!BH$60),0))</f>
        <v>1.9162685288239929E-7</v>
      </c>
      <c r="BI15" s="8">
        <f>IF($A15=BI$1,0,IF(SUM(IMshareM!BI$2:BI$78)-IMshareM!BI$61&gt;0,IMshareM!BI15/(SUM(IMshareM!BI$2:BI$78)-IMshareM!BI$61),0))</f>
        <v>0</v>
      </c>
      <c r="BJ15" s="8">
        <f>IF($A15=BJ$1,0,IF(SUM(IMshareM!BJ$2:BJ$78)-IMshareM!BJ$62&gt;0,IMshareM!BJ15/(SUM(IMshareM!BJ$2:BJ$78)-IMshareM!BJ$62),0))</f>
        <v>0</v>
      </c>
      <c r="BK15" s="8">
        <f>IF($A15=BK$1,0,IF(SUM(IMshareM!BK$2:BK$78)-IMshareM!BK$63&gt;0,IMshareM!BK15/(SUM(IMshareM!BK$2:BK$78)-IMshareM!BK$63),0))</f>
        <v>0</v>
      </c>
      <c r="BL15" s="8">
        <f>IF($A15=BL$1,0,IF(SUM(IMshareM!BL$2:BL$78)-IMshareM!BL$64&gt;0,IMshareM!BL15/(SUM(IMshareM!BL$2:BL$78)-IMshareM!BL$64),0))</f>
        <v>0</v>
      </c>
      <c r="BM15" s="8">
        <f>IF($A15=BM$1,0,IF(SUM(IMshareM!BM$2:BM$78)-IMshareM!BM$65&gt;0,IMshareM!BM15/(SUM(IMshareM!BM$2:BM$78)-IMshareM!BM$65),0))</f>
        <v>0</v>
      </c>
      <c r="BN15" s="8">
        <f>IF($A15=BN$1,0,IF(SUM(IMshareM!BN$2:BN$78)-IMshareM!BN$66&gt;0,IMshareM!BN15/(SUM(IMshareM!BN$2:BN$78)-IMshareM!BN$66),0))</f>
        <v>0</v>
      </c>
      <c r="BO15" s="8">
        <f>IF($A15=BO$1,0,IF(SUM(IMshareM!BO$2:BO$78)-IMshareM!BO$67&gt;0,IMshareM!BO15/(SUM(IMshareM!BO$2:BO$78)-IMshareM!BO$67),0))</f>
        <v>0</v>
      </c>
      <c r="BP15" s="8">
        <f>IF($A15=BP$1,0,IF(SUM(IMshareM!BP$2:BP$78)-IMshareM!BP$68&gt;0,IMshareM!BP15/(SUM(IMshareM!BP$2:BP$78)-IMshareM!BP$68),0))</f>
        <v>0</v>
      </c>
      <c r="BQ15" s="8">
        <f>IF($A15=BQ$1,0,IF(SUM(IMshareM!BQ$2:BQ$78)-IMshareM!BQ$69&gt;0,IMshareM!BQ15/(SUM(IMshareM!BQ$2:BQ$78)-IMshareM!BQ$69),0))</f>
        <v>0</v>
      </c>
      <c r="BR15" s="8">
        <f>IF($A15=BR$1,0,IF(SUM(IMshareM!BR$2:BR$78)-IMshareM!BR$70&gt;0,IMshareM!BR15/(SUM(IMshareM!BR$2:BR$78)-IMshareM!BR$70),0))</f>
        <v>1.6095500017135975E-6</v>
      </c>
      <c r="BS15" s="8">
        <f>IF($A15=BS$1,0,IF(SUM(IMshareM!BS$2:BS$78)-IMshareM!BS$71&gt;0,IMshareM!BS15/(SUM(IMshareM!BS$2:BS$78)-IMshareM!BS$71),0))</f>
        <v>0</v>
      </c>
      <c r="BT15" s="8">
        <f>IF($A15=BT$1,0,IF(SUM(IMshareM!BT$2:BT$78)-IMshareM!BT$72&gt;0,IMshareM!BT15/(SUM(IMshareM!BT$2:BT$78)-IMshareM!BT$72),0))</f>
        <v>0</v>
      </c>
      <c r="BU15" s="8">
        <f>IF($A15=BU$1,0,IF(SUM(IMshareM!BU$2:BU$78)-IMshareM!BU$73&gt;0,IMshareM!BU15/(SUM(IMshareM!BU$2:BU$78)-IMshareM!BU$73),0))</f>
        <v>0</v>
      </c>
      <c r="BV15" s="8">
        <f>IF($A15=BV$1,0,IF(SUM(IMshareM!BV$2:BV$78)-IMshareM!BV$74&gt;0,IMshareM!BV15/(SUM(IMshareM!BV$2:BV$78)-IMshareM!BV$74),0))</f>
        <v>0</v>
      </c>
      <c r="BW15" s="8">
        <f>IF($A15=BW$1,0,IF(SUM(IMshareM!BW$2:BW$78)-IMshareM!BW$75&gt;0,IMshareM!BW15/(SUM(IMshareM!BW$2:BW$78)-IMshareM!BW$75),0))</f>
        <v>0</v>
      </c>
      <c r="BX15" s="8">
        <f>IF($A15=BX$1,0,IF(SUM(IMshareM!BX$2:BX$78)-IMshareM!BX$76&gt;0,IMshareM!BX15/(SUM(IMshareM!BX$2:BX$78)-IMshareM!BX$76),0))</f>
        <v>0</v>
      </c>
      <c r="BY15" s="8">
        <f>IF($A15=BY$1,0,IF(SUM(IMshareM!BY$2:BY$78)-IMshareM!BY$77&gt;0,IMshareM!BY15/(SUM(IMshareM!BY$2:BY$78)-IMshareM!BY$77),0))</f>
        <v>1.0298420257304223E-6</v>
      </c>
      <c r="BZ15" s="8">
        <f>IF($A15=BZ$1,0,IF(SUM(IMshareM!BZ$2:BZ$78)-IMshareM!BZ$78&gt;0,IMshareM!BZ15/(SUM(IMshareM!BZ$2:BZ$78)-IMshareM!BZ$78),0))</f>
        <v>1.7299015584156902E-4</v>
      </c>
    </row>
    <row r="16" spans="1:78">
      <c r="A16" s="4" t="s">
        <v>99</v>
      </c>
      <c r="B16" s="8">
        <f>IF($A16=B$1,0,IF(SUM(IMshareM!B$2:B$78)-IMshareM!B$2&gt;0,IMshareM!B16/(SUM(IMshareM!B$2:B$78)-IMshareM!B$2),0))</f>
        <v>0</v>
      </c>
      <c r="C16" s="8">
        <f>IF($A16=C$1,0,IF(SUM(IMshareM!C$2:C$78)-IMshareM!C$3&gt;0,IMshareM!C16/(SUM(IMshareM!C$2:C$78)-IMshareM!C$3),0))</f>
        <v>0</v>
      </c>
      <c r="D16" s="8">
        <f>IF($A16=D$1,0,IF(SUM(IMshareM!D$2:D$78)-IMshareM!D$4&gt;0,IMshareM!D16/(SUM(IMshareM!D$2:D$78)-IMshareM!D$4),0))</f>
        <v>4.7744902953533112E-7</v>
      </c>
      <c r="E16" s="8">
        <f>IF($A16=E$1,0,IF(SUM(IMshareM!E$2:E$78)-IMshareM!E$5&gt;0,IMshareM!E16/(SUM(IMshareM!E$2:E$78)-IMshareM!E$5),0))</f>
        <v>0</v>
      </c>
      <c r="F16" s="8">
        <f>IF($A16=F$1,0,IF(SUM(IMshareM!F$2:F$78)-IMshareM!F$6&gt;0,IMshareM!F16/(SUM(IMshareM!F$2:F$78)-IMshareM!F$6),0))</f>
        <v>0</v>
      </c>
      <c r="G16" s="8">
        <f>IF($A16=G$1,0,IF(SUM(IMshareM!G$2:G$78)-IMshareM!G$7&gt;0,IMshareM!G16/(SUM(IMshareM!G$2:G$78)-IMshareM!G$7),0))</f>
        <v>0</v>
      </c>
      <c r="H16" s="8">
        <f>IF($A16=H$1,0,IF(SUM(IMshareM!H$2:H$78)-IMshareM!H$8&gt;0,IMshareM!H16/(SUM(IMshareM!H$2:H$78)-IMshareM!H$8),0))</f>
        <v>0</v>
      </c>
      <c r="I16" s="8">
        <f>IF($A16=I$1,0,IF(SUM(IMshareM!I$2:I$78)-IMshareM!I$9&gt;0,IMshareM!I16/(SUM(IMshareM!I$2:I$78)-IMshareM!I$9),0))</f>
        <v>0</v>
      </c>
      <c r="J16" s="8">
        <f>IF($A16=J$1,0,IF(SUM(IMshareM!J$2:J$78)-IMshareM!J$10&gt;0,IMshareM!J16/(SUM(IMshareM!J$2:J$78)-IMshareM!J$10),0))</f>
        <v>0</v>
      </c>
      <c r="K16" s="8">
        <f>IF($A16=K$1,0,IF(SUM(IMshareM!K$2:K$78)-IMshareM!K$11&gt;0,IMshareM!K16/(SUM(IMshareM!K$2:K$78)-IMshareM!K$11),0))</f>
        <v>6.0994507195963674E-6</v>
      </c>
      <c r="L16" s="8">
        <f>IF($A16=L$1,0,IF(SUM(IMshareM!L$2:L$78)-IMshareM!L$12&gt;0,IMshareM!L16/(SUM(IMshareM!L$2:L$78)-IMshareM!L$12),0))</f>
        <v>0</v>
      </c>
      <c r="M16" s="8">
        <f>IF($A16=M$1,0,IF(SUM(IMshareM!M$2:M$78)-IMshareM!M$13&gt;0,IMshareM!M16/(SUM(IMshareM!M$2:M$78)-IMshareM!M$13),0))</f>
        <v>0</v>
      </c>
      <c r="N16" s="8">
        <f>IF($A16=N$1,0,IF(SUM(IMshareM!N$2:N$78)-IMshareM!N$14&gt;0,IMshareM!N16/(SUM(IMshareM!N$2:N$78)-IMshareM!N$14),0))</f>
        <v>0</v>
      </c>
      <c r="O16" s="8">
        <f>IF($A16=O$1,0,IF(SUM(IMshareM!O$2:O$78)-IMshareM!O$15&gt;0,IMshareM!O16/(SUM(IMshareM!O$2:O$78)-IMshareM!O$15),0))</f>
        <v>0</v>
      </c>
      <c r="P16" s="8">
        <f>IF($A16=P$1,0,IF(SUM(IMshareM!P$2:P$78)-IMshareM!P$16&gt;0,IMshareM!P16/(SUM(IMshareM!P$2:P$78)-IMshareM!P$16),0))</f>
        <v>0</v>
      </c>
      <c r="Q16" s="8">
        <f>IF($A16=Q$1,0,IF(SUM(IMshareM!Q$2:Q$78)-IMshareM!Q$17&gt;0,IMshareM!Q16/(SUM(IMshareM!Q$2:Q$78)-IMshareM!Q$17),0))</f>
        <v>0</v>
      </c>
      <c r="R16" s="8">
        <f>IF($A16=R$1,0,IF(SUM(IMshareM!R$2:R$78)-IMshareM!R$18&gt;0,IMshareM!R16/(SUM(IMshareM!R$2:R$78)-IMshareM!R$18),0))</f>
        <v>0</v>
      </c>
      <c r="S16" s="8">
        <f>IF($A16=S$1,0,IF(SUM(IMshareM!S$2:S$78)-IMshareM!S$19&gt;0,IMshareM!S16/(SUM(IMshareM!S$2:S$78)-IMshareM!S$19),0))</f>
        <v>0</v>
      </c>
      <c r="T16" s="8">
        <f>IF($A16=T$1,0,IF(SUM(IMshareM!T$2:T$78)-IMshareM!T$20&gt;0,IMshareM!T16/(SUM(IMshareM!T$2:T$78)-IMshareM!T$20),0))</f>
        <v>0</v>
      </c>
      <c r="U16" s="8">
        <f>IF($A16=U$1,0,IF(SUM(IMshareM!U$2:U$78)-IMshareM!U$21&gt;0,IMshareM!U16/(SUM(IMshareM!U$2:U$78)-IMshareM!U$21),0))</f>
        <v>4.5638190326579047E-6</v>
      </c>
      <c r="V16" s="8">
        <f>IF($A16=V$1,0,IF(SUM(IMshareM!V$2:V$78)-IMshareM!V$22&gt;0,IMshareM!V16/(SUM(IMshareM!V$2:V$78)-IMshareM!V$22),0))</f>
        <v>0</v>
      </c>
      <c r="W16" s="8">
        <f>IF($A16=W$1,0,IF(SUM(IMshareM!W$2:W$78)-IMshareM!W$23&gt;0,IMshareM!W16/(SUM(IMshareM!W$2:W$78)-IMshareM!W$23),0))</f>
        <v>0</v>
      </c>
      <c r="X16" s="8">
        <f>IF($A16=X$1,0,IF(SUM(IMshareM!X$2:X$78)-IMshareM!X$24&gt;0,IMshareM!X16/(SUM(IMshareM!X$2:X$78)-IMshareM!X$24),0))</f>
        <v>0</v>
      </c>
      <c r="Y16" s="8">
        <f>IF($A16=Y$1,0,IF(SUM(IMshareM!Y$2:Y$78)-IMshareM!Y$25&gt;0,IMshareM!Y16/(SUM(IMshareM!Y$2:Y$78)-IMshareM!Y$25),0))</f>
        <v>0</v>
      </c>
      <c r="Z16" s="8">
        <f>IF($A16=Z$1,0,IF(SUM(IMshareM!Z$2:Z$78)-IMshareM!Z$26&gt;0,IMshareM!Z16/(SUM(IMshareM!Z$2:Z$78)-IMshareM!Z$26),0))</f>
        <v>0</v>
      </c>
      <c r="AA16" s="8">
        <f>IF($A16=AA$1,0,IF(SUM(IMshareM!AA$2:AA$78)-IMshareM!AA$27&gt;0,IMshareM!AA16/(SUM(IMshareM!AA$2:AA$78)-IMshareM!AA$27),0))</f>
        <v>3.0475892874567727E-6</v>
      </c>
      <c r="AB16" s="8">
        <f>IF($A16=AB$1,0,IF(SUM(IMshareM!AB$2:AB$78)-IMshareM!AB$28&gt;0,IMshareM!AB16/(SUM(IMshareM!AB$2:AB$78)-IMshareM!AB$28),0))</f>
        <v>8.2288273458679535E-7</v>
      </c>
      <c r="AC16" s="8">
        <f>IF($A16=AC$1,0,IF(SUM(IMshareM!AC$2:AC$78)-IMshareM!AC$29&gt;0,IMshareM!AC16/(SUM(IMshareM!AC$2:AC$78)-IMshareM!AC$29),0))</f>
        <v>0</v>
      </c>
      <c r="AD16" s="8">
        <f>IF($A16=AD$1,0,IF(SUM(IMshareM!AD$2:AD$78)-IMshareM!AD$30&gt;0,IMshareM!AD16/(SUM(IMshareM!AD$2:AD$78)-IMshareM!AD$30),0))</f>
        <v>0</v>
      </c>
      <c r="AE16" s="8">
        <f>IF($A16=AE$1,0,IF(SUM(IMshareM!AE$2:AE$78)-IMshareM!AE$31&gt;0,IMshareM!AE16/(SUM(IMshareM!AE$2:AE$78)-IMshareM!AE$31),0))</f>
        <v>0</v>
      </c>
      <c r="AF16" s="8">
        <f>IF($A16=AF$1,0,IF(SUM(IMshareM!AF$2:AF$78)-IMshareM!AF$32&gt;0,IMshareM!AF16/(SUM(IMshareM!AF$2:AF$78)-IMshareM!AF$32),0))</f>
        <v>0</v>
      </c>
      <c r="AG16" s="8">
        <f>IF($A16=AG$1,0,IF(SUM(IMshareM!AG$2:AG$78)-IMshareM!AG$33&gt;0,IMshareM!AG16/(SUM(IMshareM!AG$2:AG$78)-IMshareM!AG$33),0))</f>
        <v>0</v>
      </c>
      <c r="AH16" s="8">
        <f>IF($A16=AH$1,0,IF(SUM(IMshareM!AH$2:AH$78)-IMshareM!AH$34&gt;0,IMshareM!AH16/(SUM(IMshareM!AH$2:AH$78)-IMshareM!AH$34),0))</f>
        <v>0</v>
      </c>
      <c r="AI16" s="8">
        <f>IF($A16=AI$1,0,IF(SUM(IMshareM!AI$2:AI$78)-IMshareM!AI$35&gt;0,IMshareM!AI16/(SUM(IMshareM!AI$2:AI$78)-IMshareM!AI$35),0))</f>
        <v>0</v>
      </c>
      <c r="AJ16" s="8">
        <f>IF($A16=AJ$1,0,IF(SUM(IMshareM!AJ$2:AJ$78)-IMshareM!AJ$36&gt;0,IMshareM!AJ16/(SUM(IMshareM!AJ$2:AJ$78)-IMshareM!AJ$36),0))</f>
        <v>0</v>
      </c>
      <c r="AK16" s="8">
        <f>IF($A16=AK$1,0,IF(SUM(IMshareM!AK$2:AK$78)-IMshareM!AK$37&gt;0,IMshareM!AK16/(SUM(IMshareM!AK$2:AK$78)-IMshareM!AK$37),0))</f>
        <v>0</v>
      </c>
      <c r="AL16" s="8">
        <f>IF($A16=AL$1,0,IF(SUM(IMshareM!AL$2:AL$78)-IMshareM!AL$38&gt;0,IMshareM!AL16/(SUM(IMshareM!AL$2:AL$78)-IMshareM!AL$38),0))</f>
        <v>0</v>
      </c>
      <c r="AM16" s="8">
        <f>IF($A16=AM$1,0,IF(SUM(IMshareM!AM$2:AM$78)-IMshareM!AM$39&gt;0,IMshareM!AM16/(SUM(IMshareM!AM$2:AM$78)-IMshareM!AM$39),0))</f>
        <v>0</v>
      </c>
      <c r="AN16" s="8">
        <f>IF($A16=AN$1,0,IF(SUM(IMshareM!AN$2:AN$78)-IMshareM!AN$40&gt;0,IMshareM!AN16/(SUM(IMshareM!AN$2:AN$78)-IMshareM!AN$40),0))</f>
        <v>0</v>
      </c>
      <c r="AO16" s="8">
        <f>IF($A16=AO$1,0,IF(SUM(IMshareM!AO$2:AO$78)-IMshareM!AO$41&gt;0,IMshareM!AO16/(SUM(IMshareM!AO$2:AO$78)-IMshareM!AO$41),0))</f>
        <v>0</v>
      </c>
      <c r="AP16" s="8">
        <f>IF($A16=AP$1,0,IF(SUM(IMshareM!AP$2:AP$78)-IMshareM!AP$42&gt;0,IMshareM!AP16/(SUM(IMshareM!AP$2:AP$78)-IMshareM!AP$42),0))</f>
        <v>0</v>
      </c>
      <c r="AQ16" s="8">
        <f>IF($A16=AQ$1,0,IF(SUM(IMshareM!AQ$2:AQ$78)-IMshareM!AQ$43&gt;0,IMshareM!AQ16/(SUM(IMshareM!AQ$2:AQ$78)-IMshareM!AQ$43),0))</f>
        <v>3.6175771026720111E-9</v>
      </c>
      <c r="AR16" s="8">
        <f>IF($A16=AR$1,0,IF(SUM(IMshareM!AR$2:AR$78)-IMshareM!AR$44&gt;0,IMshareM!AR16/(SUM(IMshareM!AR$2:AR$78)-IMshareM!AR$44),0))</f>
        <v>0</v>
      </c>
      <c r="AS16" s="8">
        <f>IF($A16=AS$1,0,IF(SUM(IMshareM!AS$2:AS$78)-IMshareM!AS$45&gt;0,IMshareM!AS16/(SUM(IMshareM!AS$2:AS$78)-IMshareM!AS$45),0))</f>
        <v>0</v>
      </c>
      <c r="AT16" s="8">
        <f>IF($A16=AT$1,0,IF(SUM(IMshareM!AT$2:AT$78)-IMshareM!AT$46&gt;0,IMshareM!AT16/(SUM(IMshareM!AT$2:AT$78)-IMshareM!AT$46),0))</f>
        <v>0</v>
      </c>
      <c r="AU16" s="8">
        <f>IF($A16=AU$1,0,IF(SUM(IMshareM!AU$2:AU$78)-IMshareM!AU$47&gt;0,IMshareM!AU16/(SUM(IMshareM!AU$2:AU$78)-IMshareM!AU$47),0))</f>
        <v>0</v>
      </c>
      <c r="AV16" s="8">
        <f>IF($A16=AV$1,0,IF(SUM(IMshareM!AV$2:AV$78)-IMshareM!AV$48&gt;0,IMshareM!AV16/(SUM(IMshareM!AV$2:AV$78)-IMshareM!AV$48),0))</f>
        <v>0</v>
      </c>
      <c r="AW16" s="8">
        <f>IF($A16=AW$1,0,IF(SUM(IMshareM!AW$2:AW$78)-IMshareM!AW$49&gt;0,IMshareM!AW16/(SUM(IMshareM!AW$2:AW$78)-IMshareM!AW$49),0))</f>
        <v>0</v>
      </c>
      <c r="AX16" s="8">
        <f>IF($A16=AX$1,0,IF(SUM(IMshareM!AX$2:AX$78)-IMshareM!AX$50&gt;0,IMshareM!AX16/(SUM(IMshareM!AX$2:AX$78)-IMshareM!AX$50),0))</f>
        <v>0</v>
      </c>
      <c r="AY16" s="8">
        <f>IF($A16=AY$1,0,IF(SUM(IMshareM!AY$2:AY$78)-IMshareM!AY$51&gt;0,IMshareM!AY16/(SUM(IMshareM!AY$2:AY$78)-IMshareM!AY$51),0))</f>
        <v>0</v>
      </c>
      <c r="AZ16" s="8">
        <f>IF($A16=AZ$1,0,IF(SUM(IMshareM!AZ$2:AZ$78)-IMshareM!AZ$52&gt;0,IMshareM!AZ16/(SUM(IMshareM!AZ$2:AZ$78)-IMshareM!AZ$52),0))</f>
        <v>1.1220026574708985E-6</v>
      </c>
      <c r="BA16" s="8">
        <f>IF($A16=BA$1,0,IF(SUM(IMshareM!BA$2:BA$78)-IMshareM!BA$53&gt;0,IMshareM!BA16/(SUM(IMshareM!BA$2:BA$78)-IMshareM!BA$53),0))</f>
        <v>0</v>
      </c>
      <c r="BB16" s="8">
        <f>IF($A16=BB$1,0,IF(SUM(IMshareM!BB$2:BB$78)-IMshareM!BB$54&gt;0,IMshareM!BB16/(SUM(IMshareM!BB$2:BB$78)-IMshareM!BB$54),0))</f>
        <v>2.115311710414932E-5</v>
      </c>
      <c r="BC16" s="8">
        <f>IF($A16=BC$1,0,IF(SUM(IMshareM!BC$2:BC$78)-IMshareM!BC$55&gt;0,IMshareM!BC16/(SUM(IMshareM!BC$2:BC$78)-IMshareM!BC$55),0))</f>
        <v>0</v>
      </c>
      <c r="BD16" s="8">
        <f>IF($A16=BD$1,0,IF(SUM(IMshareM!BD$2:BD$78)-IMshareM!BD$56&gt;0,IMshareM!BD16/(SUM(IMshareM!BD$2:BD$78)-IMshareM!BD$56),0))</f>
        <v>0</v>
      </c>
      <c r="BE16" s="8">
        <f>IF($A16=BE$1,0,IF(SUM(IMshareM!BE$2:BE$78)-IMshareM!BE$57&gt;0,IMshareM!BE16/(SUM(IMshareM!BE$2:BE$78)-IMshareM!BE$57),0))</f>
        <v>0</v>
      </c>
      <c r="BF16" s="8">
        <f>IF($A16=BF$1,0,IF(SUM(IMshareM!BF$2:BF$78)-IMshareM!BF$58&gt;0,IMshareM!BF16/(SUM(IMshareM!BF$2:BF$78)-IMshareM!BF$58),0))</f>
        <v>0</v>
      </c>
      <c r="BG16" s="8">
        <f>IF($A16=BG$1,0,IF(SUM(IMshareM!BG$2:BG$78)-IMshareM!BG$59&gt;0,IMshareM!BG16/(SUM(IMshareM!BG$2:BG$78)-IMshareM!BG$59),0))</f>
        <v>0</v>
      </c>
      <c r="BH16" s="8">
        <f>IF($A16=BH$1,0,IF(SUM(IMshareM!BH$2:BH$78)-IMshareM!BH$60&gt;0,IMshareM!BH16/(SUM(IMshareM!BH$2:BH$78)-IMshareM!BH$60),0))</f>
        <v>0</v>
      </c>
      <c r="BI16" s="8">
        <f>IF($A16=BI$1,0,IF(SUM(IMshareM!BI$2:BI$78)-IMshareM!BI$61&gt;0,IMshareM!BI16/(SUM(IMshareM!BI$2:BI$78)-IMshareM!BI$61),0))</f>
        <v>3.5246158378303664E-5</v>
      </c>
      <c r="BJ16" s="8">
        <f>IF($A16=BJ$1,0,IF(SUM(IMshareM!BJ$2:BJ$78)-IMshareM!BJ$62&gt;0,IMshareM!BJ16/(SUM(IMshareM!BJ$2:BJ$78)-IMshareM!BJ$62),0))</f>
        <v>0</v>
      </c>
      <c r="BK16" s="8">
        <f>IF($A16=BK$1,0,IF(SUM(IMshareM!BK$2:BK$78)-IMshareM!BK$63&gt;0,IMshareM!BK16/(SUM(IMshareM!BK$2:BK$78)-IMshareM!BK$63),0))</f>
        <v>0</v>
      </c>
      <c r="BL16" s="8">
        <f>IF($A16=BL$1,0,IF(SUM(IMshareM!BL$2:BL$78)-IMshareM!BL$64&gt;0,IMshareM!BL16/(SUM(IMshareM!BL$2:BL$78)-IMshareM!BL$64),0))</f>
        <v>0</v>
      </c>
      <c r="BM16" s="8">
        <f>IF($A16=BM$1,0,IF(SUM(IMshareM!BM$2:BM$78)-IMshareM!BM$65&gt;0,IMshareM!BM16/(SUM(IMshareM!BM$2:BM$78)-IMshareM!BM$65),0))</f>
        <v>0</v>
      </c>
      <c r="BN16" s="8">
        <f>IF($A16=BN$1,0,IF(SUM(IMshareM!BN$2:BN$78)-IMshareM!BN$66&gt;0,IMshareM!BN16/(SUM(IMshareM!BN$2:BN$78)-IMshareM!BN$66),0))</f>
        <v>0</v>
      </c>
      <c r="BO16" s="8">
        <f>IF($A16=BO$1,0,IF(SUM(IMshareM!BO$2:BO$78)-IMshareM!BO$67&gt;0,IMshareM!BO16/(SUM(IMshareM!BO$2:BO$78)-IMshareM!BO$67),0))</f>
        <v>0</v>
      </c>
      <c r="BP16" s="8">
        <f>IF($A16=BP$1,0,IF(SUM(IMshareM!BP$2:BP$78)-IMshareM!BP$68&gt;0,IMshareM!BP16/(SUM(IMshareM!BP$2:BP$78)-IMshareM!BP$68),0))</f>
        <v>0</v>
      </c>
      <c r="BQ16" s="8">
        <f>IF($A16=BQ$1,0,IF(SUM(IMshareM!BQ$2:BQ$78)-IMshareM!BQ$69&gt;0,IMshareM!BQ16/(SUM(IMshareM!BQ$2:BQ$78)-IMshareM!BQ$69),0))</f>
        <v>0</v>
      </c>
      <c r="BR16" s="8">
        <f>IF($A16=BR$1,0,IF(SUM(IMshareM!BR$2:BR$78)-IMshareM!BR$70&gt;0,IMshareM!BR16/(SUM(IMshareM!BR$2:BR$78)-IMshareM!BR$70),0))</f>
        <v>0</v>
      </c>
      <c r="BS16" s="8">
        <f>IF($A16=BS$1,0,IF(SUM(IMshareM!BS$2:BS$78)-IMshareM!BS$71&gt;0,IMshareM!BS16/(SUM(IMshareM!BS$2:BS$78)-IMshareM!BS$71),0))</f>
        <v>0</v>
      </c>
      <c r="BT16" s="8">
        <f>IF($A16=BT$1,0,IF(SUM(IMshareM!BT$2:BT$78)-IMshareM!BT$72&gt;0,IMshareM!BT16/(SUM(IMshareM!BT$2:BT$78)-IMshareM!BT$72),0))</f>
        <v>0</v>
      </c>
      <c r="BU16" s="8">
        <f>IF($A16=BU$1,0,IF(SUM(IMshareM!BU$2:BU$78)-IMshareM!BU$73&gt;0,IMshareM!BU16/(SUM(IMshareM!BU$2:BU$78)-IMshareM!BU$73),0))</f>
        <v>0</v>
      </c>
      <c r="BV16" s="8">
        <f>IF($A16=BV$1,0,IF(SUM(IMshareM!BV$2:BV$78)-IMshareM!BV$74&gt;0,IMshareM!BV16/(SUM(IMshareM!BV$2:BV$78)-IMshareM!BV$74),0))</f>
        <v>0</v>
      </c>
      <c r="BW16" s="8">
        <f>IF($A16=BW$1,0,IF(SUM(IMshareM!BW$2:BW$78)-IMshareM!BW$75&gt;0,IMshareM!BW16/(SUM(IMshareM!BW$2:BW$78)-IMshareM!BW$75),0))</f>
        <v>8.987836422989547E-6</v>
      </c>
      <c r="BX16" s="8">
        <f>IF($A16=BX$1,0,IF(SUM(IMshareM!BX$2:BX$78)-IMshareM!BX$76&gt;0,IMshareM!BX16/(SUM(IMshareM!BX$2:BX$78)-IMshareM!BX$76),0))</f>
        <v>0</v>
      </c>
      <c r="BY16" s="8">
        <f>IF($A16=BY$1,0,IF(SUM(IMshareM!BY$2:BY$78)-IMshareM!BY$77&gt;0,IMshareM!BY16/(SUM(IMshareM!BY$2:BY$78)-IMshareM!BY$77),0))</f>
        <v>0</v>
      </c>
      <c r="BZ16" s="8">
        <f>IF($A16=BZ$1,0,IF(SUM(IMshareM!BZ$2:BZ$78)-IMshareM!BZ$78&gt;0,IMshareM!BZ16/(SUM(IMshareM!BZ$2:BZ$78)-IMshareM!BZ$78),0))</f>
        <v>1.6397980006159363E-4</v>
      </c>
    </row>
    <row r="17" spans="1:78">
      <c r="A17" s="4" t="s">
        <v>101</v>
      </c>
      <c r="B17" s="8">
        <f>IF($A17=B$1,0,IF(SUM(IMshareM!B$2:B$78)-IMshareM!B$2&gt;0,IMshareM!B17/(SUM(IMshareM!B$2:B$78)-IMshareM!B$2),0))</f>
        <v>2.587416435978448E-6</v>
      </c>
      <c r="C17" s="8">
        <f>IF($A17=C$1,0,IF(SUM(IMshareM!C$2:C$78)-IMshareM!C$3&gt;0,IMshareM!C17/(SUM(IMshareM!C$2:C$78)-IMshareM!C$3),0))</f>
        <v>0</v>
      </c>
      <c r="D17" s="8">
        <f>IF($A17=D$1,0,IF(SUM(IMshareM!D$2:D$78)-IMshareM!D$4&gt;0,IMshareM!D17/(SUM(IMshareM!D$2:D$78)-IMshareM!D$4),0))</f>
        <v>4.5990367619981845E-6</v>
      </c>
      <c r="E17" s="8">
        <f>IF($A17=E$1,0,IF(SUM(IMshareM!E$2:E$78)-IMshareM!E$5&gt;0,IMshareM!E17/(SUM(IMshareM!E$2:E$78)-IMshareM!E$5),0))</f>
        <v>1.5028596928016412E-6</v>
      </c>
      <c r="F17" s="8">
        <f>IF($A17=F$1,0,IF(SUM(IMshareM!F$2:F$78)-IMshareM!F$6&gt;0,IMshareM!F17/(SUM(IMshareM!F$2:F$78)-IMshareM!F$6),0))</f>
        <v>0</v>
      </c>
      <c r="G17" s="8">
        <f>IF($A17=G$1,0,IF(SUM(IMshareM!G$2:G$78)-IMshareM!G$7&gt;0,IMshareM!G17/(SUM(IMshareM!G$2:G$78)-IMshareM!G$7),0))</f>
        <v>0</v>
      </c>
      <c r="H17" s="8">
        <f>IF($A17=H$1,0,IF(SUM(IMshareM!H$2:H$78)-IMshareM!H$8&gt;0,IMshareM!H17/(SUM(IMshareM!H$2:H$78)-IMshareM!H$8),0))</f>
        <v>0</v>
      </c>
      <c r="I17" s="8">
        <f>IF($A17=I$1,0,IF(SUM(IMshareM!I$2:I$78)-IMshareM!I$9&gt;0,IMshareM!I17/(SUM(IMshareM!I$2:I$78)-IMshareM!I$9),0))</f>
        <v>5.0128521905259231E-6</v>
      </c>
      <c r="J17" s="8">
        <f>IF($A17=J$1,0,IF(SUM(IMshareM!J$2:J$78)-IMshareM!J$10&gt;0,IMshareM!J17/(SUM(IMshareM!J$2:J$78)-IMshareM!J$10),0))</f>
        <v>0</v>
      </c>
      <c r="K17" s="8">
        <f>IF($A17=K$1,0,IF(SUM(IMshareM!K$2:K$78)-IMshareM!K$11&gt;0,IMshareM!K17/(SUM(IMshareM!K$2:K$78)-IMshareM!K$11),0))</f>
        <v>1.0036029166722819E-5</v>
      </c>
      <c r="L17" s="8">
        <f>IF($A17=L$1,0,IF(SUM(IMshareM!L$2:L$78)-IMshareM!L$12&gt;0,IMshareM!L17/(SUM(IMshareM!L$2:L$78)-IMshareM!L$12),0))</f>
        <v>0</v>
      </c>
      <c r="M17" s="8">
        <f>IF($A17=M$1,0,IF(SUM(IMshareM!M$2:M$78)-IMshareM!M$13&gt;0,IMshareM!M17/(SUM(IMshareM!M$2:M$78)-IMshareM!M$13),0))</f>
        <v>4.4083509072857482E-5</v>
      </c>
      <c r="N17" s="8">
        <f>IF($A17=N$1,0,IF(SUM(IMshareM!N$2:N$78)-IMshareM!N$14&gt;0,IMshareM!N17/(SUM(IMshareM!N$2:N$78)-IMshareM!N$14),0))</f>
        <v>0</v>
      </c>
      <c r="O17" s="8">
        <f>IF($A17=O$1,0,IF(SUM(IMshareM!O$2:O$78)-IMshareM!O$15&gt;0,IMshareM!O17/(SUM(IMshareM!O$2:O$78)-IMshareM!O$15),0))</f>
        <v>0</v>
      </c>
      <c r="P17" s="8">
        <f>IF($A17=P$1,0,IF(SUM(IMshareM!P$2:P$78)-IMshareM!P$16&gt;0,IMshareM!P17/(SUM(IMshareM!P$2:P$78)-IMshareM!P$16),0))</f>
        <v>0</v>
      </c>
      <c r="Q17" s="8">
        <f>IF($A17=Q$1,0,IF(SUM(IMshareM!Q$2:Q$78)-IMshareM!Q$17&gt;0,IMshareM!Q17/(SUM(IMshareM!Q$2:Q$78)-IMshareM!Q$17),0))</f>
        <v>0</v>
      </c>
      <c r="R17" s="8">
        <f>IF($A17=R$1,0,IF(SUM(IMshareM!R$2:R$78)-IMshareM!R$18&gt;0,IMshareM!R17/(SUM(IMshareM!R$2:R$78)-IMshareM!R$18),0))</f>
        <v>2.8658100534302905E-3</v>
      </c>
      <c r="S17" s="8">
        <f>IF($A17=S$1,0,IF(SUM(IMshareM!S$2:S$78)-IMshareM!S$19&gt;0,IMshareM!S17/(SUM(IMshareM!S$2:S$78)-IMshareM!S$19),0))</f>
        <v>0</v>
      </c>
      <c r="T17" s="8">
        <f>IF($A17=T$1,0,IF(SUM(IMshareM!T$2:T$78)-IMshareM!T$20&gt;0,IMshareM!T17/(SUM(IMshareM!T$2:T$78)-IMshareM!T$20),0))</f>
        <v>0</v>
      </c>
      <c r="U17" s="8">
        <f>IF($A17=U$1,0,IF(SUM(IMshareM!U$2:U$78)-IMshareM!U$21&gt;0,IMshareM!U17/(SUM(IMshareM!U$2:U$78)-IMshareM!U$21),0))</f>
        <v>3.3468589192363169E-6</v>
      </c>
      <c r="V17" s="8">
        <f>IF($A17=V$1,0,IF(SUM(IMshareM!V$2:V$78)-IMshareM!V$22&gt;0,IMshareM!V17/(SUM(IMshareM!V$2:V$78)-IMshareM!V$22),0))</f>
        <v>6.7773742025294074E-6</v>
      </c>
      <c r="W17" s="8">
        <f>IF($A17=W$1,0,IF(SUM(IMshareM!W$2:W$78)-IMshareM!W$23&gt;0,IMshareM!W17/(SUM(IMshareM!W$2:W$78)-IMshareM!W$23),0))</f>
        <v>0</v>
      </c>
      <c r="X17" s="8">
        <f>IF($A17=X$1,0,IF(SUM(IMshareM!X$2:X$78)-IMshareM!X$24&gt;0,IMshareM!X17/(SUM(IMshareM!X$2:X$78)-IMshareM!X$24),0))</f>
        <v>1.0896015396754994E-5</v>
      </c>
      <c r="Y17" s="8">
        <f>IF($A17=Y$1,0,IF(SUM(IMshareM!Y$2:Y$78)-IMshareM!Y$25&gt;0,IMshareM!Y17/(SUM(IMshareM!Y$2:Y$78)-IMshareM!Y$25),0))</f>
        <v>0</v>
      </c>
      <c r="Z17" s="8">
        <f>IF($A17=Z$1,0,IF(SUM(IMshareM!Z$2:Z$78)-IMshareM!Z$26&gt;0,IMshareM!Z17/(SUM(IMshareM!Z$2:Z$78)-IMshareM!Z$26),0))</f>
        <v>0</v>
      </c>
      <c r="AA17" s="8">
        <f>IF($A17=AA$1,0,IF(SUM(IMshareM!AA$2:AA$78)-IMshareM!AA$27&gt;0,IMshareM!AA17/(SUM(IMshareM!AA$2:AA$78)-IMshareM!AA$27),0))</f>
        <v>1.2975203576223423E-6</v>
      </c>
      <c r="AB17" s="8">
        <f>IF($A17=AB$1,0,IF(SUM(IMshareM!AB$2:AB$78)-IMshareM!AB$28&gt;0,IMshareM!AB17/(SUM(IMshareM!AB$2:AB$78)-IMshareM!AB$28),0))</f>
        <v>0</v>
      </c>
      <c r="AC17" s="8">
        <f>IF($A17=AC$1,0,IF(SUM(IMshareM!AC$2:AC$78)-IMshareM!AC$29&gt;0,IMshareM!AC17/(SUM(IMshareM!AC$2:AC$78)-IMshareM!AC$29),0))</f>
        <v>0</v>
      </c>
      <c r="AD17" s="8">
        <f>IF($A17=AD$1,0,IF(SUM(IMshareM!AD$2:AD$78)-IMshareM!AD$30&gt;0,IMshareM!AD17/(SUM(IMshareM!AD$2:AD$78)-IMshareM!AD$30),0))</f>
        <v>1.161119692903108E-7</v>
      </c>
      <c r="AE17" s="8">
        <f>IF($A17=AE$1,0,IF(SUM(IMshareM!AE$2:AE$78)-IMshareM!AE$31&gt;0,IMshareM!AE17/(SUM(IMshareM!AE$2:AE$78)-IMshareM!AE$31),0))</f>
        <v>0</v>
      </c>
      <c r="AF17" s="8">
        <f>IF($A17=AF$1,0,IF(SUM(IMshareM!AF$2:AF$78)-IMshareM!AF$32&gt;0,IMshareM!AF17/(SUM(IMshareM!AF$2:AF$78)-IMshareM!AF$32),0))</f>
        <v>0</v>
      </c>
      <c r="AG17" s="8">
        <f>IF($A17=AG$1,0,IF(SUM(IMshareM!AG$2:AG$78)-IMshareM!AG$33&gt;0,IMshareM!AG17/(SUM(IMshareM!AG$2:AG$78)-IMshareM!AG$33),0))</f>
        <v>0</v>
      </c>
      <c r="AH17" s="8">
        <f>IF($A17=AH$1,0,IF(SUM(IMshareM!AH$2:AH$78)-IMshareM!AH$34&gt;0,IMshareM!AH17/(SUM(IMshareM!AH$2:AH$78)-IMshareM!AH$34),0))</f>
        <v>6.768404909750756E-6</v>
      </c>
      <c r="AI17" s="8">
        <f>IF($A17=AI$1,0,IF(SUM(IMshareM!AI$2:AI$78)-IMshareM!AI$35&gt;0,IMshareM!AI17/(SUM(IMshareM!AI$2:AI$78)-IMshareM!AI$35),0))</f>
        <v>9.1154464496937575E-6</v>
      </c>
      <c r="AJ17" s="8">
        <f>IF($A17=AJ$1,0,IF(SUM(IMshareM!AJ$2:AJ$78)-IMshareM!AJ$36&gt;0,IMshareM!AJ17/(SUM(IMshareM!AJ$2:AJ$78)-IMshareM!AJ$36),0))</f>
        <v>0</v>
      </c>
      <c r="AK17" s="8">
        <f>IF($A17=AK$1,0,IF(SUM(IMshareM!AK$2:AK$78)-IMshareM!AK$37&gt;0,IMshareM!AK17/(SUM(IMshareM!AK$2:AK$78)-IMshareM!AK$37),0))</f>
        <v>8.428577660674992E-6</v>
      </c>
      <c r="AL17" s="8">
        <f>IF($A17=AL$1,0,IF(SUM(IMshareM!AL$2:AL$78)-IMshareM!AL$38&gt;0,IMshareM!AL17/(SUM(IMshareM!AL$2:AL$78)-IMshareM!AL$38),0))</f>
        <v>9.1990520421230773E-6</v>
      </c>
      <c r="AM17" s="8">
        <f>IF($A17=AM$1,0,IF(SUM(IMshareM!AM$2:AM$78)-IMshareM!AM$39&gt;0,IMshareM!AM17/(SUM(IMshareM!AM$2:AM$78)-IMshareM!AM$39),0))</f>
        <v>0</v>
      </c>
      <c r="AN17" s="8">
        <f>IF($A17=AN$1,0,IF(SUM(IMshareM!AN$2:AN$78)-IMshareM!AN$40&gt;0,IMshareM!AN17/(SUM(IMshareM!AN$2:AN$78)-IMshareM!AN$40),0))</f>
        <v>0</v>
      </c>
      <c r="AO17" s="8">
        <f>IF($A17=AO$1,0,IF(SUM(IMshareM!AO$2:AO$78)-IMshareM!AO$41&gt;0,IMshareM!AO17/(SUM(IMshareM!AO$2:AO$78)-IMshareM!AO$41),0))</f>
        <v>0</v>
      </c>
      <c r="AP17" s="8">
        <f>IF($A17=AP$1,0,IF(SUM(IMshareM!AP$2:AP$78)-IMshareM!AP$42&gt;0,IMshareM!AP17/(SUM(IMshareM!AP$2:AP$78)-IMshareM!AP$42),0))</f>
        <v>0</v>
      </c>
      <c r="AQ17" s="8">
        <f>IF($A17=AQ$1,0,IF(SUM(IMshareM!AQ$2:AQ$78)-IMshareM!AQ$43&gt;0,IMshareM!AQ17/(SUM(IMshareM!AQ$2:AQ$78)-IMshareM!AQ$43),0))</f>
        <v>0</v>
      </c>
      <c r="AR17" s="8">
        <f>IF($A17=AR$1,0,IF(SUM(IMshareM!AR$2:AR$78)-IMshareM!AR$44&gt;0,IMshareM!AR17/(SUM(IMshareM!AR$2:AR$78)-IMshareM!AR$44),0))</f>
        <v>0</v>
      </c>
      <c r="AS17" s="8">
        <f>IF($A17=AS$1,0,IF(SUM(IMshareM!AS$2:AS$78)-IMshareM!AS$45&gt;0,IMshareM!AS17/(SUM(IMshareM!AS$2:AS$78)-IMshareM!AS$45),0))</f>
        <v>0</v>
      </c>
      <c r="AT17" s="8">
        <f>IF($A17=AT$1,0,IF(SUM(IMshareM!AT$2:AT$78)-IMshareM!AT$46&gt;0,IMshareM!AT17/(SUM(IMshareM!AT$2:AT$78)-IMshareM!AT$46),0))</f>
        <v>0</v>
      </c>
      <c r="AU17" s="8">
        <f>IF($A17=AU$1,0,IF(SUM(IMshareM!AU$2:AU$78)-IMshareM!AU$47&gt;0,IMshareM!AU17/(SUM(IMshareM!AU$2:AU$78)-IMshareM!AU$47),0))</f>
        <v>0</v>
      </c>
      <c r="AV17" s="8">
        <f>IF($A17=AV$1,0,IF(SUM(IMshareM!AV$2:AV$78)-IMshareM!AV$48&gt;0,IMshareM!AV17/(SUM(IMshareM!AV$2:AV$78)-IMshareM!AV$48),0))</f>
        <v>0</v>
      </c>
      <c r="AW17" s="8">
        <f>IF($A17=AW$1,0,IF(SUM(IMshareM!AW$2:AW$78)-IMshareM!AW$49&gt;0,IMshareM!AW17/(SUM(IMshareM!AW$2:AW$78)-IMshareM!AW$49),0))</f>
        <v>3.7277542597436331E-5</v>
      </c>
      <c r="AX17" s="8">
        <f>IF($A17=AX$1,0,IF(SUM(IMshareM!AX$2:AX$78)-IMshareM!AX$50&gt;0,IMshareM!AX17/(SUM(IMshareM!AX$2:AX$78)-IMshareM!AX$50),0))</f>
        <v>0</v>
      </c>
      <c r="AY17" s="8">
        <f>IF($A17=AY$1,0,IF(SUM(IMshareM!AY$2:AY$78)-IMshareM!AY$51&gt;0,IMshareM!AY17/(SUM(IMshareM!AY$2:AY$78)-IMshareM!AY$51),0))</f>
        <v>0</v>
      </c>
      <c r="AZ17" s="8">
        <f>IF($A17=AZ$1,0,IF(SUM(IMshareM!AZ$2:AZ$78)-IMshareM!AZ$52&gt;0,IMshareM!AZ17/(SUM(IMshareM!AZ$2:AZ$78)-IMshareM!AZ$52),0))</f>
        <v>0</v>
      </c>
      <c r="BA17" s="8">
        <f>IF($A17=BA$1,0,IF(SUM(IMshareM!BA$2:BA$78)-IMshareM!BA$53&gt;0,IMshareM!BA17/(SUM(IMshareM!BA$2:BA$78)-IMshareM!BA$53),0))</f>
        <v>0</v>
      </c>
      <c r="BB17" s="8">
        <f>IF($A17=BB$1,0,IF(SUM(IMshareM!BB$2:BB$78)-IMshareM!BB$54&gt;0,IMshareM!BB17/(SUM(IMshareM!BB$2:BB$78)-IMshareM!BB$54),0))</f>
        <v>1.5477304648930203E-6</v>
      </c>
      <c r="BC17" s="8">
        <f>IF($A17=BC$1,0,IF(SUM(IMshareM!BC$2:BC$78)-IMshareM!BC$55&gt;0,IMshareM!BC17/(SUM(IMshareM!BC$2:BC$78)-IMshareM!BC$55),0))</f>
        <v>0</v>
      </c>
      <c r="BD17" s="8">
        <f>IF($A17=BD$1,0,IF(SUM(IMshareM!BD$2:BD$78)-IMshareM!BD$56&gt;0,IMshareM!BD17/(SUM(IMshareM!BD$2:BD$78)-IMshareM!BD$56),0))</f>
        <v>0</v>
      </c>
      <c r="BE17" s="8">
        <f>IF($A17=BE$1,0,IF(SUM(IMshareM!BE$2:BE$78)-IMshareM!BE$57&gt;0,IMshareM!BE17/(SUM(IMshareM!BE$2:BE$78)-IMshareM!BE$57),0))</f>
        <v>1.2320448320538321E-5</v>
      </c>
      <c r="BF17" s="8">
        <f>IF($A17=BF$1,0,IF(SUM(IMshareM!BF$2:BF$78)-IMshareM!BF$58&gt;0,IMshareM!BF17/(SUM(IMshareM!BF$2:BF$78)-IMshareM!BF$58),0))</f>
        <v>1.513726611852149E-3</v>
      </c>
      <c r="BG17" s="8">
        <f>IF($A17=BG$1,0,IF(SUM(IMshareM!BG$2:BG$78)-IMshareM!BG$59&gt;0,IMshareM!BG17/(SUM(IMshareM!BG$2:BG$78)-IMshareM!BG$59),0))</f>
        <v>0</v>
      </c>
      <c r="BH17" s="8">
        <f>IF($A17=BH$1,0,IF(SUM(IMshareM!BH$2:BH$78)-IMshareM!BH$60&gt;0,IMshareM!BH17/(SUM(IMshareM!BH$2:BH$78)-IMshareM!BH$60),0))</f>
        <v>7.8524680168012667E-6</v>
      </c>
      <c r="BI17" s="8">
        <f>IF($A17=BI$1,0,IF(SUM(IMshareM!BI$2:BI$78)-IMshareM!BI$61&gt;0,IMshareM!BI17/(SUM(IMshareM!BI$2:BI$78)-IMshareM!BI$61),0))</f>
        <v>0</v>
      </c>
      <c r="BJ17" s="8">
        <f>IF($A17=BJ$1,0,IF(SUM(IMshareM!BJ$2:BJ$78)-IMshareM!BJ$62&gt;0,IMshareM!BJ17/(SUM(IMshareM!BJ$2:BJ$78)-IMshareM!BJ$62),0))</f>
        <v>0</v>
      </c>
      <c r="BK17" s="8">
        <f>IF($A17=BK$1,0,IF(SUM(IMshareM!BK$2:BK$78)-IMshareM!BK$63&gt;0,IMshareM!BK17/(SUM(IMshareM!BK$2:BK$78)-IMshareM!BK$63),0))</f>
        <v>0</v>
      </c>
      <c r="BL17" s="8">
        <f>IF($A17=BL$1,0,IF(SUM(IMshareM!BL$2:BL$78)-IMshareM!BL$64&gt;0,IMshareM!BL17/(SUM(IMshareM!BL$2:BL$78)-IMshareM!BL$64),0))</f>
        <v>0</v>
      </c>
      <c r="BM17" s="8">
        <f>IF($A17=BM$1,0,IF(SUM(IMshareM!BM$2:BM$78)-IMshareM!BM$65&gt;0,IMshareM!BM17/(SUM(IMshareM!BM$2:BM$78)-IMshareM!BM$65),0))</f>
        <v>0</v>
      </c>
      <c r="BN17" s="8">
        <f>IF($A17=BN$1,0,IF(SUM(IMshareM!BN$2:BN$78)-IMshareM!BN$66&gt;0,IMshareM!BN17/(SUM(IMshareM!BN$2:BN$78)-IMshareM!BN$66),0))</f>
        <v>0</v>
      </c>
      <c r="BO17" s="8">
        <f>IF($A17=BO$1,0,IF(SUM(IMshareM!BO$2:BO$78)-IMshareM!BO$67&gt;0,IMshareM!BO17/(SUM(IMshareM!BO$2:BO$78)-IMshareM!BO$67),0))</f>
        <v>0</v>
      </c>
      <c r="BP17" s="8">
        <f>IF($A17=BP$1,0,IF(SUM(IMshareM!BP$2:BP$78)-IMshareM!BP$68&gt;0,IMshareM!BP17/(SUM(IMshareM!BP$2:BP$78)-IMshareM!BP$68),0))</f>
        <v>0</v>
      </c>
      <c r="BQ17" s="8">
        <f>IF($A17=BQ$1,0,IF(SUM(IMshareM!BQ$2:BQ$78)-IMshareM!BQ$69&gt;0,IMshareM!BQ17/(SUM(IMshareM!BQ$2:BQ$78)-IMshareM!BQ$69),0))</f>
        <v>8.3107903971892425E-7</v>
      </c>
      <c r="BR17" s="8">
        <f>IF($A17=BR$1,0,IF(SUM(IMshareM!BR$2:BR$78)-IMshareM!BR$70&gt;0,IMshareM!BR17/(SUM(IMshareM!BR$2:BR$78)-IMshareM!BR$70),0))</f>
        <v>0</v>
      </c>
      <c r="BS17" s="8">
        <f>IF($A17=BS$1,0,IF(SUM(IMshareM!BS$2:BS$78)-IMshareM!BS$71&gt;0,IMshareM!BS17/(SUM(IMshareM!BS$2:BS$78)-IMshareM!BS$71),0))</f>
        <v>0</v>
      </c>
      <c r="BT17" s="8">
        <f>IF($A17=BT$1,0,IF(SUM(IMshareM!BT$2:BT$78)-IMshareM!BT$72&gt;0,IMshareM!BT17/(SUM(IMshareM!BT$2:BT$78)-IMshareM!BT$72),0))</f>
        <v>8.3199824988048295E-7</v>
      </c>
      <c r="BU17" s="8">
        <f>IF($A17=BU$1,0,IF(SUM(IMshareM!BU$2:BU$78)-IMshareM!BU$73&gt;0,IMshareM!BU17/(SUM(IMshareM!BU$2:BU$78)-IMshareM!BU$73),0))</f>
        <v>0</v>
      </c>
      <c r="BV17" s="8">
        <f>IF($A17=BV$1,0,IF(SUM(IMshareM!BV$2:BV$78)-IMshareM!BV$74&gt;0,IMshareM!BV17/(SUM(IMshareM!BV$2:BV$78)-IMshareM!BV$74),0))</f>
        <v>0</v>
      </c>
      <c r="BW17" s="8">
        <f>IF($A17=BW$1,0,IF(SUM(IMshareM!BW$2:BW$78)-IMshareM!BW$75&gt;0,IMshareM!BW17/(SUM(IMshareM!BW$2:BW$78)-IMshareM!BW$75),0))</f>
        <v>6.1284929236225704E-5</v>
      </c>
      <c r="BX17" s="8">
        <f>IF($A17=BX$1,0,IF(SUM(IMshareM!BX$2:BX$78)-IMshareM!BX$76&gt;0,IMshareM!BX17/(SUM(IMshareM!BX$2:BX$78)-IMshareM!BX$76),0))</f>
        <v>0</v>
      </c>
      <c r="BY17" s="8">
        <f>IF($A17=BY$1,0,IF(SUM(IMshareM!BY$2:BY$78)-IMshareM!BY$77&gt;0,IMshareM!BY17/(SUM(IMshareM!BY$2:BY$78)-IMshareM!BY$77),0))</f>
        <v>6.648697159686205E-8</v>
      </c>
      <c r="BZ17" s="8">
        <f>IF($A17=BZ$1,0,IF(SUM(IMshareM!BZ$2:BZ$78)-IMshareM!BZ$78&gt;0,IMshareM!BZ17/(SUM(IMshareM!BZ$2:BZ$78)-IMshareM!BZ$78),0))</f>
        <v>1.8418479995662344E-3</v>
      </c>
    </row>
    <row r="18" spans="1:78">
      <c r="A18" s="4" t="s">
        <v>103</v>
      </c>
      <c r="B18" s="8">
        <f>IF($A18=B$1,0,IF(SUM(IMshareM!B$2:B$78)-IMshareM!B$2&gt;0,IMshareM!B18/(SUM(IMshareM!B$2:B$78)-IMshareM!B$2),0))</f>
        <v>5.0809320813350589E-6</v>
      </c>
      <c r="C18" s="8">
        <f>IF($A18=C$1,0,IF(SUM(IMshareM!C$2:C$78)-IMshareM!C$3&gt;0,IMshareM!C18/(SUM(IMshareM!C$2:C$78)-IMshareM!C$3),0))</f>
        <v>0</v>
      </c>
      <c r="D18" s="8">
        <f>IF($A18=D$1,0,IF(SUM(IMshareM!D$2:D$78)-IMshareM!D$4&gt;0,IMshareM!D18/(SUM(IMshareM!D$2:D$78)-IMshareM!D$4),0))</f>
        <v>2.4004423143668113E-6</v>
      </c>
      <c r="E18" s="8">
        <f>IF($A18=E$1,0,IF(SUM(IMshareM!E$2:E$78)-IMshareM!E$5&gt;0,IMshareM!E18/(SUM(IMshareM!E$2:E$78)-IMshareM!E$5),0))</f>
        <v>3.6463055855598494E-6</v>
      </c>
      <c r="F18" s="8">
        <f>IF($A18=F$1,0,IF(SUM(IMshareM!F$2:F$78)-IMshareM!F$6&gt;0,IMshareM!F18/(SUM(IMshareM!F$2:F$78)-IMshareM!F$6),0))</f>
        <v>0</v>
      </c>
      <c r="G18" s="8">
        <f>IF($A18=G$1,0,IF(SUM(IMshareM!G$2:G$78)-IMshareM!G$7&gt;0,IMshareM!G18/(SUM(IMshareM!G$2:G$78)-IMshareM!G$7),0))</f>
        <v>0</v>
      </c>
      <c r="H18" s="8">
        <f>IF($A18=H$1,0,IF(SUM(IMshareM!H$2:H$78)-IMshareM!H$8&gt;0,IMshareM!H18/(SUM(IMshareM!H$2:H$78)-IMshareM!H$8),0))</f>
        <v>0</v>
      </c>
      <c r="I18" s="8">
        <f>IF($A18=I$1,0,IF(SUM(IMshareM!I$2:I$78)-IMshareM!I$9&gt;0,IMshareM!I18/(SUM(IMshareM!I$2:I$78)-IMshareM!I$9),0))</f>
        <v>1.08058896109634E-6</v>
      </c>
      <c r="J18" s="8">
        <f>IF($A18=J$1,0,IF(SUM(IMshareM!J$2:J$78)-IMshareM!J$10&gt;0,IMshareM!J18/(SUM(IMshareM!J$2:J$78)-IMshareM!J$10),0))</f>
        <v>0</v>
      </c>
      <c r="K18" s="8">
        <f>IF($A18=K$1,0,IF(SUM(IMshareM!K$2:K$78)-IMshareM!K$11&gt;0,IMshareM!K18/(SUM(IMshareM!K$2:K$78)-IMshareM!K$11),0))</f>
        <v>2.7471647446280268E-6</v>
      </c>
      <c r="L18" s="8">
        <f>IF($A18=L$1,0,IF(SUM(IMshareM!L$2:L$78)-IMshareM!L$12&gt;0,IMshareM!L18/(SUM(IMshareM!L$2:L$78)-IMshareM!L$12),0))</f>
        <v>0</v>
      </c>
      <c r="M18" s="8">
        <f>IF($A18=M$1,0,IF(SUM(IMshareM!M$2:M$78)-IMshareM!M$13&gt;0,IMshareM!M18/(SUM(IMshareM!M$2:M$78)-IMshareM!M$13),0))</f>
        <v>7.4605321054476578E-5</v>
      </c>
      <c r="N18" s="8">
        <f>IF($A18=N$1,0,IF(SUM(IMshareM!N$2:N$78)-IMshareM!N$14&gt;0,IMshareM!N18/(SUM(IMshareM!N$2:N$78)-IMshareM!N$14),0))</f>
        <v>1.051182148504549E-5</v>
      </c>
      <c r="O18" s="8">
        <f>IF($A18=O$1,0,IF(SUM(IMshareM!O$2:O$78)-IMshareM!O$15&gt;0,IMshareM!O18/(SUM(IMshareM!O$2:O$78)-IMshareM!O$15),0))</f>
        <v>0</v>
      </c>
      <c r="P18" s="8">
        <f>IF($A18=P$1,0,IF(SUM(IMshareM!P$2:P$78)-IMshareM!P$16&gt;0,IMshareM!P18/(SUM(IMshareM!P$2:P$78)-IMshareM!P$16),0))</f>
        <v>0</v>
      </c>
      <c r="Q18" s="8">
        <f>IF($A18=Q$1,0,IF(SUM(IMshareM!Q$2:Q$78)-IMshareM!Q$17&gt;0,IMshareM!Q18/(SUM(IMshareM!Q$2:Q$78)-IMshareM!Q$17),0))</f>
        <v>3.032036188188266E-5</v>
      </c>
      <c r="R18" s="8">
        <f>IF($A18=R$1,0,IF(SUM(IMshareM!R$2:R$78)-IMshareM!R$18&gt;0,IMshareM!R18/(SUM(IMshareM!R$2:R$78)-IMshareM!R$18),0))</f>
        <v>0</v>
      </c>
      <c r="S18" s="8">
        <f>IF($A18=S$1,0,IF(SUM(IMshareM!S$2:S$78)-IMshareM!S$19&gt;0,IMshareM!S18/(SUM(IMshareM!S$2:S$78)-IMshareM!S$19),0))</f>
        <v>0</v>
      </c>
      <c r="T18" s="8">
        <f>IF($A18=T$1,0,IF(SUM(IMshareM!T$2:T$78)-IMshareM!T$20&gt;0,IMshareM!T18/(SUM(IMshareM!T$2:T$78)-IMshareM!T$20),0))</f>
        <v>0</v>
      </c>
      <c r="U18" s="8">
        <f>IF($A18=U$1,0,IF(SUM(IMshareM!U$2:U$78)-IMshareM!U$21&gt;0,IMshareM!U18/(SUM(IMshareM!U$2:U$78)-IMshareM!U$21),0))</f>
        <v>9.7303995593846893E-5</v>
      </c>
      <c r="V18" s="8">
        <f>IF($A18=V$1,0,IF(SUM(IMshareM!V$2:V$78)-IMshareM!V$22&gt;0,IMshareM!V18/(SUM(IMshareM!V$2:V$78)-IMshareM!V$22),0))</f>
        <v>7.4044092582361698E-7</v>
      </c>
      <c r="W18" s="8">
        <f>IF($A18=W$1,0,IF(SUM(IMshareM!W$2:W$78)-IMshareM!W$23&gt;0,IMshareM!W18/(SUM(IMshareM!W$2:W$78)-IMshareM!W$23),0))</f>
        <v>0</v>
      </c>
      <c r="X18" s="8">
        <f>IF($A18=X$1,0,IF(SUM(IMshareM!X$2:X$78)-IMshareM!X$24&gt;0,IMshareM!X18/(SUM(IMshareM!X$2:X$78)-IMshareM!X$24),0))</f>
        <v>1.3617756009284284E-5</v>
      </c>
      <c r="Y18" s="8">
        <f>IF($A18=Y$1,0,IF(SUM(IMshareM!Y$2:Y$78)-IMshareM!Y$25&gt;0,IMshareM!Y18/(SUM(IMshareM!Y$2:Y$78)-IMshareM!Y$25),0))</f>
        <v>0</v>
      </c>
      <c r="Z18" s="8">
        <f>IF($A18=Z$1,0,IF(SUM(IMshareM!Z$2:Z$78)-IMshareM!Z$26&gt;0,IMshareM!Z18/(SUM(IMshareM!Z$2:Z$78)-IMshareM!Z$26),0))</f>
        <v>2.7177391089967797E-6</v>
      </c>
      <c r="AA18" s="8">
        <f>IF($A18=AA$1,0,IF(SUM(IMshareM!AA$2:AA$78)-IMshareM!AA$27&gt;0,IMshareM!AA18/(SUM(IMshareM!AA$2:AA$78)-IMshareM!AA$27),0))</f>
        <v>0</v>
      </c>
      <c r="AB18" s="8">
        <f>IF($A18=AB$1,0,IF(SUM(IMshareM!AB$2:AB$78)-IMshareM!AB$28&gt;0,IMshareM!AB18/(SUM(IMshareM!AB$2:AB$78)-IMshareM!AB$28),0))</f>
        <v>4.6779871500771106E-6</v>
      </c>
      <c r="AC18" s="8">
        <f>IF($A18=AC$1,0,IF(SUM(IMshareM!AC$2:AC$78)-IMshareM!AC$29&gt;0,IMshareM!AC18/(SUM(IMshareM!AC$2:AC$78)-IMshareM!AC$29),0))</f>
        <v>0</v>
      </c>
      <c r="AD18" s="8">
        <f>IF($A18=AD$1,0,IF(SUM(IMshareM!AD$2:AD$78)-IMshareM!AD$30&gt;0,IMshareM!AD18/(SUM(IMshareM!AD$2:AD$78)-IMshareM!AD$30),0))</f>
        <v>2.0868049780286279E-7</v>
      </c>
      <c r="AE18" s="8">
        <f>IF($A18=AE$1,0,IF(SUM(IMshareM!AE$2:AE$78)-IMshareM!AE$31&gt;0,IMshareM!AE18/(SUM(IMshareM!AE$2:AE$78)-IMshareM!AE$31),0))</f>
        <v>0</v>
      </c>
      <c r="AF18" s="8">
        <f>IF($A18=AF$1,0,IF(SUM(IMshareM!AF$2:AF$78)-IMshareM!AF$32&gt;0,IMshareM!AF18/(SUM(IMshareM!AF$2:AF$78)-IMshareM!AF$32),0))</f>
        <v>0</v>
      </c>
      <c r="AG18" s="8">
        <f>IF($A18=AG$1,0,IF(SUM(IMshareM!AG$2:AG$78)-IMshareM!AG$33&gt;0,IMshareM!AG18/(SUM(IMshareM!AG$2:AG$78)-IMshareM!AG$33),0))</f>
        <v>0</v>
      </c>
      <c r="AH18" s="8">
        <f>IF($A18=AH$1,0,IF(SUM(IMshareM!AH$2:AH$78)-IMshareM!AH$34&gt;0,IMshareM!AH18/(SUM(IMshareM!AH$2:AH$78)-IMshareM!AH$34),0))</f>
        <v>1.9010681996200623E-6</v>
      </c>
      <c r="AI18" s="8">
        <f>IF($A18=AI$1,0,IF(SUM(IMshareM!AI$2:AI$78)-IMshareM!AI$35&gt;0,IMshareM!AI18/(SUM(IMshareM!AI$2:AI$78)-IMshareM!AI$35),0))</f>
        <v>0</v>
      </c>
      <c r="AJ18" s="8">
        <f>IF($A18=AJ$1,0,IF(SUM(IMshareM!AJ$2:AJ$78)-IMshareM!AJ$36&gt;0,IMshareM!AJ18/(SUM(IMshareM!AJ$2:AJ$78)-IMshareM!AJ$36),0))</f>
        <v>0</v>
      </c>
      <c r="AK18" s="8">
        <f>IF($A18=AK$1,0,IF(SUM(IMshareM!AK$2:AK$78)-IMshareM!AK$37&gt;0,IMshareM!AK18/(SUM(IMshareM!AK$2:AK$78)-IMshareM!AK$37),0))</f>
        <v>4.214288830337496E-6</v>
      </c>
      <c r="AL18" s="8">
        <f>IF($A18=AL$1,0,IF(SUM(IMshareM!AL$2:AL$78)-IMshareM!AL$38&gt;0,IMshareM!AL18/(SUM(IMshareM!AL$2:AL$78)-IMshareM!AL$38),0))</f>
        <v>2.3282961650435144E-6</v>
      </c>
      <c r="AM18" s="8">
        <f>IF($A18=AM$1,0,IF(SUM(IMshareM!AM$2:AM$78)-IMshareM!AM$39&gt;0,IMshareM!AM18/(SUM(IMshareM!AM$2:AM$78)-IMshareM!AM$39),0))</f>
        <v>0</v>
      </c>
      <c r="AN18" s="8">
        <f>IF($A18=AN$1,0,IF(SUM(IMshareM!AN$2:AN$78)-IMshareM!AN$40&gt;0,IMshareM!AN18/(SUM(IMshareM!AN$2:AN$78)-IMshareM!AN$40),0))</f>
        <v>0</v>
      </c>
      <c r="AO18" s="8">
        <f>IF($A18=AO$1,0,IF(SUM(IMshareM!AO$2:AO$78)-IMshareM!AO$41&gt;0,IMshareM!AO18/(SUM(IMshareM!AO$2:AO$78)-IMshareM!AO$41),0))</f>
        <v>0</v>
      </c>
      <c r="AP18" s="8">
        <f>IF($A18=AP$1,0,IF(SUM(IMshareM!AP$2:AP$78)-IMshareM!AP$42&gt;0,IMshareM!AP18/(SUM(IMshareM!AP$2:AP$78)-IMshareM!AP$42),0))</f>
        <v>0</v>
      </c>
      <c r="AQ18" s="8">
        <f>IF($A18=AQ$1,0,IF(SUM(IMshareM!AQ$2:AQ$78)-IMshareM!AQ$43&gt;0,IMshareM!AQ18/(SUM(IMshareM!AQ$2:AQ$78)-IMshareM!AQ$43),0))</f>
        <v>0</v>
      </c>
      <c r="AR18" s="8">
        <f>IF($A18=AR$1,0,IF(SUM(IMshareM!AR$2:AR$78)-IMshareM!AR$44&gt;0,IMshareM!AR18/(SUM(IMshareM!AR$2:AR$78)-IMshareM!AR$44),0))</f>
        <v>0</v>
      </c>
      <c r="AS18" s="8">
        <f>IF($A18=AS$1,0,IF(SUM(IMshareM!AS$2:AS$78)-IMshareM!AS$45&gt;0,IMshareM!AS18/(SUM(IMshareM!AS$2:AS$78)-IMshareM!AS$45),0))</f>
        <v>0</v>
      </c>
      <c r="AT18" s="8">
        <f>IF($A18=AT$1,0,IF(SUM(IMshareM!AT$2:AT$78)-IMshareM!AT$46&gt;0,IMshareM!AT18/(SUM(IMshareM!AT$2:AT$78)-IMshareM!AT$46),0))</f>
        <v>0</v>
      </c>
      <c r="AU18" s="8">
        <f>IF($A18=AU$1,0,IF(SUM(IMshareM!AU$2:AU$78)-IMshareM!AU$47&gt;0,IMshareM!AU18/(SUM(IMshareM!AU$2:AU$78)-IMshareM!AU$47),0))</f>
        <v>5.7023472792632863E-5</v>
      </c>
      <c r="AV18" s="8">
        <f>IF($A18=AV$1,0,IF(SUM(IMshareM!AV$2:AV$78)-IMshareM!AV$48&gt;0,IMshareM!AV18/(SUM(IMshareM!AV$2:AV$78)-IMshareM!AV$48),0))</f>
        <v>0</v>
      </c>
      <c r="AW18" s="8">
        <f>IF($A18=AW$1,0,IF(SUM(IMshareM!AW$2:AW$78)-IMshareM!AW$49&gt;0,IMshareM!AW18/(SUM(IMshareM!AW$2:AW$78)-IMshareM!AW$49),0))</f>
        <v>8.0644483445672718E-7</v>
      </c>
      <c r="AX18" s="8">
        <f>IF($A18=AX$1,0,IF(SUM(IMshareM!AX$2:AX$78)-IMshareM!AX$50&gt;0,IMshareM!AX18/(SUM(IMshareM!AX$2:AX$78)-IMshareM!AX$50),0))</f>
        <v>0</v>
      </c>
      <c r="AY18" s="8">
        <f>IF($A18=AY$1,0,IF(SUM(IMshareM!AY$2:AY$78)-IMshareM!AY$51&gt;0,IMshareM!AY18/(SUM(IMshareM!AY$2:AY$78)-IMshareM!AY$51),0))</f>
        <v>0</v>
      </c>
      <c r="AZ18" s="8">
        <f>IF($A18=AZ$1,0,IF(SUM(IMshareM!AZ$2:AZ$78)-IMshareM!AZ$52&gt;0,IMshareM!AZ18/(SUM(IMshareM!AZ$2:AZ$78)-IMshareM!AZ$52),0))</f>
        <v>0</v>
      </c>
      <c r="BA18" s="8">
        <f>IF($A18=BA$1,0,IF(SUM(IMshareM!BA$2:BA$78)-IMshareM!BA$53&gt;0,IMshareM!BA18/(SUM(IMshareM!BA$2:BA$78)-IMshareM!BA$53),0))</f>
        <v>0</v>
      </c>
      <c r="BB18" s="8">
        <f>IF($A18=BB$1,0,IF(SUM(IMshareM!BB$2:BB$78)-IMshareM!BB$54&gt;0,IMshareM!BB18/(SUM(IMshareM!BB$2:BB$78)-IMshareM!BB$54),0))</f>
        <v>1.7163076015678961E-6</v>
      </c>
      <c r="BC18" s="8">
        <f>IF($A18=BC$1,0,IF(SUM(IMshareM!BC$2:BC$78)-IMshareM!BC$55&gt;0,IMshareM!BC18/(SUM(IMshareM!BC$2:BC$78)-IMshareM!BC$55),0))</f>
        <v>3.8986566674601338E-6</v>
      </c>
      <c r="BD18" s="8">
        <f>IF($A18=BD$1,0,IF(SUM(IMshareM!BD$2:BD$78)-IMshareM!BD$56&gt;0,IMshareM!BD18/(SUM(IMshareM!BD$2:BD$78)-IMshareM!BD$56),0))</f>
        <v>0</v>
      </c>
      <c r="BE18" s="8">
        <f>IF($A18=BE$1,0,IF(SUM(IMshareM!BE$2:BE$78)-IMshareM!BE$57&gt;0,IMshareM!BE18/(SUM(IMshareM!BE$2:BE$78)-IMshareM!BE$57),0))</f>
        <v>0</v>
      </c>
      <c r="BF18" s="8">
        <f>IF($A18=BF$1,0,IF(SUM(IMshareM!BF$2:BF$78)-IMshareM!BF$58&gt;0,IMshareM!BF18/(SUM(IMshareM!BF$2:BF$78)-IMshareM!BF$58),0))</f>
        <v>8.0380817904153269E-6</v>
      </c>
      <c r="BG18" s="8">
        <f>IF($A18=BG$1,0,IF(SUM(IMshareM!BG$2:BG$78)-IMshareM!BG$59&gt;0,IMshareM!BG18/(SUM(IMshareM!BG$2:BG$78)-IMshareM!BG$59),0))</f>
        <v>0</v>
      </c>
      <c r="BH18" s="8">
        <f>IF($A18=BH$1,0,IF(SUM(IMshareM!BH$2:BH$78)-IMshareM!BH$60&gt;0,IMshareM!BH18/(SUM(IMshareM!BH$2:BH$78)-IMshareM!BH$60),0))</f>
        <v>0</v>
      </c>
      <c r="BI18" s="8">
        <f>IF($A18=BI$1,0,IF(SUM(IMshareM!BI$2:BI$78)-IMshareM!BI$61&gt;0,IMshareM!BI18/(SUM(IMshareM!BI$2:BI$78)-IMshareM!BI$61),0))</f>
        <v>0</v>
      </c>
      <c r="BJ18" s="8">
        <f>IF($A18=BJ$1,0,IF(SUM(IMshareM!BJ$2:BJ$78)-IMshareM!BJ$62&gt;0,IMshareM!BJ18/(SUM(IMshareM!BJ$2:BJ$78)-IMshareM!BJ$62),0))</f>
        <v>0</v>
      </c>
      <c r="BK18" s="8">
        <f>IF($A18=BK$1,0,IF(SUM(IMshareM!BK$2:BK$78)-IMshareM!BK$63&gt;0,IMshareM!BK18/(SUM(IMshareM!BK$2:BK$78)-IMshareM!BK$63),0))</f>
        <v>0</v>
      </c>
      <c r="BL18" s="8">
        <f>IF($A18=BL$1,0,IF(SUM(IMshareM!BL$2:BL$78)-IMshareM!BL$64&gt;0,IMshareM!BL18/(SUM(IMshareM!BL$2:BL$78)-IMshareM!BL$64),0))</f>
        <v>0</v>
      </c>
      <c r="BM18" s="8">
        <f>IF($A18=BM$1,0,IF(SUM(IMshareM!BM$2:BM$78)-IMshareM!BM$65&gt;0,IMshareM!BM18/(SUM(IMshareM!BM$2:BM$78)-IMshareM!BM$65),0))</f>
        <v>0</v>
      </c>
      <c r="BN18" s="8">
        <f>IF($A18=BN$1,0,IF(SUM(IMshareM!BN$2:BN$78)-IMshareM!BN$66&gt;0,IMshareM!BN18/(SUM(IMshareM!BN$2:BN$78)-IMshareM!BN$66),0))</f>
        <v>5.1935392433227207E-5</v>
      </c>
      <c r="BO18" s="8">
        <f>IF($A18=BO$1,0,IF(SUM(IMshareM!BO$2:BO$78)-IMshareM!BO$67&gt;0,IMshareM!BO18/(SUM(IMshareM!BO$2:BO$78)-IMshareM!BO$67),0))</f>
        <v>1.8934988414067324E-5</v>
      </c>
      <c r="BP18" s="8">
        <f>IF($A18=BP$1,0,IF(SUM(IMshareM!BP$2:BP$78)-IMshareM!BP$68&gt;0,IMshareM!BP18/(SUM(IMshareM!BP$2:BP$78)-IMshareM!BP$68),0))</f>
        <v>0</v>
      </c>
      <c r="BQ18" s="8">
        <f>IF($A18=BQ$1,0,IF(SUM(IMshareM!BQ$2:BQ$78)-IMshareM!BQ$69&gt;0,IMshareM!BQ18/(SUM(IMshareM!BQ$2:BQ$78)-IMshareM!BQ$69),0))</f>
        <v>0</v>
      </c>
      <c r="BR18" s="8">
        <f>IF($A18=BR$1,0,IF(SUM(IMshareM!BR$2:BR$78)-IMshareM!BR$70&gt;0,IMshareM!BR18/(SUM(IMshareM!BR$2:BR$78)-IMshareM!BR$70),0))</f>
        <v>9.9722934502262107E-7</v>
      </c>
      <c r="BS18" s="8">
        <f>IF($A18=BS$1,0,IF(SUM(IMshareM!BS$2:BS$78)-IMshareM!BS$71&gt;0,IMshareM!BS18/(SUM(IMshareM!BS$2:BS$78)-IMshareM!BS$71),0))</f>
        <v>0</v>
      </c>
      <c r="BT18" s="8">
        <f>IF($A18=BT$1,0,IF(SUM(IMshareM!BT$2:BT$78)-IMshareM!BT$72&gt;0,IMshareM!BT18/(SUM(IMshareM!BT$2:BT$78)-IMshareM!BT$72),0))</f>
        <v>3.3595143689092292E-7</v>
      </c>
      <c r="BU18" s="8">
        <f>IF($A18=BU$1,0,IF(SUM(IMshareM!BU$2:BU$78)-IMshareM!BU$73&gt;0,IMshareM!BU18/(SUM(IMshareM!BU$2:BU$78)-IMshareM!BU$73),0))</f>
        <v>0</v>
      </c>
      <c r="BV18" s="8">
        <f>IF($A18=BV$1,0,IF(SUM(IMshareM!BV$2:BV$78)-IMshareM!BV$74&gt;0,IMshareM!BV18/(SUM(IMshareM!BV$2:BV$78)-IMshareM!BV$74),0))</f>
        <v>0</v>
      </c>
      <c r="BW18" s="8">
        <f>IF($A18=BW$1,0,IF(SUM(IMshareM!BW$2:BW$78)-IMshareM!BW$75&gt;0,IMshareM!BW18/(SUM(IMshareM!BW$2:BW$78)-IMshareM!BW$75),0))</f>
        <v>3.5561247766924769E-4</v>
      </c>
      <c r="BX18" s="8">
        <f>IF($A18=BX$1,0,IF(SUM(IMshareM!BX$2:BX$78)-IMshareM!BX$76&gt;0,IMshareM!BX18/(SUM(IMshareM!BX$2:BX$78)-IMshareM!BX$76),0))</f>
        <v>4.6997601571083995E-6</v>
      </c>
      <c r="BY18" s="8">
        <f>IF($A18=BY$1,0,IF(SUM(IMshareM!BY$2:BY$78)-IMshareM!BY$77&gt;0,IMshareM!BY18/(SUM(IMshareM!BY$2:BY$78)-IMshareM!BY$77),0))</f>
        <v>0</v>
      </c>
      <c r="BZ18" s="8">
        <f>IF($A18=BZ$1,0,IF(SUM(IMshareM!BZ$2:BZ$78)-IMshareM!BZ$78&gt;0,IMshareM!BZ18/(SUM(IMshareM!BZ$2:BZ$78)-IMshareM!BZ$78),0))</f>
        <v>2.2175148631356985E-5</v>
      </c>
    </row>
    <row r="19" spans="1:78">
      <c r="A19" s="4" t="s">
        <v>105</v>
      </c>
      <c r="B19" s="8">
        <f>IF($A19=B$1,0,IF(SUM(IMshareM!B$2:B$78)-IMshareM!B$2&gt;0,IMshareM!B19/(SUM(IMshareM!B$2:B$78)-IMshareM!B$2),0))</f>
        <v>0</v>
      </c>
      <c r="C19" s="8">
        <f>IF($A19=C$1,0,IF(SUM(IMshareM!C$2:C$78)-IMshareM!C$3&gt;0,IMshareM!C19/(SUM(IMshareM!C$2:C$78)-IMshareM!C$3),0))</f>
        <v>1.9764310765996479E-5</v>
      </c>
      <c r="D19" s="8">
        <f>IF($A19=D$1,0,IF(SUM(IMshareM!D$2:D$78)-IMshareM!D$4&gt;0,IMshareM!D19/(SUM(IMshareM!D$2:D$78)-IMshareM!D$4),0))</f>
        <v>4.8443576484188405E-7</v>
      </c>
      <c r="E19" s="8">
        <f>IF($A19=E$1,0,IF(SUM(IMshareM!E$2:E$78)-IMshareM!E$5&gt;0,IMshareM!E19/(SUM(IMshareM!E$2:E$78)-IMshareM!E$5),0))</f>
        <v>0</v>
      </c>
      <c r="F19" s="8">
        <f>IF($A19=F$1,0,IF(SUM(IMshareM!F$2:F$78)-IMshareM!F$6&gt;0,IMshareM!F19/(SUM(IMshareM!F$2:F$78)-IMshareM!F$6),0))</f>
        <v>0</v>
      </c>
      <c r="G19" s="8">
        <f>IF($A19=G$1,0,IF(SUM(IMshareM!G$2:G$78)-IMshareM!G$7&gt;0,IMshareM!G19/(SUM(IMshareM!G$2:G$78)-IMshareM!G$7),0))</f>
        <v>0</v>
      </c>
      <c r="H19" s="8">
        <f>IF($A19=H$1,0,IF(SUM(IMshareM!H$2:H$78)-IMshareM!H$8&gt;0,IMshareM!H19/(SUM(IMshareM!H$2:H$78)-IMshareM!H$8),0))</f>
        <v>0</v>
      </c>
      <c r="I19" s="8">
        <f>IF($A19=I$1,0,IF(SUM(IMshareM!I$2:I$78)-IMshareM!I$9&gt;0,IMshareM!I19/(SUM(IMshareM!I$2:I$78)-IMshareM!I$9),0))</f>
        <v>0</v>
      </c>
      <c r="J19" s="8">
        <f>IF($A19=J$1,0,IF(SUM(IMshareM!J$2:J$78)-IMshareM!J$10&gt;0,IMshareM!J19/(SUM(IMshareM!J$2:J$78)-IMshareM!J$10),0))</f>
        <v>0</v>
      </c>
      <c r="K19" s="8">
        <f>IF($A19=K$1,0,IF(SUM(IMshareM!K$2:K$78)-IMshareM!K$11&gt;0,IMshareM!K19/(SUM(IMshareM!K$2:K$78)-IMshareM!K$11),0))</f>
        <v>5.8310130145662057E-6</v>
      </c>
      <c r="L19" s="8">
        <f>IF($A19=L$1,0,IF(SUM(IMshareM!L$2:L$78)-IMshareM!L$12&gt;0,IMshareM!L19/(SUM(IMshareM!L$2:L$78)-IMshareM!L$12),0))</f>
        <v>8.4973287972063467E-6</v>
      </c>
      <c r="M19" s="8">
        <f>IF($A19=M$1,0,IF(SUM(IMshareM!M$2:M$78)-IMshareM!M$13&gt;0,IMshareM!M19/(SUM(IMshareM!M$2:M$78)-IMshareM!M$13),0))</f>
        <v>1.2929900183558657E-4</v>
      </c>
      <c r="N19" s="8">
        <f>IF($A19=N$1,0,IF(SUM(IMshareM!N$2:N$78)-IMshareM!N$14&gt;0,IMshareM!N19/(SUM(IMshareM!N$2:N$78)-IMshareM!N$14),0))</f>
        <v>7.4853473776711615E-7</v>
      </c>
      <c r="O19" s="8">
        <f>IF($A19=O$1,0,IF(SUM(IMshareM!O$2:O$78)-IMshareM!O$15&gt;0,IMshareM!O19/(SUM(IMshareM!O$2:O$78)-IMshareM!O$15),0))</f>
        <v>0</v>
      </c>
      <c r="P19" s="8">
        <f>IF($A19=P$1,0,IF(SUM(IMshareM!P$2:P$78)-IMshareM!P$16&gt;0,IMshareM!P19/(SUM(IMshareM!P$2:P$78)-IMshareM!P$16),0))</f>
        <v>0</v>
      </c>
      <c r="Q19" s="8">
        <f>IF($A19=Q$1,0,IF(SUM(IMshareM!Q$2:Q$78)-IMshareM!Q$17&gt;0,IMshareM!Q19/(SUM(IMshareM!Q$2:Q$78)-IMshareM!Q$17),0))</f>
        <v>0</v>
      </c>
      <c r="R19" s="8">
        <f>IF($A19=R$1,0,IF(SUM(IMshareM!R$2:R$78)-IMshareM!R$18&gt;0,IMshareM!R19/(SUM(IMshareM!R$2:R$78)-IMshareM!R$18),0))</f>
        <v>0</v>
      </c>
      <c r="S19" s="8">
        <f>IF($A19=S$1,0,IF(SUM(IMshareM!S$2:S$78)-IMshareM!S$19&gt;0,IMshareM!S19/(SUM(IMshareM!S$2:S$78)-IMshareM!S$19),0))</f>
        <v>0</v>
      </c>
      <c r="T19" s="8">
        <f>IF($A19=T$1,0,IF(SUM(IMshareM!T$2:T$78)-IMshareM!T$20&gt;0,IMshareM!T19/(SUM(IMshareM!T$2:T$78)-IMshareM!T$20),0))</f>
        <v>0</v>
      </c>
      <c r="U19" s="8">
        <f>IF($A19=U$1,0,IF(SUM(IMshareM!U$2:U$78)-IMshareM!U$21&gt;0,IMshareM!U19/(SUM(IMshareM!U$2:U$78)-IMshareM!U$21),0))</f>
        <v>2.4490919632295325E-6</v>
      </c>
      <c r="V19" s="8">
        <f>IF($A19=V$1,0,IF(SUM(IMshareM!V$2:V$78)-IMshareM!V$22&gt;0,IMshareM!V19/(SUM(IMshareM!V$2:V$78)-IMshareM!V$22),0))</f>
        <v>2.6711199376566381E-6</v>
      </c>
      <c r="W19" s="8">
        <f>IF($A19=W$1,0,IF(SUM(IMshareM!W$2:W$78)-IMshareM!W$23&gt;0,IMshareM!W19/(SUM(IMshareM!W$2:W$78)-IMshareM!W$23),0))</f>
        <v>0</v>
      </c>
      <c r="X19" s="8">
        <f>IF($A19=X$1,0,IF(SUM(IMshareM!X$2:X$78)-IMshareM!X$24&gt;0,IMshareM!X19/(SUM(IMshareM!X$2:X$78)-IMshareM!X$24),0))</f>
        <v>3.853654931741464E-6</v>
      </c>
      <c r="Y19" s="8">
        <f>IF($A19=Y$1,0,IF(SUM(IMshareM!Y$2:Y$78)-IMshareM!Y$25&gt;0,IMshareM!Y19/(SUM(IMshareM!Y$2:Y$78)-IMshareM!Y$25),0))</f>
        <v>2.2188133003531743E-5</v>
      </c>
      <c r="Z19" s="8">
        <f>IF($A19=Z$1,0,IF(SUM(IMshareM!Z$2:Z$78)-IMshareM!Z$26&gt;0,IMshareM!Z19/(SUM(IMshareM!Z$2:Z$78)-IMshareM!Z$26),0))</f>
        <v>1.8309737557451166E-6</v>
      </c>
      <c r="AA19" s="8">
        <f>IF($A19=AA$1,0,IF(SUM(IMshareM!AA$2:AA$78)-IMshareM!AA$27&gt;0,IMshareM!AA19/(SUM(IMshareM!AA$2:AA$78)-IMshareM!AA$27),0))</f>
        <v>3.9897281024589476E-6</v>
      </c>
      <c r="AB19" s="8">
        <f>IF($A19=AB$1,0,IF(SUM(IMshareM!AB$2:AB$78)-IMshareM!AB$28&gt;0,IMshareM!AB19/(SUM(IMshareM!AB$2:AB$78)-IMshareM!AB$28),0))</f>
        <v>2.2412109796039053E-5</v>
      </c>
      <c r="AC19" s="8">
        <f>IF($A19=AC$1,0,IF(SUM(IMshareM!AC$2:AC$78)-IMshareM!AC$29&gt;0,IMshareM!AC19/(SUM(IMshareM!AC$2:AC$78)-IMshareM!AC$29),0))</f>
        <v>5.2866082192659365E-4</v>
      </c>
      <c r="AD19" s="8">
        <f>IF($A19=AD$1,0,IF(SUM(IMshareM!AD$2:AD$78)-IMshareM!AD$30&gt;0,IMshareM!AD19/(SUM(IMshareM!AD$2:AD$78)-IMshareM!AD$30),0))</f>
        <v>0</v>
      </c>
      <c r="AE19" s="8">
        <f>IF($A19=AE$1,0,IF(SUM(IMshareM!AE$2:AE$78)-IMshareM!AE$31&gt;0,IMshareM!AE19/(SUM(IMshareM!AE$2:AE$78)-IMshareM!AE$31),0))</f>
        <v>0</v>
      </c>
      <c r="AF19" s="8">
        <f>IF($A19=AF$1,0,IF(SUM(IMshareM!AF$2:AF$78)-IMshareM!AF$32&gt;0,IMshareM!AF19/(SUM(IMshareM!AF$2:AF$78)-IMshareM!AF$32),0))</f>
        <v>0</v>
      </c>
      <c r="AG19" s="8">
        <f>IF($A19=AG$1,0,IF(SUM(IMshareM!AG$2:AG$78)-IMshareM!AG$33&gt;0,IMshareM!AG19/(SUM(IMshareM!AG$2:AG$78)-IMshareM!AG$33),0))</f>
        <v>0</v>
      </c>
      <c r="AH19" s="8">
        <f>IF($A19=AH$1,0,IF(SUM(IMshareM!AH$2:AH$78)-IMshareM!AH$34&gt;0,IMshareM!AH19/(SUM(IMshareM!AH$2:AH$78)-IMshareM!AH$34),0))</f>
        <v>1.1200333377476914E-4</v>
      </c>
      <c r="AI19" s="8">
        <f>IF($A19=AI$1,0,IF(SUM(IMshareM!AI$2:AI$78)-IMshareM!AI$35&gt;0,IMshareM!AI19/(SUM(IMshareM!AI$2:AI$78)-IMshareM!AI$35),0))</f>
        <v>8.513538381427065E-4</v>
      </c>
      <c r="AJ19" s="8">
        <f>IF($A19=AJ$1,0,IF(SUM(IMshareM!AJ$2:AJ$78)-IMshareM!AJ$36&gt;0,IMshareM!AJ19/(SUM(IMshareM!AJ$2:AJ$78)-IMshareM!AJ$36),0))</f>
        <v>0</v>
      </c>
      <c r="AK19" s="8">
        <f>IF($A19=AK$1,0,IF(SUM(IMshareM!AK$2:AK$78)-IMshareM!AK$37&gt;0,IMshareM!AK19/(SUM(IMshareM!AK$2:AK$78)-IMshareM!AK$37),0))</f>
        <v>4.3828603835509956E-4</v>
      </c>
      <c r="AL19" s="8">
        <f>IF($A19=AL$1,0,IF(SUM(IMshareM!AL$2:AL$78)-IMshareM!AL$38&gt;0,IMshareM!AL19/(SUM(IMshareM!AL$2:AL$78)-IMshareM!AL$38),0))</f>
        <v>9.0237621826199334E-6</v>
      </c>
      <c r="AM19" s="8">
        <f>IF($A19=AM$1,0,IF(SUM(IMshareM!AM$2:AM$78)-IMshareM!AM$39&gt;0,IMshareM!AM19/(SUM(IMshareM!AM$2:AM$78)-IMshareM!AM$39),0))</f>
        <v>5.7068602765599528E-5</v>
      </c>
      <c r="AN19" s="8">
        <f>IF($A19=AN$1,0,IF(SUM(IMshareM!AN$2:AN$78)-IMshareM!AN$40&gt;0,IMshareM!AN19/(SUM(IMshareM!AN$2:AN$78)-IMshareM!AN$40),0))</f>
        <v>0</v>
      </c>
      <c r="AO19" s="8">
        <f>IF($A19=AO$1,0,IF(SUM(IMshareM!AO$2:AO$78)-IMshareM!AO$41&gt;0,IMshareM!AO19/(SUM(IMshareM!AO$2:AO$78)-IMshareM!AO$41),0))</f>
        <v>0</v>
      </c>
      <c r="AP19" s="8">
        <f>IF($A19=AP$1,0,IF(SUM(IMshareM!AP$2:AP$78)-IMshareM!AP$42&gt;0,IMshareM!AP19/(SUM(IMshareM!AP$2:AP$78)-IMshareM!AP$42),0))</f>
        <v>0</v>
      </c>
      <c r="AQ19" s="8">
        <f>IF($A19=AQ$1,0,IF(SUM(IMshareM!AQ$2:AQ$78)-IMshareM!AQ$43&gt;0,IMshareM!AQ19/(SUM(IMshareM!AQ$2:AQ$78)-IMshareM!AQ$43),0))</f>
        <v>0</v>
      </c>
      <c r="AR19" s="8">
        <f>IF($A19=AR$1,0,IF(SUM(IMshareM!AR$2:AR$78)-IMshareM!AR$44&gt;0,IMshareM!AR19/(SUM(IMshareM!AR$2:AR$78)-IMshareM!AR$44),0))</f>
        <v>0</v>
      </c>
      <c r="AS19" s="8">
        <f>IF($A19=AS$1,0,IF(SUM(IMshareM!AS$2:AS$78)-IMshareM!AS$45&gt;0,IMshareM!AS19/(SUM(IMshareM!AS$2:AS$78)-IMshareM!AS$45),0))</f>
        <v>8.6832343687196539E-5</v>
      </c>
      <c r="AT19" s="8">
        <f>IF($A19=AT$1,0,IF(SUM(IMshareM!AT$2:AT$78)-IMshareM!AT$46&gt;0,IMshareM!AT19/(SUM(IMshareM!AT$2:AT$78)-IMshareM!AT$46),0))</f>
        <v>0</v>
      </c>
      <c r="AU19" s="8">
        <f>IF($A19=AU$1,0,IF(SUM(IMshareM!AU$2:AU$78)-IMshareM!AU$47&gt;0,IMshareM!AU19/(SUM(IMshareM!AU$2:AU$78)-IMshareM!AU$47),0))</f>
        <v>0</v>
      </c>
      <c r="AV19" s="8">
        <f>IF($A19=AV$1,0,IF(SUM(IMshareM!AV$2:AV$78)-IMshareM!AV$48&gt;0,IMshareM!AV19/(SUM(IMshareM!AV$2:AV$78)-IMshareM!AV$48),0))</f>
        <v>8.7505248366340118E-7</v>
      </c>
      <c r="AW19" s="8">
        <f>IF($A19=AW$1,0,IF(SUM(IMshareM!AW$2:AW$78)-IMshareM!AW$49&gt;0,IMshareM!AW19/(SUM(IMshareM!AW$2:AW$78)-IMshareM!AW$49),0))</f>
        <v>0</v>
      </c>
      <c r="AX19" s="8">
        <f>IF($A19=AX$1,0,IF(SUM(IMshareM!AX$2:AX$78)-IMshareM!AX$50&gt;0,IMshareM!AX19/(SUM(IMshareM!AX$2:AX$78)-IMshareM!AX$50),0))</f>
        <v>1.2817367858753417E-5</v>
      </c>
      <c r="AY19" s="8">
        <f>IF($A19=AY$1,0,IF(SUM(IMshareM!AY$2:AY$78)-IMshareM!AY$51&gt;0,IMshareM!AY19/(SUM(IMshareM!AY$2:AY$78)-IMshareM!AY$51),0))</f>
        <v>0</v>
      </c>
      <c r="AZ19" s="8">
        <f>IF($A19=AZ$1,0,IF(SUM(IMshareM!AZ$2:AZ$78)-IMshareM!AZ$52&gt;0,IMshareM!AZ19/(SUM(IMshareM!AZ$2:AZ$78)-IMshareM!AZ$52),0))</f>
        <v>0</v>
      </c>
      <c r="BA19" s="8">
        <f>IF($A19=BA$1,0,IF(SUM(IMshareM!BA$2:BA$78)-IMshareM!BA$53&gt;0,IMshareM!BA19/(SUM(IMshareM!BA$2:BA$78)-IMshareM!BA$53),0))</f>
        <v>2.1436068413683372E-4</v>
      </c>
      <c r="BB19" s="8">
        <f>IF($A19=BB$1,0,IF(SUM(IMshareM!BB$2:BB$78)-IMshareM!BB$54&gt;0,IMshareM!BB19/(SUM(IMshareM!BB$2:BB$78)-IMshareM!BB$54),0))</f>
        <v>1.4762482373067983E-5</v>
      </c>
      <c r="BC19" s="8">
        <f>IF($A19=BC$1,0,IF(SUM(IMshareM!BC$2:BC$78)-IMshareM!BC$55&gt;0,IMshareM!BC19/(SUM(IMshareM!BC$2:BC$78)-IMshareM!BC$55),0))</f>
        <v>5.5727394572568131E-4</v>
      </c>
      <c r="BD19" s="8">
        <f>IF($A19=BD$1,0,IF(SUM(IMshareM!BD$2:BD$78)-IMshareM!BD$56&gt;0,IMshareM!BD19/(SUM(IMshareM!BD$2:BD$78)-IMshareM!BD$56),0))</f>
        <v>0</v>
      </c>
      <c r="BE19" s="8">
        <f>IF($A19=BE$1,0,IF(SUM(IMshareM!BE$2:BE$78)-IMshareM!BE$57&gt;0,IMshareM!BE19/(SUM(IMshareM!BE$2:BE$78)-IMshareM!BE$57),0))</f>
        <v>3.2145243030083328E-4</v>
      </c>
      <c r="BF19" s="8">
        <f>IF($A19=BF$1,0,IF(SUM(IMshareM!BF$2:BF$78)-IMshareM!BF$58&gt;0,IMshareM!BF19/(SUM(IMshareM!BF$2:BF$78)-IMshareM!BF$58),0))</f>
        <v>0</v>
      </c>
      <c r="BG19" s="8">
        <f>IF($A19=BG$1,0,IF(SUM(IMshareM!BG$2:BG$78)-IMshareM!BG$59&gt;0,IMshareM!BG19/(SUM(IMshareM!BG$2:BG$78)-IMshareM!BG$59),0))</f>
        <v>0</v>
      </c>
      <c r="BH19" s="8">
        <f>IF($A19=BH$1,0,IF(SUM(IMshareM!BH$2:BH$78)-IMshareM!BH$60&gt;0,IMshareM!BH19/(SUM(IMshareM!BH$2:BH$78)-IMshareM!BH$60),0))</f>
        <v>0</v>
      </c>
      <c r="BI19" s="8">
        <f>IF($A19=BI$1,0,IF(SUM(IMshareM!BI$2:BI$78)-IMshareM!BI$61&gt;0,IMshareM!BI19/(SUM(IMshareM!BI$2:BI$78)-IMshareM!BI$61),0))</f>
        <v>7.9656323424143086E-6</v>
      </c>
      <c r="BJ19" s="8">
        <f>IF($A19=BJ$1,0,IF(SUM(IMshareM!BJ$2:BJ$78)-IMshareM!BJ$62&gt;0,IMshareM!BJ19/(SUM(IMshareM!BJ$2:BJ$78)-IMshareM!BJ$62),0))</f>
        <v>3.4190195406202318E-6</v>
      </c>
      <c r="BK19" s="8">
        <f>IF($A19=BK$1,0,IF(SUM(IMshareM!BK$2:BK$78)-IMshareM!BK$63&gt;0,IMshareM!BK19/(SUM(IMshareM!BK$2:BK$78)-IMshareM!BK$63),0))</f>
        <v>0</v>
      </c>
      <c r="BL19" s="8">
        <f>IF($A19=BL$1,0,IF(SUM(IMshareM!BL$2:BL$78)-IMshareM!BL$64&gt;0,IMshareM!BL19/(SUM(IMshareM!BL$2:BL$78)-IMshareM!BL$64),0))</f>
        <v>0</v>
      </c>
      <c r="BM19" s="8">
        <f>IF($A19=BM$1,0,IF(SUM(IMshareM!BM$2:BM$78)-IMshareM!BM$65&gt;0,IMshareM!BM19/(SUM(IMshareM!BM$2:BM$78)-IMshareM!BM$65),0))</f>
        <v>0</v>
      </c>
      <c r="BN19" s="8">
        <f>IF($A19=BN$1,0,IF(SUM(IMshareM!BN$2:BN$78)-IMshareM!BN$66&gt;0,IMshareM!BN19/(SUM(IMshareM!BN$2:BN$78)-IMshareM!BN$66),0))</f>
        <v>6.7196442822934176E-6</v>
      </c>
      <c r="BO19" s="8">
        <f>IF($A19=BO$1,0,IF(SUM(IMshareM!BO$2:BO$78)-IMshareM!BO$67&gt;0,IMshareM!BO19/(SUM(IMshareM!BO$2:BO$78)-IMshareM!BO$67),0))</f>
        <v>0</v>
      </c>
      <c r="BP19" s="8">
        <f>IF($A19=BP$1,0,IF(SUM(IMshareM!BP$2:BP$78)-IMshareM!BP$68&gt;0,IMshareM!BP19/(SUM(IMshareM!BP$2:BP$78)-IMshareM!BP$68),0))</f>
        <v>0</v>
      </c>
      <c r="BQ19" s="8">
        <f>IF($A19=BQ$1,0,IF(SUM(IMshareM!BQ$2:BQ$78)-IMshareM!BQ$69&gt;0,IMshareM!BQ19/(SUM(IMshareM!BQ$2:BQ$78)-IMshareM!BQ$69),0))</f>
        <v>0</v>
      </c>
      <c r="BR19" s="8">
        <f>IF($A19=BR$1,0,IF(SUM(IMshareM!BR$2:BR$78)-IMshareM!BR$70&gt;0,IMshareM!BR19/(SUM(IMshareM!BR$2:BR$78)-IMshareM!BR$70),0))</f>
        <v>0</v>
      </c>
      <c r="BS19" s="8">
        <f>IF($A19=BS$1,0,IF(SUM(IMshareM!BS$2:BS$78)-IMshareM!BS$71&gt;0,IMshareM!BS19/(SUM(IMshareM!BS$2:BS$78)-IMshareM!BS$71),0))</f>
        <v>0</v>
      </c>
      <c r="BT19" s="8">
        <f>IF($A19=BT$1,0,IF(SUM(IMshareM!BT$2:BT$78)-IMshareM!BT$72&gt;0,IMshareM!BT19/(SUM(IMshareM!BT$2:BT$78)-IMshareM!BT$72),0))</f>
        <v>1.847318148039716E-6</v>
      </c>
      <c r="BU19" s="8">
        <f>IF($A19=BU$1,0,IF(SUM(IMshareM!BU$2:BU$78)-IMshareM!BU$73&gt;0,IMshareM!BU19/(SUM(IMshareM!BU$2:BU$78)-IMshareM!BU$73),0))</f>
        <v>0</v>
      </c>
      <c r="BV19" s="8">
        <f>IF($A19=BV$1,0,IF(SUM(IMshareM!BV$2:BV$78)-IMshareM!BV$74&gt;0,IMshareM!BV19/(SUM(IMshareM!BV$2:BV$78)-IMshareM!BV$74),0))</f>
        <v>0</v>
      </c>
      <c r="BW19" s="8">
        <f>IF($A19=BW$1,0,IF(SUM(IMshareM!BW$2:BW$78)-IMshareM!BW$75&gt;0,IMshareM!BW19/(SUM(IMshareM!BW$2:BW$78)-IMshareM!BW$75),0))</f>
        <v>8.7342272085520164E-7</v>
      </c>
      <c r="BX19" s="8">
        <f>IF($A19=BX$1,0,IF(SUM(IMshareM!BX$2:BX$78)-IMshareM!BX$76&gt;0,IMshareM!BX19/(SUM(IMshareM!BX$2:BX$78)-IMshareM!BX$76),0))</f>
        <v>0</v>
      </c>
      <c r="BY19" s="8">
        <f>IF($A19=BY$1,0,IF(SUM(IMshareM!BY$2:BY$78)-IMshareM!BY$77&gt;0,IMshareM!BY19/(SUM(IMshareM!BY$2:BY$78)-IMshareM!BY$77),0))</f>
        <v>0</v>
      </c>
      <c r="BZ19" s="8">
        <f>IF($A19=BZ$1,0,IF(SUM(IMshareM!BZ$2:BZ$78)-IMshareM!BZ$78&gt;0,IMshareM!BZ19/(SUM(IMshareM!BZ$2:BZ$78)-IMshareM!BZ$78),0))</f>
        <v>1.78568804405843E-5</v>
      </c>
    </row>
    <row r="20" spans="1:78">
      <c r="A20" s="4" t="s">
        <v>107</v>
      </c>
      <c r="B20" s="8">
        <f>IF($A20=B$1,0,IF(SUM(IMshareM!B$2:B$78)-IMshareM!B$2&gt;0,IMshareM!B20/(SUM(IMshareM!B$2:B$78)-IMshareM!B$2),0))</f>
        <v>1.3283621022212099E-2</v>
      </c>
      <c r="C20" s="8">
        <f>IF($A20=C$1,0,IF(SUM(IMshareM!C$2:C$78)-IMshareM!C$3&gt;0,IMshareM!C20/(SUM(IMshareM!C$2:C$78)-IMshareM!C$3),0))</f>
        <v>2.896701360622957E-2</v>
      </c>
      <c r="D20" s="8">
        <f>IF($A20=D$1,0,IF(SUM(IMshareM!D$2:D$78)-IMshareM!D$4&gt;0,IMshareM!D20/(SUM(IMshareM!D$2:D$78)-IMshareM!D$4),0))</f>
        <v>2.8348136921187293E-2</v>
      </c>
      <c r="E20" s="8">
        <f>IF($A20=E$1,0,IF(SUM(IMshareM!E$2:E$78)-IMshareM!E$5&gt;0,IMshareM!E20/(SUM(IMshareM!E$2:E$78)-IMshareM!E$5),0))</f>
        <v>4.4738965393667819E-2</v>
      </c>
      <c r="F20" s="8">
        <f>IF($A20=F$1,0,IF(SUM(IMshareM!F$2:F$78)-IMshareM!F$6&gt;0,IMshareM!F20/(SUM(IMshareM!F$2:F$78)-IMshareM!F$6),0))</f>
        <v>3.0949450031789952E-4</v>
      </c>
      <c r="G20" s="8">
        <f>IF($A20=G$1,0,IF(SUM(IMshareM!G$2:G$78)-IMshareM!G$7&gt;0,IMshareM!G20/(SUM(IMshareM!G$2:G$78)-IMshareM!G$7),0))</f>
        <v>4.0508082754795761E-3</v>
      </c>
      <c r="H20" s="8">
        <f>IF($A20=H$1,0,IF(SUM(IMshareM!H$2:H$78)-IMshareM!H$8&gt;0,IMshareM!H20/(SUM(IMshareM!H$2:H$78)-IMshareM!H$8),0))</f>
        <v>2.9913145790918607E-2</v>
      </c>
      <c r="I20" s="8">
        <f>IF($A20=I$1,0,IF(SUM(IMshareM!I$2:I$78)-IMshareM!I$9&gt;0,IMshareM!I20/(SUM(IMshareM!I$2:I$78)-IMshareM!I$9),0))</f>
        <v>8.2917459493402918E-3</v>
      </c>
      <c r="J20" s="8">
        <f>IF($A20=J$1,0,IF(SUM(IMshareM!J$2:J$78)-IMshareM!J$10&gt;0,IMshareM!J20/(SUM(IMshareM!J$2:J$78)-IMshareM!J$10),0))</f>
        <v>1.2571368134081979E-2</v>
      </c>
      <c r="K20" s="8">
        <f>IF($A20=K$1,0,IF(SUM(IMshareM!K$2:K$78)-IMshareM!K$11&gt;0,IMshareM!K20/(SUM(IMshareM!K$2:K$78)-IMshareM!K$11),0))</f>
        <v>5.4462326124483894E-3</v>
      </c>
      <c r="L20" s="8">
        <f>IF($A20=L$1,0,IF(SUM(IMshareM!L$2:L$78)-IMshareM!L$12&gt;0,IMshareM!L20/(SUM(IMshareM!L$2:L$78)-IMshareM!L$12),0))</f>
        <v>2.4861044270180328E-2</v>
      </c>
      <c r="M20" s="8">
        <f>IF($A20=M$1,0,IF(SUM(IMshareM!M$2:M$78)-IMshareM!M$13&gt;0,IMshareM!M20/(SUM(IMshareM!M$2:M$78)-IMshareM!M$13),0))</f>
        <v>5.2664212901100569E-3</v>
      </c>
      <c r="N20" s="8">
        <f>IF($A20=N$1,0,IF(SUM(IMshareM!N$2:N$78)-IMshareM!N$14&gt;0,IMshareM!N20/(SUM(IMshareM!N$2:N$78)-IMshareM!N$14),0))</f>
        <v>2.8209021204933959E-2</v>
      </c>
      <c r="O20" s="8">
        <f>IF($A20=O$1,0,IF(SUM(IMshareM!O$2:O$78)-IMshareM!O$15&gt;0,IMshareM!O20/(SUM(IMshareM!O$2:O$78)-IMshareM!O$15),0))</f>
        <v>3.3276866160106583E-2</v>
      </c>
      <c r="P20" s="8">
        <f>IF($A20=P$1,0,IF(SUM(IMshareM!P$2:P$78)-IMshareM!P$16&gt;0,IMshareM!P20/(SUM(IMshareM!P$2:P$78)-IMshareM!P$16),0))</f>
        <v>0</v>
      </c>
      <c r="Q20" s="8">
        <f>IF($A20=Q$1,0,IF(SUM(IMshareM!Q$2:Q$78)-IMshareM!Q$17&gt;0,IMshareM!Q20/(SUM(IMshareM!Q$2:Q$78)-IMshareM!Q$17),0))</f>
        <v>6.808448724423371E-3</v>
      </c>
      <c r="R20" s="8">
        <f>IF($A20=R$1,0,IF(SUM(IMshareM!R$2:R$78)-IMshareM!R$18&gt;0,IMshareM!R20/(SUM(IMshareM!R$2:R$78)-IMshareM!R$18),0))</f>
        <v>1.8687444452510544E-3</v>
      </c>
      <c r="S20" s="8">
        <f>IF($A20=S$1,0,IF(SUM(IMshareM!S$2:S$78)-IMshareM!S$19&gt;0,IMshareM!S20/(SUM(IMshareM!S$2:S$78)-IMshareM!S$19),0))</f>
        <v>9.2940894580497758E-4</v>
      </c>
      <c r="T20" s="8">
        <f>IF($A20=T$1,0,IF(SUM(IMshareM!T$2:T$78)-IMshareM!T$20&gt;0,IMshareM!T20/(SUM(IMshareM!T$2:T$78)-IMshareM!T$20),0))</f>
        <v>0</v>
      </c>
      <c r="U20" s="8">
        <f>IF($A20=U$1,0,IF(SUM(IMshareM!U$2:U$78)-IMshareM!U$21&gt;0,IMshareM!U20/(SUM(IMshareM!U$2:U$78)-IMshareM!U$21),0))</f>
        <v>5.5116601286414171E-2</v>
      </c>
      <c r="V20" s="8">
        <f>IF($A20=V$1,0,IF(SUM(IMshareM!V$2:V$78)-IMshareM!V$22&gt;0,IMshareM!V20/(SUM(IMshareM!V$2:V$78)-IMshareM!V$22),0))</f>
        <v>4.1804977709806707E-2</v>
      </c>
      <c r="W20" s="8">
        <f>IF($A20=W$1,0,IF(SUM(IMshareM!W$2:W$78)-IMshareM!W$23&gt;0,IMshareM!W20/(SUM(IMshareM!W$2:W$78)-IMshareM!W$23),0))</f>
        <v>2.934618244638704E-2</v>
      </c>
      <c r="X20" s="8">
        <f>IF($A20=X$1,0,IF(SUM(IMshareM!X$2:X$78)-IMshareM!X$24&gt;0,IMshareM!X20/(SUM(IMshareM!X$2:X$78)-IMshareM!X$24),0))</f>
        <v>2.9309404137831275E-2</v>
      </c>
      <c r="Y20" s="8">
        <f>IF($A20=Y$1,0,IF(SUM(IMshareM!Y$2:Y$78)-IMshareM!Y$25&gt;0,IMshareM!Y20/(SUM(IMshareM!Y$2:Y$78)-IMshareM!Y$25),0))</f>
        <v>9.1145582615718822E-3</v>
      </c>
      <c r="Z20" s="8">
        <f>IF($A20=Z$1,0,IF(SUM(IMshareM!Z$2:Z$78)-IMshareM!Z$26&gt;0,IMshareM!Z20/(SUM(IMshareM!Z$2:Z$78)-IMshareM!Z$26),0))</f>
        <v>2.6010932795710984E-2</v>
      </c>
      <c r="AA20" s="8">
        <f>IF($A20=AA$1,0,IF(SUM(IMshareM!AA$2:AA$78)-IMshareM!AA$27&gt;0,IMshareM!AA20/(SUM(IMshareM!AA$2:AA$78)-IMshareM!AA$27),0))</f>
        <v>4.8311741497040539E-2</v>
      </c>
      <c r="AB20" s="8">
        <f>IF($A20=AB$1,0,IF(SUM(IMshareM!AB$2:AB$78)-IMshareM!AB$28&gt;0,IMshareM!AB20/(SUM(IMshareM!AB$2:AB$78)-IMshareM!AB$28),0))</f>
        <v>2.5448800913085063E-2</v>
      </c>
      <c r="AC20" s="8">
        <f>IF($A20=AC$1,0,IF(SUM(IMshareM!AC$2:AC$78)-IMshareM!AC$29&gt;0,IMshareM!AC20/(SUM(IMshareM!AC$2:AC$78)-IMshareM!AC$29),0))</f>
        <v>2.2218573680045269E-2</v>
      </c>
      <c r="AD20" s="8">
        <f>IF($A20=AD$1,0,IF(SUM(IMshareM!AD$2:AD$78)-IMshareM!AD$30&gt;0,IMshareM!AD20/(SUM(IMshareM!AD$2:AD$78)-IMshareM!AD$30),0))</f>
        <v>3.1277860241589488E-4</v>
      </c>
      <c r="AE20" s="8">
        <f>IF($A20=AE$1,0,IF(SUM(IMshareM!AE$2:AE$78)-IMshareM!AE$31&gt;0,IMshareM!AE20/(SUM(IMshareM!AE$2:AE$78)-IMshareM!AE$31),0))</f>
        <v>1.6032332133880181E-2</v>
      </c>
      <c r="AF20" s="8">
        <f>IF($A20=AF$1,0,IF(SUM(IMshareM!AF$2:AF$78)-IMshareM!AF$32&gt;0,IMshareM!AF20/(SUM(IMshareM!AF$2:AF$78)-IMshareM!AF$32),0))</f>
        <v>2.1961822474793866E-2</v>
      </c>
      <c r="AG20" s="8">
        <f>IF($A20=AG$1,0,IF(SUM(IMshareM!AG$2:AG$78)-IMshareM!AG$33&gt;0,IMshareM!AG20/(SUM(IMshareM!AG$2:AG$78)-IMshareM!AG$33),0))</f>
        <v>3.0267535660083609E-3</v>
      </c>
      <c r="AH20" s="8">
        <f>IF($A20=AH$1,0,IF(SUM(IMshareM!AH$2:AH$78)-IMshareM!AH$34&gt;0,IMshareM!AH20/(SUM(IMshareM!AH$2:AH$78)-IMshareM!AH$34),0))</f>
        <v>1.6032543255961713E-3</v>
      </c>
      <c r="AI20" s="8">
        <f>IF($A20=AI$1,0,IF(SUM(IMshareM!AI$2:AI$78)-IMshareM!AI$35&gt;0,IMshareM!AI20/(SUM(IMshareM!AI$2:AI$78)-IMshareM!AI$35),0))</f>
        <v>4.1089606903534906E-3</v>
      </c>
      <c r="AJ20" s="8">
        <f>IF($A20=AJ$1,0,IF(SUM(IMshareM!AJ$2:AJ$78)-IMshareM!AJ$36&gt;0,IMshareM!AJ20/(SUM(IMshareM!AJ$2:AJ$78)-IMshareM!AJ$36),0))</f>
        <v>1.472751252532041E-2</v>
      </c>
      <c r="AK20" s="8">
        <f>IF($A20=AK$1,0,IF(SUM(IMshareM!AK$2:AK$78)-IMshareM!AK$37&gt;0,IMshareM!AK20/(SUM(IMshareM!AK$2:AK$78)-IMshareM!AK$37),0))</f>
        <v>1.6085940465398223E-2</v>
      </c>
      <c r="AL20" s="8">
        <f>IF($A20=AL$1,0,IF(SUM(IMshareM!AL$2:AL$78)-IMshareM!AL$38&gt;0,IMshareM!AL20/(SUM(IMshareM!AL$2:AL$78)-IMshareM!AL$38),0))</f>
        <v>4.7348032673774486E-2</v>
      </c>
      <c r="AM20" s="8">
        <f>IF($A20=AM$1,0,IF(SUM(IMshareM!AM$2:AM$78)-IMshareM!AM$39&gt;0,IMshareM!AM20/(SUM(IMshareM!AM$2:AM$78)-IMshareM!AM$39),0))</f>
        <v>1.0309037763821921E-2</v>
      </c>
      <c r="AN20" s="8">
        <f>IF($A20=AN$1,0,IF(SUM(IMshareM!AN$2:AN$78)-IMshareM!AN$40&gt;0,IMshareM!AN20/(SUM(IMshareM!AN$2:AN$78)-IMshareM!AN$40),0))</f>
        <v>1.7969138209869386E-3</v>
      </c>
      <c r="AO20" s="8">
        <f>IF($A20=AO$1,0,IF(SUM(IMshareM!AO$2:AO$78)-IMshareM!AO$41&gt;0,IMshareM!AO20/(SUM(IMshareM!AO$2:AO$78)-IMshareM!AO$41),0))</f>
        <v>1.4759458281066647E-2</v>
      </c>
      <c r="AP20" s="8">
        <f>IF($A20=AP$1,0,IF(SUM(IMshareM!AP$2:AP$78)-IMshareM!AP$42&gt;0,IMshareM!AP20/(SUM(IMshareM!AP$2:AP$78)-IMshareM!AP$42),0))</f>
        <v>8.1220641189594758E-5</v>
      </c>
      <c r="AQ20" s="8">
        <f>IF($A20=AQ$1,0,IF(SUM(IMshareM!AQ$2:AQ$78)-IMshareM!AQ$43&gt;0,IMshareM!AQ20/(SUM(IMshareM!AQ$2:AQ$78)-IMshareM!AQ$43),0))</f>
        <v>3.7986617075033268E-3</v>
      </c>
      <c r="AR20" s="8">
        <f>IF($A20=AR$1,0,IF(SUM(IMshareM!AR$2:AR$78)-IMshareM!AR$44&gt;0,IMshareM!AR20/(SUM(IMshareM!AR$2:AR$78)-IMshareM!AR$44),0))</f>
        <v>1.3712651254367859E-4</v>
      </c>
      <c r="AS20" s="8">
        <f>IF($A20=AS$1,0,IF(SUM(IMshareM!AS$2:AS$78)-IMshareM!AS$45&gt;0,IMshareM!AS20/(SUM(IMshareM!AS$2:AS$78)-IMshareM!AS$45),0))</f>
        <v>8.9747708598525936E-3</v>
      </c>
      <c r="AT20" s="8">
        <f>IF($A20=AT$1,0,IF(SUM(IMshareM!AT$2:AT$78)-IMshareM!AT$46&gt;0,IMshareM!AT20/(SUM(IMshareM!AT$2:AT$78)-IMshareM!AT$46),0))</f>
        <v>2.5614121364060521E-2</v>
      </c>
      <c r="AU20" s="8">
        <f>IF($A20=AU$1,0,IF(SUM(IMshareM!AU$2:AU$78)-IMshareM!AU$47&gt;0,IMshareM!AU20/(SUM(IMshareM!AU$2:AU$78)-IMshareM!AU$47),0))</f>
        <v>2.2522555039318149E-2</v>
      </c>
      <c r="AV20" s="8">
        <f>IF($A20=AV$1,0,IF(SUM(IMshareM!AV$2:AV$78)-IMshareM!AV$48&gt;0,IMshareM!AV20/(SUM(IMshareM!AV$2:AV$78)-IMshareM!AV$48),0))</f>
        <v>9.4271730667061116E-3</v>
      </c>
      <c r="AW20" s="8">
        <f>IF($A20=AW$1,0,IF(SUM(IMshareM!AW$2:AW$78)-IMshareM!AW$49&gt;0,IMshareM!AW20/(SUM(IMshareM!AW$2:AW$78)-IMshareM!AW$49),0))</f>
        <v>4.7112937173044668E-3</v>
      </c>
      <c r="AX20" s="8">
        <f>IF($A20=AX$1,0,IF(SUM(IMshareM!AX$2:AX$78)-IMshareM!AX$50&gt;0,IMshareM!AX20/(SUM(IMshareM!AX$2:AX$78)-IMshareM!AX$50),0))</f>
        <v>6.819658102024248E-5</v>
      </c>
      <c r="AY20" s="8">
        <f>IF($A20=AY$1,0,IF(SUM(IMshareM!AY$2:AY$78)-IMshareM!AY$51&gt;0,IMshareM!AY20/(SUM(IMshareM!AY$2:AY$78)-IMshareM!AY$51),0))</f>
        <v>3.6005226051137514E-4</v>
      </c>
      <c r="AZ20" s="8">
        <f>IF($A20=AZ$1,0,IF(SUM(IMshareM!AZ$2:AZ$78)-IMshareM!AZ$52&gt;0,IMshareM!AZ20/(SUM(IMshareM!AZ$2:AZ$78)-IMshareM!AZ$52),0))</f>
        <v>1.1241473192885765E-3</v>
      </c>
      <c r="BA20" s="8">
        <f>IF($A20=BA$1,0,IF(SUM(IMshareM!BA$2:BA$78)-IMshareM!BA$53&gt;0,IMshareM!BA20/(SUM(IMshareM!BA$2:BA$78)-IMshareM!BA$53),0))</f>
        <v>3.5402944285943386E-2</v>
      </c>
      <c r="BB20" s="8">
        <f>IF($A20=BB$1,0,IF(SUM(IMshareM!BB$2:BB$78)-IMshareM!BB$54&gt;0,IMshareM!BB20/(SUM(IMshareM!BB$2:BB$78)-IMshareM!BB$54),0))</f>
        <v>2.8327014939753637E-2</v>
      </c>
      <c r="BC20" s="8">
        <f>IF($A20=BC$1,0,IF(SUM(IMshareM!BC$2:BC$78)-IMshareM!BC$55&gt;0,IMshareM!BC20/(SUM(IMshareM!BC$2:BC$78)-IMshareM!BC$55),0))</f>
        <v>5.9056142439112627E-2</v>
      </c>
      <c r="BD20" s="8">
        <f>IF($A20=BD$1,0,IF(SUM(IMshareM!BD$2:BD$78)-IMshareM!BD$56&gt;0,IMshareM!BD20/(SUM(IMshareM!BD$2:BD$78)-IMshareM!BD$56),0))</f>
        <v>4.4900501384868381E-3</v>
      </c>
      <c r="BE20" s="8">
        <f>IF($A20=BE$1,0,IF(SUM(IMshareM!BE$2:BE$78)-IMshareM!BE$57&gt;0,IMshareM!BE20/(SUM(IMshareM!BE$2:BE$78)-IMshareM!BE$57),0))</f>
        <v>2.7200840600164898E-3</v>
      </c>
      <c r="BF20" s="8">
        <f>IF($A20=BF$1,0,IF(SUM(IMshareM!BF$2:BF$78)-IMshareM!BF$58&gt;0,IMshareM!BF20/(SUM(IMshareM!BF$2:BF$78)-IMshareM!BF$58),0))</f>
        <v>1.0557983568370269E-2</v>
      </c>
      <c r="BG20" s="8">
        <f>IF($A20=BG$1,0,IF(SUM(IMshareM!BG$2:BG$78)-IMshareM!BG$59&gt;0,IMshareM!BG20/(SUM(IMshareM!BG$2:BG$78)-IMshareM!BG$59),0))</f>
        <v>2.4267924112909992E-3</v>
      </c>
      <c r="BH20" s="8">
        <f>IF($A20=BH$1,0,IF(SUM(IMshareM!BH$2:BH$78)-IMshareM!BH$60&gt;0,IMshareM!BH20/(SUM(IMshareM!BH$2:BH$78)-IMshareM!BH$60),0))</f>
        <v>1.744783803256245E-2</v>
      </c>
      <c r="BI20" s="8">
        <f>IF($A20=BI$1,0,IF(SUM(IMshareM!BI$2:BI$78)-IMshareM!BI$61&gt;0,IMshareM!BI20/(SUM(IMshareM!BI$2:BI$78)-IMshareM!BI$61),0))</f>
        <v>1.8116681007875866E-2</v>
      </c>
      <c r="BJ20" s="8">
        <f>IF($A20=BJ$1,0,IF(SUM(IMshareM!BJ$2:BJ$78)-IMshareM!BJ$62&gt;0,IMshareM!BJ20/(SUM(IMshareM!BJ$2:BJ$78)-IMshareM!BJ$62),0))</f>
        <v>1.7181063228374514E-2</v>
      </c>
      <c r="BK20" s="8">
        <f>IF($A20=BK$1,0,IF(SUM(IMshareM!BK$2:BK$78)-IMshareM!BK$63&gt;0,IMshareM!BK20/(SUM(IMshareM!BK$2:BK$78)-IMshareM!BK$63),0))</f>
        <v>1.2038668720135912E-2</v>
      </c>
      <c r="BL20" s="8">
        <f>IF($A20=BL$1,0,IF(SUM(IMshareM!BL$2:BL$78)-IMshareM!BL$64&gt;0,IMshareM!BL20/(SUM(IMshareM!BL$2:BL$78)-IMshareM!BL$64),0))</f>
        <v>8.1087770213385257E-3</v>
      </c>
      <c r="BM20" s="8">
        <f>IF($A20=BM$1,0,IF(SUM(IMshareM!BM$2:BM$78)-IMshareM!BM$65&gt;0,IMshareM!BM20/(SUM(IMshareM!BM$2:BM$78)-IMshareM!BM$65),0))</f>
        <v>1.6945804565341976E-3</v>
      </c>
      <c r="BN20" s="8">
        <f>IF($A20=BN$1,0,IF(SUM(IMshareM!BN$2:BN$78)-IMshareM!BN$66&gt;0,IMshareM!BN20/(SUM(IMshareM!BN$2:BN$78)-IMshareM!BN$66),0))</f>
        <v>5.3303425059101246E-3</v>
      </c>
      <c r="BO20" s="8">
        <f>IF($A20=BO$1,0,IF(SUM(IMshareM!BO$2:BO$78)-IMshareM!BO$67&gt;0,IMshareM!BO20/(SUM(IMshareM!BO$2:BO$78)-IMshareM!BO$67),0))</f>
        <v>2.8886491497210488E-2</v>
      </c>
      <c r="BP20" s="8">
        <f>IF($A20=BP$1,0,IF(SUM(IMshareM!BP$2:BP$78)-IMshareM!BP$68&gt;0,IMshareM!BP20/(SUM(IMshareM!BP$2:BP$78)-IMshareM!BP$68),0))</f>
        <v>1.1683180265453404E-2</v>
      </c>
      <c r="BQ20" s="8">
        <f>IF($A20=BQ$1,0,IF(SUM(IMshareM!BQ$2:BQ$78)-IMshareM!BQ$69&gt;0,IMshareM!BQ20/(SUM(IMshareM!BQ$2:BQ$78)-IMshareM!BQ$69),0))</f>
        <v>2.4125545782760344E-2</v>
      </c>
      <c r="BR20" s="8">
        <f>IF($A20=BR$1,0,IF(SUM(IMshareM!BR$2:BR$78)-IMshareM!BR$70&gt;0,IMshareM!BR20/(SUM(IMshareM!BR$2:BR$78)-IMshareM!BR$70),0))</f>
        <v>3.7432172986058571E-3</v>
      </c>
      <c r="BS20" s="8">
        <f>IF($A20=BS$1,0,IF(SUM(IMshareM!BS$2:BS$78)-IMshareM!BS$71&gt;0,IMshareM!BS20/(SUM(IMshareM!BS$2:BS$78)-IMshareM!BS$71),0))</f>
        <v>5.2279665015836807E-2</v>
      </c>
      <c r="BT20" s="8">
        <f>IF($A20=BT$1,0,IF(SUM(IMshareM!BT$2:BT$78)-IMshareM!BT$72&gt;0,IMshareM!BT20/(SUM(IMshareM!BT$2:BT$78)-IMshareM!BT$72),0))</f>
        <v>3.7886477848653788E-2</v>
      </c>
      <c r="BU20" s="8">
        <f>IF($A20=BU$1,0,IF(SUM(IMshareM!BU$2:BU$78)-IMshareM!BU$73&gt;0,IMshareM!BU20/(SUM(IMshareM!BU$2:BU$78)-IMshareM!BU$73),0))</f>
        <v>1.6715618523086187E-2</v>
      </c>
      <c r="BV20" s="8">
        <f>IF($A20=BV$1,0,IF(SUM(IMshareM!BV$2:BV$78)-IMshareM!BV$74&gt;0,IMshareM!BV20/(SUM(IMshareM!BV$2:BV$78)-IMshareM!BV$74),0))</f>
        <v>1.8082627451808719E-2</v>
      </c>
      <c r="BW20" s="8">
        <f>IF($A20=BW$1,0,IF(SUM(IMshareM!BW$2:BW$78)-IMshareM!BW$75&gt;0,IMshareM!BW20/(SUM(IMshareM!BW$2:BW$78)-IMshareM!BW$75),0))</f>
        <v>6.804658799061925E-3</v>
      </c>
      <c r="BX20" s="8">
        <f>IF($A20=BX$1,0,IF(SUM(IMshareM!BX$2:BX$78)-IMshareM!BX$76&gt;0,IMshareM!BX20/(SUM(IMshareM!BX$2:BX$78)-IMshareM!BX$76),0))</f>
        <v>1.6981750728999826E-3</v>
      </c>
      <c r="BY20" s="8">
        <f>IF($A20=BY$1,0,IF(SUM(IMshareM!BY$2:BY$78)-IMshareM!BY$77&gt;0,IMshareM!BY20/(SUM(IMshareM!BY$2:BY$78)-IMshareM!BY$77),0))</f>
        <v>1.2578149988997343E-2</v>
      </c>
      <c r="BZ20" s="8">
        <f>IF($A20=BZ$1,0,IF(SUM(IMshareM!BZ$2:BZ$78)-IMshareM!BZ$78&gt;0,IMshareM!BZ20/(SUM(IMshareM!BZ$2:BZ$78)-IMshareM!BZ$78),0))</f>
        <v>3.4715669863760922E-2</v>
      </c>
    </row>
    <row r="21" spans="1:78">
      <c r="A21" s="4" t="s">
        <v>109</v>
      </c>
      <c r="B21" s="8">
        <f>IF($A21=B$1,0,IF(SUM(IMshareM!B$2:B$78)-IMshareM!B$2&gt;0,IMshareM!B21/(SUM(IMshareM!B$2:B$78)-IMshareM!B$2),0))</f>
        <v>3.1488809252539378E-2</v>
      </c>
      <c r="C21" s="8">
        <f>IF($A21=C$1,0,IF(SUM(IMshareM!C$2:C$78)-IMshareM!C$3&gt;0,IMshareM!C21/(SUM(IMshareM!C$2:C$78)-IMshareM!C$3),0))</f>
        <v>4.5907962093972472E-2</v>
      </c>
      <c r="D21" s="8">
        <f>IF($A21=D$1,0,IF(SUM(IMshareM!D$2:D$78)-IMshareM!D$4&gt;0,IMshareM!D21/(SUM(IMshareM!D$2:D$78)-IMshareM!D$4),0))</f>
        <v>0.29674668925933917</v>
      </c>
      <c r="E21" s="8">
        <f>IF($A21=E$1,0,IF(SUM(IMshareM!E$2:E$78)-IMshareM!E$5&gt;0,IMshareM!E21/(SUM(IMshareM!E$2:E$78)-IMshareM!E$5),0))</f>
        <v>0.12054039431130201</v>
      </c>
      <c r="F21" s="8">
        <f>IF($A21=F$1,0,IF(SUM(IMshareM!F$2:F$78)-IMshareM!F$6&gt;0,IMshareM!F21/(SUM(IMshareM!F$2:F$78)-IMshareM!F$6),0))</f>
        <v>2.9950086188375552E-2</v>
      </c>
      <c r="G21" s="8">
        <f>IF($A21=G$1,0,IF(SUM(IMshareM!G$2:G$78)-IMshareM!G$7&gt;0,IMshareM!G21/(SUM(IMshareM!G$2:G$78)-IMshareM!G$7),0))</f>
        <v>0.10921533522333907</v>
      </c>
      <c r="H21" s="8">
        <f>IF($A21=H$1,0,IF(SUM(IMshareM!H$2:H$78)-IMshareM!H$8&gt;0,IMshareM!H21/(SUM(IMshareM!H$2:H$78)-IMshareM!H$8),0))</f>
        <v>7.159797202138711E-2</v>
      </c>
      <c r="I21" s="8">
        <f>IF($A21=I$1,0,IF(SUM(IMshareM!I$2:I$78)-IMshareM!I$9&gt;0,IMshareM!I21/(SUM(IMshareM!I$2:I$78)-IMshareM!I$9),0))</f>
        <v>9.0657826280632112E-2</v>
      </c>
      <c r="J21" s="8">
        <f>IF($A21=J$1,0,IF(SUM(IMshareM!J$2:J$78)-IMshareM!J$10&gt;0,IMshareM!J21/(SUM(IMshareM!J$2:J$78)-IMshareM!J$10),0))</f>
        <v>2.2569097041172909E-2</v>
      </c>
      <c r="K21" s="8">
        <f>IF($A21=K$1,0,IF(SUM(IMshareM!K$2:K$78)-IMshareM!K$11&gt;0,IMshareM!K21/(SUM(IMshareM!K$2:K$78)-IMshareM!K$11),0))</f>
        <v>4.6676134729488242E-2</v>
      </c>
      <c r="L21" s="8">
        <f>IF($A21=L$1,0,IF(SUM(IMshareM!L$2:L$78)-IMshareM!L$12&gt;0,IMshareM!L21/(SUM(IMshareM!L$2:L$78)-IMshareM!L$12),0))</f>
        <v>0.34266020900350047</v>
      </c>
      <c r="M21" s="8">
        <f>IF($A21=M$1,0,IF(SUM(IMshareM!M$2:M$78)-IMshareM!M$13&gt;0,IMshareM!M21/(SUM(IMshareM!M$2:M$78)-IMshareM!M$13),0))</f>
        <v>1.6093452790416428E-2</v>
      </c>
      <c r="N21" s="8">
        <f>IF($A21=N$1,0,IF(SUM(IMshareM!N$2:N$78)-IMshareM!N$14&gt;0,IMshareM!N21/(SUM(IMshareM!N$2:N$78)-IMshareM!N$14),0))</f>
        <v>0.23622982500204501</v>
      </c>
      <c r="O21" s="8">
        <f>IF($A21=O$1,0,IF(SUM(IMshareM!O$2:O$78)-IMshareM!O$15&gt;0,IMshareM!O21/(SUM(IMshareM!O$2:O$78)-IMshareM!O$15),0))</f>
        <v>0.1025615856077827</v>
      </c>
      <c r="P21" s="8">
        <f>IF($A21=P$1,0,IF(SUM(IMshareM!P$2:P$78)-IMshareM!P$16&gt;0,IMshareM!P21/(SUM(IMshareM!P$2:P$78)-IMshareM!P$16),0))</f>
        <v>2.6303558398634529E-2</v>
      </c>
      <c r="Q21" s="8">
        <f>IF($A21=Q$1,0,IF(SUM(IMshareM!Q$2:Q$78)-IMshareM!Q$17&gt;0,IMshareM!Q21/(SUM(IMshareM!Q$2:Q$78)-IMshareM!Q$17),0))</f>
        <v>4.231308200196441E-2</v>
      </c>
      <c r="R21" s="8">
        <f>IF($A21=R$1,0,IF(SUM(IMshareM!R$2:R$78)-IMshareM!R$18&gt;0,IMshareM!R21/(SUM(IMshareM!R$2:R$78)-IMshareM!R$18),0))</f>
        <v>3.6200191025128746E-2</v>
      </c>
      <c r="S21" s="8">
        <f>IF($A21=S$1,0,IF(SUM(IMshareM!S$2:S$78)-IMshareM!S$19&gt;0,IMshareM!S21/(SUM(IMshareM!S$2:S$78)-IMshareM!S$19),0))</f>
        <v>4.7084475096851548E-2</v>
      </c>
      <c r="T21" s="8">
        <f>IF($A21=T$1,0,IF(SUM(IMshareM!T$2:T$78)-IMshareM!T$20&gt;0,IMshareM!T21/(SUM(IMshareM!T$2:T$78)-IMshareM!T$20),0))</f>
        <v>0.32099369719002946</v>
      </c>
      <c r="U21" s="8">
        <f>IF($A21=U$1,0,IF(SUM(IMshareM!U$2:U$78)-IMshareM!U$21&gt;0,IMshareM!U21/(SUM(IMshareM!U$2:U$78)-IMshareM!U$21),0))</f>
        <v>0</v>
      </c>
      <c r="V21" s="8">
        <f>IF($A21=V$1,0,IF(SUM(IMshareM!V$2:V$78)-IMshareM!V$22&gt;0,IMshareM!V21/(SUM(IMshareM!V$2:V$78)-IMshareM!V$22),0))</f>
        <v>0.20160278470458279</v>
      </c>
      <c r="W21" s="8">
        <f>IF($A21=W$1,0,IF(SUM(IMshareM!W$2:W$78)-IMshareM!W$23&gt;0,IMshareM!W21/(SUM(IMshareM!W$2:W$78)-IMshareM!W$23),0))</f>
        <v>5.800660981787132E-2</v>
      </c>
      <c r="X21" s="8">
        <f>IF($A21=X$1,0,IF(SUM(IMshareM!X$2:X$78)-IMshareM!X$24&gt;0,IMshareM!X21/(SUM(IMshareM!X$2:X$78)-IMshareM!X$24),0))</f>
        <v>0.2288910176379117</v>
      </c>
      <c r="Y21" s="8">
        <f>IF($A21=Y$1,0,IF(SUM(IMshareM!Y$2:Y$78)-IMshareM!Y$25&gt;0,IMshareM!Y21/(SUM(IMshareM!Y$2:Y$78)-IMshareM!Y$25),0))</f>
        <v>0.17726016520181334</v>
      </c>
      <c r="Z21" s="8">
        <f>IF($A21=Z$1,0,IF(SUM(IMshareM!Z$2:Z$78)-IMshareM!Z$26&gt;0,IMshareM!Z21/(SUM(IMshareM!Z$2:Z$78)-IMshareM!Z$26),0))</f>
        <v>0.20876598150093675</v>
      </c>
      <c r="AA21" s="8">
        <f>IF($A21=AA$1,0,IF(SUM(IMshareM!AA$2:AA$78)-IMshareM!AA$27&gt;0,IMshareM!AA21/(SUM(IMshareM!AA$2:AA$78)-IMshareM!AA$27),0))</f>
        <v>0.2278975685212605</v>
      </c>
      <c r="AB21" s="8">
        <f>IF($A21=AB$1,0,IF(SUM(IMshareM!AB$2:AB$78)-IMshareM!AB$28&gt;0,IMshareM!AB21/(SUM(IMshareM!AB$2:AB$78)-IMshareM!AB$28),0))</f>
        <v>0.14676300616395282</v>
      </c>
      <c r="AC21" s="8">
        <f>IF($A21=AC$1,0,IF(SUM(IMshareM!AC$2:AC$78)-IMshareM!AC$29&gt;0,IMshareM!AC21/(SUM(IMshareM!AC$2:AC$78)-IMshareM!AC$29),0))</f>
        <v>0.16049841474807261</v>
      </c>
      <c r="AD21" s="8">
        <f>IF($A21=AD$1,0,IF(SUM(IMshareM!AD$2:AD$78)-IMshareM!AD$30&gt;0,IMshareM!AD21/(SUM(IMshareM!AD$2:AD$78)-IMshareM!AD$30),0))</f>
        <v>2.800952780584624E-2</v>
      </c>
      <c r="AE21" s="8">
        <f>IF($A21=AE$1,0,IF(SUM(IMshareM!AE$2:AE$78)-IMshareM!AE$31&gt;0,IMshareM!AE21/(SUM(IMshareM!AE$2:AE$78)-IMshareM!AE$31),0))</f>
        <v>0.2209466160923344</v>
      </c>
      <c r="AF21" s="8">
        <f>IF($A21=AF$1,0,IF(SUM(IMshareM!AF$2:AF$78)-IMshareM!AF$32&gt;0,IMshareM!AF21/(SUM(IMshareM!AF$2:AF$78)-IMshareM!AF$32),0))</f>
        <v>0.33810453142918595</v>
      </c>
      <c r="AG21" s="8">
        <f>IF($A21=AG$1,0,IF(SUM(IMshareM!AG$2:AG$78)-IMshareM!AG$33&gt;0,IMshareM!AG21/(SUM(IMshareM!AG$2:AG$78)-IMshareM!AG$33),0))</f>
        <v>3.1498827485611655E-2</v>
      </c>
      <c r="AH21" s="8">
        <f>IF($A21=AH$1,0,IF(SUM(IMshareM!AH$2:AH$78)-IMshareM!AH$34&gt;0,IMshareM!AH21/(SUM(IMshareM!AH$2:AH$78)-IMshareM!AH$34),0))</f>
        <v>7.788026972346454E-2</v>
      </c>
      <c r="AI21" s="8">
        <f>IF($A21=AI$1,0,IF(SUM(IMshareM!AI$2:AI$78)-IMshareM!AI$35&gt;0,IMshareM!AI21/(SUM(IMshareM!AI$2:AI$78)-IMshareM!AI$35),0))</f>
        <v>0.11883131828713071</v>
      </c>
      <c r="AJ21" s="8">
        <f>IF($A21=AJ$1,0,IF(SUM(IMshareM!AJ$2:AJ$78)-IMshareM!AJ$36&gt;0,IMshareM!AJ21/(SUM(IMshareM!AJ$2:AJ$78)-IMshareM!AJ$36),0))</f>
        <v>0.24718766322655014</v>
      </c>
      <c r="AK21" s="8">
        <f>IF($A21=AK$1,0,IF(SUM(IMshareM!AK$2:AK$78)-IMshareM!AK$37&gt;0,IMshareM!AK21/(SUM(IMshareM!AK$2:AK$78)-IMshareM!AK$37),0))</f>
        <v>0.12085316078758834</v>
      </c>
      <c r="AL21" s="8">
        <f>IF($A21=AL$1,0,IF(SUM(IMshareM!AL$2:AL$78)-IMshareM!AL$38&gt;0,IMshareM!AL21/(SUM(IMshareM!AL$2:AL$78)-IMshareM!AL$38),0))</f>
        <v>0.23165586493781523</v>
      </c>
      <c r="AM21" s="8">
        <f>IF($A21=AM$1,0,IF(SUM(IMshareM!AM$2:AM$78)-IMshareM!AM$39&gt;0,IMshareM!AM21/(SUM(IMshareM!AM$2:AM$78)-IMshareM!AM$39),0))</f>
        <v>0.1041175464998067</v>
      </c>
      <c r="AN21" s="8">
        <f>IF($A21=AN$1,0,IF(SUM(IMshareM!AN$2:AN$78)-IMshareM!AN$40&gt;0,IMshareM!AN21/(SUM(IMshareM!AN$2:AN$78)-IMshareM!AN$40),0))</f>
        <v>2.5795470845656952E-2</v>
      </c>
      <c r="AO21" s="8">
        <f>IF($A21=AO$1,0,IF(SUM(IMshareM!AO$2:AO$78)-IMshareM!AO$41&gt;0,IMshareM!AO21/(SUM(IMshareM!AO$2:AO$78)-IMshareM!AO$41),0))</f>
        <v>6.7699483903716967E-2</v>
      </c>
      <c r="AP21" s="8">
        <f>IF($A21=AP$1,0,IF(SUM(IMshareM!AP$2:AP$78)-IMshareM!AP$42&gt;0,IMshareM!AP21/(SUM(IMshareM!AP$2:AP$78)-IMshareM!AP$42),0))</f>
        <v>2.6388939009863881E-2</v>
      </c>
      <c r="AQ21" s="8">
        <f>IF($A21=AQ$1,0,IF(SUM(IMshareM!AQ$2:AQ$78)-IMshareM!AQ$43&gt;0,IMshareM!AQ21/(SUM(IMshareM!AQ$2:AQ$78)-IMshareM!AQ$43),0))</f>
        <v>2.77859981289948E-2</v>
      </c>
      <c r="AR21" s="8">
        <f>IF($A21=AR$1,0,IF(SUM(IMshareM!AR$2:AR$78)-IMshareM!AR$44&gt;0,IMshareM!AR21/(SUM(IMshareM!AR$2:AR$78)-IMshareM!AR$44),0))</f>
        <v>1.737401844732045E-2</v>
      </c>
      <c r="AS21" s="8">
        <f>IF($A21=AS$1,0,IF(SUM(IMshareM!AS$2:AS$78)-IMshareM!AS$45&gt;0,IMshareM!AS21/(SUM(IMshareM!AS$2:AS$78)-IMshareM!AS$45),0))</f>
        <v>0.32808241577525082</v>
      </c>
      <c r="AT21" s="8">
        <f>IF($A21=AT$1,0,IF(SUM(IMshareM!AT$2:AT$78)-IMshareM!AT$46&gt;0,IMshareM!AT21/(SUM(IMshareM!AT$2:AT$78)-IMshareM!AT$46),0))</f>
        <v>0.12561217668776689</v>
      </c>
      <c r="AU21" s="8">
        <f>IF($A21=AU$1,0,IF(SUM(IMshareM!AU$2:AU$78)-IMshareM!AU$47&gt;0,IMshareM!AU21/(SUM(IMshareM!AU$2:AU$78)-IMshareM!AU$47),0))</f>
        <v>0.1447554615724671</v>
      </c>
      <c r="AV21" s="8">
        <f>IF($A21=AV$1,0,IF(SUM(IMshareM!AV$2:AV$78)-IMshareM!AV$48&gt;0,IMshareM!AV21/(SUM(IMshareM!AV$2:AV$78)-IMshareM!AV$48),0))</f>
        <v>6.926542026183341E-2</v>
      </c>
      <c r="AW21" s="8">
        <f>IF($A21=AW$1,0,IF(SUM(IMshareM!AW$2:AW$78)-IMshareM!AW$49&gt;0,IMshareM!AW21/(SUM(IMshareM!AW$2:AW$78)-IMshareM!AW$49),0))</f>
        <v>4.9098322517885554E-2</v>
      </c>
      <c r="AX21" s="8">
        <f>IF($A21=AX$1,0,IF(SUM(IMshareM!AX$2:AX$78)-IMshareM!AX$50&gt;0,IMshareM!AX21/(SUM(IMshareM!AX$2:AX$78)-IMshareM!AX$50),0))</f>
        <v>5.1785715181961817E-2</v>
      </c>
      <c r="AY21" s="8">
        <f>IF($A21=AY$1,0,IF(SUM(IMshareM!AY$2:AY$78)-IMshareM!AY$51&gt;0,IMshareM!AY21/(SUM(IMshareM!AY$2:AY$78)-IMshareM!AY$51),0))</f>
        <v>7.1479650632948841E-3</v>
      </c>
      <c r="AZ21" s="8">
        <f>IF($A21=AZ$1,0,IF(SUM(IMshareM!AZ$2:AZ$78)-IMshareM!AZ$52&gt;0,IMshareM!AZ21/(SUM(IMshareM!AZ$2:AZ$78)-IMshareM!AZ$52),0))</f>
        <v>2.827747095529299E-2</v>
      </c>
      <c r="BA21" s="8">
        <f>IF($A21=BA$1,0,IF(SUM(IMshareM!BA$2:BA$78)-IMshareM!BA$53&gt;0,IMshareM!BA21/(SUM(IMshareM!BA$2:BA$78)-IMshareM!BA$53),0))</f>
        <v>4.4009810475126948E-2</v>
      </c>
      <c r="BB21" s="8">
        <f>IF($A21=BB$1,0,IF(SUM(IMshareM!BB$2:BB$78)-IMshareM!BB$54&gt;0,IMshareM!BB21/(SUM(IMshareM!BB$2:BB$78)-IMshareM!BB$54),0))</f>
        <v>0.26819123216893637</v>
      </c>
      <c r="BC21" s="8">
        <f>IF($A21=BC$1,0,IF(SUM(IMshareM!BC$2:BC$78)-IMshareM!BC$55&gt;0,IMshareM!BC21/(SUM(IMshareM!BC$2:BC$78)-IMshareM!BC$55),0))</f>
        <v>0.15329856378696671</v>
      </c>
      <c r="BD21" s="8">
        <f>IF($A21=BD$1,0,IF(SUM(IMshareM!BD$2:BD$78)-IMshareM!BD$56&gt;0,IMshareM!BD21/(SUM(IMshareM!BD$2:BD$78)-IMshareM!BD$56),0))</f>
        <v>8.4844268890468463E-2</v>
      </c>
      <c r="BE21" s="8">
        <f>IF($A21=BE$1,0,IF(SUM(IMshareM!BE$2:BE$78)-IMshareM!BE$57&gt;0,IMshareM!BE21/(SUM(IMshareM!BE$2:BE$78)-IMshareM!BE$57),0))</f>
        <v>2.4531068419066559E-2</v>
      </c>
      <c r="BF21" s="8">
        <f>IF($A21=BF$1,0,IF(SUM(IMshareM!BF$2:BF$78)-IMshareM!BF$58&gt;0,IMshareM!BF21/(SUM(IMshareM!BF$2:BF$78)-IMshareM!BF$58),0))</f>
        <v>7.8836417183522634E-2</v>
      </c>
      <c r="BG21" s="8">
        <f>IF($A21=BG$1,0,IF(SUM(IMshareM!BG$2:BG$78)-IMshareM!BG$59&gt;0,IMshareM!BG21/(SUM(IMshareM!BG$2:BG$78)-IMshareM!BG$59),0))</f>
        <v>1.7530376168777173E-2</v>
      </c>
      <c r="BH21" s="8">
        <f>IF($A21=BH$1,0,IF(SUM(IMshareM!BH$2:BH$78)-IMshareM!BH$60&gt;0,IMshareM!BH21/(SUM(IMshareM!BH$2:BH$78)-IMshareM!BH$60),0))</f>
        <v>0.2264094011768944</v>
      </c>
      <c r="BI21" s="8">
        <f>IF($A21=BI$1,0,IF(SUM(IMshareM!BI$2:BI$78)-IMshareM!BI$61&gt;0,IMshareM!BI21/(SUM(IMshareM!BI$2:BI$78)-IMshareM!BI$61),0))</f>
        <v>0.23642648595551072</v>
      </c>
      <c r="BJ21" s="8">
        <f>IF($A21=BJ$1,0,IF(SUM(IMshareM!BJ$2:BJ$78)-IMshareM!BJ$62&gt;0,IMshareM!BJ21/(SUM(IMshareM!BJ$2:BJ$78)-IMshareM!BJ$62),0))</f>
        <v>0.15839278031475712</v>
      </c>
      <c r="BK21" s="8">
        <f>IF($A21=BK$1,0,IF(SUM(IMshareM!BK$2:BK$78)-IMshareM!BK$63&gt;0,IMshareM!BK21/(SUM(IMshareM!BK$2:BK$78)-IMshareM!BK$63),0))</f>
        <v>0.10555962370144771</v>
      </c>
      <c r="BL21" s="8">
        <f>IF($A21=BL$1,0,IF(SUM(IMshareM!BL$2:BL$78)-IMshareM!BL$64&gt;0,IMshareM!BL21/(SUM(IMshareM!BL$2:BL$78)-IMshareM!BL$64),0))</f>
        <v>0.1056110180442266</v>
      </c>
      <c r="BM21" s="8">
        <f>IF($A21=BM$1,0,IF(SUM(IMshareM!BM$2:BM$78)-IMshareM!BM$65&gt;0,IMshareM!BM21/(SUM(IMshareM!BM$2:BM$78)-IMshareM!BM$65),0))</f>
        <v>0.33918399293760843</v>
      </c>
      <c r="BN21" s="8">
        <f>IF($A21=BN$1,0,IF(SUM(IMshareM!BN$2:BN$78)-IMshareM!BN$66&gt;0,IMshareM!BN21/(SUM(IMshareM!BN$2:BN$78)-IMshareM!BN$66),0))</f>
        <v>6.6231589229546611E-2</v>
      </c>
      <c r="BO21" s="8">
        <f>IF($A21=BO$1,0,IF(SUM(IMshareM!BO$2:BO$78)-IMshareM!BO$67&gt;0,IMshareM!BO21/(SUM(IMshareM!BO$2:BO$78)-IMshareM!BO$67),0))</f>
        <v>0.22909777874969617</v>
      </c>
      <c r="BP21" s="8">
        <f>IF($A21=BP$1,0,IF(SUM(IMshareM!BP$2:BP$78)-IMshareM!BP$68&gt;0,IMshareM!BP21/(SUM(IMshareM!BP$2:BP$78)-IMshareM!BP$68),0))</f>
        <v>0.12710764859392787</v>
      </c>
      <c r="BQ21" s="8">
        <f>IF($A21=BQ$1,0,IF(SUM(IMshareM!BQ$2:BQ$78)-IMshareM!BQ$69&gt;0,IMshareM!BQ21/(SUM(IMshareM!BQ$2:BQ$78)-IMshareM!BQ$69),0))</f>
        <v>0.23934494455065936</v>
      </c>
      <c r="BR21" s="8">
        <f>IF($A21=BR$1,0,IF(SUM(IMshareM!BR$2:BR$78)-IMshareM!BR$70&gt;0,IMshareM!BR21/(SUM(IMshareM!BR$2:BR$78)-IMshareM!BR$70),0))</f>
        <v>3.1003134523899894E-2</v>
      </c>
      <c r="BS21" s="8">
        <f>IF($A21=BS$1,0,IF(SUM(IMshareM!BS$2:BS$78)-IMshareM!BS$71&gt;0,IMshareM!BS21/(SUM(IMshareM!BS$2:BS$78)-IMshareM!BS$71),0))</f>
        <v>6.2844777133237731E-2</v>
      </c>
      <c r="BT21" s="8">
        <f>IF($A21=BT$1,0,IF(SUM(IMshareM!BT$2:BT$78)-IMshareM!BT$72&gt;0,IMshareM!BT21/(SUM(IMshareM!BT$2:BT$78)-IMshareM!BT$72),0))</f>
        <v>9.9182299843273591E-2</v>
      </c>
      <c r="BU21" s="8">
        <f>IF($A21=BU$1,0,IF(SUM(IMshareM!BU$2:BU$78)-IMshareM!BU$73&gt;0,IMshareM!BU21/(SUM(IMshareM!BU$2:BU$78)-IMshareM!BU$73),0))</f>
        <v>0.10853706599566035</v>
      </c>
      <c r="BV21" s="8">
        <f>IF($A21=BV$1,0,IF(SUM(IMshareM!BV$2:BV$78)-IMshareM!BV$74&gt;0,IMshareM!BV21/(SUM(IMshareM!BV$2:BV$78)-IMshareM!BV$74),0))</f>
        <v>0.1001971022131916</v>
      </c>
      <c r="BW21" s="8">
        <f>IF($A21=BW$1,0,IF(SUM(IMshareM!BW$2:BW$78)-IMshareM!BW$75&gt;0,IMshareM!BW21/(SUM(IMshareM!BW$2:BW$78)-IMshareM!BW$75),0))</f>
        <v>7.2147922613321425E-2</v>
      </c>
      <c r="BX21" s="8">
        <f>IF($A21=BX$1,0,IF(SUM(IMshareM!BX$2:BX$78)-IMshareM!BX$76&gt;0,IMshareM!BX21/(SUM(IMshareM!BX$2:BX$78)-IMshareM!BX$76),0))</f>
        <v>2.9631206244920261E-2</v>
      </c>
      <c r="BY21" s="8">
        <f>IF($A21=BY$1,0,IF(SUM(IMshareM!BY$2:BY$78)-IMshareM!BY$77&gt;0,IMshareM!BY21/(SUM(IMshareM!BY$2:BY$78)-IMshareM!BY$77),0))</f>
        <v>7.2332422061722842E-2</v>
      </c>
      <c r="BZ21" s="8">
        <f>IF($A21=BZ$1,0,IF(SUM(IMshareM!BZ$2:BZ$78)-IMshareM!BZ$78&gt;0,IMshareM!BZ21/(SUM(IMshareM!BZ$2:BZ$78)-IMshareM!BZ$78),0))</f>
        <v>6.1938917278383396E-2</v>
      </c>
    </row>
    <row r="22" spans="1:78">
      <c r="A22" s="4" t="s">
        <v>111</v>
      </c>
      <c r="B22" s="8">
        <f>IF($A22=B$1,0,IF(SUM(IMshareM!B$2:B$78)-IMshareM!B$2&gt;0,IMshareM!B22/(SUM(IMshareM!B$2:B$78)-IMshareM!B$2),0))</f>
        <v>2.1420524802981838E-3</v>
      </c>
      <c r="C22" s="8">
        <f>IF($A22=C$1,0,IF(SUM(IMshareM!C$2:C$78)-IMshareM!C$3&gt;0,IMshareM!C22/(SUM(IMshareM!C$2:C$78)-IMshareM!C$3),0))</f>
        <v>7.7141913315236631E-3</v>
      </c>
      <c r="D22" s="8">
        <f>IF($A22=D$1,0,IF(SUM(IMshareM!D$2:D$78)-IMshareM!D$4&gt;0,IMshareM!D22/(SUM(IMshareM!D$2:D$78)-IMshareM!D$4),0))</f>
        <v>2.8608004247282952E-3</v>
      </c>
      <c r="E22" s="8">
        <f>IF($A22=E$1,0,IF(SUM(IMshareM!E$2:E$78)-IMshareM!E$5&gt;0,IMshareM!E22/(SUM(IMshareM!E$2:E$78)-IMshareM!E$5),0))</f>
        <v>4.2408985988533618E-3</v>
      </c>
      <c r="F22" s="8">
        <f>IF($A22=F$1,0,IF(SUM(IMshareM!F$2:F$78)-IMshareM!F$6&gt;0,IMshareM!F22/(SUM(IMshareM!F$2:F$78)-IMshareM!F$6),0))</f>
        <v>4.830942690636334E-4</v>
      </c>
      <c r="G22" s="8">
        <f>IF($A22=G$1,0,IF(SUM(IMshareM!G$2:G$78)-IMshareM!G$7&gt;0,IMshareM!G22/(SUM(IMshareM!G$2:G$78)-IMshareM!G$7),0))</f>
        <v>5.5393387644633047E-3</v>
      </c>
      <c r="H22" s="8">
        <f>IF($A22=H$1,0,IF(SUM(IMshareM!H$2:H$78)-IMshareM!H$8&gt;0,IMshareM!H22/(SUM(IMshareM!H$2:H$78)-IMshareM!H$8),0))</f>
        <v>4.8422671197908288E-4</v>
      </c>
      <c r="I22" s="8">
        <f>IF($A22=I$1,0,IF(SUM(IMshareM!I$2:I$78)-IMshareM!I$9&gt;0,IMshareM!I22/(SUM(IMshareM!I$2:I$78)-IMshareM!I$9),0))</f>
        <v>1.8551518866433141E-3</v>
      </c>
      <c r="J22" s="8">
        <f>IF($A22=J$1,0,IF(SUM(IMshareM!J$2:J$78)-IMshareM!J$10&gt;0,IMshareM!J22/(SUM(IMshareM!J$2:J$78)-IMshareM!J$10),0))</f>
        <v>6.1453410980786887E-5</v>
      </c>
      <c r="K22" s="8">
        <f>IF($A22=K$1,0,IF(SUM(IMshareM!K$2:K$78)-IMshareM!K$11&gt;0,IMshareM!K22/(SUM(IMshareM!K$2:K$78)-IMshareM!K$11),0))</f>
        <v>4.7243526505173997E-3</v>
      </c>
      <c r="L22" s="8">
        <f>IF($A22=L$1,0,IF(SUM(IMshareM!L$2:L$78)-IMshareM!L$12&gt;0,IMshareM!L22/(SUM(IMshareM!L$2:L$78)-IMshareM!L$12),0))</f>
        <v>3.4869604397700679E-3</v>
      </c>
      <c r="M22" s="8">
        <f>IF($A22=M$1,0,IF(SUM(IMshareM!M$2:M$78)-IMshareM!M$13&gt;0,IMshareM!M22/(SUM(IMshareM!M$2:M$78)-IMshareM!M$13),0))</f>
        <v>1.1093322791558967E-3</v>
      </c>
      <c r="N22" s="8">
        <f>IF($A22=N$1,0,IF(SUM(IMshareM!N$2:N$78)-IMshareM!N$14&gt;0,IMshareM!N22/(SUM(IMshareM!N$2:N$78)-IMshareM!N$14),0))</f>
        <v>2.34038772610503E-3</v>
      </c>
      <c r="O22" s="8">
        <f>IF($A22=O$1,0,IF(SUM(IMshareM!O$2:O$78)-IMshareM!O$15&gt;0,IMshareM!O22/(SUM(IMshareM!O$2:O$78)-IMshareM!O$15),0))</f>
        <v>7.1482807439028292E-4</v>
      </c>
      <c r="P22" s="8">
        <f>IF($A22=P$1,0,IF(SUM(IMshareM!P$2:P$78)-IMshareM!P$16&gt;0,IMshareM!P22/(SUM(IMshareM!P$2:P$78)-IMshareM!P$16),0))</f>
        <v>3.8854481134054981E-4</v>
      </c>
      <c r="Q22" s="8">
        <f>IF($A22=Q$1,0,IF(SUM(IMshareM!Q$2:Q$78)-IMshareM!Q$17&gt;0,IMshareM!Q22/(SUM(IMshareM!Q$2:Q$78)-IMshareM!Q$17),0))</f>
        <v>1.7807978083409079E-3</v>
      </c>
      <c r="R22" s="8">
        <f>IF($A22=R$1,0,IF(SUM(IMshareM!R$2:R$78)-IMshareM!R$18&gt;0,IMshareM!R22/(SUM(IMshareM!R$2:R$78)-IMshareM!R$18),0))</f>
        <v>2.8944772894625645E-3</v>
      </c>
      <c r="S22" s="8">
        <f>IF($A22=S$1,0,IF(SUM(IMshareM!S$2:S$78)-IMshareM!S$19&gt;0,IMshareM!S22/(SUM(IMshareM!S$2:S$78)-IMshareM!S$19),0))</f>
        <v>1.3063359431165398E-3</v>
      </c>
      <c r="T22" s="8">
        <f>IF($A22=T$1,0,IF(SUM(IMshareM!T$2:T$78)-IMshareM!T$20&gt;0,IMshareM!T22/(SUM(IMshareM!T$2:T$78)-IMshareM!T$20),0))</f>
        <v>3.2234169600280369E-3</v>
      </c>
      <c r="U22" s="8">
        <f>IF($A22=U$1,0,IF(SUM(IMshareM!U$2:U$78)-IMshareM!U$21&gt;0,IMshareM!U22/(SUM(IMshareM!U$2:U$78)-IMshareM!U$21),0))</f>
        <v>7.7770634041143963E-3</v>
      </c>
      <c r="V22" s="8">
        <f>IF($A22=V$1,0,IF(SUM(IMshareM!V$2:V$78)-IMshareM!V$22&gt;0,IMshareM!V22/(SUM(IMshareM!V$2:V$78)-IMshareM!V$22),0))</f>
        <v>0</v>
      </c>
      <c r="W22" s="8">
        <f>IF($A22=W$1,0,IF(SUM(IMshareM!W$2:W$78)-IMshareM!W$23&gt;0,IMshareM!W22/(SUM(IMshareM!W$2:W$78)-IMshareM!W$23),0))</f>
        <v>9.3634023583469522E-4</v>
      </c>
      <c r="X22" s="8">
        <f>IF($A22=X$1,0,IF(SUM(IMshareM!X$2:X$78)-IMshareM!X$24&gt;0,IMshareM!X22/(SUM(IMshareM!X$2:X$78)-IMshareM!X$24),0))</f>
        <v>9.5502888654015201E-3</v>
      </c>
      <c r="Y22" s="8">
        <f>IF($A22=Y$1,0,IF(SUM(IMshareM!Y$2:Y$78)-IMshareM!Y$25&gt;0,IMshareM!Y22/(SUM(IMshareM!Y$2:Y$78)-IMshareM!Y$25),0))</f>
        <v>5.6509012562495813E-3</v>
      </c>
      <c r="Z22" s="8">
        <f>IF($A22=Z$1,0,IF(SUM(IMshareM!Z$2:Z$78)-IMshareM!Z$26&gt;0,IMshareM!Z22/(SUM(IMshareM!Z$2:Z$78)-IMshareM!Z$26),0))</f>
        <v>6.861532121689393E-3</v>
      </c>
      <c r="AA22" s="8">
        <f>IF($A22=AA$1,0,IF(SUM(IMshareM!AA$2:AA$78)-IMshareM!AA$27&gt;0,IMshareM!AA22/(SUM(IMshareM!AA$2:AA$78)-IMshareM!AA$27),0))</f>
        <v>1.1631590156004136E-2</v>
      </c>
      <c r="AB22" s="8">
        <f>IF($A22=AB$1,0,IF(SUM(IMshareM!AB$2:AB$78)-IMshareM!AB$28&gt;0,IMshareM!AB22/(SUM(IMshareM!AB$2:AB$78)-IMshareM!AB$28),0))</f>
        <v>7.2758633972818121E-3</v>
      </c>
      <c r="AC22" s="8">
        <f>IF($A22=AC$1,0,IF(SUM(IMshareM!AC$2:AC$78)-IMshareM!AC$29&gt;0,IMshareM!AC22/(SUM(IMshareM!AC$2:AC$78)-IMshareM!AC$29),0))</f>
        <v>1.1934843050704187E-3</v>
      </c>
      <c r="AD22" s="8">
        <f>IF($A22=AD$1,0,IF(SUM(IMshareM!AD$2:AD$78)-IMshareM!AD$30&gt;0,IMshareM!AD22/(SUM(IMshareM!AD$2:AD$78)-IMshareM!AD$30),0))</f>
        <v>2.9798564992377708E-4</v>
      </c>
      <c r="AE22" s="8">
        <f>IF($A22=AE$1,0,IF(SUM(IMshareM!AE$2:AE$78)-IMshareM!AE$31&gt;0,IMshareM!AE22/(SUM(IMshareM!AE$2:AE$78)-IMshareM!AE$31),0))</f>
        <v>1.561151132536787E-2</v>
      </c>
      <c r="AF22" s="8">
        <f>IF($A22=AF$1,0,IF(SUM(IMshareM!AF$2:AF$78)-IMshareM!AF$32&gt;0,IMshareM!AF22/(SUM(IMshareM!AF$2:AF$78)-IMshareM!AF$32),0))</f>
        <v>1.4121943106865027E-2</v>
      </c>
      <c r="AG22" s="8">
        <f>IF($A22=AG$1,0,IF(SUM(IMshareM!AG$2:AG$78)-IMshareM!AG$33&gt;0,IMshareM!AG22/(SUM(IMshareM!AG$2:AG$78)-IMshareM!AG$33),0))</f>
        <v>5.2222388507675455E-4</v>
      </c>
      <c r="AH22" s="8">
        <f>IF($A22=AH$1,0,IF(SUM(IMshareM!AH$2:AH$78)-IMshareM!AH$34&gt;0,IMshareM!AH22/(SUM(IMshareM!AH$2:AH$78)-IMshareM!AH$34),0))</f>
        <v>2.6767133674877159E-3</v>
      </c>
      <c r="AI22" s="8">
        <f>IF($A22=AI$1,0,IF(SUM(IMshareM!AI$2:AI$78)-IMshareM!AI$35&gt;0,IMshareM!AI22/(SUM(IMshareM!AI$2:AI$78)-IMshareM!AI$35),0))</f>
        <v>8.4013396297109577E-3</v>
      </c>
      <c r="AJ22" s="8">
        <f>IF($A22=AJ$1,0,IF(SUM(IMshareM!AJ$2:AJ$78)-IMshareM!AJ$36&gt;0,IMshareM!AJ22/(SUM(IMshareM!AJ$2:AJ$78)-IMshareM!AJ$36),0))</f>
        <v>4.6422097042933881E-2</v>
      </c>
      <c r="AK22" s="8">
        <f>IF($A22=AK$1,0,IF(SUM(IMshareM!AK$2:AK$78)-IMshareM!AK$37&gt;0,IMshareM!AK22/(SUM(IMshareM!AK$2:AK$78)-IMshareM!AK$37),0))</f>
        <v>2.7350734508890346E-3</v>
      </c>
      <c r="AL22" s="8">
        <f>IF($A22=AL$1,0,IF(SUM(IMshareM!AL$2:AL$78)-IMshareM!AL$38&gt;0,IMshareM!AL22/(SUM(IMshareM!AL$2:AL$78)-IMshareM!AL$38),0))</f>
        <v>6.5023121696439782E-3</v>
      </c>
      <c r="AM22" s="8">
        <f>IF($A22=AM$1,0,IF(SUM(IMshareM!AM$2:AM$78)-IMshareM!AM$39&gt;0,IMshareM!AM22/(SUM(IMshareM!AM$2:AM$78)-IMshareM!AM$39),0))</f>
        <v>1.105424046501722E-3</v>
      </c>
      <c r="AN22" s="8">
        <f>IF($A22=AN$1,0,IF(SUM(IMshareM!AN$2:AN$78)-IMshareM!AN$40&gt;0,IMshareM!AN22/(SUM(IMshareM!AN$2:AN$78)-IMshareM!AN$40),0))</f>
        <v>3.5251240576266662E-3</v>
      </c>
      <c r="AO22" s="8">
        <f>IF($A22=AO$1,0,IF(SUM(IMshareM!AO$2:AO$78)-IMshareM!AO$41&gt;0,IMshareM!AO22/(SUM(IMshareM!AO$2:AO$78)-IMshareM!AO$41),0))</f>
        <v>5.4308649311699889E-3</v>
      </c>
      <c r="AP22" s="8">
        <f>IF($A22=AP$1,0,IF(SUM(IMshareM!AP$2:AP$78)-IMshareM!AP$42&gt;0,IMshareM!AP22/(SUM(IMshareM!AP$2:AP$78)-IMshareM!AP$42),0))</f>
        <v>7.8655070243039993E-5</v>
      </c>
      <c r="AQ22" s="8">
        <f>IF($A22=AQ$1,0,IF(SUM(IMshareM!AQ$2:AQ$78)-IMshareM!AQ$43&gt;0,IMshareM!AQ22/(SUM(IMshareM!AQ$2:AQ$78)-IMshareM!AQ$43),0))</f>
        <v>1.3277656547536381E-3</v>
      </c>
      <c r="AR22" s="8">
        <f>IF($A22=AR$1,0,IF(SUM(IMshareM!AR$2:AR$78)-IMshareM!AR$44&gt;0,IMshareM!AR22/(SUM(IMshareM!AR$2:AR$78)-IMshareM!AR$44),0))</f>
        <v>0</v>
      </c>
      <c r="AS22" s="8">
        <f>IF($A22=AS$1,0,IF(SUM(IMshareM!AS$2:AS$78)-IMshareM!AS$45&gt;0,IMshareM!AS22/(SUM(IMshareM!AS$2:AS$78)-IMshareM!AS$45),0))</f>
        <v>2.5061106070950544E-2</v>
      </c>
      <c r="AT22" s="8">
        <f>IF($A22=AT$1,0,IF(SUM(IMshareM!AT$2:AT$78)-IMshareM!AT$46&gt;0,IMshareM!AT22/(SUM(IMshareM!AT$2:AT$78)-IMshareM!AT$46),0))</f>
        <v>2.6031971838075059E-3</v>
      </c>
      <c r="AU22" s="8">
        <f>IF($A22=AU$1,0,IF(SUM(IMshareM!AU$2:AU$78)-IMshareM!AU$47&gt;0,IMshareM!AU22/(SUM(IMshareM!AU$2:AU$78)-IMshareM!AU$47),0))</f>
        <v>1.880756908486721E-2</v>
      </c>
      <c r="AV22" s="8">
        <f>IF($A22=AV$1,0,IF(SUM(IMshareM!AV$2:AV$78)-IMshareM!AV$48&gt;0,IMshareM!AV22/(SUM(IMshareM!AV$2:AV$78)-IMshareM!AV$48),0))</f>
        <v>6.451944907956292E-3</v>
      </c>
      <c r="AW22" s="8">
        <f>IF($A22=AW$1,0,IF(SUM(IMshareM!AW$2:AW$78)-IMshareM!AW$49&gt;0,IMshareM!AW22/(SUM(IMshareM!AW$2:AW$78)-IMshareM!AW$49),0))</f>
        <v>1.8327746820435105E-4</v>
      </c>
      <c r="AX22" s="8">
        <f>IF($A22=AX$1,0,IF(SUM(IMshareM!AX$2:AX$78)-IMshareM!AX$50&gt;0,IMshareM!AX22/(SUM(IMshareM!AX$2:AX$78)-IMshareM!AX$50),0))</f>
        <v>6.1841823468073798E-4</v>
      </c>
      <c r="AY22" s="8">
        <f>IF($A22=AY$1,0,IF(SUM(IMshareM!AY$2:AY$78)-IMshareM!AY$51&gt;0,IMshareM!AY22/(SUM(IMshareM!AY$2:AY$78)-IMshareM!AY$51),0))</f>
        <v>0</v>
      </c>
      <c r="AZ22" s="8">
        <f>IF($A22=AZ$1,0,IF(SUM(IMshareM!AZ$2:AZ$78)-IMshareM!AZ$52&gt;0,IMshareM!AZ22/(SUM(IMshareM!AZ$2:AZ$78)-IMshareM!AZ$52),0))</f>
        <v>3.1860649136469262E-4</v>
      </c>
      <c r="BA22" s="8">
        <f>IF($A22=BA$1,0,IF(SUM(IMshareM!BA$2:BA$78)-IMshareM!BA$53&gt;0,IMshareM!BA22/(SUM(IMshareM!BA$2:BA$78)-IMshareM!BA$53),0))</f>
        <v>1.0808009041167685E-3</v>
      </c>
      <c r="BB22" s="8">
        <f>IF($A22=BB$1,0,IF(SUM(IMshareM!BB$2:BB$78)-IMshareM!BB$54&gt;0,IMshareM!BB22/(SUM(IMshareM!BB$2:BB$78)-IMshareM!BB$54),0))</f>
        <v>1.3189749965541495E-2</v>
      </c>
      <c r="BC22" s="8">
        <f>IF($A22=BC$1,0,IF(SUM(IMshareM!BC$2:BC$78)-IMshareM!BC$55&gt;0,IMshareM!BC22/(SUM(IMshareM!BC$2:BC$78)-IMshareM!BC$55),0))</f>
        <v>4.3565638095787493E-2</v>
      </c>
      <c r="BD22" s="8">
        <f>IF($A22=BD$1,0,IF(SUM(IMshareM!BD$2:BD$78)-IMshareM!BD$56&gt;0,IMshareM!BD22/(SUM(IMshareM!BD$2:BD$78)-IMshareM!BD$56),0))</f>
        <v>1.8221595203801635E-2</v>
      </c>
      <c r="BE22" s="8">
        <f>IF($A22=BE$1,0,IF(SUM(IMshareM!BE$2:BE$78)-IMshareM!BE$57&gt;0,IMshareM!BE22/(SUM(IMshareM!BE$2:BE$78)-IMshareM!BE$57),0))</f>
        <v>1.263889452187315E-3</v>
      </c>
      <c r="BF22" s="8">
        <f>IF($A22=BF$1,0,IF(SUM(IMshareM!BF$2:BF$78)-IMshareM!BF$58&gt;0,IMshareM!BF22/(SUM(IMshareM!BF$2:BF$78)-IMshareM!BF$58),0))</f>
        <v>7.2160585517497212E-4</v>
      </c>
      <c r="BG22" s="8">
        <f>IF($A22=BG$1,0,IF(SUM(IMshareM!BG$2:BG$78)-IMshareM!BG$59&gt;0,IMshareM!BG22/(SUM(IMshareM!BG$2:BG$78)-IMshareM!BG$59),0))</f>
        <v>8.991286160795292E-4</v>
      </c>
      <c r="BH22" s="8">
        <f>IF($A22=BH$1,0,IF(SUM(IMshareM!BH$2:BH$78)-IMshareM!BH$60&gt;0,IMshareM!BH22/(SUM(IMshareM!BH$2:BH$78)-IMshareM!BH$60),0))</f>
        <v>8.4996069145221089E-3</v>
      </c>
      <c r="BI22" s="8">
        <f>IF($A22=BI$1,0,IF(SUM(IMshareM!BI$2:BI$78)-IMshareM!BI$61&gt;0,IMshareM!BI22/(SUM(IMshareM!BI$2:BI$78)-IMshareM!BI$61),0))</f>
        <v>9.0568813083634677E-3</v>
      </c>
      <c r="BJ22" s="8">
        <f>IF($A22=BJ$1,0,IF(SUM(IMshareM!BJ$2:BJ$78)-IMshareM!BJ$62&gt;0,IMshareM!BJ22/(SUM(IMshareM!BJ$2:BJ$78)-IMshareM!BJ$62),0))</f>
        <v>9.1399040482738521E-4</v>
      </c>
      <c r="BK22" s="8">
        <f>IF($A22=BK$1,0,IF(SUM(IMshareM!BK$2:BK$78)-IMshareM!BK$63&gt;0,IMshareM!BK22/(SUM(IMshareM!BK$2:BK$78)-IMshareM!BK$63),0))</f>
        <v>4.3360300356284926E-3</v>
      </c>
      <c r="BL22" s="8">
        <f>IF($A22=BL$1,0,IF(SUM(IMshareM!BL$2:BL$78)-IMshareM!BL$64&gt;0,IMshareM!BL22/(SUM(IMshareM!BL$2:BL$78)-IMshareM!BL$64),0))</f>
        <v>2.1907430142960389E-3</v>
      </c>
      <c r="BM22" s="8">
        <f>IF($A22=BM$1,0,IF(SUM(IMshareM!BM$2:BM$78)-IMshareM!BM$65&gt;0,IMshareM!BM22/(SUM(IMshareM!BM$2:BM$78)-IMshareM!BM$65),0))</f>
        <v>7.4722414632550412E-4</v>
      </c>
      <c r="BN22" s="8">
        <f>IF($A22=BN$1,0,IF(SUM(IMshareM!BN$2:BN$78)-IMshareM!BN$66&gt;0,IMshareM!BN22/(SUM(IMshareM!BN$2:BN$78)-IMshareM!BN$66),0))</f>
        <v>9.8669139813387747E-4</v>
      </c>
      <c r="BO22" s="8">
        <f>IF($A22=BO$1,0,IF(SUM(IMshareM!BO$2:BO$78)-IMshareM!BO$67&gt;0,IMshareM!BO22/(SUM(IMshareM!BO$2:BO$78)-IMshareM!BO$67),0))</f>
        <v>4.0642720155851852E-4</v>
      </c>
      <c r="BP22" s="8">
        <f>IF($A22=BP$1,0,IF(SUM(IMshareM!BP$2:BP$78)-IMshareM!BP$68&gt;0,IMshareM!BP22/(SUM(IMshareM!BP$2:BP$78)-IMshareM!BP$68),0))</f>
        <v>2.5032093115478151E-3</v>
      </c>
      <c r="BQ22" s="8">
        <f>IF($A22=BQ$1,0,IF(SUM(IMshareM!BQ$2:BQ$78)-IMshareM!BQ$69&gt;0,IMshareM!BQ22/(SUM(IMshareM!BQ$2:BQ$78)-IMshareM!BQ$69),0))</f>
        <v>2.2931838574044877E-2</v>
      </c>
      <c r="BR22" s="8">
        <f>IF($A22=BR$1,0,IF(SUM(IMshareM!BR$2:BR$78)-IMshareM!BR$70&gt;0,IMshareM!BR22/(SUM(IMshareM!BR$2:BR$78)-IMshareM!BR$70),0))</f>
        <v>9.9777321481565894E-4</v>
      </c>
      <c r="BS22" s="8">
        <f>IF($A22=BS$1,0,IF(SUM(IMshareM!BS$2:BS$78)-IMshareM!BS$71&gt;0,IMshareM!BS22/(SUM(IMshareM!BS$2:BS$78)-IMshareM!BS$71),0))</f>
        <v>2.4761629066765364E-3</v>
      </c>
      <c r="BT22" s="8">
        <f>IF($A22=BT$1,0,IF(SUM(IMshareM!BT$2:BT$78)-IMshareM!BT$72&gt;0,IMshareM!BT22/(SUM(IMshareM!BT$2:BT$78)-IMshareM!BT$72),0))</f>
        <v>4.0637664627796478E-3</v>
      </c>
      <c r="BU22" s="8">
        <f>IF($A22=BU$1,0,IF(SUM(IMshareM!BU$2:BU$78)-IMshareM!BU$73&gt;0,IMshareM!BU22/(SUM(IMshareM!BU$2:BU$78)-IMshareM!BU$73),0))</f>
        <v>3.9452734577989463E-3</v>
      </c>
      <c r="BV22" s="8">
        <f>IF($A22=BV$1,0,IF(SUM(IMshareM!BV$2:BV$78)-IMshareM!BV$74&gt;0,IMshareM!BV22/(SUM(IMshareM!BV$2:BV$78)-IMshareM!BV$74),0))</f>
        <v>3.1770124511805191E-3</v>
      </c>
      <c r="BW22" s="8">
        <f>IF($A22=BW$1,0,IF(SUM(IMshareM!BW$2:BW$78)-IMshareM!BW$75&gt;0,IMshareM!BW22/(SUM(IMshareM!BW$2:BW$78)-IMshareM!BW$75),0))</f>
        <v>3.7008235064129934E-3</v>
      </c>
      <c r="BX22" s="8">
        <f>IF($A22=BX$1,0,IF(SUM(IMshareM!BX$2:BX$78)-IMshareM!BX$76&gt;0,IMshareM!BX22/(SUM(IMshareM!BX$2:BX$78)-IMshareM!BX$76),0))</f>
        <v>8.92055679961293E-4</v>
      </c>
      <c r="BY22" s="8">
        <f>IF($A22=BY$1,0,IF(SUM(IMshareM!BY$2:BY$78)-IMshareM!BY$77&gt;0,IMshareM!BY22/(SUM(IMshareM!BY$2:BY$78)-IMshareM!BY$77),0))</f>
        <v>2.6945039004472493E-3</v>
      </c>
      <c r="BZ22" s="8">
        <f>IF($A22=BZ$1,0,IF(SUM(IMshareM!BZ$2:BZ$78)-IMshareM!BZ$78&gt;0,IMshareM!BZ22/(SUM(IMshareM!BZ$2:BZ$78)-IMshareM!BZ$78),0))</f>
        <v>1.5760912946521852E-3</v>
      </c>
    </row>
    <row r="23" spans="1:78">
      <c r="A23" s="4" t="s">
        <v>113</v>
      </c>
      <c r="B23" s="8">
        <f>IF($A23=B$1,0,IF(SUM(IMshareM!B$2:B$78)-IMshareM!B$2&gt;0,IMshareM!B23/(SUM(IMshareM!B$2:B$78)-IMshareM!B$2),0))</f>
        <v>0</v>
      </c>
      <c r="C23" s="8">
        <f>IF($A23=C$1,0,IF(SUM(IMshareM!C$2:C$78)-IMshareM!C$3&gt;0,IMshareM!C23/(SUM(IMshareM!C$2:C$78)-IMshareM!C$3),0))</f>
        <v>2.5815616407132098E-4</v>
      </c>
      <c r="D23" s="8">
        <f>IF($A23=D$1,0,IF(SUM(IMshareM!D$2:D$78)-IMshareM!D$4&gt;0,IMshareM!D23/(SUM(IMshareM!D$2:D$78)-IMshareM!D$4),0))</f>
        <v>4.2527889932870285E-6</v>
      </c>
      <c r="E23" s="8">
        <f>IF($A23=E$1,0,IF(SUM(IMshareM!E$2:E$78)-IMshareM!E$5&gt;0,IMshareM!E23/(SUM(IMshareM!E$2:E$78)-IMshareM!E$5),0))</f>
        <v>1.4641642614092632E-6</v>
      </c>
      <c r="F23" s="8">
        <f>IF($A23=F$1,0,IF(SUM(IMshareM!F$2:F$78)-IMshareM!F$6&gt;0,IMshareM!F23/(SUM(IMshareM!F$2:F$78)-IMshareM!F$6),0))</f>
        <v>0</v>
      </c>
      <c r="G23" s="8">
        <f>IF($A23=G$1,0,IF(SUM(IMshareM!G$2:G$78)-IMshareM!G$7&gt;0,IMshareM!G23/(SUM(IMshareM!G$2:G$78)-IMshareM!G$7),0))</f>
        <v>6.090187824024574E-4</v>
      </c>
      <c r="H23" s="8">
        <f>IF($A23=H$1,0,IF(SUM(IMshareM!H$2:H$78)-IMshareM!H$8&gt;0,IMshareM!H23/(SUM(IMshareM!H$2:H$78)-IMshareM!H$8),0))</f>
        <v>0</v>
      </c>
      <c r="I23" s="8">
        <f>IF($A23=I$1,0,IF(SUM(IMshareM!I$2:I$78)-IMshareM!I$9&gt;0,IMshareM!I23/(SUM(IMshareM!I$2:I$78)-IMshareM!I$9),0))</f>
        <v>0</v>
      </c>
      <c r="J23" s="8">
        <f>IF($A23=J$1,0,IF(SUM(IMshareM!J$2:J$78)-IMshareM!J$10&gt;0,IMshareM!J23/(SUM(IMshareM!J$2:J$78)-IMshareM!J$10),0))</f>
        <v>0</v>
      </c>
      <c r="K23" s="8">
        <f>IF($A23=K$1,0,IF(SUM(IMshareM!K$2:K$78)-IMshareM!K$11&gt;0,IMshareM!K23/(SUM(IMshareM!K$2:K$78)-IMshareM!K$11),0))</f>
        <v>1.449245132590037E-5</v>
      </c>
      <c r="L23" s="8">
        <f>IF($A23=L$1,0,IF(SUM(IMshareM!L$2:L$78)-IMshareM!L$12&gt;0,IMshareM!L23/(SUM(IMshareM!L$2:L$78)-IMshareM!L$12),0))</f>
        <v>2.8595346128675494E-6</v>
      </c>
      <c r="M23" s="8">
        <f>IF($A23=M$1,0,IF(SUM(IMshareM!M$2:M$78)-IMshareM!M$13&gt;0,IMshareM!M23/(SUM(IMshareM!M$2:M$78)-IMshareM!M$13),0))</f>
        <v>0</v>
      </c>
      <c r="N23" s="8">
        <f>IF($A23=N$1,0,IF(SUM(IMshareM!N$2:N$78)-IMshareM!N$14&gt;0,IMshareM!N23/(SUM(IMshareM!N$2:N$78)-IMshareM!N$14),0))</f>
        <v>7.239214098328009E-9</v>
      </c>
      <c r="O23" s="8">
        <f>IF($A23=O$1,0,IF(SUM(IMshareM!O$2:O$78)-IMshareM!O$15&gt;0,IMshareM!O23/(SUM(IMshareM!O$2:O$78)-IMshareM!O$15),0))</f>
        <v>0</v>
      </c>
      <c r="P23" s="8">
        <f>IF($A23=P$1,0,IF(SUM(IMshareM!P$2:P$78)-IMshareM!P$16&gt;0,IMshareM!P23/(SUM(IMshareM!P$2:P$78)-IMshareM!P$16),0))</f>
        <v>0</v>
      </c>
      <c r="Q23" s="8">
        <f>IF($A23=Q$1,0,IF(SUM(IMshareM!Q$2:Q$78)-IMshareM!Q$17&gt;0,IMshareM!Q23/(SUM(IMshareM!Q$2:Q$78)-IMshareM!Q$17),0))</f>
        <v>0</v>
      </c>
      <c r="R23" s="8">
        <f>IF($A23=R$1,0,IF(SUM(IMshareM!R$2:R$78)-IMshareM!R$18&gt;0,IMshareM!R23/(SUM(IMshareM!R$2:R$78)-IMshareM!R$18),0))</f>
        <v>0</v>
      </c>
      <c r="S23" s="8">
        <f>IF($A23=S$1,0,IF(SUM(IMshareM!S$2:S$78)-IMshareM!S$19&gt;0,IMshareM!S23/(SUM(IMshareM!S$2:S$78)-IMshareM!S$19),0))</f>
        <v>0</v>
      </c>
      <c r="T23" s="8">
        <f>IF($A23=T$1,0,IF(SUM(IMshareM!T$2:T$78)-IMshareM!T$20&gt;0,IMshareM!T23/(SUM(IMshareM!T$2:T$78)-IMshareM!T$20),0))</f>
        <v>1.9154158612688816E-9</v>
      </c>
      <c r="U23" s="8">
        <f>IF($A23=U$1,0,IF(SUM(IMshareM!U$2:U$78)-IMshareM!U$21&gt;0,IMshareM!U23/(SUM(IMshareM!U$2:U$78)-IMshareM!U$21),0))</f>
        <v>2.1716507965119424E-5</v>
      </c>
      <c r="V23" s="8">
        <f>IF($A23=V$1,0,IF(SUM(IMshareM!V$2:V$78)-IMshareM!V$22&gt;0,IMshareM!V23/(SUM(IMshareM!V$2:V$78)-IMshareM!V$22),0))</f>
        <v>2.263370612271076E-5</v>
      </c>
      <c r="W23" s="8">
        <f>IF($A23=W$1,0,IF(SUM(IMshareM!W$2:W$78)-IMshareM!W$23&gt;0,IMshareM!W23/(SUM(IMshareM!W$2:W$78)-IMshareM!W$23),0))</f>
        <v>0</v>
      </c>
      <c r="X23" s="8">
        <f>IF($A23=X$1,0,IF(SUM(IMshareM!X$2:X$78)-IMshareM!X$24&gt;0,IMshareM!X23/(SUM(IMshareM!X$2:X$78)-IMshareM!X$24),0))</f>
        <v>1.2785528515248833E-4</v>
      </c>
      <c r="Y23" s="8">
        <f>IF($A23=Y$1,0,IF(SUM(IMshareM!Y$2:Y$78)-IMshareM!Y$25&gt;0,IMshareM!Y23/(SUM(IMshareM!Y$2:Y$78)-IMshareM!Y$25),0))</f>
        <v>0</v>
      </c>
      <c r="Z23" s="8">
        <f>IF($A23=Z$1,0,IF(SUM(IMshareM!Z$2:Z$78)-IMshareM!Z$26&gt;0,IMshareM!Z23/(SUM(IMshareM!Z$2:Z$78)-IMshareM!Z$26),0))</f>
        <v>1.8209207959671315E-5</v>
      </c>
      <c r="AA23" s="8">
        <f>IF($A23=AA$1,0,IF(SUM(IMshareM!AA$2:AA$78)-IMshareM!AA$27&gt;0,IMshareM!AA23/(SUM(IMshareM!AA$2:AA$78)-IMshareM!AA$27),0))</f>
        <v>4.276342419101193E-5</v>
      </c>
      <c r="AB23" s="8">
        <f>IF($A23=AB$1,0,IF(SUM(IMshareM!AB$2:AB$78)-IMshareM!AB$28&gt;0,IMshareM!AB23/(SUM(IMshareM!AB$2:AB$78)-IMshareM!AB$28),0))</f>
        <v>2.9300238973646743E-5</v>
      </c>
      <c r="AC23" s="8">
        <f>IF($A23=AC$1,0,IF(SUM(IMshareM!AC$2:AC$78)-IMshareM!AC$29&gt;0,IMshareM!AC23/(SUM(IMshareM!AC$2:AC$78)-IMshareM!AC$29),0))</f>
        <v>3.5503560195146254E-5</v>
      </c>
      <c r="AD23" s="8">
        <f>IF($A23=AD$1,0,IF(SUM(IMshareM!AD$2:AD$78)-IMshareM!AD$30&gt;0,IMshareM!AD23/(SUM(IMshareM!AD$2:AD$78)-IMshareM!AD$30),0))</f>
        <v>0</v>
      </c>
      <c r="AE23" s="8">
        <f>IF($A23=AE$1,0,IF(SUM(IMshareM!AE$2:AE$78)-IMshareM!AE$31&gt;0,IMshareM!AE23/(SUM(IMshareM!AE$2:AE$78)-IMshareM!AE$31),0))</f>
        <v>0</v>
      </c>
      <c r="AF23" s="8">
        <f>IF($A23=AF$1,0,IF(SUM(IMshareM!AF$2:AF$78)-IMshareM!AF$32&gt;0,IMshareM!AF23/(SUM(IMshareM!AF$2:AF$78)-IMshareM!AF$32),0))</f>
        <v>0</v>
      </c>
      <c r="AG23" s="8">
        <f>IF($A23=AG$1,0,IF(SUM(IMshareM!AG$2:AG$78)-IMshareM!AG$33&gt;0,IMshareM!AG23/(SUM(IMshareM!AG$2:AG$78)-IMshareM!AG$33),0))</f>
        <v>0</v>
      </c>
      <c r="AH23" s="8">
        <f>IF($A23=AH$1,0,IF(SUM(IMshareM!AH$2:AH$78)-IMshareM!AH$34&gt;0,IMshareM!AH23/(SUM(IMshareM!AH$2:AH$78)-IMshareM!AH$34),0))</f>
        <v>2.4466810420989926E-6</v>
      </c>
      <c r="AI23" s="8">
        <f>IF($A23=AI$1,0,IF(SUM(IMshareM!AI$2:AI$78)-IMshareM!AI$35&gt;0,IMshareM!AI23/(SUM(IMshareM!AI$2:AI$78)-IMshareM!AI$35),0))</f>
        <v>0</v>
      </c>
      <c r="AJ23" s="8">
        <f>IF($A23=AJ$1,0,IF(SUM(IMshareM!AJ$2:AJ$78)-IMshareM!AJ$36&gt;0,IMshareM!AJ23/(SUM(IMshareM!AJ$2:AJ$78)-IMshareM!AJ$36),0))</f>
        <v>0</v>
      </c>
      <c r="AK23" s="8">
        <f>IF($A23=AK$1,0,IF(SUM(IMshareM!AK$2:AK$78)-IMshareM!AK$37&gt;0,IMshareM!AK23/(SUM(IMshareM!AK$2:AK$78)-IMshareM!AK$37),0))</f>
        <v>0</v>
      </c>
      <c r="AL23" s="8">
        <f>IF($A23=AL$1,0,IF(SUM(IMshareM!AL$2:AL$78)-IMshareM!AL$38&gt;0,IMshareM!AL23/(SUM(IMshareM!AL$2:AL$78)-IMshareM!AL$38),0))</f>
        <v>1.0309838210656721E-4</v>
      </c>
      <c r="AM23" s="8">
        <f>IF($A23=AM$1,0,IF(SUM(IMshareM!AM$2:AM$78)-IMshareM!AM$39&gt;0,IMshareM!AM23/(SUM(IMshareM!AM$2:AM$78)-IMshareM!AM$39),0))</f>
        <v>4.6903133449904544E-3</v>
      </c>
      <c r="AN23" s="8">
        <f>IF($A23=AN$1,0,IF(SUM(IMshareM!AN$2:AN$78)-IMshareM!AN$40&gt;0,IMshareM!AN23/(SUM(IMshareM!AN$2:AN$78)-IMshareM!AN$40),0))</f>
        <v>0</v>
      </c>
      <c r="AO23" s="8">
        <f>IF($A23=AO$1,0,IF(SUM(IMshareM!AO$2:AO$78)-IMshareM!AO$41&gt;0,IMshareM!AO23/(SUM(IMshareM!AO$2:AO$78)-IMshareM!AO$41),0))</f>
        <v>0</v>
      </c>
      <c r="AP23" s="8">
        <f>IF($A23=AP$1,0,IF(SUM(IMshareM!AP$2:AP$78)-IMshareM!AP$42&gt;0,IMshareM!AP23/(SUM(IMshareM!AP$2:AP$78)-IMshareM!AP$42),0))</f>
        <v>0</v>
      </c>
      <c r="AQ23" s="8">
        <f>IF($A23=AQ$1,0,IF(SUM(IMshareM!AQ$2:AQ$78)-IMshareM!AQ$43&gt;0,IMshareM!AQ23/(SUM(IMshareM!AQ$2:AQ$78)-IMshareM!AQ$43),0))</f>
        <v>1.5917339251756851E-7</v>
      </c>
      <c r="AR23" s="8">
        <f>IF($A23=AR$1,0,IF(SUM(IMshareM!AR$2:AR$78)-IMshareM!AR$44&gt;0,IMshareM!AR23/(SUM(IMshareM!AR$2:AR$78)-IMshareM!AR$44),0))</f>
        <v>0</v>
      </c>
      <c r="AS23" s="8">
        <f>IF($A23=AS$1,0,IF(SUM(IMshareM!AS$2:AS$78)-IMshareM!AS$45&gt;0,IMshareM!AS23/(SUM(IMshareM!AS$2:AS$78)-IMshareM!AS$45),0))</f>
        <v>0</v>
      </c>
      <c r="AT23" s="8">
        <f>IF($A23=AT$1,0,IF(SUM(IMshareM!AT$2:AT$78)-IMshareM!AT$46&gt;0,IMshareM!AT23/(SUM(IMshareM!AT$2:AT$78)-IMshareM!AT$46),0))</f>
        <v>0</v>
      </c>
      <c r="AU23" s="8">
        <f>IF($A23=AU$1,0,IF(SUM(IMshareM!AU$2:AU$78)-IMshareM!AU$47&gt;0,IMshareM!AU23/(SUM(IMshareM!AU$2:AU$78)-IMshareM!AU$47),0))</f>
        <v>0</v>
      </c>
      <c r="AV23" s="8">
        <f>IF($A23=AV$1,0,IF(SUM(IMshareM!AV$2:AV$78)-IMshareM!AV$48&gt;0,IMshareM!AV23/(SUM(IMshareM!AV$2:AV$78)-IMshareM!AV$48),0))</f>
        <v>2.6977290276459776E-5</v>
      </c>
      <c r="AW23" s="8">
        <f>IF($A23=AW$1,0,IF(SUM(IMshareM!AW$2:AW$78)-IMshareM!AW$49&gt;0,IMshareM!AW23/(SUM(IMshareM!AW$2:AW$78)-IMshareM!AW$49),0))</f>
        <v>0</v>
      </c>
      <c r="AX23" s="8">
        <f>IF($A23=AX$1,0,IF(SUM(IMshareM!AX$2:AX$78)-IMshareM!AX$50&gt;0,IMshareM!AX23/(SUM(IMshareM!AX$2:AX$78)-IMshareM!AX$50),0))</f>
        <v>0</v>
      </c>
      <c r="AY23" s="8">
        <f>IF($A23=AY$1,0,IF(SUM(IMshareM!AY$2:AY$78)-IMshareM!AY$51&gt;0,IMshareM!AY23/(SUM(IMshareM!AY$2:AY$78)-IMshareM!AY$51),0))</f>
        <v>0</v>
      </c>
      <c r="AZ23" s="8">
        <f>IF($A23=AZ$1,0,IF(SUM(IMshareM!AZ$2:AZ$78)-IMshareM!AZ$52&gt;0,IMshareM!AZ23/(SUM(IMshareM!AZ$2:AZ$78)-IMshareM!AZ$52),0))</f>
        <v>0</v>
      </c>
      <c r="BA23" s="8">
        <f>IF($A23=BA$1,0,IF(SUM(IMshareM!BA$2:BA$78)-IMshareM!BA$53&gt;0,IMshareM!BA23/(SUM(IMshareM!BA$2:BA$78)-IMshareM!BA$53),0))</f>
        <v>8.362687925668378E-5</v>
      </c>
      <c r="BB23" s="8">
        <f>IF($A23=BB$1,0,IF(SUM(IMshareM!BB$2:BB$78)-IMshareM!BB$54&gt;0,IMshareM!BB23/(SUM(IMshareM!BB$2:BB$78)-IMshareM!BB$54),0))</f>
        <v>3.8199035510465804E-6</v>
      </c>
      <c r="BC23" s="8">
        <f>IF($A23=BC$1,0,IF(SUM(IMshareM!BC$2:BC$78)-IMshareM!BC$55&gt;0,IMshareM!BC23/(SUM(IMshareM!BC$2:BC$78)-IMshareM!BC$55),0))</f>
        <v>0</v>
      </c>
      <c r="BD23" s="8">
        <f>IF($A23=BD$1,0,IF(SUM(IMshareM!BD$2:BD$78)-IMshareM!BD$56&gt;0,IMshareM!BD23/(SUM(IMshareM!BD$2:BD$78)-IMshareM!BD$56),0))</f>
        <v>0</v>
      </c>
      <c r="BE23" s="8">
        <f>IF($A23=BE$1,0,IF(SUM(IMshareM!BE$2:BE$78)-IMshareM!BE$57&gt;0,IMshareM!BE23/(SUM(IMshareM!BE$2:BE$78)-IMshareM!BE$57),0))</f>
        <v>0</v>
      </c>
      <c r="BF23" s="8">
        <f>IF($A23=BF$1,0,IF(SUM(IMshareM!BF$2:BF$78)-IMshareM!BF$58&gt;0,IMshareM!BF23/(SUM(IMshareM!BF$2:BF$78)-IMshareM!BF$58),0))</f>
        <v>0</v>
      </c>
      <c r="BG23" s="8">
        <f>IF($A23=BG$1,0,IF(SUM(IMshareM!BG$2:BG$78)-IMshareM!BG$59&gt;0,IMshareM!BG23/(SUM(IMshareM!BG$2:BG$78)-IMshareM!BG$59),0))</f>
        <v>2.242946748676498E-7</v>
      </c>
      <c r="BH23" s="8">
        <f>IF($A23=BH$1,0,IF(SUM(IMshareM!BH$2:BH$78)-IMshareM!BH$60&gt;0,IMshareM!BH23/(SUM(IMshareM!BH$2:BH$78)-IMshareM!BH$60),0))</f>
        <v>1.6842427312107891E-5</v>
      </c>
      <c r="BI23" s="8">
        <f>IF($A23=BI$1,0,IF(SUM(IMshareM!BI$2:BI$78)-IMshareM!BI$61&gt;0,IMshareM!BI23/(SUM(IMshareM!BI$2:BI$78)-IMshareM!BI$61),0))</f>
        <v>0</v>
      </c>
      <c r="BJ23" s="8">
        <f>IF($A23=BJ$1,0,IF(SUM(IMshareM!BJ$2:BJ$78)-IMshareM!BJ$62&gt;0,IMshareM!BJ23/(SUM(IMshareM!BJ$2:BJ$78)-IMshareM!BJ$62),0))</f>
        <v>2.1770124696046455E-6</v>
      </c>
      <c r="BK23" s="8">
        <f>IF($A23=BK$1,0,IF(SUM(IMshareM!BK$2:BK$78)-IMshareM!BK$63&gt;0,IMshareM!BK23/(SUM(IMshareM!BK$2:BK$78)-IMshareM!BK$63),0))</f>
        <v>0</v>
      </c>
      <c r="BL23" s="8">
        <f>IF($A23=BL$1,0,IF(SUM(IMshareM!BL$2:BL$78)-IMshareM!BL$64&gt;0,IMshareM!BL23/(SUM(IMshareM!BL$2:BL$78)-IMshareM!BL$64),0))</f>
        <v>8.5416345716642918E-4</v>
      </c>
      <c r="BM23" s="8">
        <f>IF($A23=BM$1,0,IF(SUM(IMshareM!BM$2:BM$78)-IMshareM!BM$65&gt;0,IMshareM!BM23/(SUM(IMshareM!BM$2:BM$78)-IMshareM!BM$65),0))</f>
        <v>3.0552075484577531E-3</v>
      </c>
      <c r="BN23" s="8">
        <f>IF($A23=BN$1,0,IF(SUM(IMshareM!BN$2:BN$78)-IMshareM!BN$66&gt;0,IMshareM!BN23/(SUM(IMshareM!BN$2:BN$78)-IMshareM!BN$66),0))</f>
        <v>1.8319456107703981E-7</v>
      </c>
      <c r="BO23" s="8">
        <f>IF($A23=BO$1,0,IF(SUM(IMshareM!BO$2:BO$78)-IMshareM!BO$67&gt;0,IMshareM!BO23/(SUM(IMshareM!BO$2:BO$78)-IMshareM!BO$67),0))</f>
        <v>0</v>
      </c>
      <c r="BP23" s="8">
        <f>IF($A23=BP$1,0,IF(SUM(IMshareM!BP$2:BP$78)-IMshareM!BP$68&gt;0,IMshareM!BP23/(SUM(IMshareM!BP$2:BP$78)-IMshareM!BP$68),0))</f>
        <v>0</v>
      </c>
      <c r="BQ23" s="8">
        <f>IF($A23=BQ$1,0,IF(SUM(IMshareM!BQ$2:BQ$78)-IMshareM!BQ$69&gt;0,IMshareM!BQ23/(SUM(IMshareM!BQ$2:BQ$78)-IMshareM!BQ$69),0))</f>
        <v>4.1553951985946207E-7</v>
      </c>
      <c r="BR23" s="8">
        <f>IF($A23=BR$1,0,IF(SUM(IMshareM!BR$2:BR$78)-IMshareM!BR$70&gt;0,IMshareM!BR23/(SUM(IMshareM!BR$2:BR$78)-IMshareM!BR$70),0))</f>
        <v>2.8093737222460823E-7</v>
      </c>
      <c r="BS23" s="8">
        <f>IF($A23=BS$1,0,IF(SUM(IMshareM!BS$2:BS$78)-IMshareM!BS$71&gt;0,IMshareM!BS23/(SUM(IMshareM!BS$2:BS$78)-IMshareM!BS$71),0))</f>
        <v>2.0057629942120275E-5</v>
      </c>
      <c r="BT23" s="8">
        <f>IF($A23=BT$1,0,IF(SUM(IMshareM!BT$2:BT$78)-IMshareM!BT$72&gt;0,IMshareM!BT23/(SUM(IMshareM!BT$2:BT$78)-IMshareM!BT$72),0))</f>
        <v>1.5146847500316669E-4</v>
      </c>
      <c r="BU23" s="8">
        <f>IF($A23=BU$1,0,IF(SUM(IMshareM!BU$2:BU$78)-IMshareM!BU$73&gt;0,IMshareM!BU23/(SUM(IMshareM!BU$2:BU$78)-IMshareM!BU$73),0))</f>
        <v>0</v>
      </c>
      <c r="BV23" s="8">
        <f>IF($A23=BV$1,0,IF(SUM(IMshareM!BV$2:BV$78)-IMshareM!BV$74&gt;0,IMshareM!BV23/(SUM(IMshareM!BV$2:BV$78)-IMshareM!BV$74),0))</f>
        <v>0</v>
      </c>
      <c r="BW23" s="8">
        <f>IF($A23=BW$1,0,IF(SUM(IMshareM!BW$2:BW$78)-IMshareM!BW$75&gt;0,IMshareM!BW23/(SUM(IMshareM!BW$2:BW$78)-IMshareM!BW$75),0))</f>
        <v>5.4434082515402823E-6</v>
      </c>
      <c r="BX23" s="8">
        <f>IF($A23=BX$1,0,IF(SUM(IMshareM!BX$2:BX$78)-IMshareM!BX$76&gt;0,IMshareM!BX23/(SUM(IMshareM!BX$2:BX$78)-IMshareM!BX$76),0))</f>
        <v>0</v>
      </c>
      <c r="BY23" s="8">
        <f>IF($A23=BY$1,0,IF(SUM(IMshareM!BY$2:BY$78)-IMshareM!BY$77&gt;0,IMshareM!BY23/(SUM(IMshareM!BY$2:BY$78)-IMshareM!BY$77),0))</f>
        <v>1.4763518090979524E-5</v>
      </c>
      <c r="BZ23" s="8">
        <f>IF($A23=BZ$1,0,IF(SUM(IMshareM!BZ$2:BZ$78)-IMshareM!BZ$78&gt;0,IMshareM!BZ23/(SUM(IMshareM!BZ$2:BZ$78)-IMshareM!BZ$78),0))</f>
        <v>4.7828858033612822E-4</v>
      </c>
    </row>
    <row r="24" spans="1:78">
      <c r="A24" s="4" t="s">
        <v>115</v>
      </c>
      <c r="B24" s="8">
        <f>IF($A24=B$1,0,IF(SUM(IMshareM!B$2:B$78)-IMshareM!B$2&gt;0,IMshareM!B24/(SUM(IMshareM!B$2:B$78)-IMshareM!B$2),0))</f>
        <v>7.8839759248197187E-3</v>
      </c>
      <c r="C24" s="8">
        <f>IF($A24=C$1,0,IF(SUM(IMshareM!C$2:C$78)-IMshareM!C$3&gt;0,IMshareM!C24/(SUM(IMshareM!C$2:C$78)-IMshareM!C$3),0))</f>
        <v>6.2686993889909531E-3</v>
      </c>
      <c r="D24" s="8">
        <f>IF($A24=D$1,0,IF(SUM(IMshareM!D$2:D$78)-IMshareM!D$4&gt;0,IMshareM!D24/(SUM(IMshareM!D$2:D$78)-IMshareM!D$4),0))</f>
        <v>2.5575518604091983E-2</v>
      </c>
      <c r="E24" s="8">
        <f>IF($A24=E$1,0,IF(SUM(IMshareM!E$2:E$78)-IMshareM!E$5&gt;0,IMshareM!E24/(SUM(IMshareM!E$2:E$78)-IMshareM!E$5),0))</f>
        <v>2.4856098471947724E-3</v>
      </c>
      <c r="F24" s="8">
        <f>IF($A24=F$1,0,IF(SUM(IMshareM!F$2:F$78)-IMshareM!F$6&gt;0,IMshareM!F24/(SUM(IMshareM!F$2:F$78)-IMshareM!F$6),0))</f>
        <v>3.2414528380718725E-2</v>
      </c>
      <c r="G24" s="8">
        <f>IF($A24=G$1,0,IF(SUM(IMshareM!G$2:G$78)-IMshareM!G$7&gt;0,IMshareM!G24/(SUM(IMshareM!G$2:G$78)-IMshareM!G$7),0))</f>
        <v>8.2388469450618768E-4</v>
      </c>
      <c r="H24" s="8">
        <f>IF($A24=H$1,0,IF(SUM(IMshareM!H$2:H$78)-IMshareM!H$8&gt;0,IMshareM!H24/(SUM(IMshareM!H$2:H$78)-IMshareM!H$8),0))</f>
        <v>4.8226709626181117E-4</v>
      </c>
      <c r="I24" s="8">
        <f>IF($A24=I$1,0,IF(SUM(IMshareM!I$2:I$78)-IMshareM!I$9&gt;0,IMshareM!I24/(SUM(IMshareM!I$2:I$78)-IMshareM!I$9),0))</f>
        <v>4.2356856939360837E-2</v>
      </c>
      <c r="J24" s="8">
        <f>IF($A24=J$1,0,IF(SUM(IMshareM!J$2:J$78)-IMshareM!J$10&gt;0,IMshareM!J24/(SUM(IMshareM!J$2:J$78)-IMshareM!J$10),0))</f>
        <v>1.362546037144941E-4</v>
      </c>
      <c r="K24" s="8">
        <f>IF($A24=K$1,0,IF(SUM(IMshareM!K$2:K$78)-IMshareM!K$11&gt;0,IMshareM!K24/(SUM(IMshareM!K$2:K$78)-IMshareM!K$11),0))</f>
        <v>3.4372793657351068E-3</v>
      </c>
      <c r="L24" s="8">
        <f>IF($A24=L$1,0,IF(SUM(IMshareM!L$2:L$78)-IMshareM!L$12&gt;0,IMshareM!L24/(SUM(IMshareM!L$2:L$78)-IMshareM!L$12),0))</f>
        <v>9.5014689166638029E-3</v>
      </c>
      <c r="M24" s="8">
        <f>IF($A24=M$1,0,IF(SUM(IMshareM!M$2:M$78)-IMshareM!M$13&gt;0,IMshareM!M24/(SUM(IMshareM!M$2:M$78)-IMshareM!M$13),0))</f>
        <v>7.8854082187408761E-2</v>
      </c>
      <c r="N24" s="8">
        <f>IF($A24=N$1,0,IF(SUM(IMshareM!N$2:N$78)-IMshareM!N$14&gt;0,IMshareM!N24/(SUM(IMshareM!N$2:N$78)-IMshareM!N$14),0))</f>
        <v>3.7189208621504202E-3</v>
      </c>
      <c r="O24" s="8">
        <f>IF($A24=O$1,0,IF(SUM(IMshareM!O$2:O$78)-IMshareM!O$15&gt;0,IMshareM!O24/(SUM(IMshareM!O$2:O$78)-IMshareM!O$15),0))</f>
        <v>7.0207247904141602E-3</v>
      </c>
      <c r="P24" s="8">
        <f>IF($A24=P$1,0,IF(SUM(IMshareM!P$2:P$78)-IMshareM!P$16&gt;0,IMshareM!P24/(SUM(IMshareM!P$2:P$78)-IMshareM!P$16),0))</f>
        <v>0.50540346514573686</v>
      </c>
      <c r="Q24" s="8">
        <f>IF($A24=Q$1,0,IF(SUM(IMshareM!Q$2:Q$78)-IMshareM!Q$17&gt;0,IMshareM!Q24/(SUM(IMshareM!Q$2:Q$78)-IMshareM!Q$17),0))</f>
        <v>3.5797338215220437E-2</v>
      </c>
      <c r="R24" s="8">
        <f>IF($A24=R$1,0,IF(SUM(IMshareM!R$2:R$78)-IMshareM!R$18&gt;0,IMshareM!R24/(SUM(IMshareM!R$2:R$78)-IMshareM!R$18),0))</f>
        <v>4.0042992894664439E-2</v>
      </c>
      <c r="S24" s="8">
        <f>IF($A24=S$1,0,IF(SUM(IMshareM!S$2:S$78)-IMshareM!S$19&gt;0,IMshareM!S24/(SUM(IMshareM!S$2:S$78)-IMshareM!S$19),0))</f>
        <v>3.4301178347447801E-2</v>
      </c>
      <c r="T24" s="8">
        <f>IF($A24=T$1,0,IF(SUM(IMshareM!T$2:T$78)-IMshareM!T$20&gt;0,IMshareM!T24/(SUM(IMshareM!T$2:T$78)-IMshareM!T$20),0))</f>
        <v>5.8745785310957985E-3</v>
      </c>
      <c r="U24" s="8">
        <f>IF($A24=U$1,0,IF(SUM(IMshareM!U$2:U$78)-IMshareM!U$21&gt;0,IMshareM!U24/(SUM(IMshareM!U$2:U$78)-IMshareM!U$21),0))</f>
        <v>7.9288281865115846E-3</v>
      </c>
      <c r="V24" s="8">
        <f>IF($A24=V$1,0,IF(SUM(IMshareM!V$2:V$78)-IMshareM!V$22&gt;0,IMshareM!V24/(SUM(IMshareM!V$2:V$78)-IMshareM!V$22),0))</f>
        <v>2.600391090312498E-3</v>
      </c>
      <c r="W24" s="8">
        <f>IF($A24=W$1,0,IF(SUM(IMshareM!W$2:W$78)-IMshareM!W$23&gt;0,IMshareM!W24/(SUM(IMshareM!W$2:W$78)-IMshareM!W$23),0))</f>
        <v>2.2313309855142151E-3</v>
      </c>
      <c r="X24" s="8">
        <f>IF($A24=X$1,0,IF(SUM(IMshareM!X$2:X$78)-IMshareM!X$24&gt;0,IMshareM!X24/(SUM(IMshareM!X$2:X$78)-IMshareM!X$24),0))</f>
        <v>0</v>
      </c>
      <c r="Y24" s="8">
        <f>IF($A24=Y$1,0,IF(SUM(IMshareM!Y$2:Y$78)-IMshareM!Y$25&gt;0,IMshareM!Y24/(SUM(IMshareM!Y$2:Y$78)-IMshareM!Y$25),0))</f>
        <v>1.0472751453079151E-2</v>
      </c>
      <c r="Z24" s="8">
        <f>IF($A24=Z$1,0,IF(SUM(IMshareM!Z$2:Z$78)-IMshareM!Z$26&gt;0,IMshareM!Z24/(SUM(IMshareM!Z$2:Z$78)-IMshareM!Z$26),0))</f>
        <v>8.0516143600316593E-3</v>
      </c>
      <c r="AA24" s="8">
        <f>IF($A24=AA$1,0,IF(SUM(IMshareM!AA$2:AA$78)-IMshareM!AA$27&gt;0,IMshareM!AA24/(SUM(IMshareM!AA$2:AA$78)-IMshareM!AA$27),0))</f>
        <v>1.6125335181526132E-2</v>
      </c>
      <c r="AB24" s="8">
        <f>IF($A24=AB$1,0,IF(SUM(IMshareM!AB$2:AB$78)-IMshareM!AB$28&gt;0,IMshareM!AB24/(SUM(IMshareM!AB$2:AB$78)-IMshareM!AB$28),0))</f>
        <v>1.9910285057445593E-2</v>
      </c>
      <c r="AC24" s="8">
        <f>IF($A24=AC$1,0,IF(SUM(IMshareM!AC$2:AC$78)-IMshareM!AC$29&gt;0,IMshareM!AC24/(SUM(IMshareM!AC$2:AC$78)-IMshareM!AC$29),0))</f>
        <v>1.1777500410224195E-2</v>
      </c>
      <c r="AD24" s="8">
        <f>IF($A24=AD$1,0,IF(SUM(IMshareM!AD$2:AD$78)-IMshareM!AD$30&gt;0,IMshareM!AD24/(SUM(IMshareM!AD$2:AD$78)-IMshareM!AD$30),0))</f>
        <v>7.2011875516634504E-5</v>
      </c>
      <c r="AE24" s="8">
        <f>IF($A24=AE$1,0,IF(SUM(IMshareM!AE$2:AE$78)-IMshareM!AE$31&gt;0,IMshareM!AE24/(SUM(IMshareM!AE$2:AE$78)-IMshareM!AE$31),0))</f>
        <v>2.7290606733903129E-3</v>
      </c>
      <c r="AF24" s="8">
        <f>IF($A24=AF$1,0,IF(SUM(IMshareM!AF$2:AF$78)-IMshareM!AF$32&gt;0,IMshareM!AF24/(SUM(IMshareM!AF$2:AF$78)-IMshareM!AF$32),0))</f>
        <v>3.0048339340686122E-2</v>
      </c>
      <c r="AG24" s="8">
        <f>IF($A24=AG$1,0,IF(SUM(IMshareM!AG$2:AG$78)-IMshareM!AG$33&gt;0,IMshareM!AG24/(SUM(IMshareM!AG$2:AG$78)-IMshareM!AG$33),0))</f>
        <v>1.6760408394691753E-3</v>
      </c>
      <c r="AH24" s="8">
        <f>IF($A24=AH$1,0,IF(SUM(IMshareM!AH$2:AH$78)-IMshareM!AH$34&gt;0,IMshareM!AH24/(SUM(IMshareM!AH$2:AH$78)-IMshareM!AH$34),0))</f>
        <v>1.2121508885818717E-3</v>
      </c>
      <c r="AI24" s="8">
        <f>IF($A24=AI$1,0,IF(SUM(IMshareM!AI$2:AI$78)-IMshareM!AI$35&gt;0,IMshareM!AI24/(SUM(IMshareM!AI$2:AI$78)-IMshareM!AI$35),0))</f>
        <v>4.9993726994383095E-3</v>
      </c>
      <c r="AJ24" s="8">
        <f>IF($A24=AJ$1,0,IF(SUM(IMshareM!AJ$2:AJ$78)-IMshareM!AJ$36&gt;0,IMshareM!AJ24/(SUM(IMshareM!AJ$2:AJ$78)-IMshareM!AJ$36),0))</f>
        <v>1.1049655449455133E-2</v>
      </c>
      <c r="AK24" s="8">
        <f>IF($A24=AK$1,0,IF(SUM(IMshareM!AK$2:AK$78)-IMshareM!AK$37&gt;0,IMshareM!AK24/(SUM(IMshareM!AK$2:AK$78)-IMshareM!AK$37),0))</f>
        <v>1.0843365160458375E-2</v>
      </c>
      <c r="AL24" s="8">
        <f>IF($A24=AL$1,0,IF(SUM(IMshareM!AL$2:AL$78)-IMshareM!AL$38&gt;0,IMshareM!AL24/(SUM(IMshareM!AL$2:AL$78)-IMshareM!AL$38),0))</f>
        <v>1.2842595429982881E-2</v>
      </c>
      <c r="AM24" s="8">
        <f>IF($A24=AM$1,0,IF(SUM(IMshareM!AM$2:AM$78)-IMshareM!AM$39&gt;0,IMshareM!AM24/(SUM(IMshareM!AM$2:AM$78)-IMshareM!AM$39),0))</f>
        <v>1.641876151881044E-2</v>
      </c>
      <c r="AN24" s="8">
        <f>IF($A24=AN$1,0,IF(SUM(IMshareM!AN$2:AN$78)-IMshareM!AN$40&gt;0,IMshareM!AN24/(SUM(IMshareM!AN$2:AN$78)-IMshareM!AN$40),0))</f>
        <v>2.8601715181519917E-3</v>
      </c>
      <c r="AO24" s="8">
        <f>IF($A24=AO$1,0,IF(SUM(IMshareM!AO$2:AO$78)-IMshareM!AO$41&gt;0,IMshareM!AO24/(SUM(IMshareM!AO$2:AO$78)-IMshareM!AO$41),0))</f>
        <v>7.3579231138370203E-3</v>
      </c>
      <c r="AP24" s="8">
        <f>IF($A24=AP$1,0,IF(SUM(IMshareM!AP$2:AP$78)-IMshareM!AP$42&gt;0,IMshareM!AP24/(SUM(IMshareM!AP$2:AP$78)-IMshareM!AP$42),0))</f>
        <v>2.129870564250576E-5</v>
      </c>
      <c r="AQ24" s="8">
        <f>IF($A24=AQ$1,0,IF(SUM(IMshareM!AQ$2:AQ$78)-IMshareM!AQ$43&gt;0,IMshareM!AQ24/(SUM(IMshareM!AQ$2:AQ$78)-IMshareM!AQ$43),0))</f>
        <v>1.1598854324456451E-3</v>
      </c>
      <c r="AR24" s="8">
        <f>IF($A24=AR$1,0,IF(SUM(IMshareM!AR$2:AR$78)-IMshareM!AR$44&gt;0,IMshareM!AR24/(SUM(IMshareM!AR$2:AR$78)-IMshareM!AR$44),0))</f>
        <v>7.0012550857904504E-2</v>
      </c>
      <c r="AS24" s="8">
        <f>IF($A24=AS$1,0,IF(SUM(IMshareM!AS$2:AS$78)-IMshareM!AS$45&gt;0,IMshareM!AS24/(SUM(IMshareM!AS$2:AS$78)-IMshareM!AS$45),0))</f>
        <v>1.2219928597960067E-2</v>
      </c>
      <c r="AT24" s="8">
        <f>IF($A24=AT$1,0,IF(SUM(IMshareM!AT$2:AT$78)-IMshareM!AT$46&gt;0,IMshareM!AT24/(SUM(IMshareM!AT$2:AT$78)-IMshareM!AT$46),0))</f>
        <v>9.1206157179235146E-4</v>
      </c>
      <c r="AU24" s="8">
        <f>IF($A24=AU$1,0,IF(SUM(IMshareM!AU$2:AU$78)-IMshareM!AU$47&gt;0,IMshareM!AU24/(SUM(IMshareM!AU$2:AU$78)-IMshareM!AU$47),0))</f>
        <v>6.8198609720768698E-4</v>
      </c>
      <c r="AV24" s="8">
        <f>IF($A24=AV$1,0,IF(SUM(IMshareM!AV$2:AV$78)-IMshareM!AV$48&gt;0,IMshareM!AV24/(SUM(IMshareM!AV$2:AV$78)-IMshareM!AV$48),0))</f>
        <v>5.574486772432611E-2</v>
      </c>
      <c r="AW24" s="8">
        <f>IF($A24=AW$1,0,IF(SUM(IMshareM!AW$2:AW$78)-IMshareM!AW$49&gt;0,IMshareM!AW24/(SUM(IMshareM!AW$2:AW$78)-IMshareM!AW$49),0))</f>
        <v>3.1538081392131351E-3</v>
      </c>
      <c r="AX24" s="8">
        <f>IF($A24=AX$1,0,IF(SUM(IMshareM!AX$2:AX$78)-IMshareM!AX$50&gt;0,IMshareM!AX24/(SUM(IMshareM!AX$2:AX$78)-IMshareM!AX$50),0))</f>
        <v>2.5402828338537604E-4</v>
      </c>
      <c r="AY24" s="8">
        <f>IF($A24=AY$1,0,IF(SUM(IMshareM!AY$2:AY$78)-IMshareM!AY$51&gt;0,IMshareM!AY24/(SUM(IMshareM!AY$2:AY$78)-IMshareM!AY$51),0))</f>
        <v>1.7553219584136601E-3</v>
      </c>
      <c r="AZ24" s="8">
        <f>IF($A24=AZ$1,0,IF(SUM(IMshareM!AZ$2:AZ$78)-IMshareM!AZ$52&gt;0,IMshareM!AZ24/(SUM(IMshareM!AZ$2:AZ$78)-IMshareM!AZ$52),0))</f>
        <v>5.5500213085439446E-4</v>
      </c>
      <c r="BA24" s="8">
        <f>IF($A24=BA$1,0,IF(SUM(IMshareM!BA$2:BA$78)-IMshareM!BA$53&gt;0,IMshareM!BA24/(SUM(IMshareM!BA$2:BA$78)-IMshareM!BA$53),0))</f>
        <v>8.3795836122543127E-4</v>
      </c>
      <c r="BB24" s="8">
        <f>IF($A24=BB$1,0,IF(SUM(IMshareM!BB$2:BB$78)-IMshareM!BB$54&gt;0,IMshareM!BB24/(SUM(IMshareM!BB$2:BB$78)-IMshareM!BB$54),0))</f>
        <v>3.5312952093977364E-3</v>
      </c>
      <c r="BC24" s="8">
        <f>IF($A24=BC$1,0,IF(SUM(IMshareM!BC$2:BC$78)-IMshareM!BC$55&gt;0,IMshareM!BC24/(SUM(IMshareM!BC$2:BC$78)-IMshareM!BC$55),0))</f>
        <v>2.339200462888219E-2</v>
      </c>
      <c r="BD24" s="8">
        <f>IF($A24=BD$1,0,IF(SUM(IMshareM!BD$2:BD$78)-IMshareM!BD$56&gt;0,IMshareM!BD24/(SUM(IMshareM!BD$2:BD$78)-IMshareM!BD$56),0))</f>
        <v>2.6680727769682285E-3</v>
      </c>
      <c r="BE24" s="8">
        <f>IF($A24=BE$1,0,IF(SUM(IMshareM!BE$2:BE$78)-IMshareM!BE$57&gt;0,IMshareM!BE24/(SUM(IMshareM!BE$2:BE$78)-IMshareM!BE$57),0))</f>
        <v>3.84500312285178E-3</v>
      </c>
      <c r="BF24" s="8">
        <f>IF($A24=BF$1,0,IF(SUM(IMshareM!BF$2:BF$78)-IMshareM!BF$58&gt;0,IMshareM!BF24/(SUM(IMshareM!BF$2:BF$78)-IMshareM!BF$58),0))</f>
        <v>1.2119505678947901E-2</v>
      </c>
      <c r="BG24" s="8">
        <f>IF($A24=BG$1,0,IF(SUM(IMshareM!BG$2:BG$78)-IMshareM!BG$59&gt;0,IMshareM!BG24/(SUM(IMshareM!BG$2:BG$78)-IMshareM!BG$59),0))</f>
        <v>6.8133848678304126E-4</v>
      </c>
      <c r="BH24" s="8">
        <f>IF($A24=BH$1,0,IF(SUM(IMshareM!BH$2:BH$78)-IMshareM!BH$60&gt;0,IMshareM!BH24/(SUM(IMshareM!BH$2:BH$78)-IMshareM!BH$60),0))</f>
        <v>1.481678203679671E-2</v>
      </c>
      <c r="BI24" s="8">
        <f>IF($A24=BI$1,0,IF(SUM(IMshareM!BI$2:BI$78)-IMshareM!BI$61&gt;0,IMshareM!BI24/(SUM(IMshareM!BI$2:BI$78)-IMshareM!BI$61),0))</f>
        <v>0.10138502761888424</v>
      </c>
      <c r="BJ24" s="8">
        <f>IF($A24=BJ$1,0,IF(SUM(IMshareM!BJ$2:BJ$78)-IMshareM!BJ$62&gt;0,IMshareM!BJ24/(SUM(IMshareM!BJ$2:BJ$78)-IMshareM!BJ$62),0))</f>
        <v>7.4905602611049296E-3</v>
      </c>
      <c r="BK24" s="8">
        <f>IF($A24=BK$1,0,IF(SUM(IMshareM!BK$2:BK$78)-IMshareM!BK$63&gt;0,IMshareM!BK24/(SUM(IMshareM!BK$2:BK$78)-IMshareM!BK$63),0))</f>
        <v>4.82033313342871E-2</v>
      </c>
      <c r="BL24" s="8">
        <f>IF($A24=BL$1,0,IF(SUM(IMshareM!BL$2:BL$78)-IMshareM!BL$64&gt;0,IMshareM!BL24/(SUM(IMshareM!BL$2:BL$78)-IMshareM!BL$64),0))</f>
        <v>6.4331941969501087E-3</v>
      </c>
      <c r="BM24" s="8">
        <f>IF($A24=BM$1,0,IF(SUM(IMshareM!BM$2:BM$78)-IMshareM!BM$65&gt;0,IMshareM!BM24/(SUM(IMshareM!BM$2:BM$78)-IMshareM!BM$65),0))</f>
        <v>7.4725384998163159E-3</v>
      </c>
      <c r="BN24" s="8">
        <f>IF($A24=BN$1,0,IF(SUM(IMshareM!BN$2:BN$78)-IMshareM!BN$66&gt;0,IMshareM!BN24/(SUM(IMshareM!BN$2:BN$78)-IMshareM!BN$66),0))</f>
        <v>1.1591073279972081E-3</v>
      </c>
      <c r="BO24" s="8">
        <f>IF($A24=BO$1,0,IF(SUM(IMshareM!BO$2:BO$78)-IMshareM!BO$67&gt;0,IMshareM!BO24/(SUM(IMshareM!BO$2:BO$78)-IMshareM!BO$67),0))</f>
        <v>4.6291121555289502E-4</v>
      </c>
      <c r="BP24" s="8">
        <f>IF($A24=BP$1,0,IF(SUM(IMshareM!BP$2:BP$78)-IMshareM!BP$68&gt;0,IMshareM!BP24/(SUM(IMshareM!BP$2:BP$78)-IMshareM!BP$68),0))</f>
        <v>3.8166742759250675E-3</v>
      </c>
      <c r="BQ24" s="8">
        <f>IF($A24=BQ$1,0,IF(SUM(IMshareM!BQ$2:BQ$78)-IMshareM!BQ$69&gt;0,IMshareM!BQ24/(SUM(IMshareM!BQ$2:BQ$78)-IMshareM!BQ$69),0))</f>
        <v>2.6526673021158137E-3</v>
      </c>
      <c r="BR24" s="8">
        <f>IF($A24=BR$1,0,IF(SUM(IMshareM!BR$2:BR$78)-IMshareM!BR$70&gt;0,IMshareM!BR24/(SUM(IMshareM!BR$2:BR$78)-IMshareM!BR$70),0))</f>
        <v>1.0280123899048148E-3</v>
      </c>
      <c r="BS24" s="8">
        <f>IF($A24=BS$1,0,IF(SUM(IMshareM!BS$2:BS$78)-IMshareM!BS$71&gt;0,IMshareM!BS24/(SUM(IMshareM!BS$2:BS$78)-IMshareM!BS$71),0))</f>
        <v>1.8158305806171525E-2</v>
      </c>
      <c r="BT24" s="8">
        <f>IF($A24=BT$1,0,IF(SUM(IMshareM!BT$2:BT$78)-IMshareM!BT$72&gt;0,IMshareM!BT24/(SUM(IMshareM!BT$2:BT$78)-IMshareM!BT$72),0))</f>
        <v>7.632525488249795E-3</v>
      </c>
      <c r="BU24" s="8">
        <f>IF($A24=BU$1,0,IF(SUM(IMshareM!BU$2:BU$78)-IMshareM!BU$73&gt;0,IMshareM!BU24/(SUM(IMshareM!BU$2:BU$78)-IMshareM!BU$73),0))</f>
        <v>1.4504187189907473E-3</v>
      </c>
      <c r="BV24" s="8">
        <f>IF($A24=BV$1,0,IF(SUM(IMshareM!BV$2:BV$78)-IMshareM!BV$74&gt;0,IMshareM!BV24/(SUM(IMshareM!BV$2:BV$78)-IMshareM!BV$74),0))</f>
        <v>1.414016317700936E-3</v>
      </c>
      <c r="BW24" s="8">
        <f>IF($A24=BW$1,0,IF(SUM(IMshareM!BW$2:BW$78)-IMshareM!BW$75&gt;0,IMshareM!BW24/(SUM(IMshareM!BW$2:BW$78)-IMshareM!BW$75),0))</f>
        <v>4.8827594426346047E-3</v>
      </c>
      <c r="BX24" s="8">
        <f>IF($A24=BX$1,0,IF(SUM(IMshareM!BX$2:BX$78)-IMshareM!BX$76&gt;0,IMshareM!BX24/(SUM(IMshareM!BX$2:BX$78)-IMshareM!BX$76),0))</f>
        <v>4.246993074279181E-3</v>
      </c>
      <c r="BY24" s="8">
        <f>IF($A24=BY$1,0,IF(SUM(IMshareM!BY$2:BY$78)-IMshareM!BY$77&gt;0,IMshareM!BY24/(SUM(IMshareM!BY$2:BY$78)-IMshareM!BY$77),0))</f>
        <v>3.5025832563087889E-3</v>
      </c>
      <c r="BZ24" s="8">
        <f>IF($A24=BZ$1,0,IF(SUM(IMshareM!BZ$2:BZ$78)-IMshareM!BZ$78&gt;0,IMshareM!BZ24/(SUM(IMshareM!BZ$2:BZ$78)-IMshareM!BZ$78),0))</f>
        <v>1.0340380733390577E-2</v>
      </c>
    </row>
    <row r="25" spans="1:78">
      <c r="A25" s="4" t="s">
        <v>117</v>
      </c>
      <c r="B25" s="8">
        <f>IF($A25=B$1,0,IF(SUM(IMshareM!B$2:B$78)-IMshareM!B$2&gt;0,IMshareM!B25/(SUM(IMshareM!B$2:B$78)-IMshareM!B$2),0))</f>
        <v>3.068525927269369E-4</v>
      </c>
      <c r="C25" s="8">
        <f>IF($A25=C$1,0,IF(SUM(IMshareM!C$2:C$78)-IMshareM!C$3&gt;0,IMshareM!C25/(SUM(IMshareM!C$2:C$78)-IMshareM!C$3),0))</f>
        <v>1.6808075967752841E-4</v>
      </c>
      <c r="D25" s="8">
        <f>IF($A25=D$1,0,IF(SUM(IMshareM!D$2:D$78)-IMshareM!D$4&gt;0,IMshareM!D25/(SUM(IMshareM!D$2:D$78)-IMshareM!D$4),0))</f>
        <v>3.0890563321743759E-6</v>
      </c>
      <c r="E25" s="8">
        <f>IF($A25=E$1,0,IF(SUM(IMshareM!E$2:E$78)-IMshareM!E$5&gt;0,IMshareM!E25/(SUM(IMshareM!E$2:E$78)-IMshareM!E$5),0))</f>
        <v>3.8722171950232728E-6</v>
      </c>
      <c r="F25" s="8">
        <f>IF($A25=F$1,0,IF(SUM(IMshareM!F$2:F$78)-IMshareM!F$6&gt;0,IMshareM!F25/(SUM(IMshareM!F$2:F$78)-IMshareM!F$6),0))</f>
        <v>0</v>
      </c>
      <c r="G25" s="8">
        <f>IF($A25=G$1,0,IF(SUM(IMshareM!G$2:G$78)-IMshareM!G$7&gt;0,IMshareM!G25/(SUM(IMshareM!G$2:G$78)-IMshareM!G$7),0))</f>
        <v>1.1765939175562167E-4</v>
      </c>
      <c r="H25" s="8">
        <f>IF($A25=H$1,0,IF(SUM(IMshareM!H$2:H$78)-IMshareM!H$8&gt;0,IMshareM!H25/(SUM(IMshareM!H$2:H$78)-IMshareM!H$8),0))</f>
        <v>9.5533759578245398E-4</v>
      </c>
      <c r="I25" s="8">
        <f>IF($A25=I$1,0,IF(SUM(IMshareM!I$2:I$78)-IMshareM!I$9&gt;0,IMshareM!I25/(SUM(IMshareM!I$2:I$78)-IMshareM!I$9),0))</f>
        <v>1.8808839515739009E-4</v>
      </c>
      <c r="J25" s="8">
        <f>IF($A25=J$1,0,IF(SUM(IMshareM!J$2:J$78)-IMshareM!J$10&gt;0,IMshareM!J25/(SUM(IMshareM!J$2:J$78)-IMshareM!J$10),0))</f>
        <v>1.6255397813017119E-4</v>
      </c>
      <c r="K25" s="8">
        <f>IF($A25=K$1,0,IF(SUM(IMshareM!K$2:K$78)-IMshareM!K$11&gt;0,IMshareM!K25/(SUM(IMshareM!K$2:K$78)-IMshareM!K$11),0))</f>
        <v>2.1986276993775781E-4</v>
      </c>
      <c r="L25" s="8">
        <f>IF($A25=L$1,0,IF(SUM(IMshareM!L$2:L$78)-IMshareM!L$12&gt;0,IMshareM!L25/(SUM(IMshareM!L$2:L$78)-IMshareM!L$12),0))</f>
        <v>7.0491383633023975E-5</v>
      </c>
      <c r="M25" s="8">
        <f>IF($A25=M$1,0,IF(SUM(IMshareM!M$2:M$78)-IMshareM!M$13&gt;0,IMshareM!M25/(SUM(IMshareM!M$2:M$78)-IMshareM!M$13),0))</f>
        <v>8.9895070319777879E-5</v>
      </c>
      <c r="N25" s="8">
        <f>IF($A25=N$1,0,IF(SUM(IMshareM!N$2:N$78)-IMshareM!N$14&gt;0,IMshareM!N25/(SUM(IMshareM!N$2:N$78)-IMshareM!N$14),0))</f>
        <v>4.9557970567197279E-4</v>
      </c>
      <c r="O25" s="8">
        <f>IF($A25=O$1,0,IF(SUM(IMshareM!O$2:O$78)-IMshareM!O$15&gt;0,IMshareM!O25/(SUM(IMshareM!O$2:O$78)-IMshareM!O$15),0))</f>
        <v>2.2269919799061842E-3</v>
      </c>
      <c r="P25" s="8">
        <f>IF($A25=P$1,0,IF(SUM(IMshareM!P$2:P$78)-IMshareM!P$16&gt;0,IMshareM!P25/(SUM(IMshareM!P$2:P$78)-IMshareM!P$16),0))</f>
        <v>0</v>
      </c>
      <c r="Q25" s="8">
        <f>IF($A25=Q$1,0,IF(SUM(IMshareM!Q$2:Q$78)-IMshareM!Q$17&gt;0,IMshareM!Q25/(SUM(IMshareM!Q$2:Q$78)-IMshareM!Q$17),0))</f>
        <v>0</v>
      </c>
      <c r="R25" s="8">
        <f>IF($A25=R$1,0,IF(SUM(IMshareM!R$2:R$78)-IMshareM!R$18&gt;0,IMshareM!R25/(SUM(IMshareM!R$2:R$78)-IMshareM!R$18),0))</f>
        <v>2.5305980365481735E-6</v>
      </c>
      <c r="S25" s="8">
        <f>IF($A25=S$1,0,IF(SUM(IMshareM!S$2:S$78)-IMshareM!S$19&gt;0,IMshareM!S25/(SUM(IMshareM!S$2:S$78)-IMshareM!S$19),0))</f>
        <v>2.4198819373413776E-4</v>
      </c>
      <c r="T25" s="8">
        <f>IF($A25=T$1,0,IF(SUM(IMshareM!T$2:T$78)-IMshareM!T$20&gt;0,IMshareM!T25/(SUM(IMshareM!T$2:T$78)-IMshareM!T$20),0))</f>
        <v>7.8775308126405281E-5</v>
      </c>
      <c r="U25" s="8">
        <f>IF($A25=U$1,0,IF(SUM(IMshareM!U$2:U$78)-IMshareM!U$21&gt;0,IMshareM!U25/(SUM(IMshareM!U$2:U$78)-IMshareM!U$21),0))</f>
        <v>1.1367549304441942E-3</v>
      </c>
      <c r="V25" s="8">
        <f>IF($A25=V$1,0,IF(SUM(IMshareM!V$2:V$78)-IMshareM!V$22&gt;0,IMshareM!V25/(SUM(IMshareM!V$2:V$78)-IMshareM!V$22),0))</f>
        <v>4.2322962494611651E-4</v>
      </c>
      <c r="W25" s="8">
        <f>IF($A25=W$1,0,IF(SUM(IMshareM!W$2:W$78)-IMshareM!W$23&gt;0,IMshareM!W25/(SUM(IMshareM!W$2:W$78)-IMshareM!W$23),0))</f>
        <v>2.2230240459754309E-4</v>
      </c>
      <c r="X25" s="8">
        <f>IF($A25=X$1,0,IF(SUM(IMshareM!X$2:X$78)-IMshareM!X$24&gt;0,IMshareM!X25/(SUM(IMshareM!X$2:X$78)-IMshareM!X$24),0))</f>
        <v>1.5995457577367183E-5</v>
      </c>
      <c r="Y25" s="8">
        <f>IF($A25=Y$1,0,IF(SUM(IMshareM!Y$2:Y$78)-IMshareM!Y$25&gt;0,IMshareM!Y25/(SUM(IMshareM!Y$2:Y$78)-IMshareM!Y$25),0))</f>
        <v>0</v>
      </c>
      <c r="Z25" s="8">
        <f>IF($A25=Z$1,0,IF(SUM(IMshareM!Z$2:Z$78)-IMshareM!Z$26&gt;0,IMshareM!Z25/(SUM(IMshareM!Z$2:Z$78)-IMshareM!Z$26),0))</f>
        <v>6.0281866226308843E-2</v>
      </c>
      <c r="AA25" s="8">
        <f>IF($A25=AA$1,0,IF(SUM(IMshareM!AA$2:AA$78)-IMshareM!AA$27&gt;0,IMshareM!AA25/(SUM(IMshareM!AA$2:AA$78)-IMshareM!AA$27),0))</f>
        <v>1.1763256456627325E-4</v>
      </c>
      <c r="AB25" s="8">
        <f>IF($A25=AB$1,0,IF(SUM(IMshareM!AB$2:AB$78)-IMshareM!AB$28&gt;0,IMshareM!AB25/(SUM(IMshareM!AB$2:AB$78)-IMshareM!AB$28),0))</f>
        <v>3.4809939495048214E-4</v>
      </c>
      <c r="AC25" s="8">
        <f>IF($A25=AC$1,0,IF(SUM(IMshareM!AC$2:AC$78)-IMshareM!AC$29&gt;0,IMshareM!AC25/(SUM(IMshareM!AC$2:AC$78)-IMshareM!AC$29),0))</f>
        <v>9.6775761150550294E-6</v>
      </c>
      <c r="AD25" s="8">
        <f>IF($A25=AD$1,0,IF(SUM(IMshareM!AD$2:AD$78)-IMshareM!AD$30&gt;0,IMshareM!AD25/(SUM(IMshareM!AD$2:AD$78)-IMshareM!AD$30),0))</f>
        <v>6.443986887377465E-6</v>
      </c>
      <c r="AE25" s="8">
        <f>IF($A25=AE$1,0,IF(SUM(IMshareM!AE$2:AE$78)-IMshareM!AE$31&gt;0,IMshareM!AE25/(SUM(IMshareM!AE$2:AE$78)-IMshareM!AE$31),0))</f>
        <v>3.5848847062655701E-5</v>
      </c>
      <c r="AF25" s="8">
        <f>IF($A25=AF$1,0,IF(SUM(IMshareM!AF$2:AF$78)-IMshareM!AF$32&gt;0,IMshareM!AF25/(SUM(IMshareM!AF$2:AF$78)-IMshareM!AF$32),0))</f>
        <v>2.7785131465135496E-7</v>
      </c>
      <c r="AG25" s="8">
        <f>IF($A25=AG$1,0,IF(SUM(IMshareM!AG$2:AG$78)-IMshareM!AG$33&gt;0,IMshareM!AG25/(SUM(IMshareM!AG$2:AG$78)-IMshareM!AG$33),0))</f>
        <v>2.3139077775039376E-4</v>
      </c>
      <c r="AH25" s="8">
        <f>IF($A25=AH$1,0,IF(SUM(IMshareM!AH$2:AH$78)-IMshareM!AH$34&gt;0,IMshareM!AH25/(SUM(IMshareM!AH$2:AH$78)-IMshareM!AH$34),0))</f>
        <v>1.6237574040891363E-5</v>
      </c>
      <c r="AI25" s="8">
        <f>IF($A25=AI$1,0,IF(SUM(IMshareM!AI$2:AI$78)-IMshareM!AI$35&gt;0,IMshareM!AI25/(SUM(IMshareM!AI$2:AI$78)-IMshareM!AI$35),0))</f>
        <v>1.5339569469104644E-5</v>
      </c>
      <c r="AJ25" s="8">
        <f>IF($A25=AJ$1,0,IF(SUM(IMshareM!AJ$2:AJ$78)-IMshareM!AJ$36&gt;0,IMshareM!AJ25/(SUM(IMshareM!AJ$2:AJ$78)-IMshareM!AJ$36),0))</f>
        <v>7.0724119805871391E-4</v>
      </c>
      <c r="AK25" s="8">
        <f>IF($A25=AK$1,0,IF(SUM(IMshareM!AK$2:AK$78)-IMshareM!AK$37&gt;0,IMshareM!AK25/(SUM(IMshareM!AK$2:AK$78)-IMshareM!AK$37),0))</f>
        <v>8.428577660674992E-6</v>
      </c>
      <c r="AL25" s="8">
        <f>IF($A25=AL$1,0,IF(SUM(IMshareM!AL$2:AL$78)-IMshareM!AL$38&gt;0,IMshareM!AL25/(SUM(IMshareM!AL$2:AL$78)-IMshareM!AL$38),0))</f>
        <v>4.6015934705408524E-5</v>
      </c>
      <c r="AM25" s="8">
        <f>IF($A25=AM$1,0,IF(SUM(IMshareM!AM$2:AM$78)-IMshareM!AM$39&gt;0,IMshareM!AM25/(SUM(IMshareM!AM$2:AM$78)-IMshareM!AM$39),0))</f>
        <v>0</v>
      </c>
      <c r="AN25" s="8">
        <f>IF($A25=AN$1,0,IF(SUM(IMshareM!AN$2:AN$78)-IMshareM!AN$40&gt;0,IMshareM!AN25/(SUM(IMshareM!AN$2:AN$78)-IMshareM!AN$40),0))</f>
        <v>1.6156833384313788E-5</v>
      </c>
      <c r="AO25" s="8">
        <f>IF($A25=AO$1,0,IF(SUM(IMshareM!AO$2:AO$78)-IMshareM!AO$41&gt;0,IMshareM!AO25/(SUM(IMshareM!AO$2:AO$78)-IMshareM!AO$41),0))</f>
        <v>3.8986134667815253E-3</v>
      </c>
      <c r="AP25" s="8">
        <f>IF($A25=AP$1,0,IF(SUM(IMshareM!AP$2:AP$78)-IMshareM!AP$42&gt;0,IMshareM!AP25/(SUM(IMshareM!AP$2:AP$78)-IMshareM!AP$42),0))</f>
        <v>0</v>
      </c>
      <c r="AQ25" s="8">
        <f>IF($A25=AQ$1,0,IF(SUM(IMshareM!AQ$2:AQ$78)-IMshareM!AQ$43&gt;0,IMshareM!AQ25/(SUM(IMshareM!AQ$2:AQ$78)-IMshareM!AQ$43),0))</f>
        <v>7.213493962441774E-5</v>
      </c>
      <c r="AR25" s="8">
        <f>IF($A25=AR$1,0,IF(SUM(IMshareM!AR$2:AR$78)-IMshareM!AR$44&gt;0,IMshareM!AR25/(SUM(IMshareM!AR$2:AR$78)-IMshareM!AR$44),0))</f>
        <v>0</v>
      </c>
      <c r="AS25" s="8">
        <f>IF($A25=AS$1,0,IF(SUM(IMshareM!AS$2:AS$78)-IMshareM!AS$45&gt;0,IMshareM!AS25/(SUM(IMshareM!AS$2:AS$78)-IMshareM!AS$45),0))</f>
        <v>4.2654607601122019E-3</v>
      </c>
      <c r="AT25" s="8">
        <f>IF($A25=AT$1,0,IF(SUM(IMshareM!AT$2:AT$78)-IMshareM!AT$46&gt;0,IMshareM!AT25/(SUM(IMshareM!AT$2:AT$78)-IMshareM!AT$46),0))</f>
        <v>0</v>
      </c>
      <c r="AU25" s="8">
        <f>IF($A25=AU$1,0,IF(SUM(IMshareM!AU$2:AU$78)-IMshareM!AU$47&gt;0,IMshareM!AU25/(SUM(IMshareM!AU$2:AU$78)-IMshareM!AU$47),0))</f>
        <v>2.675714298699311E-2</v>
      </c>
      <c r="AV25" s="8">
        <f>IF($A25=AV$1,0,IF(SUM(IMshareM!AV$2:AV$78)-IMshareM!AV$48&gt;0,IMshareM!AV25/(SUM(IMshareM!AV$2:AV$78)-IMshareM!AV$48),0))</f>
        <v>3.9279177087146071E-4</v>
      </c>
      <c r="AW25" s="8">
        <f>IF($A25=AW$1,0,IF(SUM(IMshareM!AW$2:AW$78)-IMshareM!AW$49&gt;0,IMshareM!AW25/(SUM(IMshareM!AW$2:AW$78)-IMshareM!AW$49),0))</f>
        <v>4.077412293318568E-6</v>
      </c>
      <c r="AX25" s="8">
        <f>IF($A25=AX$1,0,IF(SUM(IMshareM!AX$2:AX$78)-IMshareM!AX$50&gt;0,IMshareM!AX25/(SUM(IMshareM!AX$2:AX$78)-IMshareM!AX$50),0))</f>
        <v>2.6814423519284714E-5</v>
      </c>
      <c r="AY25" s="8">
        <f>IF($A25=AY$1,0,IF(SUM(IMshareM!AY$2:AY$78)-IMshareM!AY$51&gt;0,IMshareM!AY25/(SUM(IMshareM!AY$2:AY$78)-IMshareM!AY$51),0))</f>
        <v>0</v>
      </c>
      <c r="AZ25" s="8">
        <f>IF($A25=AZ$1,0,IF(SUM(IMshareM!AZ$2:AZ$78)-IMshareM!AZ$52&gt;0,IMshareM!AZ25/(SUM(IMshareM!AZ$2:AZ$78)-IMshareM!AZ$52),0))</f>
        <v>4.2861605018672926E-5</v>
      </c>
      <c r="BA25" s="8">
        <f>IF($A25=BA$1,0,IF(SUM(IMshareM!BA$2:BA$78)-IMshareM!BA$53&gt;0,IMshareM!BA25/(SUM(IMshareM!BA$2:BA$78)-IMshareM!BA$53),0))</f>
        <v>5.3987613159705173E-4</v>
      </c>
      <c r="BB25" s="8">
        <f>IF($A25=BB$1,0,IF(SUM(IMshareM!BB$2:BB$78)-IMshareM!BB$54&gt;0,IMshareM!BB25/(SUM(IMshareM!BB$2:BB$78)-IMshareM!BB$54),0))</f>
        <v>2.334155803734602E-4</v>
      </c>
      <c r="BC25" s="8">
        <f>IF($A25=BC$1,0,IF(SUM(IMshareM!BC$2:BC$78)-IMshareM!BC$55&gt;0,IMshareM!BC25/(SUM(IMshareM!BC$2:BC$78)-IMshareM!BC$55),0))</f>
        <v>2.4974434583399209E-3</v>
      </c>
      <c r="BD25" s="8">
        <f>IF($A25=BD$1,0,IF(SUM(IMshareM!BD$2:BD$78)-IMshareM!BD$56&gt;0,IMshareM!BD25/(SUM(IMshareM!BD$2:BD$78)-IMshareM!BD$56),0))</f>
        <v>8.942575204231562E-5</v>
      </c>
      <c r="BE25" s="8">
        <f>IF($A25=BE$1,0,IF(SUM(IMshareM!BE$2:BE$78)-IMshareM!BE$57&gt;0,IMshareM!BE25/(SUM(IMshareM!BE$2:BE$78)-IMshareM!BE$57),0))</f>
        <v>1.8052581188423119E-4</v>
      </c>
      <c r="BF25" s="8">
        <f>IF($A25=BF$1,0,IF(SUM(IMshareM!BF$2:BF$78)-IMshareM!BF$58&gt;0,IMshareM!BF25/(SUM(IMshareM!BF$2:BF$78)-IMshareM!BF$58),0))</f>
        <v>2.8077995419645112E-3</v>
      </c>
      <c r="BG25" s="8">
        <f>IF($A25=BG$1,0,IF(SUM(IMshareM!BG$2:BG$78)-IMshareM!BG$59&gt;0,IMshareM!BG25/(SUM(IMshareM!BG$2:BG$78)-IMshareM!BG$59),0))</f>
        <v>7.8481430267399912E-5</v>
      </c>
      <c r="BH25" s="8">
        <f>IF($A25=BH$1,0,IF(SUM(IMshareM!BH$2:BH$78)-IMshareM!BH$60&gt;0,IMshareM!BH25/(SUM(IMshareM!BH$2:BH$78)-IMshareM!BH$60),0))</f>
        <v>1.1841538472333639E-5</v>
      </c>
      <c r="BI25" s="8">
        <f>IF($A25=BI$1,0,IF(SUM(IMshareM!BI$2:BI$78)-IMshareM!BI$61&gt;0,IMshareM!BI25/(SUM(IMshareM!BI$2:BI$78)-IMshareM!BI$61),0))</f>
        <v>2.4594065326774442E-4</v>
      </c>
      <c r="BJ25" s="8">
        <f>IF($A25=BJ$1,0,IF(SUM(IMshareM!BJ$2:BJ$78)-IMshareM!BJ$62&gt;0,IMshareM!BJ25/(SUM(IMshareM!BJ$2:BJ$78)-IMshareM!BJ$62),0))</f>
        <v>1.0108837193649582E-6</v>
      </c>
      <c r="BK25" s="8">
        <f>IF($A25=BK$1,0,IF(SUM(IMshareM!BK$2:BK$78)-IMshareM!BK$63&gt;0,IMshareM!BK25/(SUM(IMshareM!BK$2:BK$78)-IMshareM!BK$63),0))</f>
        <v>7.0074434853137002E-3</v>
      </c>
      <c r="BL25" s="8">
        <f>IF($A25=BL$1,0,IF(SUM(IMshareM!BL$2:BL$78)-IMshareM!BL$64&gt;0,IMshareM!BL25/(SUM(IMshareM!BL$2:BL$78)-IMshareM!BL$64),0))</f>
        <v>3.1932789973763432E-5</v>
      </c>
      <c r="BM25" s="8">
        <f>IF($A25=BM$1,0,IF(SUM(IMshareM!BM$2:BM$78)-IMshareM!BM$65&gt;0,IMshareM!BM25/(SUM(IMshareM!BM$2:BM$78)-IMshareM!BM$65),0))</f>
        <v>0</v>
      </c>
      <c r="BN25" s="8">
        <f>IF($A25=BN$1,0,IF(SUM(IMshareM!BN$2:BN$78)-IMshareM!BN$66&gt;0,IMshareM!BN25/(SUM(IMshareM!BN$2:BN$78)-IMshareM!BN$66),0))</f>
        <v>7.7353238784912451E-4</v>
      </c>
      <c r="BO25" s="8">
        <f>IF($A25=BO$1,0,IF(SUM(IMshareM!BO$2:BO$78)-IMshareM!BO$67&gt;0,IMshareM!BO25/(SUM(IMshareM!BO$2:BO$78)-IMshareM!BO$67),0))</f>
        <v>2.4141151126561577E-5</v>
      </c>
      <c r="BP25" s="8">
        <f>IF($A25=BP$1,0,IF(SUM(IMshareM!BP$2:BP$78)-IMshareM!BP$68&gt;0,IMshareM!BP25/(SUM(IMshareM!BP$2:BP$78)-IMshareM!BP$68),0))</f>
        <v>1.9573930125835385E-5</v>
      </c>
      <c r="BQ25" s="8">
        <f>IF($A25=BQ$1,0,IF(SUM(IMshareM!BQ$2:BQ$78)-IMshareM!BQ$69&gt;0,IMshareM!BQ25/(SUM(IMshareM!BQ$2:BQ$78)-IMshareM!BQ$69),0))</f>
        <v>6.9547504281143699E-4</v>
      </c>
      <c r="BR25" s="8">
        <f>IF($A25=BR$1,0,IF(SUM(IMshareM!BR$2:BR$78)-IMshareM!BR$70&gt;0,IMshareM!BR25/(SUM(IMshareM!BR$2:BR$78)-IMshareM!BR$70),0))</f>
        <v>3.5353359016305537E-4</v>
      </c>
      <c r="BS25" s="8">
        <f>IF($A25=BS$1,0,IF(SUM(IMshareM!BS$2:BS$78)-IMshareM!BS$71&gt;0,IMshareM!BS25/(SUM(IMshareM!BS$2:BS$78)-IMshareM!BS$71),0))</f>
        <v>1.9805029789747496E-4</v>
      </c>
      <c r="BT25" s="8">
        <f>IF($A25=BT$1,0,IF(SUM(IMshareM!BT$2:BT$78)-IMshareM!BT$72&gt;0,IMshareM!BT25/(SUM(IMshareM!BT$2:BT$78)-IMshareM!BT$72),0))</f>
        <v>1.7769508384311809E-4</v>
      </c>
      <c r="BU25" s="8">
        <f>IF($A25=BU$1,0,IF(SUM(IMshareM!BU$2:BU$78)-IMshareM!BU$73&gt;0,IMshareM!BU25/(SUM(IMshareM!BU$2:BU$78)-IMshareM!BU$73),0))</f>
        <v>4.8188547656475701E-6</v>
      </c>
      <c r="BV25" s="8">
        <f>IF($A25=BV$1,0,IF(SUM(IMshareM!BV$2:BV$78)-IMshareM!BV$74&gt;0,IMshareM!BV25/(SUM(IMshareM!BV$2:BV$78)-IMshareM!BV$74),0))</f>
        <v>2.495709699884606E-5</v>
      </c>
      <c r="BW25" s="8">
        <f>IF($A25=BW$1,0,IF(SUM(IMshareM!BW$2:BW$78)-IMshareM!BW$75&gt;0,IMshareM!BW25/(SUM(IMshareM!BW$2:BW$78)-IMshareM!BW$75),0))</f>
        <v>6.0861678316138066E-4</v>
      </c>
      <c r="BX25" s="8">
        <f>IF($A25=BX$1,0,IF(SUM(IMshareM!BX$2:BX$78)-IMshareM!BX$76&gt;0,IMshareM!BX25/(SUM(IMshareM!BX$2:BX$78)-IMshareM!BX$76),0))</f>
        <v>2.2783883332875367E-5</v>
      </c>
      <c r="BY25" s="8">
        <f>IF($A25=BY$1,0,IF(SUM(IMshareM!BY$2:BY$78)-IMshareM!BY$77&gt;0,IMshareM!BY25/(SUM(IMshareM!BY$2:BY$78)-IMshareM!BY$77),0))</f>
        <v>3.8901320629411613E-4</v>
      </c>
      <c r="BZ25" s="8">
        <f>IF($A25=BZ$1,0,IF(SUM(IMshareM!BZ$2:BZ$78)-IMshareM!BZ$78&gt;0,IMshareM!BZ25/(SUM(IMshareM!BZ$2:BZ$78)-IMshareM!BZ$78),0))</f>
        <v>1.5179189783717751E-4</v>
      </c>
    </row>
    <row r="26" spans="1:78">
      <c r="A26" s="4" t="s">
        <v>119</v>
      </c>
      <c r="B26" s="8">
        <f>IF($A26=B$1,0,IF(SUM(IMshareM!B$2:B$78)-IMshareM!B$2&gt;0,IMshareM!B26/(SUM(IMshareM!B$2:B$78)-IMshareM!B$2),0))</f>
        <v>2.0256403726990808E-3</v>
      </c>
      <c r="C26" s="8">
        <f>IF($A26=C$1,0,IF(SUM(IMshareM!C$2:C$78)-IMshareM!C$3&gt;0,IMshareM!C26/(SUM(IMshareM!C$2:C$78)-IMshareM!C$3),0))</f>
        <v>5.3335709364920221E-3</v>
      </c>
      <c r="D26" s="8">
        <f>IF($A26=D$1,0,IF(SUM(IMshareM!D$2:D$78)-IMshareM!D$4&gt;0,IMshareM!D26/(SUM(IMshareM!D$2:D$78)-IMshareM!D$4),0))</f>
        <v>4.0957442873478661E-3</v>
      </c>
      <c r="E26" s="8">
        <f>IF($A26=E$1,0,IF(SUM(IMshareM!E$2:E$78)-IMshareM!E$5&gt;0,IMshareM!E26/(SUM(IMshareM!E$2:E$78)-IMshareM!E$5),0))</f>
        <v>5.060507516657084E-3</v>
      </c>
      <c r="F26" s="8">
        <f>IF($A26=F$1,0,IF(SUM(IMshareM!F$2:F$78)-IMshareM!F$6&gt;0,IMshareM!F26/(SUM(IMshareM!F$2:F$78)-IMshareM!F$6),0))</f>
        <v>1.1594257214196388E-2</v>
      </c>
      <c r="G26" s="8">
        <f>IF($A26=G$1,0,IF(SUM(IMshareM!G$2:G$78)-IMshareM!G$7&gt;0,IMshareM!G26/(SUM(IMshareM!G$2:G$78)-IMshareM!G$7),0))</f>
        <v>2.0837679860749615E-3</v>
      </c>
      <c r="H26" s="8">
        <f>IF($A26=H$1,0,IF(SUM(IMshareM!H$2:H$78)-IMshareM!H$8&gt;0,IMshareM!H26/(SUM(IMshareM!H$2:H$78)-IMshareM!H$8),0))</f>
        <v>9.9870238395324243E-4</v>
      </c>
      <c r="I26" s="8">
        <f>IF($A26=I$1,0,IF(SUM(IMshareM!I$2:I$78)-IMshareM!I$9&gt;0,IMshareM!I26/(SUM(IMshareM!I$2:I$78)-IMshareM!I$9),0))</f>
        <v>3.0654698748751141E-3</v>
      </c>
      <c r="J26" s="8">
        <f>IF($A26=J$1,0,IF(SUM(IMshareM!J$2:J$78)-IMshareM!J$10&gt;0,IMshareM!J26/(SUM(IMshareM!J$2:J$78)-IMshareM!J$10),0))</f>
        <v>2.7457081216743541E-3</v>
      </c>
      <c r="K26" s="8">
        <f>IF($A26=K$1,0,IF(SUM(IMshareM!K$2:K$78)-IMshareM!K$11&gt;0,IMshareM!K26/(SUM(IMshareM!K$2:K$78)-IMshareM!K$11),0))</f>
        <v>2.541006798958335E-3</v>
      </c>
      <c r="L26" s="8">
        <f>IF($A26=L$1,0,IF(SUM(IMshareM!L$2:L$78)-IMshareM!L$12&gt;0,IMshareM!L26/(SUM(IMshareM!L$2:L$78)-IMshareM!L$12),0))</f>
        <v>8.51460850277703E-3</v>
      </c>
      <c r="M26" s="8">
        <f>IF($A26=M$1,0,IF(SUM(IMshareM!M$2:M$78)-IMshareM!M$13&gt;0,IMshareM!M26/(SUM(IMshareM!M$2:M$78)-IMshareM!M$13),0))</f>
        <v>2.8310546741725237E-3</v>
      </c>
      <c r="N26" s="8">
        <f>IF($A26=N$1,0,IF(SUM(IMshareM!N$2:N$78)-IMshareM!N$14&gt;0,IMshareM!N26/(SUM(IMshareM!N$2:N$78)-IMshareM!N$14),0))</f>
        <v>6.6291348802555586E-3</v>
      </c>
      <c r="O26" s="8">
        <f>IF($A26=O$1,0,IF(SUM(IMshareM!O$2:O$78)-IMshareM!O$15&gt;0,IMshareM!O26/(SUM(IMshareM!O$2:O$78)-IMshareM!O$15),0))</f>
        <v>6.1998271151203982E-3</v>
      </c>
      <c r="P26" s="8">
        <f>IF($A26=P$1,0,IF(SUM(IMshareM!P$2:P$78)-IMshareM!P$16&gt;0,IMshareM!P26/(SUM(IMshareM!P$2:P$78)-IMshareM!P$16),0))</f>
        <v>1.925889412058845E-3</v>
      </c>
      <c r="Q26" s="8">
        <f>IF($A26=Q$1,0,IF(SUM(IMshareM!Q$2:Q$78)-IMshareM!Q$17&gt;0,IMshareM!Q26/(SUM(IMshareM!Q$2:Q$78)-IMshareM!Q$17),0))</f>
        <v>7.3592564758938172E-3</v>
      </c>
      <c r="R26" s="8">
        <f>IF($A26=R$1,0,IF(SUM(IMshareM!R$2:R$78)-IMshareM!R$18&gt;0,IMshareM!R26/(SUM(IMshareM!R$2:R$78)-IMshareM!R$18),0))</f>
        <v>1.3498880876110103E-4</v>
      </c>
      <c r="S26" s="8">
        <f>IF($A26=S$1,0,IF(SUM(IMshareM!S$2:S$78)-IMshareM!S$19&gt;0,IMshareM!S26/(SUM(IMshareM!S$2:S$78)-IMshareM!S$19),0))</f>
        <v>2.9534558920456852E-5</v>
      </c>
      <c r="T26" s="8">
        <f>IF($A26=T$1,0,IF(SUM(IMshareM!T$2:T$78)-IMshareM!T$20&gt;0,IMshareM!T26/(SUM(IMshareM!T$2:T$78)-IMshareM!T$20),0))</f>
        <v>2.1675490742791956E-3</v>
      </c>
      <c r="U26" s="8">
        <f>IF($A26=U$1,0,IF(SUM(IMshareM!U$2:U$78)-IMshareM!U$21&gt;0,IMshareM!U26/(SUM(IMshareM!U$2:U$78)-IMshareM!U$21),0))</f>
        <v>9.1897229632952378E-3</v>
      </c>
      <c r="V26" s="8">
        <f>IF($A26=V$1,0,IF(SUM(IMshareM!V$2:V$78)-IMshareM!V$22&gt;0,IMshareM!V26/(SUM(IMshareM!V$2:V$78)-IMshareM!V$22),0))</f>
        <v>2.2075313953277571E-2</v>
      </c>
      <c r="W26" s="8">
        <f>IF($A26=W$1,0,IF(SUM(IMshareM!W$2:W$78)-IMshareM!W$23&gt;0,IMshareM!W26/(SUM(IMshareM!W$2:W$78)-IMshareM!W$23),0))</f>
        <v>4.4408048914133927E-2</v>
      </c>
      <c r="X26" s="8">
        <f>IF($A26=X$1,0,IF(SUM(IMshareM!X$2:X$78)-IMshareM!X$24&gt;0,IMshareM!X26/(SUM(IMshareM!X$2:X$78)-IMshareM!X$24),0))</f>
        <v>1.4012051902230893E-2</v>
      </c>
      <c r="Y26" s="8">
        <f>IF($A26=Y$1,0,IF(SUM(IMshareM!Y$2:Y$78)-IMshareM!Y$25&gt;0,IMshareM!Y26/(SUM(IMshareM!Y$2:Y$78)-IMshareM!Y$25),0))</f>
        <v>0.16546292749490804</v>
      </c>
      <c r="Z26" s="8">
        <f>IF($A26=Z$1,0,IF(SUM(IMshareM!Z$2:Z$78)-IMshareM!Z$26&gt;0,IMshareM!Z26/(SUM(IMshareM!Z$2:Z$78)-IMshareM!Z$26),0))</f>
        <v>0</v>
      </c>
      <c r="AA26" s="8">
        <f>IF($A26=AA$1,0,IF(SUM(IMshareM!AA$2:AA$78)-IMshareM!AA$27&gt;0,IMshareM!AA26/(SUM(IMshareM!AA$2:AA$78)-IMshareM!AA$27),0))</f>
        <v>1.2731373904697045E-2</v>
      </c>
      <c r="AB26" s="8">
        <f>IF($A26=AB$1,0,IF(SUM(IMshareM!AB$2:AB$78)-IMshareM!AB$28&gt;0,IMshareM!AB26/(SUM(IMshareM!AB$2:AB$78)-IMshareM!AB$28),0))</f>
        <v>8.3945678264605705E-3</v>
      </c>
      <c r="AC26" s="8">
        <f>IF($A26=AC$1,0,IF(SUM(IMshareM!AC$2:AC$78)-IMshareM!AC$29&gt;0,IMshareM!AC26/(SUM(IMshareM!AC$2:AC$78)-IMshareM!AC$29),0))</f>
        <v>3.8542666271808622E-3</v>
      </c>
      <c r="AD26" s="8">
        <f>IF($A26=AD$1,0,IF(SUM(IMshareM!AD$2:AD$78)-IMshareM!AD$30&gt;0,IMshareM!AD26/(SUM(IMshareM!AD$2:AD$78)-IMshareM!AD$30),0))</f>
        <v>1.25980102165146E-3</v>
      </c>
      <c r="AE26" s="8">
        <f>IF($A26=AE$1,0,IF(SUM(IMshareM!AE$2:AE$78)-IMshareM!AE$31&gt;0,IMshareM!AE26/(SUM(IMshareM!AE$2:AE$78)-IMshareM!AE$31),0))</f>
        <v>1.0433461680523689E-2</v>
      </c>
      <c r="AF26" s="8">
        <f>IF($A26=AF$1,0,IF(SUM(IMshareM!AF$2:AF$78)-IMshareM!AF$32&gt;0,IMshareM!AF26/(SUM(IMshareM!AF$2:AF$78)-IMshareM!AF$32),0))</f>
        <v>8.912725532492199E-4</v>
      </c>
      <c r="AG26" s="8">
        <f>IF($A26=AG$1,0,IF(SUM(IMshareM!AG$2:AG$78)-IMshareM!AG$33&gt;0,IMshareM!AG26/(SUM(IMshareM!AG$2:AG$78)-IMshareM!AG$33),0))</f>
        <v>5.8265012989588572E-3</v>
      </c>
      <c r="AH26" s="8">
        <f>IF($A26=AH$1,0,IF(SUM(IMshareM!AH$2:AH$78)-IMshareM!AH$34&gt;0,IMshareM!AH26/(SUM(IMshareM!AH$2:AH$78)-IMshareM!AH$34),0))</f>
        <v>3.9041274407980433E-3</v>
      </c>
      <c r="AI26" s="8">
        <f>IF($A26=AI$1,0,IF(SUM(IMshareM!AI$2:AI$78)-IMshareM!AI$35&gt;0,IMshareM!AI26/(SUM(IMshareM!AI$2:AI$78)-IMshareM!AI$35),0))</f>
        <v>7.9982182111692154E-3</v>
      </c>
      <c r="AJ26" s="8">
        <f>IF($A26=AJ$1,0,IF(SUM(IMshareM!AJ$2:AJ$78)-IMshareM!AJ$36&gt;0,IMshareM!AJ26/(SUM(IMshareM!AJ$2:AJ$78)-IMshareM!AJ$36),0))</f>
        <v>5.2473303205283088E-2</v>
      </c>
      <c r="AK26" s="8">
        <f>IF($A26=AK$1,0,IF(SUM(IMshareM!AK$2:AK$78)-IMshareM!AK$37&gt;0,IMshareM!AK26/(SUM(IMshareM!AK$2:AK$78)-IMshareM!AK$37),0))</f>
        <v>5.6260755885005577E-3</v>
      </c>
      <c r="AL26" s="8">
        <f>IF($A26=AL$1,0,IF(SUM(IMshareM!AL$2:AL$78)-IMshareM!AL$38&gt;0,IMshareM!AL26/(SUM(IMshareM!AL$2:AL$78)-IMshareM!AL$38),0))</f>
        <v>2.8626638124730732E-2</v>
      </c>
      <c r="AM26" s="8">
        <f>IF($A26=AM$1,0,IF(SUM(IMshareM!AM$2:AM$78)-IMshareM!AM$39&gt;0,IMshareM!AM26/(SUM(IMshareM!AM$2:AM$78)-IMshareM!AM$39),0))</f>
        <v>9.8786678848428768E-3</v>
      </c>
      <c r="AN26" s="8">
        <f>IF($A26=AN$1,0,IF(SUM(IMshareM!AN$2:AN$78)-IMshareM!AN$40&gt;0,IMshareM!AN26/(SUM(IMshareM!AN$2:AN$78)-IMshareM!AN$40),0))</f>
        <v>4.2568685356558439E-3</v>
      </c>
      <c r="AO26" s="8">
        <f>IF($A26=AO$1,0,IF(SUM(IMshareM!AO$2:AO$78)-IMshareM!AO$41&gt;0,IMshareM!AO26/(SUM(IMshareM!AO$2:AO$78)-IMshareM!AO$41),0))</f>
        <v>1.1167188299870338E-2</v>
      </c>
      <c r="AP26" s="8">
        <f>IF($A26=AP$1,0,IF(SUM(IMshareM!AP$2:AP$78)-IMshareM!AP$42&gt;0,IMshareM!AP26/(SUM(IMshareM!AP$2:AP$78)-IMshareM!AP$42),0))</f>
        <v>0</v>
      </c>
      <c r="AQ26" s="8">
        <f>IF($A26=AQ$1,0,IF(SUM(IMshareM!AQ$2:AQ$78)-IMshareM!AQ$43&gt;0,IMshareM!AQ26/(SUM(IMshareM!AQ$2:AQ$78)-IMshareM!AQ$43),0))</f>
        <v>1.60576316049813E-2</v>
      </c>
      <c r="AR26" s="8">
        <f>IF($A26=AR$1,0,IF(SUM(IMshareM!AR$2:AR$78)-IMshareM!AR$44&gt;0,IMshareM!AR26/(SUM(IMshareM!AR$2:AR$78)-IMshareM!AR$44),0))</f>
        <v>2.8947496297792251E-4</v>
      </c>
      <c r="AS26" s="8">
        <f>IF($A26=AS$1,0,IF(SUM(IMshareM!AS$2:AS$78)-IMshareM!AS$45&gt;0,IMshareM!AS26/(SUM(IMshareM!AS$2:AS$78)-IMshareM!AS$45),0))</f>
        <v>2.0827776495717838E-2</v>
      </c>
      <c r="AT26" s="8">
        <f>IF($A26=AT$1,0,IF(SUM(IMshareM!AT$2:AT$78)-IMshareM!AT$46&gt;0,IMshareM!AT26/(SUM(IMshareM!AT$2:AT$78)-IMshareM!AT$46),0))</f>
        <v>1.5170196745588479E-4</v>
      </c>
      <c r="AU26" s="8">
        <f>IF($A26=AU$1,0,IF(SUM(IMshareM!AU$2:AU$78)-IMshareM!AU$47&gt;0,IMshareM!AU26/(SUM(IMshareM!AU$2:AU$78)-IMshareM!AU$47),0))</f>
        <v>4.9972845733424677E-2</v>
      </c>
      <c r="AV26" s="8">
        <f>IF($A26=AV$1,0,IF(SUM(IMshareM!AV$2:AV$78)-IMshareM!AV$48&gt;0,IMshareM!AV26/(SUM(IMshareM!AV$2:AV$78)-IMshareM!AV$48),0))</f>
        <v>2.6428375867378786E-3</v>
      </c>
      <c r="AW26" s="8">
        <f>IF($A26=AW$1,0,IF(SUM(IMshareM!AW$2:AW$78)-IMshareM!AW$49&gt;0,IMshareM!AW26/(SUM(IMshareM!AW$2:AW$78)-IMshareM!AW$49),0))</f>
        <v>3.2614160984209382E-4</v>
      </c>
      <c r="AX26" s="8">
        <f>IF($A26=AX$1,0,IF(SUM(IMshareM!AX$2:AX$78)-IMshareM!AX$50&gt;0,IMshareM!AX26/(SUM(IMshareM!AX$2:AX$78)-IMshareM!AX$50),0))</f>
        <v>9.2773384463760555E-6</v>
      </c>
      <c r="AY26" s="8">
        <f>IF($A26=AY$1,0,IF(SUM(IMshareM!AY$2:AY$78)-IMshareM!AY$51&gt;0,IMshareM!AY26/(SUM(IMshareM!AY$2:AY$78)-IMshareM!AY$51),0))</f>
        <v>1.1029775422318515E-4</v>
      </c>
      <c r="AZ26" s="8">
        <f>IF($A26=AZ$1,0,IF(SUM(IMshareM!AZ$2:AZ$78)-IMshareM!AZ$52&gt;0,IMshareM!AZ26/(SUM(IMshareM!AZ$2:AZ$78)-IMshareM!AZ$52),0))</f>
        <v>1.6266559444514514E-3</v>
      </c>
      <c r="BA26" s="8">
        <f>IF($A26=BA$1,0,IF(SUM(IMshareM!BA$2:BA$78)-IMshareM!BA$53&gt;0,IMshareM!BA26/(SUM(IMshareM!BA$2:BA$78)-IMshareM!BA$53),0))</f>
        <v>5.5007651493597723E-3</v>
      </c>
      <c r="BB26" s="8">
        <f>IF($A26=BB$1,0,IF(SUM(IMshareM!BB$2:BB$78)-IMshareM!BB$54&gt;0,IMshareM!BB26/(SUM(IMshareM!BB$2:BB$78)-IMshareM!BB$54),0))</f>
        <v>7.0890603548486664E-3</v>
      </c>
      <c r="BC26" s="8">
        <f>IF($A26=BC$1,0,IF(SUM(IMshareM!BC$2:BC$78)-IMshareM!BC$55&gt;0,IMshareM!BC26/(SUM(IMshareM!BC$2:BC$78)-IMshareM!BC$55),0))</f>
        <v>7.3579897050049428E-2</v>
      </c>
      <c r="BD26" s="8">
        <f>IF($A26=BD$1,0,IF(SUM(IMshareM!BD$2:BD$78)-IMshareM!BD$56&gt;0,IMshareM!BD26/(SUM(IMshareM!BD$2:BD$78)-IMshareM!BD$56),0))</f>
        <v>9.3548393676738777E-3</v>
      </c>
      <c r="BE26" s="8">
        <f>IF($A26=BE$1,0,IF(SUM(IMshareM!BE$2:BE$78)-IMshareM!BE$57&gt;0,IMshareM!BE26/(SUM(IMshareM!BE$2:BE$78)-IMshareM!BE$57),0))</f>
        <v>4.6003808332939471E-3</v>
      </c>
      <c r="BF26" s="8">
        <f>IF($A26=BF$1,0,IF(SUM(IMshareM!BF$2:BF$78)-IMshareM!BF$58&gt;0,IMshareM!BF26/(SUM(IMshareM!BF$2:BF$78)-IMshareM!BF$58),0))</f>
        <v>1.0198805448583131E-2</v>
      </c>
      <c r="BG26" s="8">
        <f>IF($A26=BG$1,0,IF(SUM(IMshareM!BG$2:BG$78)-IMshareM!BG$59&gt;0,IMshareM!BG26/(SUM(IMshareM!BG$2:BG$78)-IMshareM!BG$59),0))</f>
        <v>2.057520170369784E-3</v>
      </c>
      <c r="BH26" s="8">
        <f>IF($A26=BH$1,0,IF(SUM(IMshareM!BH$2:BH$78)-IMshareM!BH$60&gt;0,IMshareM!BH26/(SUM(IMshareM!BH$2:BH$78)-IMshareM!BH$60),0))</f>
        <v>9.0614554171221627E-3</v>
      </c>
      <c r="BI26" s="8">
        <f>IF($A26=BI$1,0,IF(SUM(IMshareM!BI$2:BI$78)-IMshareM!BI$61&gt;0,IMshareM!BI26/(SUM(IMshareM!BI$2:BI$78)-IMshareM!BI$61),0))</f>
        <v>4.3287429636115708E-3</v>
      </c>
      <c r="BJ26" s="8">
        <f>IF($A26=BJ$1,0,IF(SUM(IMshareM!BJ$2:BJ$78)-IMshareM!BJ$62&gt;0,IMshareM!BJ26/(SUM(IMshareM!BJ$2:BJ$78)-IMshareM!BJ$62),0))</f>
        <v>2.8854200602005296E-2</v>
      </c>
      <c r="BK26" s="8">
        <f>IF($A26=BK$1,0,IF(SUM(IMshareM!BK$2:BK$78)-IMshareM!BK$63&gt;0,IMshareM!BK26/(SUM(IMshareM!BK$2:BK$78)-IMshareM!BK$63),0))</f>
        <v>6.4095170291388823E-3</v>
      </c>
      <c r="BL26" s="8">
        <f>IF($A26=BL$1,0,IF(SUM(IMshareM!BL$2:BL$78)-IMshareM!BL$64&gt;0,IMshareM!BL26/(SUM(IMshareM!BL$2:BL$78)-IMshareM!BL$64),0))</f>
        <v>1.1114430091734431E-2</v>
      </c>
      <c r="BM26" s="8">
        <f>IF($A26=BM$1,0,IF(SUM(IMshareM!BM$2:BM$78)-IMshareM!BM$65&gt;0,IMshareM!BM26/(SUM(IMshareM!BM$2:BM$78)-IMshareM!BM$65),0))</f>
        <v>2.3370910353293977E-3</v>
      </c>
      <c r="BN26" s="8">
        <f>IF($A26=BN$1,0,IF(SUM(IMshareM!BN$2:BN$78)-IMshareM!BN$66&gt;0,IMshareM!BN26/(SUM(IMshareM!BN$2:BN$78)-IMshareM!BN$66),0))</f>
        <v>6.1575722514809151E-3</v>
      </c>
      <c r="BO26" s="8">
        <f>IF($A26=BO$1,0,IF(SUM(IMshareM!BO$2:BO$78)-IMshareM!BO$67&gt;0,IMshareM!BO26/(SUM(IMshareM!BO$2:BO$78)-IMshareM!BO$67),0))</f>
        <v>9.6026892096329794E-4</v>
      </c>
      <c r="BP26" s="8">
        <f>IF($A26=BP$1,0,IF(SUM(IMshareM!BP$2:BP$78)-IMshareM!BP$68&gt;0,IMshareM!BP26/(SUM(IMshareM!BP$2:BP$78)-IMshareM!BP$68),0))</f>
        <v>4.0626947946003451E-4</v>
      </c>
      <c r="BQ26" s="8">
        <f>IF($A26=BQ$1,0,IF(SUM(IMshareM!BQ$2:BQ$78)-IMshareM!BQ$69&gt;0,IMshareM!BQ26/(SUM(IMshareM!BQ$2:BQ$78)-IMshareM!BQ$69),0))</f>
        <v>1.5160552532694386E-2</v>
      </c>
      <c r="BR26" s="8">
        <f>IF($A26=BR$1,0,IF(SUM(IMshareM!BR$2:BR$78)-IMshareM!BR$70&gt;0,IMshareM!BR26/(SUM(IMshareM!BR$2:BR$78)-IMshareM!BR$70),0))</f>
        <v>2.7370672827242044E-3</v>
      </c>
      <c r="BS26" s="8">
        <f>IF($A26=BS$1,0,IF(SUM(IMshareM!BS$2:BS$78)-IMshareM!BS$71&gt;0,IMshareM!BS26/(SUM(IMshareM!BS$2:BS$78)-IMshareM!BS$71),0))</f>
        <v>1.5313750262295125E-3</v>
      </c>
      <c r="BT26" s="8">
        <f>IF($A26=BT$1,0,IF(SUM(IMshareM!BT$2:BT$78)-IMshareM!BT$72&gt;0,IMshareM!BT26/(SUM(IMshareM!BT$2:BT$78)-IMshareM!BT$72),0))</f>
        <v>1.539013523581587E-2</v>
      </c>
      <c r="BU26" s="8">
        <f>IF($A26=BU$1,0,IF(SUM(IMshareM!BU$2:BU$78)-IMshareM!BU$73&gt;0,IMshareM!BU26/(SUM(IMshareM!BU$2:BU$78)-IMshareM!BU$73),0))</f>
        <v>2.9638254036568139E-3</v>
      </c>
      <c r="BV26" s="8">
        <f>IF($A26=BV$1,0,IF(SUM(IMshareM!BV$2:BV$78)-IMshareM!BV$74&gt;0,IMshareM!BV26/(SUM(IMshareM!BV$2:BV$78)-IMshareM!BV$74),0))</f>
        <v>1.0260450931432651E-2</v>
      </c>
      <c r="BW26" s="8">
        <f>IF($A26=BW$1,0,IF(SUM(IMshareM!BW$2:BW$78)-IMshareM!BW$75&gt;0,IMshareM!BW26/(SUM(IMshareM!BW$2:BW$78)-IMshareM!BW$75),0))</f>
        <v>4.0221088494128325E-3</v>
      </c>
      <c r="BX26" s="8">
        <f>IF($A26=BX$1,0,IF(SUM(IMshareM!BX$2:BX$78)-IMshareM!BX$76&gt;0,IMshareM!BX26/(SUM(IMshareM!BX$2:BX$78)-IMshareM!BX$76),0))</f>
        <v>3.1108836607415258E-3</v>
      </c>
      <c r="BY26" s="8">
        <f>IF($A26=BY$1,0,IF(SUM(IMshareM!BY$2:BY$78)-IMshareM!BY$77&gt;0,IMshareM!BY26/(SUM(IMshareM!BY$2:BY$78)-IMshareM!BY$77),0))</f>
        <v>4.0259126741805E-3</v>
      </c>
      <c r="BZ26" s="8">
        <f>IF($A26=BZ$1,0,IF(SUM(IMshareM!BZ$2:BZ$78)-IMshareM!BZ$78&gt;0,IMshareM!BZ26/(SUM(IMshareM!BZ$2:BZ$78)-IMshareM!BZ$78),0))</f>
        <v>1.344970768977961E-2</v>
      </c>
    </row>
    <row r="27" spans="1:78">
      <c r="A27" s="4" t="s">
        <v>121</v>
      </c>
      <c r="B27" s="8">
        <f>IF($A27=B$1,0,IF(SUM(IMshareM!B$2:B$78)-IMshareM!B$2&gt;0,IMshareM!B27/(SUM(IMshareM!B$2:B$78)-IMshareM!B$2),0))</f>
        <v>1.333098420831527E-2</v>
      </c>
      <c r="C27" s="8">
        <f>IF($A27=C$1,0,IF(SUM(IMshareM!C$2:C$78)-IMshareM!C$3&gt;0,IMshareM!C27/(SUM(IMshareM!C$2:C$78)-IMshareM!C$3),0))</f>
        <v>1.1485779430952031E-2</v>
      </c>
      <c r="D27" s="8">
        <f>IF($A27=D$1,0,IF(SUM(IMshareM!D$2:D$78)-IMshareM!D$4&gt;0,IMshareM!D27/(SUM(IMshareM!D$2:D$78)-IMshareM!D$4),0))</f>
        <v>3.3120215222558466E-2</v>
      </c>
      <c r="E27" s="8">
        <f>IF($A27=E$1,0,IF(SUM(IMshareM!E$2:E$78)-IMshareM!E$5&gt;0,IMshareM!E27/(SUM(IMshareM!E$2:E$78)-IMshareM!E$5),0))</f>
        <v>2.5454720146225813E-2</v>
      </c>
      <c r="F27" s="8">
        <f>IF($A27=F$1,0,IF(SUM(IMshareM!F$2:F$78)-IMshareM!F$6&gt;0,IMshareM!F27/(SUM(IMshareM!F$2:F$78)-IMshareM!F$6),0))</f>
        <v>3.781811757485224E-4</v>
      </c>
      <c r="G27" s="8">
        <f>IF($A27=G$1,0,IF(SUM(IMshareM!G$2:G$78)-IMshareM!G$7&gt;0,IMshareM!G27/(SUM(IMshareM!G$2:G$78)-IMshareM!G$7),0))</f>
        <v>6.0196287672567008E-3</v>
      </c>
      <c r="H27" s="8">
        <f>IF($A27=H$1,0,IF(SUM(IMshareM!H$2:H$78)-IMshareM!H$8&gt;0,IMshareM!H27/(SUM(IMshareM!H$2:H$78)-IMshareM!H$8),0))</f>
        <v>6.0083190902478782E-5</v>
      </c>
      <c r="I27" s="8">
        <f>IF($A27=I$1,0,IF(SUM(IMshareM!I$2:I$78)-IMshareM!I$9&gt;0,IMshareM!I27/(SUM(IMshareM!I$2:I$78)-IMshareM!I$9),0))</f>
        <v>7.6505763280958561E-3</v>
      </c>
      <c r="J27" s="8">
        <f>IF($A27=J$1,0,IF(SUM(IMshareM!J$2:J$78)-IMshareM!J$10&gt;0,IMshareM!J27/(SUM(IMshareM!J$2:J$78)-IMshareM!J$10),0))</f>
        <v>2.2357512931857931E-2</v>
      </c>
      <c r="K27" s="8">
        <f>IF($A27=K$1,0,IF(SUM(IMshareM!K$2:K$78)-IMshareM!K$11&gt;0,IMshareM!K27/(SUM(IMshareM!K$2:K$78)-IMshareM!K$11),0))</f>
        <v>1.233430240441922E-2</v>
      </c>
      <c r="L27" s="8">
        <f>IF($A27=L$1,0,IF(SUM(IMshareM!L$2:L$78)-IMshareM!L$12&gt;0,IMshareM!L27/(SUM(IMshareM!L$2:L$78)-IMshareM!L$12),0))</f>
        <v>3.5444128356945194E-2</v>
      </c>
      <c r="M27" s="8">
        <f>IF($A27=M$1,0,IF(SUM(IMshareM!M$2:M$78)-IMshareM!M$13&gt;0,IMshareM!M27/(SUM(IMshareM!M$2:M$78)-IMshareM!M$13),0))</f>
        <v>9.7547530281829069E-4</v>
      </c>
      <c r="N27" s="8">
        <f>IF($A27=N$1,0,IF(SUM(IMshareM!N$2:N$78)-IMshareM!N$14&gt;0,IMshareM!N27/(SUM(IMshareM!N$2:N$78)-IMshareM!N$14),0))</f>
        <v>1.6216397723661721E-2</v>
      </c>
      <c r="O27" s="8">
        <f>IF($A27=O$1,0,IF(SUM(IMshareM!O$2:O$78)-IMshareM!O$15&gt;0,IMshareM!O27/(SUM(IMshareM!O$2:O$78)-IMshareM!O$15),0))</f>
        <v>5.8255596103707313E-2</v>
      </c>
      <c r="P27" s="8">
        <f>IF($A27=P$1,0,IF(SUM(IMshareM!P$2:P$78)-IMshareM!P$16&gt;0,IMshareM!P27/(SUM(IMshareM!P$2:P$78)-IMshareM!P$16),0))</f>
        <v>0.1001547981632489</v>
      </c>
      <c r="Q27" s="8">
        <f>IF($A27=Q$1,0,IF(SUM(IMshareM!Q$2:Q$78)-IMshareM!Q$17&gt;0,IMshareM!Q27/(SUM(IMshareM!Q$2:Q$78)-IMshareM!Q$17),0))</f>
        <v>6.3830260221430435E-3</v>
      </c>
      <c r="R27" s="8">
        <f>IF($A27=R$1,0,IF(SUM(IMshareM!R$2:R$78)-IMshareM!R$18&gt;0,IMshareM!R27/(SUM(IMshareM!R$2:R$78)-IMshareM!R$18),0))</f>
        <v>3.9155260752606865E-3</v>
      </c>
      <c r="S27" s="8">
        <f>IF($A27=S$1,0,IF(SUM(IMshareM!S$2:S$78)-IMshareM!S$19&gt;0,IMshareM!S27/(SUM(IMshareM!S$2:S$78)-IMshareM!S$19),0))</f>
        <v>0.18614841962593606</v>
      </c>
      <c r="T27" s="8">
        <f>IF($A27=T$1,0,IF(SUM(IMshareM!T$2:T$78)-IMshareM!T$20&gt;0,IMshareM!T27/(SUM(IMshareM!T$2:T$78)-IMshareM!T$20),0))</f>
        <v>3.7925023995851063E-2</v>
      </c>
      <c r="U27" s="8">
        <f>IF($A27=U$1,0,IF(SUM(IMshareM!U$2:U$78)-IMshareM!U$21&gt;0,IMshareM!U27/(SUM(IMshareM!U$2:U$78)-IMshareM!U$21),0))</f>
        <v>6.5226741113354539E-2</v>
      </c>
      <c r="V27" s="8">
        <f>IF($A27=V$1,0,IF(SUM(IMshareM!V$2:V$78)-IMshareM!V$22&gt;0,IMshareM!V27/(SUM(IMshareM!V$2:V$78)-IMshareM!V$22),0))</f>
        <v>1.158369551385427E-2</v>
      </c>
      <c r="W27" s="8">
        <f>IF($A27=W$1,0,IF(SUM(IMshareM!W$2:W$78)-IMshareM!W$23&gt;0,IMshareM!W27/(SUM(IMshareM!W$2:W$78)-IMshareM!W$23),0))</f>
        <v>1.6829410212438538E-2</v>
      </c>
      <c r="X27" s="8">
        <f>IF($A27=X$1,0,IF(SUM(IMshareM!X$2:X$78)-IMshareM!X$24&gt;0,IMshareM!X27/(SUM(IMshareM!X$2:X$78)-IMshareM!X$24),0))</f>
        <v>9.2740859018751634E-2</v>
      </c>
      <c r="Y27" s="8">
        <f>IF($A27=Y$1,0,IF(SUM(IMshareM!Y$2:Y$78)-IMshareM!Y$25&gt;0,IMshareM!Y27/(SUM(IMshareM!Y$2:Y$78)-IMshareM!Y$25),0))</f>
        <v>2.1437025540265765E-2</v>
      </c>
      <c r="Z27" s="8">
        <f>IF($A27=Z$1,0,IF(SUM(IMshareM!Z$2:Z$78)-IMshareM!Z$26&gt;0,IMshareM!Z27/(SUM(IMshareM!Z$2:Z$78)-IMshareM!Z$26),0))</f>
        <v>1.3854847636354977E-2</v>
      </c>
      <c r="AA27" s="8">
        <f>IF($A27=AA$1,0,IF(SUM(IMshareM!AA$2:AA$78)-IMshareM!AA$27&gt;0,IMshareM!AA27/(SUM(IMshareM!AA$2:AA$78)-IMshareM!AA$27),0))</f>
        <v>0</v>
      </c>
      <c r="AB27" s="8">
        <f>IF($A27=AB$1,0,IF(SUM(IMshareM!AB$2:AB$78)-IMshareM!AB$28&gt;0,IMshareM!AB27/(SUM(IMshareM!AB$2:AB$78)-IMshareM!AB$28),0))</f>
        <v>4.9677402664485656E-2</v>
      </c>
      <c r="AC27" s="8">
        <f>IF($A27=AC$1,0,IF(SUM(IMshareM!AC$2:AC$78)-IMshareM!AC$29&gt;0,IMshareM!AC27/(SUM(IMshareM!AC$2:AC$78)-IMshareM!AC$29),0))</f>
        <v>6.6977466447062359E-2</v>
      </c>
      <c r="AD27" s="8">
        <f>IF($A27=AD$1,0,IF(SUM(IMshareM!AD$2:AD$78)-IMshareM!AD$30&gt;0,IMshareM!AD27/(SUM(IMshareM!AD$2:AD$78)-IMshareM!AD$30),0))</f>
        <v>1.7044217874863229E-3</v>
      </c>
      <c r="AE27" s="8">
        <f>IF($A27=AE$1,0,IF(SUM(IMshareM!AE$2:AE$78)-IMshareM!AE$31&gt;0,IMshareM!AE27/(SUM(IMshareM!AE$2:AE$78)-IMshareM!AE$31),0))</f>
        <v>1.4388164250835851E-2</v>
      </c>
      <c r="AF27" s="8">
        <f>IF($A27=AF$1,0,IF(SUM(IMshareM!AF$2:AF$78)-IMshareM!AF$32&gt;0,IMshareM!AF27/(SUM(IMshareM!AF$2:AF$78)-IMshareM!AF$32),0))</f>
        <v>1.1835004506232646E-2</v>
      </c>
      <c r="AG27" s="8">
        <f>IF($A27=AG$1,0,IF(SUM(IMshareM!AG$2:AG$78)-IMshareM!AG$33&gt;0,IMshareM!AG27/(SUM(IMshareM!AG$2:AG$78)-IMshareM!AG$33),0))</f>
        <v>1.7048908125279424E-2</v>
      </c>
      <c r="AH27" s="8">
        <f>IF($A27=AH$1,0,IF(SUM(IMshareM!AH$2:AH$78)-IMshareM!AH$34&gt;0,IMshareM!AH27/(SUM(IMshareM!AH$2:AH$78)-IMshareM!AH$34),0))</f>
        <v>1.2969114260413545E-2</v>
      </c>
      <c r="AI27" s="8">
        <f>IF($A27=AI$1,0,IF(SUM(IMshareM!AI$2:AI$78)-IMshareM!AI$35&gt;0,IMshareM!AI27/(SUM(IMshareM!AI$2:AI$78)-IMshareM!AI$35),0))</f>
        <v>0.14867103247223473</v>
      </c>
      <c r="AJ27" s="8">
        <f>IF($A27=AJ$1,0,IF(SUM(IMshareM!AJ$2:AJ$78)-IMshareM!AJ$36&gt;0,IMshareM!AJ27/(SUM(IMshareM!AJ$2:AJ$78)-IMshareM!AJ$36),0))</f>
        <v>2.3356538917173496E-2</v>
      </c>
      <c r="AK27" s="8">
        <f>IF($A27=AK$1,0,IF(SUM(IMshareM!AK$2:AK$78)-IMshareM!AK$37&gt;0,IMshareM!AK27/(SUM(IMshareM!AK$2:AK$78)-IMshareM!AK$37),0))</f>
        <v>3.7827456541109368E-2</v>
      </c>
      <c r="AL27" s="8">
        <f>IF($A27=AL$1,0,IF(SUM(IMshareM!AL$2:AL$78)-IMshareM!AL$38&gt;0,IMshareM!AL27/(SUM(IMshareM!AL$2:AL$78)-IMshareM!AL$38),0))</f>
        <v>3.0492754114124353E-2</v>
      </c>
      <c r="AM27" s="8">
        <f>IF($A27=AM$1,0,IF(SUM(IMshareM!AM$2:AM$78)-IMshareM!AM$39&gt;0,IMshareM!AM27/(SUM(IMshareM!AM$2:AM$78)-IMshareM!AM$39),0))</f>
        <v>2.4779783993726791E-2</v>
      </c>
      <c r="AN27" s="8">
        <f>IF($A27=AN$1,0,IF(SUM(IMshareM!AN$2:AN$78)-IMshareM!AN$40&gt;0,IMshareM!AN27/(SUM(IMshareM!AN$2:AN$78)-IMshareM!AN$40),0))</f>
        <v>4.0167854316533851E-3</v>
      </c>
      <c r="AO27" s="8">
        <f>IF($A27=AO$1,0,IF(SUM(IMshareM!AO$2:AO$78)-IMshareM!AO$41&gt;0,IMshareM!AO27/(SUM(IMshareM!AO$2:AO$78)-IMshareM!AO$41),0))</f>
        <v>6.2363578098568663E-2</v>
      </c>
      <c r="AP27" s="8">
        <f>IF($A27=AP$1,0,IF(SUM(IMshareM!AP$2:AP$78)-IMshareM!AP$42&gt;0,IMshareM!AP27/(SUM(IMshareM!AP$2:AP$78)-IMshareM!AP$42),0))</f>
        <v>1.4719192627974347E-4</v>
      </c>
      <c r="AQ27" s="8">
        <f>IF($A27=AQ$1,0,IF(SUM(IMshareM!AQ$2:AQ$78)-IMshareM!AQ$43&gt;0,IMshareM!AQ27/(SUM(IMshareM!AQ$2:AQ$78)-IMshareM!AQ$43),0))</f>
        <v>4.8911776798616184E-3</v>
      </c>
      <c r="AR27" s="8">
        <f>IF($A27=AR$1,0,IF(SUM(IMshareM!AR$2:AR$78)-IMshareM!AR$44&gt;0,IMshareM!AR27/(SUM(IMshareM!AR$2:AR$78)-IMshareM!AR$44),0))</f>
        <v>0</v>
      </c>
      <c r="AS27" s="8">
        <f>IF($A27=AS$1,0,IF(SUM(IMshareM!AS$2:AS$78)-IMshareM!AS$45&gt;0,IMshareM!AS27/(SUM(IMshareM!AS$2:AS$78)-IMshareM!AS$45),0))</f>
        <v>7.4042615182269523E-3</v>
      </c>
      <c r="AT27" s="8">
        <f>IF($A27=AT$1,0,IF(SUM(IMshareM!AT$2:AT$78)-IMshareM!AT$46&gt;0,IMshareM!AT27/(SUM(IMshareM!AT$2:AT$78)-IMshareM!AT$46),0))</f>
        <v>1.5608386522687361E-2</v>
      </c>
      <c r="AU27" s="8">
        <f>IF($A27=AU$1,0,IF(SUM(IMshareM!AU$2:AU$78)-IMshareM!AU$47&gt;0,IMshareM!AU27/(SUM(IMshareM!AU$2:AU$78)-IMshareM!AU$47),0))</f>
        <v>2.5039193106020749E-2</v>
      </c>
      <c r="AV27" s="8">
        <f>IF($A27=AV$1,0,IF(SUM(IMshareM!AV$2:AV$78)-IMshareM!AV$48&gt;0,IMshareM!AV27/(SUM(IMshareM!AV$2:AV$78)-IMshareM!AV$48),0))</f>
        <v>0.17126816612513571</v>
      </c>
      <c r="AW27" s="8">
        <f>IF($A27=AW$1,0,IF(SUM(IMshareM!AW$2:AW$78)-IMshareM!AW$49&gt;0,IMshareM!AW27/(SUM(IMshareM!AW$2:AW$78)-IMshareM!AW$49),0))</f>
        <v>7.0648180186086429E-3</v>
      </c>
      <c r="AX27" s="8">
        <f>IF($A27=AX$1,0,IF(SUM(IMshareM!AX$2:AX$78)-IMshareM!AX$50&gt;0,IMshareM!AX27/(SUM(IMshareM!AX$2:AX$78)-IMshareM!AX$50),0))</f>
        <v>1.8697912939567975E-3</v>
      </c>
      <c r="AY27" s="8">
        <f>IF($A27=AY$1,0,IF(SUM(IMshareM!AY$2:AY$78)-IMshareM!AY$51&gt;0,IMshareM!AY27/(SUM(IMshareM!AY$2:AY$78)-IMshareM!AY$51),0))</f>
        <v>3.0324751376758996E-2</v>
      </c>
      <c r="AZ27" s="8">
        <f>IF($A27=AZ$1,0,IF(SUM(IMshareM!AZ$2:AZ$78)-IMshareM!AZ$52&gt;0,IMshareM!AZ27/(SUM(IMshareM!AZ$2:AZ$78)-IMshareM!AZ$52),0))</f>
        <v>1.2842662272019314E-3</v>
      </c>
      <c r="BA27" s="8">
        <f>IF($A27=BA$1,0,IF(SUM(IMshareM!BA$2:BA$78)-IMshareM!BA$53&gt;0,IMshareM!BA27/(SUM(IMshareM!BA$2:BA$78)-IMshareM!BA$53),0))</f>
        <v>5.1047037978277192E-2</v>
      </c>
      <c r="BB27" s="8">
        <f>IF($A27=BB$1,0,IF(SUM(IMshareM!BB$2:BB$78)-IMshareM!BB$54&gt;0,IMshareM!BB27/(SUM(IMshareM!BB$2:BB$78)-IMshareM!BB$54),0))</f>
        <v>4.0405300588911897E-2</v>
      </c>
      <c r="BC27" s="8">
        <f>IF($A27=BC$1,0,IF(SUM(IMshareM!BC$2:BC$78)-IMshareM!BC$55&gt;0,IMshareM!BC27/(SUM(IMshareM!BC$2:BC$78)-IMshareM!BC$55),0))</f>
        <v>4.3057745325964139E-2</v>
      </c>
      <c r="BD27" s="8">
        <f>IF($A27=BD$1,0,IF(SUM(IMshareM!BD$2:BD$78)-IMshareM!BD$56&gt;0,IMshareM!BD27/(SUM(IMshareM!BD$2:BD$78)-IMshareM!BD$56),0))</f>
        <v>1.8704807862327127E-2</v>
      </c>
      <c r="BE27" s="8">
        <f>IF($A27=BE$1,0,IF(SUM(IMshareM!BE$2:BE$78)-IMshareM!BE$57&gt;0,IMshareM!BE27/(SUM(IMshareM!BE$2:BE$78)-IMshareM!BE$57),0))</f>
        <v>1.9467127737820169E-3</v>
      </c>
      <c r="BF27" s="8">
        <f>IF($A27=BF$1,0,IF(SUM(IMshareM!BF$2:BF$78)-IMshareM!BF$58&gt;0,IMshareM!BF27/(SUM(IMshareM!BF$2:BF$78)-IMshareM!BF$58),0))</f>
        <v>8.0694841414286796E-3</v>
      </c>
      <c r="BG27" s="8">
        <f>IF($A27=BG$1,0,IF(SUM(IMshareM!BG$2:BG$78)-IMshareM!BG$59&gt;0,IMshareM!BG27/(SUM(IMshareM!BG$2:BG$78)-IMshareM!BG$59),0))</f>
        <v>1.6785743171808894E-3</v>
      </c>
      <c r="BH27" s="8">
        <f>IF($A27=BH$1,0,IF(SUM(IMshareM!BH$2:BH$78)-IMshareM!BH$60&gt;0,IMshareM!BH27/(SUM(IMshareM!BH$2:BH$78)-IMshareM!BH$60),0))</f>
        <v>2.677100639395761E-2</v>
      </c>
      <c r="BI27" s="8">
        <f>IF($A27=BI$1,0,IF(SUM(IMshareM!BI$2:BI$78)-IMshareM!BI$61&gt;0,IMshareM!BI27/(SUM(IMshareM!BI$2:BI$78)-IMshareM!BI$61),0))</f>
        <v>0.10632129454616435</v>
      </c>
      <c r="BJ27" s="8">
        <f>IF($A27=BJ$1,0,IF(SUM(IMshareM!BJ$2:BJ$78)-IMshareM!BJ$62&gt;0,IMshareM!BJ27/(SUM(IMshareM!BJ$2:BJ$78)-IMshareM!BJ$62),0))</f>
        <v>7.6788760936877448E-2</v>
      </c>
      <c r="BK27" s="8">
        <f>IF($A27=BK$1,0,IF(SUM(IMshareM!BK$2:BK$78)-IMshareM!BK$63&gt;0,IMshareM!BK27/(SUM(IMshareM!BK$2:BK$78)-IMshareM!BK$63),0))</f>
        <v>1.6057268486066954E-2</v>
      </c>
      <c r="BL27" s="8">
        <f>IF($A27=BL$1,0,IF(SUM(IMshareM!BL$2:BL$78)-IMshareM!BL$64&gt;0,IMshareM!BL27/(SUM(IMshareM!BL$2:BL$78)-IMshareM!BL$64),0))</f>
        <v>3.0389500700986311E-2</v>
      </c>
      <c r="BM27" s="8">
        <f>IF($A27=BM$1,0,IF(SUM(IMshareM!BM$2:BM$78)-IMshareM!BM$65&gt;0,IMshareM!BM27/(SUM(IMshareM!BM$2:BM$78)-IMshareM!BM$65),0))</f>
        <v>0.13499098962798836</v>
      </c>
      <c r="BN27" s="8">
        <f>IF($A27=BN$1,0,IF(SUM(IMshareM!BN$2:BN$78)-IMshareM!BN$66&gt;0,IMshareM!BN27/(SUM(IMshareM!BN$2:BN$78)-IMshareM!BN$66),0))</f>
        <v>1.9336699238337519E-2</v>
      </c>
      <c r="BO27" s="8">
        <f>IF($A27=BO$1,0,IF(SUM(IMshareM!BO$2:BO$78)-IMshareM!BO$67&gt;0,IMshareM!BO27/(SUM(IMshareM!BO$2:BO$78)-IMshareM!BO$67),0))</f>
        <v>4.6620811006476227E-2</v>
      </c>
      <c r="BP27" s="8">
        <f>IF($A27=BP$1,0,IF(SUM(IMshareM!BP$2:BP$78)-IMshareM!BP$68&gt;0,IMshareM!BP27/(SUM(IMshareM!BP$2:BP$78)-IMshareM!BP$68),0))</f>
        <v>0.35399152577162629</v>
      </c>
      <c r="BQ27" s="8">
        <f>IF($A27=BQ$1,0,IF(SUM(IMshareM!BQ$2:BQ$78)-IMshareM!BQ$69&gt;0,IMshareM!BQ27/(SUM(IMshareM!BQ$2:BQ$78)-IMshareM!BQ$69),0))</f>
        <v>1.7049319243300477E-2</v>
      </c>
      <c r="BR27" s="8">
        <f>IF($A27=BR$1,0,IF(SUM(IMshareM!BR$2:BR$78)-IMshareM!BR$70&gt;0,IMshareM!BR27/(SUM(IMshareM!BR$2:BR$78)-IMshareM!BR$70),0))</f>
        <v>4.8195500812152512E-3</v>
      </c>
      <c r="BS27" s="8">
        <f>IF($A27=BS$1,0,IF(SUM(IMshareM!BS$2:BS$78)-IMshareM!BS$71&gt;0,IMshareM!BS27/(SUM(IMshareM!BS$2:BS$78)-IMshareM!BS$71),0))</f>
        <v>3.5085577485871357E-2</v>
      </c>
      <c r="BT27" s="8">
        <f>IF($A27=BT$1,0,IF(SUM(IMshareM!BT$2:BT$78)-IMshareM!BT$72&gt;0,IMshareM!BT27/(SUM(IMshareM!BT$2:BT$78)-IMshareM!BT$72),0))</f>
        <v>2.61112256968189E-2</v>
      </c>
      <c r="BU27" s="8">
        <f>IF($A27=BU$1,0,IF(SUM(IMshareM!BU$2:BU$78)-IMshareM!BU$73&gt;0,IMshareM!BU27/(SUM(IMshareM!BU$2:BU$78)-IMshareM!BU$73),0))</f>
        <v>1.8355200365189376E-3</v>
      </c>
      <c r="BV27" s="8">
        <f>IF($A27=BV$1,0,IF(SUM(IMshareM!BV$2:BV$78)-IMshareM!BV$74&gt;0,IMshareM!BV27/(SUM(IMshareM!BV$2:BV$78)-IMshareM!BV$74),0))</f>
        <v>7.0757085909072086E-3</v>
      </c>
      <c r="BW27" s="8">
        <f>IF($A27=BW$1,0,IF(SUM(IMshareM!BW$2:BW$78)-IMshareM!BW$75&gt;0,IMshareM!BW27/(SUM(IMshareM!BW$2:BW$78)-IMshareM!BW$75),0))</f>
        <v>1.3632462373518055E-2</v>
      </c>
      <c r="BX27" s="8">
        <f>IF($A27=BX$1,0,IF(SUM(IMshareM!BX$2:BX$78)-IMshareM!BX$76&gt;0,IMshareM!BX27/(SUM(IMshareM!BX$2:BX$78)-IMshareM!BX$76),0))</f>
        <v>9.7044532616265917E-4</v>
      </c>
      <c r="BY27" s="8">
        <f>IF($A27=BY$1,0,IF(SUM(IMshareM!BY$2:BY$78)-IMshareM!BY$77&gt;0,IMshareM!BY27/(SUM(IMshareM!BY$2:BY$78)-IMshareM!BY$77),0))</f>
        <v>1.3106857561136744E-2</v>
      </c>
      <c r="BZ27" s="8">
        <f>IF($A27=BZ$1,0,IF(SUM(IMshareM!BZ$2:BZ$78)-IMshareM!BZ$78&gt;0,IMshareM!BZ27/(SUM(IMshareM!BZ$2:BZ$78)-IMshareM!BZ$78),0))</f>
        <v>2.7860854897174138E-2</v>
      </c>
    </row>
    <row r="28" spans="1:78">
      <c r="A28" s="4" t="s">
        <v>123</v>
      </c>
      <c r="B28" s="8">
        <f>IF($A28=B$1,0,IF(SUM(IMshareM!B$2:B$78)-IMshareM!B$2&gt;0,IMshareM!B28/(SUM(IMshareM!B$2:B$78)-IMshareM!B$2),0))</f>
        <v>1.8443605213883561E-3</v>
      </c>
      <c r="C28" s="8">
        <f>IF($A28=C$1,0,IF(SUM(IMshareM!C$2:C$78)-IMshareM!C$3&gt;0,IMshareM!C28/(SUM(IMshareM!C$2:C$78)-IMshareM!C$3),0))</f>
        <v>9.9401975250201034E-3</v>
      </c>
      <c r="D28" s="8">
        <f>IF($A28=D$1,0,IF(SUM(IMshareM!D$2:D$78)-IMshareM!D$4&gt;0,IMshareM!D28/(SUM(IMshareM!D$2:D$78)-IMshareM!D$4),0))</f>
        <v>5.1596690393438793E-3</v>
      </c>
      <c r="E28" s="8">
        <f>IF($A28=E$1,0,IF(SUM(IMshareM!E$2:E$78)-IMshareM!E$5&gt;0,IMshareM!E28/(SUM(IMshareM!E$2:E$78)-IMshareM!E$5),0))</f>
        <v>2.9138739626797154E-3</v>
      </c>
      <c r="F28" s="8">
        <f>IF($A28=F$1,0,IF(SUM(IMshareM!F$2:F$78)-IMshareM!F$6&gt;0,IMshareM!F28/(SUM(IMshareM!F$2:F$78)-IMshareM!F$6),0))</f>
        <v>2.5435593812977862E-2</v>
      </c>
      <c r="G28" s="8">
        <f>IF($A28=G$1,0,IF(SUM(IMshareM!G$2:G$78)-IMshareM!G$7&gt;0,IMshareM!G28/(SUM(IMshareM!G$2:G$78)-IMshareM!G$7),0))</f>
        <v>2.1488734967355975E-3</v>
      </c>
      <c r="H28" s="8">
        <f>IF($A28=H$1,0,IF(SUM(IMshareM!H$2:H$78)-IMshareM!H$8&gt;0,IMshareM!H28/(SUM(IMshareM!H$2:H$78)-IMshareM!H$8),0))</f>
        <v>1.1427498473485805E-4</v>
      </c>
      <c r="I28" s="8">
        <f>IF($A28=I$1,0,IF(SUM(IMshareM!I$2:I$78)-IMshareM!I$9&gt;0,IMshareM!I28/(SUM(IMshareM!I$2:I$78)-IMshareM!I$9),0))</f>
        <v>3.2078072140086459E-3</v>
      </c>
      <c r="J28" s="8">
        <f>IF($A28=J$1,0,IF(SUM(IMshareM!J$2:J$78)-IMshareM!J$10&gt;0,IMshareM!J28/(SUM(IMshareM!J$2:J$78)-IMshareM!J$10),0))</f>
        <v>1.8414588079436561E-2</v>
      </c>
      <c r="K28" s="8">
        <f>IF($A28=K$1,0,IF(SUM(IMshareM!K$2:K$78)-IMshareM!K$11&gt;0,IMshareM!K28/(SUM(IMshareM!K$2:K$78)-IMshareM!K$11),0))</f>
        <v>1.043088385226346E-2</v>
      </c>
      <c r="L28" s="8">
        <f>IF($A28=L$1,0,IF(SUM(IMshareM!L$2:L$78)-IMshareM!L$12&gt;0,IMshareM!L28/(SUM(IMshareM!L$2:L$78)-IMshareM!L$12),0))</f>
        <v>1.1964943602666513E-2</v>
      </c>
      <c r="M28" s="8">
        <f>IF($A28=M$1,0,IF(SUM(IMshareM!M$2:M$78)-IMshareM!M$13&gt;0,IMshareM!M28/(SUM(IMshareM!M$2:M$78)-IMshareM!M$13),0))</f>
        <v>1.0966433467365008E-3</v>
      </c>
      <c r="N28" s="8">
        <f>IF($A28=N$1,0,IF(SUM(IMshareM!N$2:N$78)-IMshareM!N$14&gt;0,IMshareM!N28/(SUM(IMshareM!N$2:N$78)-IMshareM!N$14),0))</f>
        <v>5.7582226759990271E-3</v>
      </c>
      <c r="O28" s="8">
        <f>IF($A28=O$1,0,IF(SUM(IMshareM!O$2:O$78)-IMshareM!O$15&gt;0,IMshareM!O28/(SUM(IMshareM!O$2:O$78)-IMshareM!O$15),0))</f>
        <v>1.434561226177977E-2</v>
      </c>
      <c r="P28" s="8">
        <f>IF($A28=P$1,0,IF(SUM(IMshareM!P$2:P$78)-IMshareM!P$16&gt;0,IMshareM!P28/(SUM(IMshareM!P$2:P$78)-IMshareM!P$16),0))</f>
        <v>2.7500015010519891E-3</v>
      </c>
      <c r="Q28" s="8">
        <f>IF($A28=Q$1,0,IF(SUM(IMshareM!Q$2:Q$78)-IMshareM!Q$17&gt;0,IMshareM!Q28/(SUM(IMshareM!Q$2:Q$78)-IMshareM!Q$17),0))</f>
        <v>7.8798665588897168E-3</v>
      </c>
      <c r="R28" s="8">
        <f>IF($A28=R$1,0,IF(SUM(IMshareM!R$2:R$78)-IMshareM!R$18&gt;0,IMshareM!R28/(SUM(IMshareM!R$2:R$78)-IMshareM!R$18),0))</f>
        <v>2.6373683553531095E-3</v>
      </c>
      <c r="S28" s="8">
        <f>IF($A28=S$1,0,IF(SUM(IMshareM!S$2:S$78)-IMshareM!S$19&gt;0,IMshareM!S28/(SUM(IMshareM!S$2:S$78)-IMshareM!S$19),0))</f>
        <v>2.8212517604064472E-2</v>
      </c>
      <c r="T28" s="8">
        <f>IF($A28=T$1,0,IF(SUM(IMshareM!T$2:T$78)-IMshareM!T$20&gt;0,IMshareM!T28/(SUM(IMshareM!T$2:T$78)-IMshareM!T$20),0))</f>
        <v>3.3663095371665097E-3</v>
      </c>
      <c r="U28" s="8">
        <f>IF($A28=U$1,0,IF(SUM(IMshareM!U$2:U$78)-IMshareM!U$21&gt;0,IMshareM!U28/(SUM(IMshareM!U$2:U$78)-IMshareM!U$21),0))</f>
        <v>1.3735280348208584E-2</v>
      </c>
      <c r="V28" s="8">
        <f>IF($A28=V$1,0,IF(SUM(IMshareM!V$2:V$78)-IMshareM!V$22&gt;0,IMshareM!V28/(SUM(IMshareM!V$2:V$78)-IMshareM!V$22),0))</f>
        <v>1.538591298200687E-2</v>
      </c>
      <c r="W28" s="8">
        <f>IF($A28=W$1,0,IF(SUM(IMshareM!W$2:W$78)-IMshareM!W$23&gt;0,IMshareM!W28/(SUM(IMshareM!W$2:W$78)-IMshareM!W$23),0))</f>
        <v>6.8640785637613553E-3</v>
      </c>
      <c r="X28" s="8">
        <f>IF($A28=X$1,0,IF(SUM(IMshareM!X$2:X$78)-IMshareM!X$24&gt;0,IMshareM!X28/(SUM(IMshareM!X$2:X$78)-IMshareM!X$24),0))</f>
        <v>2.2007317858078461E-2</v>
      </c>
      <c r="Y28" s="8">
        <f>IF($A28=Y$1,0,IF(SUM(IMshareM!Y$2:Y$78)-IMshareM!Y$25&gt;0,IMshareM!Y28/(SUM(IMshareM!Y$2:Y$78)-IMshareM!Y$25),0))</f>
        <v>4.8438489526074754E-2</v>
      </c>
      <c r="Z28" s="8">
        <f>IF($A28=Z$1,0,IF(SUM(IMshareM!Z$2:Z$78)-IMshareM!Z$26&gt;0,IMshareM!Z28/(SUM(IMshareM!Z$2:Z$78)-IMshareM!Z$26),0))</f>
        <v>6.1364667837478714E-3</v>
      </c>
      <c r="AA28" s="8">
        <f>IF($A28=AA$1,0,IF(SUM(IMshareM!AA$2:AA$78)-IMshareM!AA$27&gt;0,IMshareM!AA28/(SUM(IMshareM!AA$2:AA$78)-IMshareM!AA$27),0))</f>
        <v>1.2363580219320014E-2</v>
      </c>
      <c r="AB28" s="8">
        <f>IF($A28=AB$1,0,IF(SUM(IMshareM!AB$2:AB$78)-IMshareM!AB$28&gt;0,IMshareM!AB28/(SUM(IMshareM!AB$2:AB$78)-IMshareM!AB$28),0))</f>
        <v>0</v>
      </c>
      <c r="AC28" s="8">
        <f>IF($A28=AC$1,0,IF(SUM(IMshareM!AC$2:AC$78)-IMshareM!AC$29&gt;0,IMshareM!AC28/(SUM(IMshareM!AC$2:AC$78)-IMshareM!AC$29),0))</f>
        <v>6.1208971700750956E-3</v>
      </c>
      <c r="AD28" s="8">
        <f>IF($A28=AD$1,0,IF(SUM(IMshareM!AD$2:AD$78)-IMshareM!AD$30&gt;0,IMshareM!AD28/(SUM(IMshareM!AD$2:AD$78)-IMshareM!AD$30),0))</f>
        <v>2.7823288008835189E-3</v>
      </c>
      <c r="AE28" s="8">
        <f>IF($A28=AE$1,0,IF(SUM(IMshareM!AE$2:AE$78)-IMshareM!AE$31&gt;0,IMshareM!AE28/(SUM(IMshareM!AE$2:AE$78)-IMshareM!AE$31),0))</f>
        <v>3.9533752946596661E-2</v>
      </c>
      <c r="AF28" s="8">
        <f>IF($A28=AF$1,0,IF(SUM(IMshareM!AF$2:AF$78)-IMshareM!AF$32&gt;0,IMshareM!AF28/(SUM(IMshareM!AF$2:AF$78)-IMshareM!AF$32),0))</f>
        <v>1.8537939634118575E-3</v>
      </c>
      <c r="AG28" s="8">
        <f>IF($A28=AG$1,0,IF(SUM(IMshareM!AG$2:AG$78)-IMshareM!AG$33&gt;0,IMshareM!AG28/(SUM(IMshareM!AG$2:AG$78)-IMshareM!AG$33),0))</f>
        <v>2.0766118979586453E-3</v>
      </c>
      <c r="AH28" s="8">
        <f>IF($A28=AH$1,0,IF(SUM(IMshareM!AH$2:AH$78)-IMshareM!AH$34&gt;0,IMshareM!AH28/(SUM(IMshareM!AH$2:AH$78)-IMshareM!AH$34),0))</f>
        <v>1.5245932099327054E-2</v>
      </c>
      <c r="AI28" s="8">
        <f>IF($A28=AI$1,0,IF(SUM(IMshareM!AI$2:AI$78)-IMshareM!AI$35&gt;0,IMshareM!AI28/(SUM(IMshareM!AI$2:AI$78)-IMshareM!AI$35),0))</f>
        <v>0.21217400513890872</v>
      </c>
      <c r="AJ28" s="8">
        <f>IF($A28=AJ$1,0,IF(SUM(IMshareM!AJ$2:AJ$78)-IMshareM!AJ$36&gt;0,IMshareM!AJ28/(SUM(IMshareM!AJ$2:AJ$78)-IMshareM!AJ$36),0))</f>
        <v>1.5679909070652809E-2</v>
      </c>
      <c r="AK28" s="8">
        <f>IF($A28=AK$1,0,IF(SUM(IMshareM!AK$2:AK$78)-IMshareM!AK$37&gt;0,IMshareM!AK28/(SUM(IMshareM!AK$2:AK$78)-IMshareM!AK$37),0))</f>
        <v>2.3566303139247281E-2</v>
      </c>
      <c r="AL28" s="8">
        <f>IF($A28=AL$1,0,IF(SUM(IMshareM!AL$2:AL$78)-IMshareM!AL$38&gt;0,IMshareM!AL28/(SUM(IMshareM!AL$2:AL$78)-IMshareM!AL$38),0))</f>
        <v>1.7400051615647595E-2</v>
      </c>
      <c r="AM28" s="8">
        <f>IF($A28=AM$1,0,IF(SUM(IMshareM!AM$2:AM$78)-IMshareM!AM$39&gt;0,IMshareM!AM28/(SUM(IMshareM!AM$2:AM$78)-IMshareM!AM$39),0))</f>
        <v>3.9574225968556039E-2</v>
      </c>
      <c r="AN28" s="8">
        <f>IF($A28=AN$1,0,IF(SUM(IMshareM!AN$2:AN$78)-IMshareM!AN$40&gt;0,IMshareM!AN28/(SUM(IMshareM!AN$2:AN$78)-IMshareM!AN$40),0))</f>
        <v>5.4227515779947241E-3</v>
      </c>
      <c r="AO28" s="8">
        <f>IF($A28=AO$1,0,IF(SUM(IMshareM!AO$2:AO$78)-IMshareM!AO$41&gt;0,IMshareM!AO28/(SUM(IMshareM!AO$2:AO$78)-IMshareM!AO$41),0))</f>
        <v>1.6130299455070225E-2</v>
      </c>
      <c r="AP28" s="8">
        <f>IF($A28=AP$1,0,IF(SUM(IMshareM!AP$2:AP$78)-IMshareM!AP$42&gt;0,IMshareM!AP28/(SUM(IMshareM!AP$2:AP$78)-IMshareM!AP$42),0))</f>
        <v>6.7566116465704427E-5</v>
      </c>
      <c r="AQ28" s="8">
        <f>IF($A28=AQ$1,0,IF(SUM(IMshareM!AQ$2:AQ$78)-IMshareM!AQ$43&gt;0,IMshareM!AQ28/(SUM(IMshareM!AQ$2:AQ$78)-IMshareM!AQ$43),0))</f>
        <v>9.7230727671503356E-3</v>
      </c>
      <c r="AR28" s="8">
        <f>IF($A28=AR$1,0,IF(SUM(IMshareM!AR$2:AR$78)-IMshareM!AR$44&gt;0,IMshareM!AR28/(SUM(IMshareM!AR$2:AR$78)-IMshareM!AR$44),0))</f>
        <v>1.5207892811401819E-4</v>
      </c>
      <c r="AS28" s="8">
        <f>IF($A28=AS$1,0,IF(SUM(IMshareM!AS$2:AS$78)-IMshareM!AS$45&gt;0,IMshareM!AS28/(SUM(IMshareM!AS$2:AS$78)-IMshareM!AS$45),0))</f>
        <v>4.7102179551071575E-3</v>
      </c>
      <c r="AT28" s="8">
        <f>IF($A28=AT$1,0,IF(SUM(IMshareM!AT$2:AT$78)-IMshareM!AT$46&gt;0,IMshareM!AT28/(SUM(IMshareM!AT$2:AT$78)-IMshareM!AT$46),0))</f>
        <v>1.5920927809126619E-4</v>
      </c>
      <c r="AU28" s="8">
        <f>IF($A28=AU$1,0,IF(SUM(IMshareM!AU$2:AU$78)-IMshareM!AU$47&gt;0,IMshareM!AU28/(SUM(IMshareM!AU$2:AU$78)-IMshareM!AU$47),0))</f>
        <v>1.8094033270085311E-2</v>
      </c>
      <c r="AV28" s="8">
        <f>IF($A28=AV$1,0,IF(SUM(IMshareM!AV$2:AV$78)-IMshareM!AV$48&gt;0,IMshareM!AV28/(SUM(IMshareM!AV$2:AV$78)-IMshareM!AV$48),0))</f>
        <v>3.6597366072551392E-3</v>
      </c>
      <c r="AW28" s="8">
        <f>IF($A28=AW$1,0,IF(SUM(IMshareM!AW$2:AW$78)-IMshareM!AW$49&gt;0,IMshareM!AW28/(SUM(IMshareM!AW$2:AW$78)-IMshareM!AW$49),0))</f>
        <v>7.1011397608478934E-4</v>
      </c>
      <c r="AX28" s="8">
        <f>IF($A28=AX$1,0,IF(SUM(IMshareM!AX$2:AX$78)-IMshareM!AX$50&gt;0,IMshareM!AX28/(SUM(IMshareM!AX$2:AX$78)-IMshareM!AX$50),0))</f>
        <v>2.1941767915408278E-2</v>
      </c>
      <c r="AY28" s="8">
        <f>IF($A28=AY$1,0,IF(SUM(IMshareM!AY$2:AY$78)-IMshareM!AY$51&gt;0,IMshareM!AY28/(SUM(IMshareM!AY$2:AY$78)-IMshareM!AY$51),0))</f>
        <v>1.8202147359086655E-2</v>
      </c>
      <c r="AZ28" s="8">
        <f>IF($A28=AZ$1,0,IF(SUM(IMshareM!AZ$2:AZ$78)-IMshareM!AZ$52&gt;0,IMshareM!AZ28/(SUM(IMshareM!AZ$2:AZ$78)-IMshareM!AZ$52),0))</f>
        <v>3.2761107789410983E-3</v>
      </c>
      <c r="BA28" s="8">
        <f>IF($A28=BA$1,0,IF(SUM(IMshareM!BA$2:BA$78)-IMshareM!BA$53&gt;0,IMshareM!BA28/(SUM(IMshareM!BA$2:BA$78)-IMshareM!BA$53),0))</f>
        <v>5.0106403394366032E-3</v>
      </c>
      <c r="BB28" s="8">
        <f>IF($A28=BB$1,0,IF(SUM(IMshareM!BB$2:BB$78)-IMshareM!BB$54&gt;0,IMshareM!BB28/(SUM(IMshareM!BB$2:BB$78)-IMshareM!BB$54),0))</f>
        <v>2.7335660059553228E-2</v>
      </c>
      <c r="BC28" s="8">
        <f>IF($A28=BC$1,0,IF(SUM(IMshareM!BC$2:BC$78)-IMshareM!BC$55&gt;0,IMshareM!BC28/(SUM(IMshareM!BC$2:BC$78)-IMshareM!BC$55),0))</f>
        <v>3.4228908087515643E-2</v>
      </c>
      <c r="BD28" s="8">
        <f>IF($A28=BD$1,0,IF(SUM(IMshareM!BD$2:BD$78)-IMshareM!BD$56&gt;0,IMshareM!BD28/(SUM(IMshareM!BD$2:BD$78)-IMshareM!BD$56),0))</f>
        <v>1.9250581329049127E-2</v>
      </c>
      <c r="BE28" s="8">
        <f>IF($A28=BE$1,0,IF(SUM(IMshareM!BE$2:BE$78)-IMshareM!BE$57&gt;0,IMshareM!BE28/(SUM(IMshareM!BE$2:BE$78)-IMshareM!BE$57),0))</f>
        <v>8.3249750076399894E-3</v>
      </c>
      <c r="BF28" s="8">
        <f>IF($A28=BF$1,0,IF(SUM(IMshareM!BF$2:BF$78)-IMshareM!BF$58&gt;0,IMshareM!BF28/(SUM(IMshareM!BF$2:BF$78)-IMshareM!BF$58),0))</f>
        <v>6.9394714368933063E-3</v>
      </c>
      <c r="BG28" s="8">
        <f>IF($A28=BG$1,0,IF(SUM(IMshareM!BG$2:BG$78)-IMshareM!BG$59&gt;0,IMshareM!BG28/(SUM(IMshareM!BG$2:BG$78)-IMshareM!BG$59),0))</f>
        <v>5.4797540546596907E-3</v>
      </c>
      <c r="BH28" s="8">
        <f>IF($A28=BH$1,0,IF(SUM(IMshareM!BH$2:BH$78)-IMshareM!BH$60&gt;0,IMshareM!BH28/(SUM(IMshareM!BH$2:BH$78)-IMshareM!BH$60),0))</f>
        <v>6.3000702805781324E-3</v>
      </c>
      <c r="BI28" s="8">
        <f>IF($A28=BI$1,0,IF(SUM(IMshareM!BI$2:BI$78)-IMshareM!BI$61&gt;0,IMshareM!BI28/(SUM(IMshareM!BI$2:BI$78)-IMshareM!BI$61),0))</f>
        <v>1.5441871100008127E-3</v>
      </c>
      <c r="BJ28" s="8">
        <f>IF($A28=BJ$1,0,IF(SUM(IMshareM!BJ$2:BJ$78)-IMshareM!BJ$62&gt;0,IMshareM!BJ28/(SUM(IMshareM!BJ$2:BJ$78)-IMshareM!BJ$62),0))</f>
        <v>4.8628932400392039E-3</v>
      </c>
      <c r="BK28" s="8">
        <f>IF($A28=BK$1,0,IF(SUM(IMshareM!BK$2:BK$78)-IMshareM!BK$63&gt;0,IMshareM!BK28/(SUM(IMshareM!BK$2:BK$78)-IMshareM!BK$63),0))</f>
        <v>2.7245623499748324E-3</v>
      </c>
      <c r="BL28" s="8">
        <f>IF($A28=BL$1,0,IF(SUM(IMshareM!BL$2:BL$78)-IMshareM!BL$64&gt;0,IMshareM!BL28/(SUM(IMshareM!BL$2:BL$78)-IMshareM!BL$64),0))</f>
        <v>5.9610327504823243E-2</v>
      </c>
      <c r="BM28" s="8">
        <f>IF($A28=BM$1,0,IF(SUM(IMshareM!BM$2:BM$78)-IMshareM!BM$65&gt;0,IMshareM!BM28/(SUM(IMshareM!BM$2:BM$78)-IMshareM!BM$65),0))</f>
        <v>7.3098000337038799E-3</v>
      </c>
      <c r="BN28" s="8">
        <f>IF($A28=BN$1,0,IF(SUM(IMshareM!BN$2:BN$78)-IMshareM!BN$66&gt;0,IMshareM!BN28/(SUM(IMshareM!BN$2:BN$78)-IMshareM!BN$66),0))</f>
        <v>2.82346118669369E-2</v>
      </c>
      <c r="BO28" s="8">
        <f>IF($A28=BO$1,0,IF(SUM(IMshareM!BO$2:BO$78)-IMshareM!BO$67&gt;0,IMshareM!BO28/(SUM(IMshareM!BO$2:BO$78)-IMshareM!BO$67),0))</f>
        <v>1.2238551674110102E-3</v>
      </c>
      <c r="BP28" s="8">
        <f>IF($A28=BP$1,0,IF(SUM(IMshareM!BP$2:BP$78)-IMshareM!BP$68&gt;0,IMshareM!BP28/(SUM(IMshareM!BP$2:BP$78)-IMshareM!BP$68),0))</f>
        <v>3.4467379470457353E-3</v>
      </c>
      <c r="BQ28" s="8">
        <f>IF($A28=BQ$1,0,IF(SUM(IMshareM!BQ$2:BQ$78)-IMshareM!BQ$69&gt;0,IMshareM!BQ28/(SUM(IMshareM!BQ$2:BQ$78)-IMshareM!BQ$69),0))</f>
        <v>1.2823695446395337E-2</v>
      </c>
      <c r="BR28" s="8">
        <f>IF($A28=BR$1,0,IF(SUM(IMshareM!BR$2:BR$78)-IMshareM!BR$70&gt;0,IMshareM!BR28/(SUM(IMshareM!BR$2:BR$78)-IMshareM!BR$70),0))</f>
        <v>6.0497354679395626E-3</v>
      </c>
      <c r="BS28" s="8">
        <f>IF($A28=BS$1,0,IF(SUM(IMshareM!BS$2:BS$78)-IMshareM!BS$71&gt;0,IMshareM!BS28/(SUM(IMshareM!BS$2:BS$78)-IMshareM!BS$71),0))</f>
        <v>3.6349037033378139E-3</v>
      </c>
      <c r="BT28" s="8">
        <f>IF($A28=BT$1,0,IF(SUM(IMshareM!BT$2:BT$78)-IMshareM!BT$72&gt;0,IMshareM!BT28/(SUM(IMshareM!BT$2:BT$78)-IMshareM!BT$72),0))</f>
        <v>1.010187721517149E-2</v>
      </c>
      <c r="BU28" s="8">
        <f>IF($A28=BU$1,0,IF(SUM(IMshareM!BU$2:BU$78)-IMshareM!BU$73&gt;0,IMshareM!BU28/(SUM(IMshareM!BU$2:BU$78)-IMshareM!BU$73),0))</f>
        <v>8.610373770926074E-3</v>
      </c>
      <c r="BV28" s="8">
        <f>IF($A28=BV$1,0,IF(SUM(IMshareM!BV$2:BV$78)-IMshareM!BV$74&gt;0,IMshareM!BV28/(SUM(IMshareM!BV$2:BV$78)-IMshareM!BV$74),0))</f>
        <v>3.5989492501562908E-3</v>
      </c>
      <c r="BW28" s="8">
        <f>IF($A28=BW$1,0,IF(SUM(IMshareM!BW$2:BW$78)-IMshareM!BW$75&gt;0,IMshareM!BW28/(SUM(IMshareM!BW$2:BW$78)-IMshareM!BW$75),0))</f>
        <v>1.4140742810284995E-2</v>
      </c>
      <c r="BX28" s="8">
        <f>IF($A28=BX$1,0,IF(SUM(IMshareM!BX$2:BX$78)-IMshareM!BX$76&gt;0,IMshareM!BX28/(SUM(IMshareM!BX$2:BX$78)-IMshareM!BX$76),0))</f>
        <v>1.1947652736756054E-3</v>
      </c>
      <c r="BY28" s="8">
        <f>IF($A28=BY$1,0,IF(SUM(IMshareM!BY$2:BY$78)-IMshareM!BY$77&gt;0,IMshareM!BY28/(SUM(IMshareM!BY$2:BY$78)-IMshareM!BY$77),0))</f>
        <v>5.1105293528784401E-2</v>
      </c>
      <c r="BZ28" s="8">
        <f>IF($A28=BZ$1,0,IF(SUM(IMshareM!BZ$2:BZ$78)-IMshareM!BZ$78&gt;0,IMshareM!BZ28/(SUM(IMshareM!BZ$2:BZ$78)-IMshareM!BZ$78),0))</f>
        <v>2.5180307589931606E-2</v>
      </c>
    </row>
    <row r="29" spans="1:78">
      <c r="A29" s="4" t="s">
        <v>125</v>
      </c>
      <c r="B29" s="8">
        <f>IF($A29=B$1,0,IF(SUM(IMshareM!B$2:B$78)-IMshareM!B$2&gt;0,IMshareM!B29/(SUM(IMshareM!B$2:B$78)-IMshareM!B$2),0))</f>
        <v>2.6507905575800541E-5</v>
      </c>
      <c r="C29" s="8">
        <f>IF($A29=C$1,0,IF(SUM(IMshareM!C$2:C$78)-IMshareM!C$3&gt;0,IMshareM!C29/(SUM(IMshareM!C$2:C$78)-IMshareM!C$3),0))</f>
        <v>9.8665581886425957E-6</v>
      </c>
      <c r="D29" s="8">
        <f>IF($A29=D$1,0,IF(SUM(IMshareM!D$2:D$78)-IMshareM!D$4&gt;0,IMshareM!D29/(SUM(IMshareM!D$2:D$78)-IMshareM!D$4),0))</f>
        <v>2.3818102829853073E-6</v>
      </c>
      <c r="E29" s="8">
        <f>IF($A29=E$1,0,IF(SUM(IMshareM!E$2:E$78)-IMshareM!E$5&gt;0,IMshareM!E29/(SUM(IMshareM!E$2:E$78)-IMshareM!E$5),0))</f>
        <v>4.2846257537602664E-6</v>
      </c>
      <c r="F29" s="8">
        <f>IF($A29=F$1,0,IF(SUM(IMshareM!F$2:F$78)-IMshareM!F$6&gt;0,IMshareM!F29/(SUM(IMshareM!F$2:F$78)-IMshareM!F$6),0))</f>
        <v>4.5205100633815713E-6</v>
      </c>
      <c r="G29" s="8">
        <f>IF($A29=G$1,0,IF(SUM(IMshareM!G$2:G$78)-IMshareM!G$7&gt;0,IMshareM!G29/(SUM(IMshareM!G$2:G$78)-IMshareM!G$7),0))</f>
        <v>9.9382754099110685E-3</v>
      </c>
      <c r="H29" s="8">
        <f>IF($A29=H$1,0,IF(SUM(IMshareM!H$2:H$78)-IMshareM!H$8&gt;0,IMshareM!H29/(SUM(IMshareM!H$2:H$78)-IMshareM!H$8),0))</f>
        <v>0</v>
      </c>
      <c r="I29" s="8">
        <f>IF($A29=I$1,0,IF(SUM(IMshareM!I$2:I$78)-IMshareM!I$9&gt;0,IMshareM!I29/(SUM(IMshareM!I$2:I$78)-IMshareM!I$9),0))</f>
        <v>4.6610043203757469E-5</v>
      </c>
      <c r="J29" s="8">
        <f>IF($A29=J$1,0,IF(SUM(IMshareM!J$2:J$78)-IMshareM!J$10&gt;0,IMshareM!J29/(SUM(IMshareM!J$2:J$78)-IMshareM!J$10),0))</f>
        <v>0</v>
      </c>
      <c r="K29" s="8">
        <f>IF($A29=K$1,0,IF(SUM(IMshareM!K$2:K$78)-IMshareM!K$11&gt;0,IMshareM!K29/(SUM(IMshareM!K$2:K$78)-IMshareM!K$11),0))</f>
        <v>7.8524850638538926E-6</v>
      </c>
      <c r="L29" s="8">
        <f>IF($A29=L$1,0,IF(SUM(IMshareM!L$2:L$78)-IMshareM!L$12&gt;0,IMshareM!L29/(SUM(IMshareM!L$2:L$78)-IMshareM!L$12),0))</f>
        <v>2.1776349329370345E-5</v>
      </c>
      <c r="M29" s="8">
        <f>IF($A29=M$1,0,IF(SUM(IMshareM!M$2:M$78)-IMshareM!M$13&gt;0,IMshareM!M29/(SUM(IMshareM!M$2:M$78)-IMshareM!M$13),0))</f>
        <v>1.8829366821942525E-3</v>
      </c>
      <c r="N29" s="8">
        <f>IF($A29=N$1,0,IF(SUM(IMshareM!N$2:N$78)-IMshareM!N$14&gt;0,IMshareM!N29/(SUM(IMshareM!N$2:N$78)-IMshareM!N$14),0))</f>
        <v>2.3640136252363339E-5</v>
      </c>
      <c r="O29" s="8">
        <f>IF($A29=O$1,0,IF(SUM(IMshareM!O$2:O$78)-IMshareM!O$15&gt;0,IMshareM!O29/(SUM(IMshareM!O$2:O$78)-IMshareM!O$15),0))</f>
        <v>1.5825688547689261E-4</v>
      </c>
      <c r="P29" s="8">
        <f>IF($A29=P$1,0,IF(SUM(IMshareM!P$2:P$78)-IMshareM!P$16&gt;0,IMshareM!P29/(SUM(IMshareM!P$2:P$78)-IMshareM!P$16),0))</f>
        <v>0</v>
      </c>
      <c r="Q29" s="8">
        <f>IF($A29=Q$1,0,IF(SUM(IMshareM!Q$2:Q$78)-IMshareM!Q$17&gt;0,IMshareM!Q29/(SUM(IMshareM!Q$2:Q$78)-IMshareM!Q$17),0))</f>
        <v>0</v>
      </c>
      <c r="R29" s="8">
        <f>IF($A29=R$1,0,IF(SUM(IMshareM!R$2:R$78)-IMshareM!R$18&gt;0,IMshareM!R29/(SUM(IMshareM!R$2:R$78)-IMshareM!R$18),0))</f>
        <v>0</v>
      </c>
      <c r="S29" s="8">
        <f>IF($A29=S$1,0,IF(SUM(IMshareM!S$2:S$78)-IMshareM!S$19&gt;0,IMshareM!S29/(SUM(IMshareM!S$2:S$78)-IMshareM!S$19),0))</f>
        <v>0.15510347690316037</v>
      </c>
      <c r="T29" s="8">
        <f>IF($A29=T$1,0,IF(SUM(IMshareM!T$2:T$78)-IMshareM!T$20&gt;0,IMshareM!T29/(SUM(IMshareM!T$2:T$78)-IMshareM!T$20),0))</f>
        <v>1.2097128107820504E-5</v>
      </c>
      <c r="U29" s="8">
        <f>IF($A29=U$1,0,IF(SUM(IMshareM!U$2:U$78)-IMshareM!U$21&gt;0,IMshareM!U29/(SUM(IMshareM!U$2:U$78)-IMshareM!U$21),0))</f>
        <v>1.5781675903259445E-5</v>
      </c>
      <c r="V29" s="8">
        <f>IF($A29=V$1,0,IF(SUM(IMshareM!V$2:V$78)-IMshareM!V$22&gt;0,IMshareM!V29/(SUM(IMshareM!V$2:V$78)-IMshareM!V$22),0))</f>
        <v>7.5122537528644049E-5</v>
      </c>
      <c r="W29" s="8">
        <f>IF($A29=W$1,0,IF(SUM(IMshareM!W$2:W$78)-IMshareM!W$23&gt;0,IMshareM!W29/(SUM(IMshareM!W$2:W$78)-IMshareM!W$23),0))</f>
        <v>7.6486194737958551E-4</v>
      </c>
      <c r="X29" s="8">
        <f>IF($A29=X$1,0,IF(SUM(IMshareM!X$2:X$78)-IMshareM!X$24&gt;0,IMshareM!X29/(SUM(IMshareM!X$2:X$78)-IMshareM!X$24),0))</f>
        <v>5.179848951044209E-4</v>
      </c>
      <c r="Y29" s="8">
        <f>IF($A29=Y$1,0,IF(SUM(IMshareM!Y$2:Y$78)-IMshareM!Y$25&gt;0,IMshareM!Y29/(SUM(IMshareM!Y$2:Y$78)-IMshareM!Y$25),0))</f>
        <v>2.6782443427107933E-4</v>
      </c>
      <c r="Z29" s="8">
        <f>IF($A29=Z$1,0,IF(SUM(IMshareM!Z$2:Z$78)-IMshareM!Z$26&gt;0,IMshareM!Z29/(SUM(IMshareM!Z$2:Z$78)-IMshareM!Z$26),0))</f>
        <v>8.7958539825711112E-7</v>
      </c>
      <c r="AA29" s="8">
        <f>IF($A29=AA$1,0,IF(SUM(IMshareM!AA$2:AA$78)-IMshareM!AA$27&gt;0,IMshareM!AA29/(SUM(IMshareM!AA$2:AA$78)-IMshareM!AA$27),0))</f>
        <v>1.8052017358056103E-5</v>
      </c>
      <c r="AB29" s="8">
        <f>IF($A29=AB$1,0,IF(SUM(IMshareM!AB$2:AB$78)-IMshareM!AB$28&gt;0,IMshareM!AB29/(SUM(IMshareM!AB$2:AB$78)-IMshareM!AB$28),0))</f>
        <v>2.3870097096296693E-4</v>
      </c>
      <c r="AC29" s="8">
        <f>IF($A29=AC$1,0,IF(SUM(IMshareM!AC$2:AC$78)-IMshareM!AC$29&gt;0,IMshareM!AC29/(SUM(IMshareM!AC$2:AC$78)-IMshareM!AC$29),0))</f>
        <v>0</v>
      </c>
      <c r="AD29" s="8">
        <f>IF($A29=AD$1,0,IF(SUM(IMshareM!AD$2:AD$78)-IMshareM!AD$30&gt;0,IMshareM!AD29/(SUM(IMshareM!AD$2:AD$78)-IMshareM!AD$30),0))</f>
        <v>3.9287484067914223E-5</v>
      </c>
      <c r="AE29" s="8">
        <f>IF($A29=AE$1,0,IF(SUM(IMshareM!AE$2:AE$78)-IMshareM!AE$31&gt;0,IMshareM!AE29/(SUM(IMshareM!AE$2:AE$78)-IMshareM!AE$31),0))</f>
        <v>1.232650408544822E-3</v>
      </c>
      <c r="AF29" s="8">
        <f>IF($A29=AF$1,0,IF(SUM(IMshareM!AF$2:AF$78)-IMshareM!AF$32&gt;0,IMshareM!AF29/(SUM(IMshareM!AF$2:AF$78)-IMshareM!AF$32),0))</f>
        <v>5.2733956710309944E-5</v>
      </c>
      <c r="AG29" s="8">
        <f>IF($A29=AG$1,0,IF(SUM(IMshareM!AG$2:AG$78)-IMshareM!AG$33&gt;0,IMshareM!AG29/(SUM(IMshareM!AG$2:AG$78)-IMshareM!AG$33),0))</f>
        <v>2.5174381336144268E-5</v>
      </c>
      <c r="AH29" s="8">
        <f>IF($A29=AH$1,0,IF(SUM(IMshareM!AH$2:AH$78)-IMshareM!AH$34&gt;0,IMshareM!AH29/(SUM(IMshareM!AH$2:AH$78)-IMshareM!AH$34),0))</f>
        <v>5.9883431083669008E-7</v>
      </c>
      <c r="AI29" s="8">
        <f>IF($A29=AI$1,0,IF(SUM(IMshareM!AI$2:AI$78)-IMshareM!AI$35&gt;0,IMshareM!AI29/(SUM(IMshareM!AI$2:AI$78)-IMshareM!AI$35),0))</f>
        <v>5.5512594617136779E-5</v>
      </c>
      <c r="AJ29" s="8">
        <f>IF($A29=AJ$1,0,IF(SUM(IMshareM!AJ$2:AJ$78)-IMshareM!AJ$36&gt;0,IMshareM!AJ29/(SUM(IMshareM!AJ$2:AJ$78)-IMshareM!AJ$36),0))</f>
        <v>8.1492901660034774E-5</v>
      </c>
      <c r="AK29" s="8">
        <f>IF($A29=AK$1,0,IF(SUM(IMshareM!AK$2:AK$78)-IMshareM!AK$37&gt;0,IMshareM!AK29/(SUM(IMshareM!AK$2:AK$78)-IMshareM!AK$37),0))</f>
        <v>8.1757203308547427E-4</v>
      </c>
      <c r="AL29" s="8">
        <f>IF($A29=AL$1,0,IF(SUM(IMshareM!AL$2:AL$78)-IMshareM!AL$38&gt;0,IMshareM!AL29/(SUM(IMshareM!AL$2:AL$78)-IMshareM!AL$38),0))</f>
        <v>9.3452706990101119E-5</v>
      </c>
      <c r="AM29" s="8">
        <f>IF($A29=AM$1,0,IF(SUM(IMshareM!AM$2:AM$78)-IMshareM!AM$39&gt;0,IMshareM!AM29/(SUM(IMshareM!AM$2:AM$78)-IMshareM!AM$39),0))</f>
        <v>3.9305237282826208E-3</v>
      </c>
      <c r="AN29" s="8">
        <f>IF($A29=AN$1,0,IF(SUM(IMshareM!AN$2:AN$78)-IMshareM!AN$40&gt;0,IMshareM!AN29/(SUM(IMshareM!AN$2:AN$78)-IMshareM!AN$40),0))</f>
        <v>3.350618679062307E-5</v>
      </c>
      <c r="AO29" s="8">
        <f>IF($A29=AO$1,0,IF(SUM(IMshareM!AO$2:AO$78)-IMshareM!AO$41&gt;0,IMshareM!AO29/(SUM(IMshareM!AO$2:AO$78)-IMshareM!AO$41),0))</f>
        <v>1.3544784020158947E-4</v>
      </c>
      <c r="AP29" s="8">
        <f>IF($A29=AP$1,0,IF(SUM(IMshareM!AP$2:AP$78)-IMshareM!AP$42&gt;0,IMshareM!AP29/(SUM(IMshareM!AP$2:AP$78)-IMshareM!AP$42),0))</f>
        <v>0</v>
      </c>
      <c r="AQ29" s="8">
        <f>IF($A29=AQ$1,0,IF(SUM(IMshareM!AQ$2:AQ$78)-IMshareM!AQ$43&gt;0,IMshareM!AQ29/(SUM(IMshareM!AQ$2:AQ$78)-IMshareM!AQ$43),0))</f>
        <v>5.3065334124820066E-7</v>
      </c>
      <c r="AR29" s="8">
        <f>IF($A29=AR$1,0,IF(SUM(IMshareM!AR$2:AR$78)-IMshareM!AR$44&gt;0,IMshareM!AR29/(SUM(IMshareM!AR$2:AR$78)-IMshareM!AR$44),0))</f>
        <v>0</v>
      </c>
      <c r="AS29" s="8">
        <f>IF($A29=AS$1,0,IF(SUM(IMshareM!AS$2:AS$78)-IMshareM!AS$45&gt;0,IMshareM!AS29/(SUM(IMshareM!AS$2:AS$78)-IMshareM!AS$45),0))</f>
        <v>8.3882388337209329E-4</v>
      </c>
      <c r="AT29" s="8">
        <f>IF($A29=AT$1,0,IF(SUM(IMshareM!AT$2:AT$78)-IMshareM!AT$46&gt;0,IMshareM!AT29/(SUM(IMshareM!AT$2:AT$78)-IMshareM!AT$46),0))</f>
        <v>0</v>
      </c>
      <c r="AU29" s="8">
        <f>IF($A29=AU$1,0,IF(SUM(IMshareM!AU$2:AU$78)-IMshareM!AU$47&gt;0,IMshareM!AU29/(SUM(IMshareM!AU$2:AU$78)-IMshareM!AU$47),0))</f>
        <v>9.1273551597015817E-5</v>
      </c>
      <c r="AV29" s="8">
        <f>IF($A29=AV$1,0,IF(SUM(IMshareM!AV$2:AV$78)-IMshareM!AV$48&gt;0,IMshareM!AV29/(SUM(IMshareM!AV$2:AV$78)-IMshareM!AV$48),0))</f>
        <v>1.1497341989343495E-4</v>
      </c>
      <c r="AW29" s="8">
        <f>IF($A29=AW$1,0,IF(SUM(IMshareM!AW$2:AW$78)-IMshareM!AW$49&gt;0,IMshareM!AW29/(SUM(IMshareM!AW$2:AW$78)-IMshareM!AW$49),0))</f>
        <v>1.8468253680411016E-6</v>
      </c>
      <c r="AX29" s="8">
        <f>IF($A29=AX$1,0,IF(SUM(IMshareM!AX$2:AX$78)-IMshareM!AX$50&gt;0,IMshareM!AX29/(SUM(IMshareM!AX$2:AX$78)-IMshareM!AX$50),0))</f>
        <v>4.2464998073367165E-3</v>
      </c>
      <c r="AY29" s="8">
        <f>IF($A29=AY$1,0,IF(SUM(IMshareM!AY$2:AY$78)-IMshareM!AY$51&gt;0,IMshareM!AY29/(SUM(IMshareM!AY$2:AY$78)-IMshareM!AY$51),0))</f>
        <v>0</v>
      </c>
      <c r="AZ29" s="8">
        <f>IF($A29=AZ$1,0,IF(SUM(IMshareM!AZ$2:AZ$78)-IMshareM!AZ$52&gt;0,IMshareM!AZ29/(SUM(IMshareM!AZ$2:AZ$78)-IMshareM!AZ$52),0))</f>
        <v>1.0083136175067865E-6</v>
      </c>
      <c r="BA29" s="8">
        <f>IF($A29=BA$1,0,IF(SUM(IMshareM!BA$2:BA$78)-IMshareM!BA$53&gt;0,IMshareM!BA29/(SUM(IMshareM!BA$2:BA$78)-IMshareM!BA$53),0))</f>
        <v>4.9751523748645483E-3</v>
      </c>
      <c r="BB29" s="8">
        <f>IF($A29=BB$1,0,IF(SUM(IMshareM!BB$2:BB$78)-IMshareM!BB$54&gt;0,IMshareM!BB29/(SUM(IMshareM!BB$2:BB$78)-IMshareM!BB$54),0))</f>
        <v>1.9193093542541761E-4</v>
      </c>
      <c r="BC29" s="8">
        <f>IF($A29=BC$1,0,IF(SUM(IMshareM!BC$2:BC$78)-IMshareM!BC$55&gt;0,IMshareM!BC29/(SUM(IMshareM!BC$2:BC$78)-IMshareM!BC$55),0))</f>
        <v>9.8756704663828065E-4</v>
      </c>
      <c r="BD29" s="8">
        <f>IF($A29=BD$1,0,IF(SUM(IMshareM!BD$2:BD$78)-IMshareM!BD$56&gt;0,IMshareM!BD29/(SUM(IMshareM!BD$2:BD$78)-IMshareM!BD$56),0))</f>
        <v>1.0407002440264268E-5</v>
      </c>
      <c r="BE29" s="8">
        <f>IF($A29=BE$1,0,IF(SUM(IMshareM!BE$2:BE$78)-IMshareM!BE$57&gt;0,IMshareM!BE29/(SUM(IMshareM!BE$2:BE$78)-IMshareM!BE$57),0))</f>
        <v>1.0006760867396409E-3</v>
      </c>
      <c r="BF29" s="8">
        <f>IF($A29=BF$1,0,IF(SUM(IMshareM!BF$2:BF$78)-IMshareM!BF$58&gt;0,IMshareM!BF29/(SUM(IMshareM!BF$2:BF$78)-IMshareM!BF$58),0))</f>
        <v>1.9127196997273459E-5</v>
      </c>
      <c r="BG29" s="8">
        <f>IF($A29=BG$1,0,IF(SUM(IMshareM!BG$2:BG$78)-IMshareM!BG$59&gt;0,IMshareM!BG29/(SUM(IMshareM!BG$2:BG$78)-IMshareM!BG$59),0))</f>
        <v>3.972186338785153E-6</v>
      </c>
      <c r="BH29" s="8">
        <f>IF($A29=BH$1,0,IF(SUM(IMshareM!BH$2:BH$78)-IMshareM!BH$60&gt;0,IMshareM!BH29/(SUM(IMshareM!BH$2:BH$78)-IMshareM!BH$60),0))</f>
        <v>8.0933744319995425E-6</v>
      </c>
      <c r="BI29" s="8">
        <f>IF($A29=BI$1,0,IF(SUM(IMshareM!BI$2:BI$78)-IMshareM!BI$61&gt;0,IMshareM!BI29/(SUM(IMshareM!BI$2:BI$78)-IMshareM!BI$61),0))</f>
        <v>4.1826617030487132E-5</v>
      </c>
      <c r="BJ29" s="8">
        <f>IF($A29=BJ$1,0,IF(SUM(IMshareM!BJ$2:BJ$78)-IMshareM!BJ$62&gt;0,IMshareM!BJ29/(SUM(IMshareM!BJ$2:BJ$78)-IMshareM!BJ$62),0))</f>
        <v>1.5634078312627905E-3</v>
      </c>
      <c r="BK29" s="8">
        <f>IF($A29=BK$1,0,IF(SUM(IMshareM!BK$2:BK$78)-IMshareM!BK$63&gt;0,IMshareM!BK29/(SUM(IMshareM!BK$2:BK$78)-IMshareM!BK$63),0))</f>
        <v>0</v>
      </c>
      <c r="BL29" s="8">
        <f>IF($A29=BL$1,0,IF(SUM(IMshareM!BL$2:BL$78)-IMshareM!BL$64&gt;0,IMshareM!BL29/(SUM(IMshareM!BL$2:BL$78)-IMshareM!BL$64),0))</f>
        <v>4.633726273315068E-3</v>
      </c>
      <c r="BM29" s="8">
        <f>IF($A29=BM$1,0,IF(SUM(IMshareM!BM$2:BM$78)-IMshareM!BM$65&gt;0,IMshareM!BM29/(SUM(IMshareM!BM$2:BM$78)-IMshareM!BM$65),0))</f>
        <v>3.1499738152379527E-4</v>
      </c>
      <c r="BN29" s="8">
        <f>IF($A29=BN$1,0,IF(SUM(IMshareM!BN$2:BN$78)-IMshareM!BN$66&gt;0,IMshareM!BN29/(SUM(IMshareM!BN$2:BN$78)-IMshareM!BN$66),0))</f>
        <v>1.368883253179476E-4</v>
      </c>
      <c r="BO29" s="8">
        <f>IF($A29=BO$1,0,IF(SUM(IMshareM!BO$2:BO$78)-IMshareM!BO$67&gt;0,IMshareM!BO29/(SUM(IMshareM!BO$2:BO$78)-IMshareM!BO$67),0))</f>
        <v>5.4887399667608979E-7</v>
      </c>
      <c r="BP29" s="8">
        <f>IF($A29=BP$1,0,IF(SUM(IMshareM!BP$2:BP$78)-IMshareM!BP$68&gt;0,IMshareM!BP29/(SUM(IMshareM!BP$2:BP$78)-IMshareM!BP$68),0))</f>
        <v>3.4357206542870452E-6</v>
      </c>
      <c r="BQ29" s="8">
        <f>IF($A29=BQ$1,0,IF(SUM(IMshareM!BQ$2:BQ$78)-IMshareM!BQ$69&gt;0,IMshareM!BQ29/(SUM(IMshareM!BQ$2:BQ$78)-IMshareM!BQ$69),0))</f>
        <v>9.4993070303146957E-6</v>
      </c>
      <c r="BR29" s="8">
        <f>IF($A29=BR$1,0,IF(SUM(IMshareM!BR$2:BR$78)-IMshareM!BR$70&gt;0,IMshareM!BR29/(SUM(IMshareM!BR$2:BR$78)-IMshareM!BR$70),0))</f>
        <v>1.1355378574010487E-4</v>
      </c>
      <c r="BS29" s="8">
        <f>IF($A29=BS$1,0,IF(SUM(IMshareM!BS$2:BS$78)-IMshareM!BS$71&gt;0,IMshareM!BS29/(SUM(IMshareM!BS$2:BS$78)-IMshareM!BS$71),0))</f>
        <v>1.1110359462139312E-4</v>
      </c>
      <c r="BT29" s="8">
        <f>IF($A29=BT$1,0,IF(SUM(IMshareM!BT$2:BT$78)-IMshareM!BT$72&gt;0,IMshareM!BT29/(SUM(IMshareM!BT$2:BT$78)-IMshareM!BT$72),0))</f>
        <v>5.2224272996984502E-5</v>
      </c>
      <c r="BU29" s="8">
        <f>IF($A29=BU$1,0,IF(SUM(IMshareM!BU$2:BU$78)-IMshareM!BU$73&gt;0,IMshareM!BU29/(SUM(IMshareM!BU$2:BU$78)-IMshareM!BU$73),0))</f>
        <v>4.4428883082396555E-7</v>
      </c>
      <c r="BV29" s="8">
        <f>IF($A29=BV$1,0,IF(SUM(IMshareM!BV$2:BV$78)-IMshareM!BV$74&gt;0,IMshareM!BV29/(SUM(IMshareM!BV$2:BV$78)-IMshareM!BV$74),0))</f>
        <v>3.1973520447933898E-4</v>
      </c>
      <c r="BW29" s="8">
        <f>IF($A29=BW$1,0,IF(SUM(IMshareM!BW$2:BW$78)-IMshareM!BW$75&gt;0,IMshareM!BW29/(SUM(IMshareM!BW$2:BW$78)-IMshareM!BW$75),0))</f>
        <v>4.3471044241722425E-5</v>
      </c>
      <c r="BX29" s="8">
        <f>IF($A29=BX$1,0,IF(SUM(IMshareM!BX$2:BX$78)-IMshareM!BX$76&gt;0,IMshareM!BX29/(SUM(IMshareM!BX$2:BX$78)-IMshareM!BX$76),0))</f>
        <v>1.1187889772828054E-6</v>
      </c>
      <c r="BY29" s="8">
        <f>IF($A29=BY$1,0,IF(SUM(IMshareM!BY$2:BY$78)-IMshareM!BY$77&gt;0,IMshareM!BY29/(SUM(IMshareM!BY$2:BY$78)-IMshareM!BY$77),0))</f>
        <v>5.5227812393626856E-5</v>
      </c>
      <c r="BZ29" s="8">
        <f>IF($A29=BZ$1,0,IF(SUM(IMshareM!BZ$2:BZ$78)-IMshareM!BZ$78&gt;0,IMshareM!BZ29/(SUM(IMshareM!BZ$2:BZ$78)-IMshareM!BZ$78),0))</f>
        <v>1.0126372320478291E-3</v>
      </c>
    </row>
    <row r="30" spans="1:78">
      <c r="A30" s="4" t="s">
        <v>127</v>
      </c>
      <c r="B30" s="8">
        <f>IF($A30=B$1,0,IF(SUM(IMshareM!B$2:B$78)-IMshareM!B$2&gt;0,IMshareM!B30/(SUM(IMshareM!B$2:B$78)-IMshareM!B$2),0))</f>
        <v>1.186195458573275E-4</v>
      </c>
      <c r="C30" s="8">
        <f>IF($A30=C$1,0,IF(SUM(IMshareM!C$2:C$78)-IMshareM!C$3&gt;0,IMshareM!C30/(SUM(IMshareM!C$2:C$78)-IMshareM!C$3),0))</f>
        <v>6.1638589993303424E-4</v>
      </c>
      <c r="D30" s="8">
        <f>IF($A30=D$1,0,IF(SUM(IMshareM!D$2:D$78)-IMshareM!D$4&gt;0,IMshareM!D30/(SUM(IMshareM!D$2:D$78)-IMshareM!D$4),0))</f>
        <v>8.5107955672623545E-4</v>
      </c>
      <c r="E30" s="8">
        <f>IF($A30=E$1,0,IF(SUM(IMshareM!E$2:E$78)-IMshareM!E$5&gt;0,IMshareM!E30/(SUM(IMshareM!E$2:E$78)-IMshareM!E$5),0))</f>
        <v>5.146830666295326E-5</v>
      </c>
      <c r="F30" s="8">
        <f>IF($A30=F$1,0,IF(SUM(IMshareM!F$2:F$78)-IMshareM!F$6&gt;0,IMshareM!F30/(SUM(IMshareM!F$2:F$78)-IMshareM!F$6),0))</f>
        <v>1.3714030650053506E-2</v>
      </c>
      <c r="G30" s="8">
        <f>IF($A30=G$1,0,IF(SUM(IMshareM!G$2:G$78)-IMshareM!G$7&gt;0,IMshareM!G30/(SUM(IMshareM!G$2:G$78)-IMshareM!G$7),0))</f>
        <v>5.917694438001238E-3</v>
      </c>
      <c r="H30" s="8">
        <f>IF($A30=H$1,0,IF(SUM(IMshareM!H$2:H$78)-IMshareM!H$8&gt;0,IMshareM!H30/(SUM(IMshareM!H$2:H$78)-IMshareM!H$8),0))</f>
        <v>4.992240721089663E-4</v>
      </c>
      <c r="I30" s="8">
        <f>IF($A30=I$1,0,IF(SUM(IMshareM!I$2:I$78)-IMshareM!I$9&gt;0,IMshareM!I30/(SUM(IMshareM!I$2:I$78)-IMshareM!I$9),0))</f>
        <v>1.16571386933125E-2</v>
      </c>
      <c r="J30" s="8">
        <f>IF($A30=J$1,0,IF(SUM(IMshareM!J$2:J$78)-IMshareM!J$10&gt;0,IMshareM!J30/(SUM(IMshareM!J$2:J$78)-IMshareM!J$10),0))</f>
        <v>4.7021703988457729E-4</v>
      </c>
      <c r="K30" s="8">
        <f>IF($A30=K$1,0,IF(SUM(IMshareM!K$2:K$78)-IMshareM!K$11&gt;0,IMshareM!K30/(SUM(IMshareM!K$2:K$78)-IMshareM!K$11),0))</f>
        <v>3.8699072165358171E-4</v>
      </c>
      <c r="L30" s="8">
        <f>IF($A30=L$1,0,IF(SUM(IMshareM!L$2:L$78)-IMshareM!L$12&gt;0,IMshareM!L30/(SUM(IMshareM!L$2:L$78)-IMshareM!L$12),0))</f>
        <v>1.2553152957650161E-3</v>
      </c>
      <c r="M30" s="8">
        <f>IF($A30=M$1,0,IF(SUM(IMshareM!M$2:M$78)-IMshareM!M$13&gt;0,IMshareM!M30/(SUM(IMshareM!M$2:M$78)-IMshareM!M$13),0))</f>
        <v>6.7476053837674254E-4</v>
      </c>
      <c r="N30" s="8">
        <f>IF($A30=N$1,0,IF(SUM(IMshareM!N$2:N$78)-IMshareM!N$14&gt;0,IMshareM!N30/(SUM(IMshareM!N$2:N$78)-IMshareM!N$14),0))</f>
        <v>3.3936808294406518E-4</v>
      </c>
      <c r="O30" s="8">
        <f>IF($A30=O$1,0,IF(SUM(IMshareM!O$2:O$78)-IMshareM!O$15&gt;0,IMshareM!O30/(SUM(IMshareM!O$2:O$78)-IMshareM!O$15),0))</f>
        <v>3.1041963005754339E-4</v>
      </c>
      <c r="P30" s="8">
        <f>IF($A30=P$1,0,IF(SUM(IMshareM!P$2:P$78)-IMshareM!P$16&gt;0,IMshareM!P30/(SUM(IMshareM!P$2:P$78)-IMshareM!P$16),0))</f>
        <v>4.2341741111659767E-2</v>
      </c>
      <c r="Q30" s="8">
        <f>IF($A30=Q$1,0,IF(SUM(IMshareM!Q$2:Q$78)-IMshareM!Q$17&gt;0,IMshareM!Q30/(SUM(IMshareM!Q$2:Q$78)-IMshareM!Q$17),0))</f>
        <v>7.3179480187268741E-4</v>
      </c>
      <c r="R30" s="8">
        <f>IF($A30=R$1,0,IF(SUM(IMshareM!R$2:R$78)-IMshareM!R$18&gt;0,IMshareM!R30/(SUM(IMshareM!R$2:R$78)-IMshareM!R$18),0))</f>
        <v>1.7809242739690253E-2</v>
      </c>
      <c r="S30" s="8">
        <f>IF($A30=S$1,0,IF(SUM(IMshareM!S$2:S$78)-IMshareM!S$19&gt;0,IMshareM!S30/(SUM(IMshareM!S$2:S$78)-IMshareM!S$19),0))</f>
        <v>9.354604060193639E-3</v>
      </c>
      <c r="T30" s="8">
        <f>IF($A30=T$1,0,IF(SUM(IMshareM!T$2:T$78)-IMshareM!T$20&gt;0,IMshareM!T30/(SUM(IMshareM!T$2:T$78)-IMshareM!T$20),0))</f>
        <v>1.9162746060466835E-3</v>
      </c>
      <c r="U30" s="8">
        <f>IF($A30=U$1,0,IF(SUM(IMshareM!U$2:U$78)-IMshareM!U$21&gt;0,IMshareM!U30/(SUM(IMshareM!U$2:U$78)-IMshareM!U$21),0))</f>
        <v>9.5592548879315021E-4</v>
      </c>
      <c r="V30" s="8">
        <f>IF($A30=V$1,0,IF(SUM(IMshareM!V$2:V$78)-IMshareM!V$22&gt;0,IMshareM!V30/(SUM(IMshareM!V$2:V$78)-IMshareM!V$22),0))</f>
        <v>2.8940408875370658E-4</v>
      </c>
      <c r="W30" s="8">
        <f>IF($A30=W$1,0,IF(SUM(IMshareM!W$2:W$78)-IMshareM!W$23&gt;0,IMshareM!W30/(SUM(IMshareM!W$2:W$78)-IMshareM!W$23),0))</f>
        <v>3.6813958074351038E-4</v>
      </c>
      <c r="X30" s="8">
        <f>IF($A30=X$1,0,IF(SUM(IMshareM!X$2:X$78)-IMshareM!X$24&gt;0,IMshareM!X30/(SUM(IMshareM!X$2:X$78)-IMshareM!X$24),0))</f>
        <v>6.9474770384551443E-4</v>
      </c>
      <c r="Y30" s="8">
        <f>IF($A30=Y$1,0,IF(SUM(IMshareM!Y$2:Y$78)-IMshareM!Y$25&gt;0,IMshareM!Y30/(SUM(IMshareM!Y$2:Y$78)-IMshareM!Y$25),0))</f>
        <v>2.4395430654179912E-5</v>
      </c>
      <c r="Z30" s="8">
        <f>IF($A30=Z$1,0,IF(SUM(IMshareM!Z$2:Z$78)-IMshareM!Z$26&gt;0,IMshareM!Z30/(SUM(IMshareM!Z$2:Z$78)-IMshareM!Z$26),0))</f>
        <v>4.1124373207750587E-4</v>
      </c>
      <c r="AA30" s="8">
        <f>IF($A30=AA$1,0,IF(SUM(IMshareM!AA$2:AA$78)-IMshareM!AA$27&gt;0,IMshareM!AA30/(SUM(IMshareM!AA$2:AA$78)-IMshareM!AA$27),0))</f>
        <v>4.8653426902738316E-4</v>
      </c>
      <c r="AB30" s="8">
        <f>IF($A30=AB$1,0,IF(SUM(IMshareM!AB$2:AB$78)-IMshareM!AB$28&gt;0,IMshareM!AB30/(SUM(IMshareM!AB$2:AB$78)-IMshareM!AB$28),0))</f>
        <v>3.4759017059696035E-3</v>
      </c>
      <c r="AC30" s="8">
        <f>IF($A30=AC$1,0,IF(SUM(IMshareM!AC$2:AC$78)-IMshareM!AC$29&gt;0,IMshareM!AC30/(SUM(IMshareM!AC$2:AC$78)-IMshareM!AC$29),0))</f>
        <v>2.1631601092119009E-4</v>
      </c>
      <c r="AD30" s="8">
        <f>IF($A30=AD$1,0,IF(SUM(IMshareM!AD$2:AD$78)-IMshareM!AD$30&gt;0,IMshareM!AD30/(SUM(IMshareM!AD$2:AD$78)-IMshareM!AD$30),0))</f>
        <v>0</v>
      </c>
      <c r="AE30" s="8">
        <f>IF($A30=AE$1,0,IF(SUM(IMshareM!AE$2:AE$78)-IMshareM!AE$31&gt;0,IMshareM!AE30/(SUM(IMshareM!AE$2:AE$78)-IMshareM!AE$31),0))</f>
        <v>2.9747927357817348E-4</v>
      </c>
      <c r="AF30" s="8">
        <f>IF($A30=AF$1,0,IF(SUM(IMshareM!AF$2:AF$78)-IMshareM!AF$32&gt;0,IMshareM!AF30/(SUM(IMshareM!AF$2:AF$78)-IMshareM!AF$32),0))</f>
        <v>2.5260232107393622E-2</v>
      </c>
      <c r="AG30" s="8">
        <f>IF($A30=AG$1,0,IF(SUM(IMshareM!AG$2:AG$78)-IMshareM!AG$33&gt;0,IMshareM!AG30/(SUM(IMshareM!AG$2:AG$78)-IMshareM!AG$33),0))</f>
        <v>1.0827270651539241E-2</v>
      </c>
      <c r="AH30" s="8">
        <f>IF($A30=AH$1,0,IF(SUM(IMshareM!AH$2:AH$78)-IMshareM!AH$34&gt;0,IMshareM!AH30/(SUM(IMshareM!AH$2:AH$78)-IMshareM!AH$34),0))</f>
        <v>2.3558560503367298E-2</v>
      </c>
      <c r="AI30" s="8">
        <f>IF($A30=AI$1,0,IF(SUM(IMshareM!AI$2:AI$78)-IMshareM!AI$35&gt;0,IMshareM!AI30/(SUM(IMshareM!AI$2:AI$78)-IMshareM!AI$35),0))</f>
        <v>3.6643535506823166E-3</v>
      </c>
      <c r="AJ30" s="8">
        <f>IF($A30=AJ$1,0,IF(SUM(IMshareM!AJ$2:AJ$78)-IMshareM!AJ$36&gt;0,IMshareM!AJ30/(SUM(IMshareM!AJ$2:AJ$78)-IMshareM!AJ$36),0))</f>
        <v>8.1884914005999287E-4</v>
      </c>
      <c r="AK30" s="8">
        <f>IF($A30=AK$1,0,IF(SUM(IMshareM!AK$2:AK$78)-IMshareM!AK$37&gt;0,IMshareM!AK30/(SUM(IMshareM!AK$2:AK$78)-IMshareM!AK$37),0))</f>
        <v>6.7845835879603356E-2</v>
      </c>
      <c r="AL30" s="8">
        <f>IF($A30=AL$1,0,IF(SUM(IMshareM!AL$2:AL$78)-IMshareM!AL$38&gt;0,IMshareM!AL30/(SUM(IMshareM!AL$2:AL$78)-IMshareM!AL$38),0))</f>
        <v>1.7232061555435933E-4</v>
      </c>
      <c r="AM30" s="8">
        <f>IF($A30=AM$1,0,IF(SUM(IMshareM!AM$2:AM$78)-IMshareM!AM$39&gt;0,IMshareM!AM30/(SUM(IMshareM!AM$2:AM$78)-IMshareM!AM$39),0))</f>
        <v>6.8854580442770982E-3</v>
      </c>
      <c r="AN30" s="8">
        <f>IF($A30=AN$1,0,IF(SUM(IMshareM!AN$2:AN$78)-IMshareM!AN$40&gt;0,IMshareM!AN30/(SUM(IMshareM!AN$2:AN$78)-IMshareM!AN$40),0))</f>
        <v>1.3817327027159518E-4</v>
      </c>
      <c r="AO30" s="8">
        <f>IF($A30=AO$1,0,IF(SUM(IMshareM!AO$2:AO$78)-IMshareM!AO$41&gt;0,IMshareM!AO30/(SUM(IMshareM!AO$2:AO$78)-IMshareM!AO$41),0))</f>
        <v>5.8861519166264847E-5</v>
      </c>
      <c r="AP30" s="8">
        <f>IF($A30=AP$1,0,IF(SUM(IMshareM!AP$2:AP$78)-IMshareM!AP$42&gt;0,IMshareM!AP30/(SUM(IMshareM!AP$2:AP$78)-IMshareM!AP$42),0))</f>
        <v>1.2835711243313475E-2</v>
      </c>
      <c r="AQ30" s="8">
        <f>IF($A30=AQ$1,0,IF(SUM(IMshareM!AQ$2:AQ$78)-IMshareM!AQ$43&gt;0,IMshareM!AQ30/(SUM(IMshareM!AQ$2:AQ$78)-IMshareM!AQ$43),0))</f>
        <v>1.7503963349275011E-4</v>
      </c>
      <c r="AR30" s="8">
        <f>IF($A30=AR$1,0,IF(SUM(IMshareM!AR$2:AR$78)-IMshareM!AR$44&gt;0,IMshareM!AR30/(SUM(IMshareM!AR$2:AR$78)-IMshareM!AR$44),0))</f>
        <v>0</v>
      </c>
      <c r="AS30" s="8">
        <f>IF($A30=AS$1,0,IF(SUM(IMshareM!AS$2:AS$78)-IMshareM!AS$45&gt;0,IMshareM!AS30/(SUM(IMshareM!AS$2:AS$78)-IMshareM!AS$45),0))</f>
        <v>1.6893004925910386E-6</v>
      </c>
      <c r="AT30" s="8">
        <f>IF($A30=AT$1,0,IF(SUM(IMshareM!AT$2:AT$78)-IMshareM!AT$46&gt;0,IMshareM!AT30/(SUM(IMshareM!AT$2:AT$78)-IMshareM!AT$46),0))</f>
        <v>9.2503157097299468E-7</v>
      </c>
      <c r="AU30" s="8">
        <f>IF($A30=AU$1,0,IF(SUM(IMshareM!AU$2:AU$78)-IMshareM!AU$47&gt;0,IMshareM!AU30/(SUM(IMshareM!AU$2:AU$78)-IMshareM!AU$47),0))</f>
        <v>6.3594425867677265E-4</v>
      </c>
      <c r="AV30" s="8">
        <f>IF($A30=AV$1,0,IF(SUM(IMshareM!AV$2:AV$78)-IMshareM!AV$48&gt;0,IMshareM!AV30/(SUM(IMshareM!AV$2:AV$78)-IMshareM!AV$48),0))</f>
        <v>3.0099472683884727E-5</v>
      </c>
      <c r="AW30" s="8">
        <f>IF($A30=AW$1,0,IF(SUM(IMshareM!AW$2:AW$78)-IMshareM!AW$49&gt;0,IMshareM!AW30/(SUM(IMshareM!AW$2:AW$78)-IMshareM!AW$49),0))</f>
        <v>1.9695371725260234E-3</v>
      </c>
      <c r="AX30" s="8">
        <f>IF($A30=AX$1,0,IF(SUM(IMshareM!AX$2:AX$78)-IMshareM!AX$50&gt;0,IMshareM!AX30/(SUM(IMshareM!AX$2:AX$78)-IMshareM!AX$50),0))</f>
        <v>6.1938462812726478E-4</v>
      </c>
      <c r="AY30" s="8">
        <f>IF($A30=AY$1,0,IF(SUM(IMshareM!AY$2:AY$78)-IMshareM!AY$51&gt;0,IMshareM!AY30/(SUM(IMshareM!AY$2:AY$78)-IMshareM!AY$51),0))</f>
        <v>1.3270425105528483E-4</v>
      </c>
      <c r="AZ30" s="8">
        <f>IF($A30=AZ$1,0,IF(SUM(IMshareM!AZ$2:AZ$78)-IMshareM!AZ$52&gt;0,IMshareM!AZ30/(SUM(IMshareM!AZ$2:AZ$78)-IMshareM!AZ$52),0))</f>
        <v>2.6707625162109179E-2</v>
      </c>
      <c r="BA30" s="8">
        <f>IF($A30=BA$1,0,IF(SUM(IMshareM!BA$2:BA$78)-IMshareM!BA$53&gt;0,IMshareM!BA30/(SUM(IMshareM!BA$2:BA$78)-IMshareM!BA$53),0))</f>
        <v>4.4871938112353372E-3</v>
      </c>
      <c r="BB30" s="8">
        <f>IF($A30=BB$1,0,IF(SUM(IMshareM!BB$2:BB$78)-IMshareM!BB$54&gt;0,IMshareM!BB30/(SUM(IMshareM!BB$2:BB$78)-IMshareM!BB$54),0))</f>
        <v>7.0400814161917123E-3</v>
      </c>
      <c r="BC30" s="8">
        <f>IF($A30=BC$1,0,IF(SUM(IMshareM!BC$2:BC$78)-IMshareM!BC$55&gt;0,IMshareM!BC30/(SUM(IMshareM!BC$2:BC$78)-IMshareM!BC$55),0))</f>
        <v>9.5517806398566431E-4</v>
      </c>
      <c r="BD30" s="8">
        <f>IF($A30=BD$1,0,IF(SUM(IMshareM!BD$2:BD$78)-IMshareM!BD$56&gt;0,IMshareM!BD30/(SUM(IMshareM!BD$2:BD$78)-IMshareM!BD$56),0))</f>
        <v>1.8697750788169954E-4</v>
      </c>
      <c r="BE30" s="8">
        <f>IF($A30=BE$1,0,IF(SUM(IMshareM!BE$2:BE$78)-IMshareM!BE$57&gt;0,IMshareM!BE30/(SUM(IMshareM!BE$2:BE$78)-IMshareM!BE$57),0))</f>
        <v>3.7858585052812149E-3</v>
      </c>
      <c r="BF30" s="8">
        <f>IF($A30=BF$1,0,IF(SUM(IMshareM!BF$2:BF$78)-IMshareM!BF$58&gt;0,IMshareM!BF30/(SUM(IMshareM!BF$2:BF$78)-IMshareM!BF$58),0))</f>
        <v>1.3114126792721289E-5</v>
      </c>
      <c r="BG30" s="8">
        <f>IF($A30=BG$1,0,IF(SUM(IMshareM!BG$2:BG$78)-IMshareM!BG$59&gt;0,IMshareM!BG30/(SUM(IMshareM!BG$2:BG$78)-IMshareM!BG$59),0))</f>
        <v>4.548819368387115E-2</v>
      </c>
      <c r="BH30" s="8">
        <f>IF($A30=BH$1,0,IF(SUM(IMshareM!BH$2:BH$78)-IMshareM!BH$60&gt;0,IMshareM!BH30/(SUM(IMshareM!BH$2:BH$78)-IMshareM!BH$60),0))</f>
        <v>1.548166214897172E-4</v>
      </c>
      <c r="BI30" s="8">
        <f>IF($A30=BI$1,0,IF(SUM(IMshareM!BI$2:BI$78)-IMshareM!BI$61&gt;0,IMshareM!BI30/(SUM(IMshareM!BI$2:BI$78)-IMshareM!BI$61),0))</f>
        <v>2.2099342568384712E-4</v>
      </c>
      <c r="BJ30" s="8">
        <f>IF($A30=BJ$1,0,IF(SUM(IMshareM!BJ$2:BJ$78)-IMshareM!BJ$62&gt;0,IMshareM!BJ30/(SUM(IMshareM!BJ$2:BJ$78)-IMshareM!BJ$62),0))</f>
        <v>2.0774609087549654E-2</v>
      </c>
      <c r="BK30" s="8">
        <f>IF($A30=BK$1,0,IF(SUM(IMshareM!BK$2:BK$78)-IMshareM!BK$63&gt;0,IMshareM!BK30/(SUM(IMshareM!BK$2:BK$78)-IMshareM!BK$63),0))</f>
        <v>1.6125515006659562E-3</v>
      </c>
      <c r="BL30" s="8">
        <f>IF($A30=BL$1,0,IF(SUM(IMshareM!BL$2:BL$78)-IMshareM!BL$64&gt;0,IMshareM!BL30/(SUM(IMshareM!BL$2:BL$78)-IMshareM!BL$64),0))</f>
        <v>5.3330778799202407E-4</v>
      </c>
      <c r="BM30" s="8">
        <f>IF($A30=BM$1,0,IF(SUM(IMshareM!BM$2:BM$78)-IMshareM!BM$65&gt;0,IMshareM!BM30/(SUM(IMshareM!BM$2:BM$78)-IMshareM!BM$65),0))</f>
        <v>1.4964068982827846E-3</v>
      </c>
      <c r="BN30" s="8">
        <f>IF($A30=BN$1,0,IF(SUM(IMshareM!BN$2:BN$78)-IMshareM!BN$66&gt;0,IMshareM!BN30/(SUM(IMshareM!BN$2:BN$78)-IMshareM!BN$66),0))</f>
        <v>1.987769502984136E-3</v>
      </c>
      <c r="BO30" s="8">
        <f>IF($A30=BO$1,0,IF(SUM(IMshareM!BO$2:BO$78)-IMshareM!BO$67&gt;0,IMshareM!BO30/(SUM(IMshareM!BO$2:BO$78)-IMshareM!BO$67),0))</f>
        <v>4.8450917249534423E-4</v>
      </c>
      <c r="BP30" s="8">
        <f>IF($A30=BP$1,0,IF(SUM(IMshareM!BP$2:BP$78)-IMshareM!BP$68&gt;0,IMshareM!BP30/(SUM(IMshareM!BP$2:BP$78)-IMshareM!BP$68),0))</f>
        <v>8.166981005801953E-5</v>
      </c>
      <c r="BQ30" s="8">
        <f>IF($A30=BQ$1,0,IF(SUM(IMshareM!BQ$2:BQ$78)-IMshareM!BQ$69&gt;0,IMshareM!BQ30/(SUM(IMshareM!BQ$2:BQ$78)-IMshareM!BQ$69),0))</f>
        <v>4.3811741740963541E-4</v>
      </c>
      <c r="BR30" s="8">
        <f>IF($A30=BR$1,0,IF(SUM(IMshareM!BR$2:BR$78)-IMshareM!BR$70&gt;0,IMshareM!BR30/(SUM(IMshareM!BR$2:BR$78)-IMshareM!BR$70),0))</f>
        <v>2.6363762669552857E-3</v>
      </c>
      <c r="BS30" s="8">
        <f>IF($A30=BS$1,0,IF(SUM(IMshareM!BS$2:BS$78)-IMshareM!BS$71&gt;0,IMshareM!BS30/(SUM(IMshareM!BS$2:BS$78)-IMshareM!BS$71),0))</f>
        <v>9.3826539901455206E-4</v>
      </c>
      <c r="BT30" s="8">
        <f>IF($A30=BT$1,0,IF(SUM(IMshareM!BT$2:BT$78)-IMshareM!BT$72&gt;0,IMshareM!BT30/(SUM(IMshareM!BT$2:BT$78)-IMshareM!BT$72),0))</f>
        <v>4.9014568083636991E-4</v>
      </c>
      <c r="BU30" s="8">
        <f>IF($A30=BU$1,0,IF(SUM(IMshareM!BU$2:BU$78)-IMshareM!BU$73&gt;0,IMshareM!BU30/(SUM(IMshareM!BU$2:BU$78)-IMshareM!BU$73),0))</f>
        <v>1.5311041846709857E-5</v>
      </c>
      <c r="BV30" s="8">
        <f>IF($A30=BV$1,0,IF(SUM(IMshareM!BV$2:BV$78)-IMshareM!BV$74&gt;0,IMshareM!BV30/(SUM(IMshareM!BV$2:BV$78)-IMshareM!BV$74),0))</f>
        <v>3.8146210927742331E-5</v>
      </c>
      <c r="BW30" s="8">
        <f>IF($A30=BW$1,0,IF(SUM(IMshareM!BW$2:BW$78)-IMshareM!BW$75&gt;0,IMshareM!BW30/(SUM(IMshareM!BW$2:BW$78)-IMshareM!BW$75),0))</f>
        <v>3.505287095247828E-4</v>
      </c>
      <c r="BX30" s="8">
        <f>IF($A30=BX$1,0,IF(SUM(IMshareM!BX$2:BX$78)-IMshareM!BX$76&gt;0,IMshareM!BX30/(SUM(IMshareM!BX$2:BX$78)-IMshareM!BX$76),0))</f>
        <v>1.4134047818456484E-3</v>
      </c>
      <c r="BY30" s="8">
        <f>IF($A30=BY$1,0,IF(SUM(IMshareM!BY$2:BY$78)-IMshareM!BY$77&gt;0,IMshareM!BY30/(SUM(IMshareM!BY$2:BY$78)-IMshareM!BY$77),0))</f>
        <v>3.2889113139602323E-4</v>
      </c>
      <c r="BZ30" s="8">
        <f>IF($A30=BZ$1,0,IF(SUM(IMshareM!BZ$2:BZ$78)-IMshareM!BZ$78&gt;0,IMshareM!BZ30/(SUM(IMshareM!BZ$2:BZ$78)-IMshareM!BZ$78),0))</f>
        <v>1.4331751174577083E-3</v>
      </c>
    </row>
    <row r="31" spans="1:78">
      <c r="A31" s="4" t="s">
        <v>129</v>
      </c>
      <c r="B31" s="8">
        <f>IF($A31=B$1,0,IF(SUM(IMshareM!B$2:B$78)-IMshareM!B$2&gt;0,IMshareM!B31/(SUM(IMshareM!B$2:B$78)-IMshareM!B$2),0))</f>
        <v>1.9023255037448572E-5</v>
      </c>
      <c r="C31" s="8">
        <f>IF($A31=C$1,0,IF(SUM(IMshareM!C$2:C$78)-IMshareM!C$3&gt;0,IMshareM!C31/(SUM(IMshareM!C$2:C$78)-IMshareM!C$3),0))</f>
        <v>1.2705840129184849E-5</v>
      </c>
      <c r="D31" s="8">
        <f>IF($A31=D$1,0,IF(SUM(IMshareM!D$2:D$78)-IMshareM!D$4&gt;0,IMshareM!D31/(SUM(IMshareM!D$2:D$78)-IMshareM!D$4),0))</f>
        <v>7.2977103389618874E-4</v>
      </c>
      <c r="E31" s="8">
        <f>IF($A31=E$1,0,IF(SUM(IMshareM!E$2:E$78)-IMshareM!E$5&gt;0,IMshareM!E31/(SUM(IMshareM!E$2:E$78)-IMshareM!E$5),0))</f>
        <v>1.6514588169774703E-5</v>
      </c>
      <c r="F31" s="8">
        <f>IF($A31=F$1,0,IF(SUM(IMshareM!F$2:F$78)-IMshareM!F$6&gt;0,IMshareM!F31/(SUM(IMshareM!F$2:F$78)-IMshareM!F$6),0))</f>
        <v>0</v>
      </c>
      <c r="G31" s="8">
        <f>IF($A31=G$1,0,IF(SUM(IMshareM!G$2:G$78)-IMshareM!G$7&gt;0,IMshareM!G31/(SUM(IMshareM!G$2:G$78)-IMshareM!G$7),0))</f>
        <v>6.1189427530855797E-5</v>
      </c>
      <c r="H31" s="8">
        <f>IF($A31=H$1,0,IF(SUM(IMshareM!H$2:H$78)-IMshareM!H$8&gt;0,IMshareM!H31/(SUM(IMshareM!H$2:H$78)-IMshareM!H$8),0))</f>
        <v>0</v>
      </c>
      <c r="I31" s="8">
        <f>IF($A31=I$1,0,IF(SUM(IMshareM!I$2:I$78)-IMshareM!I$9&gt;0,IMshareM!I31/(SUM(IMshareM!I$2:I$78)-IMshareM!I$9),0))</f>
        <v>4.4088029612730691E-7</v>
      </c>
      <c r="J31" s="8">
        <f>IF($A31=J$1,0,IF(SUM(IMshareM!J$2:J$78)-IMshareM!J$10&gt;0,IMshareM!J31/(SUM(IMshareM!J$2:J$78)-IMshareM!J$10),0))</f>
        <v>0</v>
      </c>
      <c r="K31" s="8">
        <f>IF($A31=K$1,0,IF(SUM(IMshareM!K$2:K$78)-IMshareM!K$11&gt;0,IMshareM!K31/(SUM(IMshareM!K$2:K$78)-IMshareM!K$11),0))</f>
        <v>1.9460369823423729E-5</v>
      </c>
      <c r="L31" s="8">
        <f>IF($A31=L$1,0,IF(SUM(IMshareM!L$2:L$78)-IMshareM!L$12&gt;0,IMshareM!L31/(SUM(IMshareM!L$2:L$78)-IMshareM!L$12),0))</f>
        <v>8.0219084175061153E-4</v>
      </c>
      <c r="M31" s="8">
        <f>IF($A31=M$1,0,IF(SUM(IMshareM!M$2:M$78)-IMshareM!M$13&gt;0,IMshareM!M31/(SUM(IMshareM!M$2:M$78)-IMshareM!M$13),0))</f>
        <v>1.5164872708660075E-6</v>
      </c>
      <c r="N31" s="8">
        <f>IF($A31=N$1,0,IF(SUM(IMshareM!N$2:N$78)-IMshareM!N$14&gt;0,IMshareM!N31/(SUM(IMshareM!N$2:N$78)-IMshareM!N$14),0))</f>
        <v>1.9509199380720761E-5</v>
      </c>
      <c r="O31" s="8">
        <f>IF($A31=O$1,0,IF(SUM(IMshareM!O$2:O$78)-IMshareM!O$15&gt;0,IMshareM!O31/(SUM(IMshareM!O$2:O$78)-IMshareM!O$15),0))</f>
        <v>3.470919705991946E-4</v>
      </c>
      <c r="P31" s="8">
        <f>IF($A31=P$1,0,IF(SUM(IMshareM!P$2:P$78)-IMshareM!P$16&gt;0,IMshareM!P31/(SUM(IMshareM!P$2:P$78)-IMshareM!P$16),0))</f>
        <v>0</v>
      </c>
      <c r="Q31" s="8">
        <f>IF($A31=Q$1,0,IF(SUM(IMshareM!Q$2:Q$78)-IMshareM!Q$17&gt;0,IMshareM!Q31/(SUM(IMshareM!Q$2:Q$78)-IMshareM!Q$17),0))</f>
        <v>0</v>
      </c>
      <c r="R31" s="8">
        <f>IF($A31=R$1,0,IF(SUM(IMshareM!R$2:R$78)-IMshareM!R$18&gt;0,IMshareM!R31/(SUM(IMshareM!R$2:R$78)-IMshareM!R$18),0))</f>
        <v>0</v>
      </c>
      <c r="S31" s="8">
        <f>IF($A31=S$1,0,IF(SUM(IMshareM!S$2:S$78)-IMshareM!S$19&gt;0,IMshareM!S31/(SUM(IMshareM!S$2:S$78)-IMshareM!S$19),0))</f>
        <v>1.5298205648570477E-5</v>
      </c>
      <c r="T31" s="8">
        <f>IF($A31=T$1,0,IF(SUM(IMshareM!T$2:T$78)-IMshareM!T$20&gt;0,IMshareM!T31/(SUM(IMshareM!T$2:T$78)-IMshareM!T$20),0))</f>
        <v>4.1742019392678979E-5</v>
      </c>
      <c r="U31" s="8">
        <f>IF($A31=U$1,0,IF(SUM(IMshareM!U$2:U$78)-IMshareM!U$21&gt;0,IMshareM!U31/(SUM(IMshareM!U$2:U$78)-IMshareM!U$21),0))</f>
        <v>7.3850905158362576E-4</v>
      </c>
      <c r="V31" s="8">
        <f>IF($A31=V$1,0,IF(SUM(IMshareM!V$2:V$78)-IMshareM!V$22&gt;0,IMshareM!V31/(SUM(IMshareM!V$2:V$78)-IMshareM!V$22),0))</f>
        <v>3.9345415777956626E-3</v>
      </c>
      <c r="W31" s="8">
        <f>IF($A31=W$1,0,IF(SUM(IMshareM!W$2:W$78)-IMshareM!W$23&gt;0,IMshareM!W31/(SUM(IMshareM!W$2:W$78)-IMshareM!W$23),0))</f>
        <v>0</v>
      </c>
      <c r="X31" s="8">
        <f>IF($A31=X$1,0,IF(SUM(IMshareM!X$2:X$78)-IMshareM!X$24&gt;0,IMshareM!X31/(SUM(IMshareM!X$2:X$78)-IMshareM!X$24),0))</f>
        <v>8.9102189748555913E-5</v>
      </c>
      <c r="Y31" s="8">
        <f>IF($A31=Y$1,0,IF(SUM(IMshareM!Y$2:Y$78)-IMshareM!Y$25&gt;0,IMshareM!Y31/(SUM(IMshareM!Y$2:Y$78)-IMshareM!Y$25),0))</f>
        <v>7.2682679473728265E-5</v>
      </c>
      <c r="Z31" s="8">
        <f>IF($A31=Z$1,0,IF(SUM(IMshareM!Z$2:Z$78)-IMshareM!Z$26&gt;0,IMshareM!Z31/(SUM(IMshareM!Z$2:Z$78)-IMshareM!Z$26),0))</f>
        <v>2.7446646220834244E-5</v>
      </c>
      <c r="AA31" s="8">
        <f>IF($A31=AA$1,0,IF(SUM(IMshareM!AA$2:AA$78)-IMshareM!AA$27&gt;0,IMshareM!AA31/(SUM(IMshareM!AA$2:AA$78)-IMshareM!AA$27),0))</f>
        <v>2.833936448077139E-4</v>
      </c>
      <c r="AB31" s="8">
        <f>IF($A31=AB$1,0,IF(SUM(IMshareM!AB$2:AB$78)-IMshareM!AB$28&gt;0,IMshareM!AB31/(SUM(IMshareM!AB$2:AB$78)-IMshareM!AB$28),0))</f>
        <v>7.7077201910698311E-4</v>
      </c>
      <c r="AC31" s="8">
        <f>IF($A31=AC$1,0,IF(SUM(IMshareM!AC$2:AC$78)-IMshareM!AC$29&gt;0,IMshareM!AC31/(SUM(IMshareM!AC$2:AC$78)-IMshareM!AC$29),0))</f>
        <v>9.6130561223096333E-5</v>
      </c>
      <c r="AD31" s="8">
        <f>IF($A31=AD$1,0,IF(SUM(IMshareM!AD$2:AD$78)-IMshareM!AD$30&gt;0,IMshareM!AD31/(SUM(IMshareM!AD$2:AD$78)-IMshareM!AD$30),0))</f>
        <v>0</v>
      </c>
      <c r="AE31" s="8">
        <f>IF($A31=AE$1,0,IF(SUM(IMshareM!AE$2:AE$78)-IMshareM!AE$31&gt;0,IMshareM!AE31/(SUM(IMshareM!AE$2:AE$78)-IMshareM!AE$31),0))</f>
        <v>0</v>
      </c>
      <c r="AF31" s="8">
        <f>IF($A31=AF$1,0,IF(SUM(IMshareM!AF$2:AF$78)-IMshareM!AF$32&gt;0,IMshareM!AF31/(SUM(IMshareM!AF$2:AF$78)-IMshareM!AF$32),0))</f>
        <v>3.68894299220535E-4</v>
      </c>
      <c r="AG31" s="8">
        <f>IF($A31=AG$1,0,IF(SUM(IMshareM!AG$2:AG$78)-IMshareM!AG$33&gt;0,IMshareM!AG31/(SUM(IMshareM!AG$2:AG$78)-IMshareM!AG$33),0))</f>
        <v>4.6860775083592279E-7</v>
      </c>
      <c r="AH31" s="8">
        <f>IF($A31=AH$1,0,IF(SUM(IMshareM!AH$2:AH$78)-IMshareM!AH$34&gt;0,IMshareM!AH31/(SUM(IMshareM!AH$2:AH$78)-IMshareM!AH$34),0))</f>
        <v>2.9917589670740237E-5</v>
      </c>
      <c r="AI31" s="8">
        <f>IF($A31=AI$1,0,IF(SUM(IMshareM!AI$2:AI$78)-IMshareM!AI$35&gt;0,IMshareM!AI31/(SUM(IMshareM!AI$2:AI$78)-IMshareM!AI$35),0))</f>
        <v>1.1671626614582042E-5</v>
      </c>
      <c r="AJ31" s="8">
        <f>IF($A31=AJ$1,0,IF(SUM(IMshareM!AJ$2:AJ$78)-IMshareM!AJ$36&gt;0,IMshareM!AJ31/(SUM(IMshareM!AJ$2:AJ$78)-IMshareM!AJ$36),0))</f>
        <v>1.4921198475512148E-3</v>
      </c>
      <c r="AK31" s="8">
        <f>IF($A31=AK$1,0,IF(SUM(IMshareM!AK$2:AK$78)-IMshareM!AK$37&gt;0,IMshareM!AK31/(SUM(IMshareM!AK$2:AK$78)-IMshareM!AK$37),0))</f>
        <v>8.428577660674992E-6</v>
      </c>
      <c r="AL31" s="8">
        <f>IF($A31=AL$1,0,IF(SUM(IMshareM!AL$2:AL$78)-IMshareM!AL$38&gt;0,IMshareM!AL31/(SUM(IMshareM!AL$2:AL$78)-IMshareM!AL$38),0))</f>
        <v>3.6205095135860114E-3</v>
      </c>
      <c r="AM31" s="8">
        <f>IF($A31=AM$1,0,IF(SUM(IMshareM!AM$2:AM$78)-IMshareM!AM$39&gt;0,IMshareM!AM31/(SUM(IMshareM!AM$2:AM$78)-IMshareM!AM$39),0))</f>
        <v>9.777911539426878E-5</v>
      </c>
      <c r="AN31" s="8">
        <f>IF($A31=AN$1,0,IF(SUM(IMshareM!AN$2:AN$78)-IMshareM!AN$40&gt;0,IMshareM!AN31/(SUM(IMshareM!AN$2:AN$78)-IMshareM!AN$40),0))</f>
        <v>4.022043496833239E-6</v>
      </c>
      <c r="AO31" s="8">
        <f>IF($A31=AO$1,0,IF(SUM(IMshareM!AO$2:AO$78)-IMshareM!AO$41&gt;0,IMshareM!AO31/(SUM(IMshareM!AO$2:AO$78)-IMshareM!AO$41),0))</f>
        <v>5.3785542286393273E-4</v>
      </c>
      <c r="AP31" s="8">
        <f>IF($A31=AP$1,0,IF(SUM(IMshareM!AP$2:AP$78)-IMshareM!AP$42&gt;0,IMshareM!AP31/(SUM(IMshareM!AP$2:AP$78)-IMshareM!AP$42),0))</f>
        <v>0</v>
      </c>
      <c r="AQ31" s="8">
        <f>IF($A31=AQ$1,0,IF(SUM(IMshareM!AQ$2:AQ$78)-IMshareM!AQ$43&gt;0,IMshareM!AQ31/(SUM(IMshareM!AQ$2:AQ$78)-IMshareM!AQ$43),0))</f>
        <v>5.869518849085339E-7</v>
      </c>
      <c r="AR31" s="8">
        <f>IF($A31=AR$1,0,IF(SUM(IMshareM!AR$2:AR$78)-IMshareM!AR$44&gt;0,IMshareM!AR31/(SUM(IMshareM!AR$2:AR$78)-IMshareM!AR$44),0))</f>
        <v>0</v>
      </c>
      <c r="AS31" s="8">
        <f>IF($A31=AS$1,0,IF(SUM(IMshareM!AS$2:AS$78)-IMshareM!AS$45&gt;0,IMshareM!AS31/(SUM(IMshareM!AS$2:AS$78)-IMshareM!AS$45),0))</f>
        <v>3.0147693280702933E-4</v>
      </c>
      <c r="AT31" s="8">
        <f>IF($A31=AT$1,0,IF(SUM(IMshareM!AT$2:AT$78)-IMshareM!AT$46&gt;0,IMshareM!AT31/(SUM(IMshareM!AT$2:AT$78)-IMshareM!AT$46),0))</f>
        <v>2.7972231635723141E-5</v>
      </c>
      <c r="AU31" s="8">
        <f>IF($A31=AU$1,0,IF(SUM(IMshareM!AU$2:AU$78)-IMshareM!AU$47&gt;0,IMshareM!AU31/(SUM(IMshareM!AU$2:AU$78)-IMshareM!AU$47),0))</f>
        <v>2.8349702755472409E-4</v>
      </c>
      <c r="AV31" s="8">
        <f>IF($A31=AV$1,0,IF(SUM(IMshareM!AV$2:AV$78)-IMshareM!AV$48&gt;0,IMshareM!AV31/(SUM(IMshareM!AV$2:AV$78)-IMshareM!AV$48),0))</f>
        <v>5.2022018479196715E-6</v>
      </c>
      <c r="AW31" s="8">
        <f>IF($A31=AW$1,0,IF(SUM(IMshareM!AW$2:AW$78)-IMshareM!AW$49&gt;0,IMshareM!AW31/(SUM(IMshareM!AW$2:AW$78)-IMshareM!AW$49),0))</f>
        <v>2.2775934954300335E-5</v>
      </c>
      <c r="AX31" s="8">
        <f>IF($A31=AX$1,0,IF(SUM(IMshareM!AX$2:AX$78)-IMshareM!AX$50&gt;0,IMshareM!AX31/(SUM(IMshareM!AX$2:AX$78)-IMshareM!AX$50),0))</f>
        <v>0</v>
      </c>
      <c r="AY31" s="8">
        <f>IF($A31=AY$1,0,IF(SUM(IMshareM!AY$2:AY$78)-IMshareM!AY$51&gt;0,IMshareM!AY31/(SUM(IMshareM!AY$2:AY$78)-IMshareM!AY$51),0))</f>
        <v>0</v>
      </c>
      <c r="AZ31" s="8">
        <f>IF($A31=AZ$1,0,IF(SUM(IMshareM!AZ$2:AZ$78)-IMshareM!AZ$52&gt;0,IMshareM!AZ31/(SUM(IMshareM!AZ$2:AZ$78)-IMshareM!AZ$52),0))</f>
        <v>3.2833243726346842E-6</v>
      </c>
      <c r="BA31" s="8">
        <f>IF($A31=BA$1,0,IF(SUM(IMshareM!BA$2:BA$78)-IMshareM!BA$53&gt;0,IMshareM!BA31/(SUM(IMshareM!BA$2:BA$78)-IMshareM!BA$53),0))</f>
        <v>2.3932111662426549E-5</v>
      </c>
      <c r="BB31" s="8">
        <f>IF($A31=BB$1,0,IF(SUM(IMshareM!BB$2:BB$78)-IMshareM!BB$54&gt;0,IMshareM!BB31/(SUM(IMshareM!BB$2:BB$78)-IMshareM!BB$54),0))</f>
        <v>9.6331115598189776E-5</v>
      </c>
      <c r="BC31" s="8">
        <f>IF($A31=BC$1,0,IF(SUM(IMshareM!BC$2:BC$78)-IMshareM!BC$55&gt;0,IMshareM!BC31/(SUM(IMshareM!BC$2:BC$78)-IMshareM!BC$55),0))</f>
        <v>3.0714782291120651E-3</v>
      </c>
      <c r="BD31" s="8">
        <f>IF($A31=BD$1,0,IF(SUM(IMshareM!BD$2:BD$78)-IMshareM!BD$56&gt;0,IMshareM!BD31/(SUM(IMshareM!BD$2:BD$78)-IMshareM!BD$56),0))</f>
        <v>4.2095289393294243E-5</v>
      </c>
      <c r="BE31" s="8">
        <f>IF($A31=BE$1,0,IF(SUM(IMshareM!BE$2:BE$78)-IMshareM!BE$57&gt;0,IMshareM!BE31/(SUM(IMshareM!BE$2:BE$78)-IMshareM!BE$57),0))</f>
        <v>1.833744810255901E-5</v>
      </c>
      <c r="BF31" s="8">
        <f>IF($A31=BF$1,0,IF(SUM(IMshareM!BF$2:BF$78)-IMshareM!BF$58&gt;0,IMshareM!BF31/(SUM(IMshareM!BF$2:BF$78)-IMshareM!BF$58),0))</f>
        <v>4.5409889455953929E-5</v>
      </c>
      <c r="BG31" s="8">
        <f>IF($A31=BG$1,0,IF(SUM(IMshareM!BG$2:BG$78)-IMshareM!BG$59&gt;0,IMshareM!BG31/(SUM(IMshareM!BG$2:BG$78)-IMshareM!BG$59),0))</f>
        <v>6.1210740302590876E-6</v>
      </c>
      <c r="BH31" s="8">
        <f>IF($A31=BH$1,0,IF(SUM(IMshareM!BH$2:BH$78)-IMshareM!BH$60&gt;0,IMshareM!BH31/(SUM(IMshareM!BH$2:BH$78)-IMshareM!BH$60),0))</f>
        <v>7.627849884097995E-4</v>
      </c>
      <c r="BI31" s="8">
        <f>IF($A31=BI$1,0,IF(SUM(IMshareM!BI$2:BI$78)-IMshareM!BI$61&gt;0,IMshareM!BI31/(SUM(IMshareM!BI$2:BI$78)-IMshareM!BI$61),0))</f>
        <v>2.0103351689541429E-4</v>
      </c>
      <c r="BJ31" s="8">
        <f>IF($A31=BJ$1,0,IF(SUM(IMshareM!BJ$2:BJ$78)-IMshareM!BJ$62&gt;0,IMshareM!BJ31/(SUM(IMshareM!BJ$2:BJ$78)-IMshareM!BJ$62),0))</f>
        <v>6.4444373244519398E-4</v>
      </c>
      <c r="BK31" s="8">
        <f>IF($A31=BK$1,0,IF(SUM(IMshareM!BK$2:BK$78)-IMshareM!BK$63&gt;0,IMshareM!BK31/(SUM(IMshareM!BK$2:BK$78)-IMshareM!BK$63),0))</f>
        <v>8.412505049490053E-6</v>
      </c>
      <c r="BL31" s="8">
        <f>IF($A31=BL$1,0,IF(SUM(IMshareM!BL$2:BL$78)-IMshareM!BL$64&gt;0,IMshareM!BL31/(SUM(IMshareM!BL$2:BL$78)-IMshareM!BL$64),0))</f>
        <v>0</v>
      </c>
      <c r="BM31" s="8">
        <f>IF($A31=BM$1,0,IF(SUM(IMshareM!BM$2:BM$78)-IMshareM!BM$65&gt;0,IMshareM!BM31/(SUM(IMshareM!BM$2:BM$78)-IMshareM!BM$65),0))</f>
        <v>0</v>
      </c>
      <c r="BN31" s="8">
        <f>IF($A31=BN$1,0,IF(SUM(IMshareM!BN$2:BN$78)-IMshareM!BN$66&gt;0,IMshareM!BN31/(SUM(IMshareM!BN$2:BN$78)-IMshareM!BN$66),0))</f>
        <v>2.3637680317214151E-5</v>
      </c>
      <c r="BO31" s="8">
        <f>IF($A31=BO$1,0,IF(SUM(IMshareM!BO$2:BO$78)-IMshareM!BO$67&gt;0,IMshareM!BO31/(SUM(IMshareM!BO$2:BO$78)-IMshareM!BO$67),0))</f>
        <v>1.0670481359325542E-5</v>
      </c>
      <c r="BP31" s="8">
        <f>IF($A31=BP$1,0,IF(SUM(IMshareM!BP$2:BP$78)-IMshareM!BP$68&gt;0,IMshareM!BP31/(SUM(IMshareM!BP$2:BP$78)-IMshareM!BP$68),0))</f>
        <v>4.9010174121678013E-3</v>
      </c>
      <c r="BQ31" s="8">
        <f>IF($A31=BQ$1,0,IF(SUM(IMshareM!BQ$2:BQ$78)-IMshareM!BQ$69&gt;0,IMshareM!BQ31/(SUM(IMshareM!BQ$2:BQ$78)-IMshareM!BQ$69),0))</f>
        <v>2.5403330504005216E-4</v>
      </c>
      <c r="BR31" s="8">
        <f>IF($A31=BR$1,0,IF(SUM(IMshareM!BR$2:BR$78)-IMshareM!BR$70&gt;0,IMshareM!BR31/(SUM(IMshareM!BR$2:BR$78)-IMshareM!BR$70),0))</f>
        <v>1.1079014508627388E-5</v>
      </c>
      <c r="BS31" s="8">
        <f>IF($A31=BS$1,0,IF(SUM(IMshareM!BS$2:BS$78)-IMshareM!BS$71&gt;0,IMshareM!BS31/(SUM(IMshareM!BS$2:BS$78)-IMshareM!BS$71),0))</f>
        <v>0</v>
      </c>
      <c r="BT31" s="8">
        <f>IF($A31=BT$1,0,IF(SUM(IMshareM!BT$2:BT$78)-IMshareM!BT$72&gt;0,IMshareM!BT31/(SUM(IMshareM!BT$2:BT$78)-IMshareM!BT$72),0))</f>
        <v>1.82987355861301E-4</v>
      </c>
      <c r="BU31" s="8">
        <f>IF($A31=BU$1,0,IF(SUM(IMshareM!BU$2:BU$78)-IMshareM!BU$73&gt;0,IMshareM!BU31/(SUM(IMshareM!BU$2:BU$78)-IMshareM!BU$73),0))</f>
        <v>1.5721067699447054E-6</v>
      </c>
      <c r="BV31" s="8">
        <f>IF($A31=BV$1,0,IF(SUM(IMshareM!BV$2:BV$78)-IMshareM!BV$74&gt;0,IMshareM!BV31/(SUM(IMshareM!BV$2:BV$78)-IMshareM!BV$74),0))</f>
        <v>3.0749963107454622E-4</v>
      </c>
      <c r="BW31" s="8">
        <f>IF($A31=BW$1,0,IF(SUM(IMshareM!BW$2:BW$78)-IMshareM!BW$75&gt;0,IMshareM!BW31/(SUM(IMshareM!BW$2:BW$78)-IMshareM!BW$75),0))</f>
        <v>5.8719877452564727E-5</v>
      </c>
      <c r="BX31" s="8">
        <f>IF($A31=BX$1,0,IF(SUM(IMshareM!BX$2:BX$78)-IMshareM!BX$76&gt;0,IMshareM!BX31/(SUM(IMshareM!BX$2:BX$78)-IMshareM!BX$76),0))</f>
        <v>9.6418452588486641E-7</v>
      </c>
      <c r="BY31" s="8">
        <f>IF($A31=BY$1,0,IF(SUM(IMshareM!BY$2:BY$78)-IMshareM!BY$77&gt;0,IMshareM!BY31/(SUM(IMshareM!BY$2:BY$78)-IMshareM!BY$77),0))</f>
        <v>7.7116978840937922E-5</v>
      </c>
      <c r="BZ31" s="8">
        <f>IF($A31=BZ$1,0,IF(SUM(IMshareM!BZ$2:BZ$78)-IMshareM!BZ$78&gt;0,IMshareM!BZ31/(SUM(IMshareM!BZ$2:BZ$78)-IMshareM!BZ$78),0))</f>
        <v>1.2576246552893429E-3</v>
      </c>
    </row>
    <row r="32" spans="1:78">
      <c r="A32" s="4" t="s">
        <v>131</v>
      </c>
      <c r="B32" s="8">
        <f>IF($A32=B$1,0,IF(SUM(IMshareM!B$2:B$78)-IMshareM!B$2&gt;0,IMshareM!B32/(SUM(IMshareM!B$2:B$78)-IMshareM!B$2),0))</f>
        <v>6.0833557528188762E-3</v>
      </c>
      <c r="C32" s="8">
        <f>IF($A32=C$1,0,IF(SUM(IMshareM!C$2:C$78)-IMshareM!C$3&gt;0,IMshareM!C32/(SUM(IMshareM!C$2:C$78)-IMshareM!C$3),0))</f>
        <v>9.3418531388490232E-3</v>
      </c>
      <c r="D32" s="8">
        <f>IF($A32=D$1,0,IF(SUM(IMshareM!D$2:D$78)-IMshareM!D$4&gt;0,IMshareM!D32/(SUM(IMshareM!D$2:D$78)-IMshareM!D$4),0))</f>
        <v>5.9854361936336198E-2</v>
      </c>
      <c r="E32" s="8">
        <f>IF($A32=E$1,0,IF(SUM(IMshareM!E$2:E$78)-IMshareM!E$5&gt;0,IMshareM!E32/(SUM(IMshareM!E$2:E$78)-IMshareM!E$5),0))</f>
        <v>0.25579698151687197</v>
      </c>
      <c r="F32" s="8">
        <f>IF($A32=F$1,0,IF(SUM(IMshareM!F$2:F$78)-IMshareM!F$6&gt;0,IMshareM!F32/(SUM(IMshareM!F$2:F$78)-IMshareM!F$6),0))</f>
        <v>1.0578649884547018E-6</v>
      </c>
      <c r="G32" s="8">
        <f>IF($A32=G$1,0,IF(SUM(IMshareM!G$2:G$78)-IMshareM!G$7&gt;0,IMshareM!G32/(SUM(IMshareM!G$2:G$78)-IMshareM!G$7),0))</f>
        <v>0.35229723123523032</v>
      </c>
      <c r="H32" s="8">
        <f>IF($A32=H$1,0,IF(SUM(IMshareM!H$2:H$78)-IMshareM!H$8&gt;0,IMshareM!H32/(SUM(IMshareM!H$2:H$78)-IMshareM!H$8),0))</f>
        <v>8.9802560968364769E-5</v>
      </c>
      <c r="I32" s="8">
        <f>IF($A32=I$1,0,IF(SUM(IMshareM!I$2:I$78)-IMshareM!I$9&gt;0,IMshareM!I32/(SUM(IMshareM!I$2:I$78)-IMshareM!I$9),0))</f>
        <v>1.506968833954695E-3</v>
      </c>
      <c r="J32" s="8">
        <f>IF($A32=J$1,0,IF(SUM(IMshareM!J$2:J$78)-IMshareM!J$10&gt;0,IMshareM!J32/(SUM(IMshareM!J$2:J$78)-IMshareM!J$10),0))</f>
        <v>2.9629750113014671E-4</v>
      </c>
      <c r="K32" s="8">
        <f>IF($A32=K$1,0,IF(SUM(IMshareM!K$2:K$78)-IMshareM!K$11&gt;0,IMshareM!K32/(SUM(IMshareM!K$2:K$78)-IMshareM!K$11),0))</f>
        <v>1.590035270886534E-3</v>
      </c>
      <c r="L32" s="8">
        <f>IF($A32=L$1,0,IF(SUM(IMshareM!L$2:L$78)-IMshareM!L$12&gt;0,IMshareM!L32/(SUM(IMshareM!L$2:L$78)-IMshareM!L$12),0))</f>
        <v>4.6359425060852444E-2</v>
      </c>
      <c r="M32" s="8">
        <f>IF($A32=M$1,0,IF(SUM(IMshareM!M$2:M$78)-IMshareM!M$13&gt;0,IMshareM!M32/(SUM(IMshareM!M$2:M$78)-IMshareM!M$13),0))</f>
        <v>4.6714879657292857E-4</v>
      </c>
      <c r="N32" s="8">
        <f>IF($A32=N$1,0,IF(SUM(IMshareM!N$2:N$78)-IMshareM!N$14&gt;0,IMshareM!N32/(SUM(IMshareM!N$2:N$78)-IMshareM!N$14),0))</f>
        <v>1.6270692070706319E-2</v>
      </c>
      <c r="O32" s="8">
        <f>IF($A32=O$1,0,IF(SUM(IMshareM!O$2:O$78)-IMshareM!O$15&gt;0,IMshareM!O32/(SUM(IMshareM!O$2:O$78)-IMshareM!O$15),0))</f>
        <v>1.1725529721596021E-3</v>
      </c>
      <c r="P32" s="8">
        <f>IF($A32=P$1,0,IF(SUM(IMshareM!P$2:P$78)-IMshareM!P$16&gt;0,IMshareM!P32/(SUM(IMshareM!P$2:P$78)-IMshareM!P$16),0))</f>
        <v>0</v>
      </c>
      <c r="Q32" s="8">
        <f>IF($A32=Q$1,0,IF(SUM(IMshareM!Q$2:Q$78)-IMshareM!Q$17&gt;0,IMshareM!Q32/(SUM(IMshareM!Q$2:Q$78)-IMshareM!Q$17),0))</f>
        <v>2.7822970543005983E-3</v>
      </c>
      <c r="R32" s="8">
        <f>IF($A32=R$1,0,IF(SUM(IMshareM!R$2:R$78)-IMshareM!R$18&gt;0,IMshareM!R32/(SUM(IMshareM!R$2:R$78)-IMshareM!R$18),0))</f>
        <v>5.1526695321869598E-3</v>
      </c>
      <c r="S32" s="8">
        <f>IF($A32=S$1,0,IF(SUM(IMshareM!S$2:S$78)-IMshareM!S$19&gt;0,IMshareM!S32/(SUM(IMshareM!S$2:S$78)-IMshareM!S$19),0))</f>
        <v>5.5826486635941698E-4</v>
      </c>
      <c r="T32" s="8">
        <f>IF($A32=T$1,0,IF(SUM(IMshareM!T$2:T$78)-IMshareM!T$20&gt;0,IMshareM!T32/(SUM(IMshareM!T$2:T$78)-IMshareM!T$20),0))</f>
        <v>3.7143311497741499E-2</v>
      </c>
      <c r="U32" s="8">
        <f>IF($A32=U$1,0,IF(SUM(IMshareM!U$2:U$78)-IMshareM!U$21&gt;0,IMshareM!U32/(SUM(IMshareM!U$2:U$78)-IMshareM!U$21),0))</f>
        <v>0.10745290660000563</v>
      </c>
      <c r="V32" s="8">
        <f>IF($A32=V$1,0,IF(SUM(IMshareM!V$2:V$78)-IMshareM!V$22&gt;0,IMshareM!V32/(SUM(IMshareM!V$2:V$78)-IMshareM!V$22),0))</f>
        <v>6.2555589391819322E-2</v>
      </c>
      <c r="W32" s="8">
        <f>IF($A32=W$1,0,IF(SUM(IMshareM!W$2:W$78)-IMshareM!W$23&gt;0,IMshareM!W32/(SUM(IMshareM!W$2:W$78)-IMshareM!W$23),0))</f>
        <v>1.0818318507272739E-3</v>
      </c>
      <c r="X32" s="8">
        <f>IF($A32=X$1,0,IF(SUM(IMshareM!X$2:X$78)-IMshareM!X$24&gt;0,IMshareM!X32/(SUM(IMshareM!X$2:X$78)-IMshareM!X$24),0))</f>
        <v>1.4738258162487522E-2</v>
      </c>
      <c r="Y32" s="8">
        <f>IF($A32=Y$1,0,IF(SUM(IMshareM!Y$2:Y$78)-IMshareM!Y$25&gt;0,IMshareM!Y32/(SUM(IMshareM!Y$2:Y$78)-IMshareM!Y$25),0))</f>
        <v>2.3898786710926244E-3</v>
      </c>
      <c r="Z32" s="8">
        <f>IF($A32=Z$1,0,IF(SUM(IMshareM!Z$2:Z$78)-IMshareM!Z$26&gt;0,IMshareM!Z32/(SUM(IMshareM!Z$2:Z$78)-IMshareM!Z$26),0))</f>
        <v>8.7859638059418071E-3</v>
      </c>
      <c r="AA32" s="8">
        <f>IF($A32=AA$1,0,IF(SUM(IMshareM!AA$2:AA$78)-IMshareM!AA$27&gt;0,IMshareM!AA32/(SUM(IMshareM!AA$2:AA$78)-IMshareM!AA$27),0))</f>
        <v>2.2838092260934629E-2</v>
      </c>
      <c r="AB32" s="8">
        <f>IF($A32=AB$1,0,IF(SUM(IMshareM!AB$2:AB$78)-IMshareM!AB$28&gt;0,IMshareM!AB32/(SUM(IMshareM!AB$2:AB$78)-IMshareM!AB$28),0))</f>
        <v>9.9091983863250788E-3</v>
      </c>
      <c r="AC32" s="8">
        <f>IF($A32=AC$1,0,IF(SUM(IMshareM!AC$2:AC$78)-IMshareM!AC$29&gt;0,IMshareM!AC32/(SUM(IMshareM!AC$2:AC$78)-IMshareM!AC$29),0))</f>
        <v>1.2303604362737286E-2</v>
      </c>
      <c r="AD32" s="8">
        <f>IF($A32=AD$1,0,IF(SUM(IMshareM!AD$2:AD$78)-IMshareM!AD$30&gt;0,IMshareM!AD32/(SUM(IMshareM!AD$2:AD$78)-IMshareM!AD$30),0))</f>
        <v>2.07365543127605E-7</v>
      </c>
      <c r="AE32" s="8">
        <f>IF($A32=AE$1,0,IF(SUM(IMshareM!AE$2:AE$78)-IMshareM!AE$31&gt;0,IMshareM!AE32/(SUM(IMshareM!AE$2:AE$78)-IMshareM!AE$31),0))</f>
        <v>2.538757875047153E-2</v>
      </c>
      <c r="AF32" s="8">
        <f>IF($A32=AF$1,0,IF(SUM(IMshareM!AF$2:AF$78)-IMshareM!AF$32&gt;0,IMshareM!AF32/(SUM(IMshareM!AF$2:AF$78)-IMshareM!AF$32),0))</f>
        <v>0</v>
      </c>
      <c r="AG32" s="8">
        <f>IF($A32=AG$1,0,IF(SUM(IMshareM!AG$2:AG$78)-IMshareM!AG$33&gt;0,IMshareM!AG32/(SUM(IMshareM!AG$2:AG$78)-IMshareM!AG$33),0))</f>
        <v>4.9477893010253934E-4</v>
      </c>
      <c r="AH32" s="8">
        <f>IF($A32=AH$1,0,IF(SUM(IMshareM!AH$2:AH$78)-IMshareM!AH$34&gt;0,IMshareM!AH32/(SUM(IMshareM!AH$2:AH$78)-IMshareM!AH$34),0))</f>
        <v>2.4150584817482011E-3</v>
      </c>
      <c r="AI32" s="8">
        <f>IF($A32=AI$1,0,IF(SUM(IMshareM!AI$2:AI$78)-IMshareM!AI$35&gt;0,IMshareM!AI32/(SUM(IMshareM!AI$2:AI$78)-IMshareM!AI$35),0))</f>
        <v>5.088171924695498E-4</v>
      </c>
      <c r="AJ32" s="8">
        <f>IF($A32=AJ$1,0,IF(SUM(IMshareM!AJ$2:AJ$78)-IMshareM!AJ$36&gt;0,IMshareM!AJ32/(SUM(IMshareM!AJ$2:AJ$78)-IMshareM!AJ$36),0))</f>
        <v>7.7418376216871424E-3</v>
      </c>
      <c r="AK32" s="8">
        <f>IF($A32=AK$1,0,IF(SUM(IMshareM!AK$2:AK$78)-IMshareM!AK$37&gt;0,IMshareM!AK32/(SUM(IMshareM!AK$2:AK$78)-IMshareM!AK$37),0))</f>
        <v>3.5821455057868712E-4</v>
      </c>
      <c r="AL32" s="8">
        <f>IF($A32=AL$1,0,IF(SUM(IMshareM!AL$2:AL$78)-IMshareM!AL$38&gt;0,IMshareM!AL32/(SUM(IMshareM!AL$2:AL$78)-IMshareM!AL$38),0))</f>
        <v>1.4942289997777362E-2</v>
      </c>
      <c r="AM32" s="8">
        <f>IF($A32=AM$1,0,IF(SUM(IMshareM!AM$2:AM$78)-IMshareM!AM$39&gt;0,IMshareM!AM32/(SUM(IMshareM!AM$2:AM$78)-IMshareM!AM$39),0))</f>
        <v>5.8840605716368793E-3</v>
      </c>
      <c r="AN32" s="8">
        <f>IF($A32=AN$1,0,IF(SUM(IMshareM!AN$2:AN$78)-IMshareM!AN$40&gt;0,IMshareM!AN32/(SUM(IMshareM!AN$2:AN$78)-IMshareM!AN$40),0))</f>
        <v>7.578057287290981E-3</v>
      </c>
      <c r="AO32" s="8">
        <f>IF($A32=AO$1,0,IF(SUM(IMshareM!AO$2:AO$78)-IMshareM!AO$41&gt;0,IMshareM!AO32/(SUM(IMshareM!AO$2:AO$78)-IMshareM!AO$41),0))</f>
        <v>2.3751240367674435E-4</v>
      </c>
      <c r="AP32" s="8">
        <f>IF($A32=AP$1,0,IF(SUM(IMshareM!AP$2:AP$78)-IMshareM!AP$42&gt;0,IMshareM!AP32/(SUM(IMshareM!AP$2:AP$78)-IMshareM!AP$42),0))</f>
        <v>1.3081706590776516E-5</v>
      </c>
      <c r="AQ32" s="8">
        <f>IF($A32=AQ$1,0,IF(SUM(IMshareM!AQ$2:AQ$78)-IMshareM!AQ$43&gt;0,IMshareM!AQ32/(SUM(IMshareM!AQ$2:AQ$78)-IMshareM!AQ$43),0))</f>
        <v>5.426766752869276E-3</v>
      </c>
      <c r="AR32" s="8">
        <f>IF($A32=AR$1,0,IF(SUM(IMshareM!AR$2:AR$78)-IMshareM!AR$44&gt;0,IMshareM!AR32/(SUM(IMshareM!AR$2:AR$78)-IMshareM!AR$44),0))</f>
        <v>0</v>
      </c>
      <c r="AS32" s="8">
        <f>IF($A32=AS$1,0,IF(SUM(IMshareM!AS$2:AS$78)-IMshareM!AS$45&gt;0,IMshareM!AS32/(SUM(IMshareM!AS$2:AS$78)-IMshareM!AS$45),0))</f>
        <v>5.2748695177157331E-4</v>
      </c>
      <c r="AT32" s="8">
        <f>IF($A32=AT$1,0,IF(SUM(IMshareM!AT$2:AT$78)-IMshareM!AT$46&gt;0,IMshareM!AT32/(SUM(IMshareM!AT$2:AT$78)-IMshareM!AT$46),0))</f>
        <v>1.689563510263563E-3</v>
      </c>
      <c r="AU32" s="8">
        <f>IF($A32=AU$1,0,IF(SUM(IMshareM!AU$2:AU$78)-IMshareM!AU$47&gt;0,IMshareM!AU32/(SUM(IMshareM!AU$2:AU$78)-IMshareM!AU$47),0))</f>
        <v>5.0200894449041727E-3</v>
      </c>
      <c r="AV32" s="8">
        <f>IF($A32=AV$1,0,IF(SUM(IMshareM!AV$2:AV$78)-IMshareM!AV$48&gt;0,IMshareM!AV32/(SUM(IMshareM!AV$2:AV$78)-IMshareM!AV$48),0))</f>
        <v>1.4811164362853683E-3</v>
      </c>
      <c r="AW32" s="8">
        <f>IF($A32=AW$1,0,IF(SUM(IMshareM!AW$2:AW$78)-IMshareM!AW$49&gt;0,IMshareM!AW32/(SUM(IMshareM!AW$2:AW$78)-IMshareM!AW$49),0))</f>
        <v>5.9084417484203105E-3</v>
      </c>
      <c r="AX32" s="8">
        <f>IF($A32=AX$1,0,IF(SUM(IMshareM!AX$2:AX$78)-IMshareM!AX$50&gt;0,IMshareM!AX32/(SUM(IMshareM!AX$2:AX$78)-IMshareM!AX$50),0))</f>
        <v>3.7519713577671965E-5</v>
      </c>
      <c r="AY32" s="8">
        <f>IF($A32=AY$1,0,IF(SUM(IMshareM!AY$2:AY$78)-IMshareM!AY$51&gt;0,IMshareM!AY32/(SUM(IMshareM!AY$2:AY$78)-IMshareM!AY$51),0))</f>
        <v>7.474511144524518E-5</v>
      </c>
      <c r="AZ32" s="8">
        <f>IF($A32=AZ$1,0,IF(SUM(IMshareM!AZ$2:AZ$78)-IMshareM!AZ$52&gt;0,IMshareM!AZ32/(SUM(IMshareM!AZ$2:AZ$78)-IMshareM!AZ$52),0))</f>
        <v>2.6719840442208112E-4</v>
      </c>
      <c r="BA32" s="8">
        <f>IF($A32=BA$1,0,IF(SUM(IMshareM!BA$2:BA$78)-IMshareM!BA$53&gt;0,IMshareM!BA32/(SUM(IMshareM!BA$2:BA$78)-IMshareM!BA$53),0))</f>
        <v>7.5043906509839824E-6</v>
      </c>
      <c r="BB32" s="8">
        <f>IF($A32=BB$1,0,IF(SUM(IMshareM!BB$2:BB$78)-IMshareM!BB$54&gt;0,IMshareM!BB32/(SUM(IMshareM!BB$2:BB$78)-IMshareM!BB$54),0))</f>
        <v>8.7190234041940977E-3</v>
      </c>
      <c r="BC32" s="8">
        <f>IF($A32=BC$1,0,IF(SUM(IMshareM!BC$2:BC$78)-IMshareM!BC$55&gt;0,IMshareM!BC32/(SUM(IMshareM!BC$2:BC$78)-IMshareM!BC$55),0))</f>
        <v>6.5568562511745384E-3</v>
      </c>
      <c r="BD32" s="8">
        <f>IF($A32=BD$1,0,IF(SUM(IMshareM!BD$2:BD$78)-IMshareM!BD$56&gt;0,IMshareM!BD32/(SUM(IMshareM!BD$2:BD$78)-IMshareM!BD$56),0))</f>
        <v>6.1117362825271774E-3</v>
      </c>
      <c r="BE32" s="8">
        <f>IF($A32=BE$1,0,IF(SUM(IMshareM!BE$2:BE$78)-IMshareM!BE$57&gt;0,IMshareM!BE32/(SUM(IMshareM!BE$2:BE$78)-IMshareM!BE$57),0))</f>
        <v>1.1967971769060619E-4</v>
      </c>
      <c r="BF32" s="8">
        <f>IF($A32=BF$1,0,IF(SUM(IMshareM!BF$2:BF$78)-IMshareM!BF$58&gt;0,IMshareM!BF32/(SUM(IMshareM!BF$2:BF$78)-IMshareM!BF$58),0))</f>
        <v>1.808267344424584E-3</v>
      </c>
      <c r="BG32" s="8">
        <f>IF($A32=BG$1,0,IF(SUM(IMshareM!BG$2:BG$78)-IMshareM!BG$59&gt;0,IMshareM!BG32/(SUM(IMshareM!BG$2:BG$78)-IMshareM!BG$59),0))</f>
        <v>1.7160713221002963E-4</v>
      </c>
      <c r="BH32" s="8">
        <f>IF($A32=BH$1,0,IF(SUM(IMshareM!BH$2:BH$78)-IMshareM!BH$60&gt;0,IMshareM!BH32/(SUM(IMshareM!BH$2:BH$78)-IMshareM!BH$60),0))</f>
        <v>1.8549869047952149E-2</v>
      </c>
      <c r="BI32" s="8">
        <f>IF($A32=BI$1,0,IF(SUM(IMshareM!BI$2:BI$78)-IMshareM!BI$61&gt;0,IMshareM!BI32/(SUM(IMshareM!BI$2:BI$78)-IMshareM!BI$61),0))</f>
        <v>1.8366033482430568E-3</v>
      </c>
      <c r="BJ32" s="8">
        <f>IF($A32=BJ$1,0,IF(SUM(IMshareM!BJ$2:BJ$78)-IMshareM!BJ$62&gt;0,IMshareM!BJ32/(SUM(IMshareM!BJ$2:BJ$78)-IMshareM!BJ$62),0))</f>
        <v>1.4222424641243974E-2</v>
      </c>
      <c r="BK32" s="8">
        <f>IF($A32=BK$1,0,IF(SUM(IMshareM!BK$2:BK$78)-IMshareM!BK$63&gt;0,IMshareM!BK32/(SUM(IMshareM!BK$2:BK$78)-IMshareM!BK$63),0))</f>
        <v>6.3129735510460217E-3</v>
      </c>
      <c r="BL32" s="8">
        <f>IF($A32=BL$1,0,IF(SUM(IMshareM!BL$2:BL$78)-IMshareM!BL$64&gt;0,IMshareM!BL32/(SUM(IMshareM!BL$2:BL$78)-IMshareM!BL$64),0))</f>
        <v>8.3441863523502638E-5</v>
      </c>
      <c r="BM32" s="8">
        <f>IF($A32=BM$1,0,IF(SUM(IMshareM!BM$2:BM$78)-IMshareM!BM$65&gt;0,IMshareM!BM32/(SUM(IMshareM!BM$2:BM$78)-IMshareM!BM$65),0))</f>
        <v>0</v>
      </c>
      <c r="BN32" s="8">
        <f>IF($A32=BN$1,0,IF(SUM(IMshareM!BN$2:BN$78)-IMshareM!BN$66&gt;0,IMshareM!BN32/(SUM(IMshareM!BN$2:BN$78)-IMshareM!BN$66),0))</f>
        <v>9.575848547347195E-3</v>
      </c>
      <c r="BO32" s="8">
        <f>IF($A32=BO$1,0,IF(SUM(IMshareM!BO$2:BO$78)-IMshareM!BO$67&gt;0,IMshareM!BO32/(SUM(IMshareM!BO$2:BO$78)-IMshareM!BO$67),0))</f>
        <v>0.20460296723239677</v>
      </c>
      <c r="BP32" s="8">
        <f>IF($A32=BP$1,0,IF(SUM(IMshareM!BP$2:BP$78)-IMshareM!BP$68&gt;0,IMshareM!BP32/(SUM(IMshareM!BP$2:BP$78)-IMshareM!BP$68),0))</f>
        <v>1.1082050973593853E-2</v>
      </c>
      <c r="BQ32" s="8">
        <f>IF($A32=BQ$1,0,IF(SUM(IMshareM!BQ$2:BQ$78)-IMshareM!BQ$69&gt;0,IMshareM!BQ32/(SUM(IMshareM!BQ$2:BQ$78)-IMshareM!BQ$69),0))</f>
        <v>4.2385055262236587E-4</v>
      </c>
      <c r="BR32" s="8">
        <f>IF($A32=BR$1,0,IF(SUM(IMshareM!BR$2:BR$78)-IMshareM!BR$70&gt;0,IMshareM!BR32/(SUM(IMshareM!BR$2:BR$78)-IMshareM!BR$70),0))</f>
        <v>4.2833453181419867E-3</v>
      </c>
      <c r="BS32" s="8">
        <f>IF($A32=BS$1,0,IF(SUM(IMshareM!BS$2:BS$78)-IMshareM!BS$71&gt;0,IMshareM!BS32/(SUM(IMshareM!BS$2:BS$78)-IMshareM!BS$71),0))</f>
        <v>1.5140291467900995E-3</v>
      </c>
      <c r="BT32" s="8">
        <f>IF($A32=BT$1,0,IF(SUM(IMshareM!BT$2:BT$78)-IMshareM!BT$72&gt;0,IMshareM!BT32/(SUM(IMshareM!BT$2:BT$78)-IMshareM!BT$72),0))</f>
        <v>2.4371999301466551E-3</v>
      </c>
      <c r="BU32" s="8">
        <f>IF($A32=BU$1,0,IF(SUM(IMshareM!BU$2:BU$78)-IMshareM!BU$73&gt;0,IMshareM!BU32/(SUM(IMshareM!BU$2:BU$78)-IMshareM!BU$73),0))</f>
        <v>8.5019047382773882E-2</v>
      </c>
      <c r="BV32" s="8">
        <f>IF($A32=BV$1,0,IF(SUM(IMshareM!BV$2:BV$78)-IMshareM!BV$74&gt;0,IMshareM!BV32/(SUM(IMshareM!BV$2:BV$78)-IMshareM!BV$74),0))</f>
        <v>4.1848388654678022E-3</v>
      </c>
      <c r="BW32" s="8">
        <f>IF($A32=BW$1,0,IF(SUM(IMshareM!BW$2:BW$78)-IMshareM!BW$75&gt;0,IMshareM!BW32/(SUM(IMshareM!BW$2:BW$78)-IMshareM!BW$75),0))</f>
        <v>9.8605461961383881E-3</v>
      </c>
      <c r="BX32" s="8">
        <f>IF($A32=BX$1,0,IF(SUM(IMshareM!BX$2:BX$78)-IMshareM!BX$76&gt;0,IMshareM!BX32/(SUM(IMshareM!BX$2:BX$78)-IMshareM!BX$76),0))</f>
        <v>7.1456360384716311E-2</v>
      </c>
      <c r="BY32" s="8">
        <f>IF($A32=BY$1,0,IF(SUM(IMshareM!BY$2:BY$78)-IMshareM!BY$77&gt;0,IMshareM!BY32/(SUM(IMshareM!BY$2:BY$78)-IMshareM!BY$77),0))</f>
        <v>6.6648095147990001E-3</v>
      </c>
      <c r="BZ32" s="8">
        <f>IF($A32=BZ$1,0,IF(SUM(IMshareM!BZ$2:BZ$78)-IMshareM!BZ$78&gt;0,IMshareM!BZ32/(SUM(IMshareM!BZ$2:BZ$78)-IMshareM!BZ$78),0))</f>
        <v>3.2213677425625737E-3</v>
      </c>
    </row>
    <row r="33" spans="1:78">
      <c r="A33" s="4" t="s">
        <v>133</v>
      </c>
      <c r="B33" s="8">
        <f>IF($A33=B$1,0,IF(SUM(IMshareM!B$2:B$78)-IMshareM!B$2&gt;0,IMshareM!B33/(SUM(IMshareM!B$2:B$78)-IMshareM!B$2),0))</f>
        <v>2.258532716607238E-2</v>
      </c>
      <c r="C33" s="8">
        <f>IF($A33=C$1,0,IF(SUM(IMshareM!C$2:C$78)-IMshareM!C$3&gt;0,IMshareM!C33/(SUM(IMshareM!C$2:C$78)-IMshareM!C$3),0))</f>
        <v>2.4718691501167438E-4</v>
      </c>
      <c r="D33" s="8">
        <f>IF($A33=D$1,0,IF(SUM(IMshareM!D$2:D$78)-IMshareM!D$4&gt;0,IMshareM!D33/(SUM(IMshareM!D$2:D$78)-IMshareM!D$4),0))</f>
        <v>2.934564331754161E-5</v>
      </c>
      <c r="E33" s="8">
        <f>IF($A33=E$1,0,IF(SUM(IMshareM!E$2:E$78)-IMshareM!E$5&gt;0,IMshareM!E33/(SUM(IMshareM!E$2:E$78)-IMshareM!E$5),0))</f>
        <v>1.1155342153243962E-4</v>
      </c>
      <c r="F33" s="8">
        <f>IF($A33=F$1,0,IF(SUM(IMshareM!F$2:F$78)-IMshareM!F$6&gt;0,IMshareM!F33/(SUM(IMshareM!F$2:F$78)-IMshareM!F$6),0))</f>
        <v>1.4300801506243138E-3</v>
      </c>
      <c r="G33" s="8">
        <f>IF($A33=G$1,0,IF(SUM(IMshareM!G$2:G$78)-IMshareM!G$7&gt;0,IMshareM!G33/(SUM(IMshareM!G$2:G$78)-IMshareM!G$7),0))</f>
        <v>0</v>
      </c>
      <c r="H33" s="8">
        <f>IF($A33=H$1,0,IF(SUM(IMshareM!H$2:H$78)-IMshareM!H$8&gt;0,IMshareM!H33/(SUM(IMshareM!H$2:H$78)-IMshareM!H$8),0))</f>
        <v>0</v>
      </c>
      <c r="I33" s="8">
        <f>IF($A33=I$1,0,IF(SUM(IMshareM!I$2:I$78)-IMshareM!I$9&gt;0,IMshareM!I33/(SUM(IMshareM!I$2:I$78)-IMshareM!I$9),0))</f>
        <v>8.8697745964099461E-3</v>
      </c>
      <c r="J33" s="8">
        <f>IF($A33=J$1,0,IF(SUM(IMshareM!J$2:J$78)-IMshareM!J$10&gt;0,IMshareM!J33/(SUM(IMshareM!J$2:J$78)-IMshareM!J$10),0))</f>
        <v>8.615624177253851E-3</v>
      </c>
      <c r="K33" s="8">
        <f>IF($A33=K$1,0,IF(SUM(IMshareM!K$2:K$78)-IMshareM!K$11&gt;0,IMshareM!K33/(SUM(IMshareM!K$2:K$78)-IMshareM!K$11),0))</f>
        <v>1.141343457223838E-3</v>
      </c>
      <c r="L33" s="8">
        <f>IF($A33=L$1,0,IF(SUM(IMshareM!L$2:L$78)-IMshareM!L$12&gt;0,IMshareM!L33/(SUM(IMshareM!L$2:L$78)-IMshareM!L$12),0))</f>
        <v>1.0699616594516752E-4</v>
      </c>
      <c r="M33" s="8">
        <f>IF($A33=M$1,0,IF(SUM(IMshareM!M$2:M$78)-IMshareM!M$13&gt;0,IMshareM!M33/(SUM(IMshareM!M$2:M$78)-IMshareM!M$13),0))</f>
        <v>2.5230150004617946E-3</v>
      </c>
      <c r="N33" s="8">
        <f>IF($A33=N$1,0,IF(SUM(IMshareM!N$2:N$78)-IMshareM!N$14&gt;0,IMshareM!N33/(SUM(IMshareM!N$2:N$78)-IMshareM!N$14),0))</f>
        <v>6.4927977959132006E-3</v>
      </c>
      <c r="O33" s="8">
        <f>IF($A33=O$1,0,IF(SUM(IMshareM!O$2:O$78)-IMshareM!O$15&gt;0,IMshareM!O33/(SUM(IMshareM!O$2:O$78)-IMshareM!O$15),0))</f>
        <v>2.290231437187147E-5</v>
      </c>
      <c r="P33" s="8">
        <f>IF($A33=P$1,0,IF(SUM(IMshareM!P$2:P$78)-IMshareM!P$16&gt;0,IMshareM!P33/(SUM(IMshareM!P$2:P$78)-IMshareM!P$16),0))</f>
        <v>0</v>
      </c>
      <c r="Q33" s="8">
        <f>IF($A33=Q$1,0,IF(SUM(IMshareM!Q$2:Q$78)-IMshareM!Q$17&gt;0,IMshareM!Q33/(SUM(IMshareM!Q$2:Q$78)-IMshareM!Q$17),0))</f>
        <v>6.6221927908726743E-4</v>
      </c>
      <c r="R33" s="8">
        <f>IF($A33=R$1,0,IF(SUM(IMshareM!R$2:R$78)-IMshareM!R$18&gt;0,IMshareM!R33/(SUM(IMshareM!R$2:R$78)-IMshareM!R$18),0))</f>
        <v>3.5185685078637597E-4</v>
      </c>
      <c r="S33" s="8">
        <f>IF($A33=S$1,0,IF(SUM(IMshareM!S$2:S$78)-IMshareM!S$19&gt;0,IMshareM!S33/(SUM(IMshareM!S$2:S$78)-IMshareM!S$19),0))</f>
        <v>9.2940521931898635E-6</v>
      </c>
      <c r="T33" s="8">
        <f>IF($A33=T$1,0,IF(SUM(IMshareM!T$2:T$78)-IMshareM!T$20&gt;0,IMshareM!T33/(SUM(IMshareM!T$2:T$78)-IMshareM!T$20),0))</f>
        <v>1.3804815841990864E-2</v>
      </c>
      <c r="U33" s="8">
        <f>IF($A33=U$1,0,IF(SUM(IMshareM!U$2:U$78)-IMshareM!U$21&gt;0,IMshareM!U33/(SUM(IMshareM!U$2:U$78)-IMshareM!U$21),0))</f>
        <v>1.9209573168145605E-4</v>
      </c>
      <c r="V33" s="8">
        <f>IF($A33=V$1,0,IF(SUM(IMshareM!V$2:V$78)-IMshareM!V$22&gt;0,IMshareM!V33/(SUM(IMshareM!V$2:V$78)-IMshareM!V$22),0))</f>
        <v>1.9048554404739091E-4</v>
      </c>
      <c r="W33" s="8">
        <f>IF($A33=W$1,0,IF(SUM(IMshareM!W$2:W$78)-IMshareM!W$23&gt;0,IMshareM!W33/(SUM(IMshareM!W$2:W$78)-IMshareM!W$23),0))</f>
        <v>1.7548615016657601E-3</v>
      </c>
      <c r="X33" s="8">
        <f>IF($A33=X$1,0,IF(SUM(IMshareM!X$2:X$78)-IMshareM!X$24&gt;0,IMshareM!X33/(SUM(IMshareM!X$2:X$78)-IMshareM!X$24),0))</f>
        <v>7.8084406263636142E-5</v>
      </c>
      <c r="Y33" s="8">
        <f>IF($A33=Y$1,0,IF(SUM(IMshareM!Y$2:Y$78)-IMshareM!Y$25&gt;0,IMshareM!Y33/(SUM(IMshareM!Y$2:Y$78)-IMshareM!Y$25),0))</f>
        <v>2.8496894932675695E-5</v>
      </c>
      <c r="Z33" s="8">
        <f>IF($A33=Z$1,0,IF(SUM(IMshareM!Z$2:Z$78)-IMshareM!Z$26&gt;0,IMshareM!Z33/(SUM(IMshareM!Z$2:Z$78)-IMshareM!Z$26),0))</f>
        <v>1.9756559855990135E-5</v>
      </c>
      <c r="AA33" s="8">
        <f>IF($A33=AA$1,0,IF(SUM(IMshareM!AA$2:AA$78)-IMshareM!AA$27&gt;0,IMshareM!AA33/(SUM(IMshareM!AA$2:AA$78)-IMshareM!AA$27),0))</f>
        <v>4.5839465739217923E-5</v>
      </c>
      <c r="AB33" s="8">
        <f>IF($A33=AB$1,0,IF(SUM(IMshareM!AB$2:AB$78)-IMshareM!AB$28&gt;0,IMshareM!AB33/(SUM(IMshareM!AB$2:AB$78)-IMshareM!AB$28),0))</f>
        <v>5.0817132712077282E-4</v>
      </c>
      <c r="AC33" s="8">
        <f>IF($A33=AC$1,0,IF(SUM(IMshareM!AC$2:AC$78)-IMshareM!AC$29&gt;0,IMshareM!AC33/(SUM(IMshareM!AC$2:AC$78)-IMshareM!AC$29),0))</f>
        <v>0</v>
      </c>
      <c r="AD33" s="8">
        <f>IF($A33=AD$1,0,IF(SUM(IMshareM!AD$2:AD$78)-IMshareM!AD$30&gt;0,IMshareM!AD33/(SUM(IMshareM!AD$2:AD$78)-IMshareM!AD$30),0))</f>
        <v>5.3523741870125708E-4</v>
      </c>
      <c r="AE33" s="8">
        <f>IF($A33=AE$1,0,IF(SUM(IMshareM!AE$2:AE$78)-IMshareM!AE$31&gt;0,IMshareM!AE33/(SUM(IMshareM!AE$2:AE$78)-IMshareM!AE$31),0))</f>
        <v>1.6539260467199859E-7</v>
      </c>
      <c r="AF33" s="8">
        <f>IF($A33=AF$1,0,IF(SUM(IMshareM!AF$2:AF$78)-IMshareM!AF$32&gt;0,IMshareM!AF33/(SUM(IMshareM!AF$2:AF$78)-IMshareM!AF$32),0))</f>
        <v>0</v>
      </c>
      <c r="AG33" s="8">
        <f>IF($A33=AG$1,0,IF(SUM(IMshareM!AG$2:AG$78)-IMshareM!AG$33&gt;0,IMshareM!AG33/(SUM(IMshareM!AG$2:AG$78)-IMshareM!AG$33),0))</f>
        <v>0</v>
      </c>
      <c r="AH33" s="8">
        <f>IF($A33=AH$1,0,IF(SUM(IMshareM!AH$2:AH$78)-IMshareM!AH$34&gt;0,IMshareM!AH33/(SUM(IMshareM!AH$2:AH$78)-IMshareM!AH$34),0))</f>
        <v>1.5937113806880652E-2</v>
      </c>
      <c r="AI33" s="8">
        <f>IF($A33=AI$1,0,IF(SUM(IMshareM!AI$2:AI$78)-IMshareM!AI$35&gt;0,IMshareM!AI33/(SUM(IMshareM!AI$2:AI$78)-IMshareM!AI$35),0))</f>
        <v>1.3338777075100241E-3</v>
      </c>
      <c r="AJ33" s="8">
        <f>IF($A33=AJ$1,0,IF(SUM(IMshareM!AJ$2:AJ$78)-IMshareM!AJ$36&gt;0,IMshareM!AJ33/(SUM(IMshareM!AJ$2:AJ$78)-IMshareM!AJ$36),0))</f>
        <v>2.1184853049275908E-3</v>
      </c>
      <c r="AK33" s="8">
        <f>IF($A33=AK$1,0,IF(SUM(IMshareM!AK$2:AK$78)-IMshareM!AK$37&gt;0,IMshareM!AK33/(SUM(IMshareM!AK$2:AK$78)-IMshareM!AK$37),0))</f>
        <v>9.2714354267424919E-5</v>
      </c>
      <c r="AL33" s="8">
        <f>IF($A33=AL$1,0,IF(SUM(IMshareM!AL$2:AL$78)-IMshareM!AL$38&gt;0,IMshareM!AL33/(SUM(IMshareM!AL$2:AL$78)-IMshareM!AL$38),0))</f>
        <v>4.3321123305223705E-5</v>
      </c>
      <c r="AM33" s="8">
        <f>IF($A33=AM$1,0,IF(SUM(IMshareM!AM$2:AM$78)-IMshareM!AM$39&gt;0,IMshareM!AM33/(SUM(IMshareM!AM$2:AM$78)-IMshareM!AM$39),0))</f>
        <v>0</v>
      </c>
      <c r="AN33" s="8">
        <f>IF($A33=AN$1,0,IF(SUM(IMshareM!AN$2:AN$78)-IMshareM!AN$40&gt;0,IMshareM!AN33/(SUM(IMshareM!AN$2:AN$78)-IMshareM!AN$40),0))</f>
        <v>2.0689987298731307E-2</v>
      </c>
      <c r="AO33" s="8">
        <f>IF($A33=AO$1,0,IF(SUM(IMshareM!AO$2:AO$78)-IMshareM!AO$41&gt;0,IMshareM!AO33/(SUM(IMshareM!AO$2:AO$78)-IMshareM!AO$41),0))</f>
        <v>3.1692618164158435E-8</v>
      </c>
      <c r="AP33" s="8">
        <f>IF($A33=AP$1,0,IF(SUM(IMshareM!AP$2:AP$78)-IMshareM!AP$42&gt;0,IMshareM!AP33/(SUM(IMshareM!AP$2:AP$78)-IMshareM!AP$42),0))</f>
        <v>2.0460437735646338E-3</v>
      </c>
      <c r="AQ33" s="8">
        <f>IF($A33=AQ$1,0,IF(SUM(IMshareM!AQ$2:AQ$78)-IMshareM!AQ$43&gt;0,IMshareM!AQ33/(SUM(IMshareM!AQ$2:AQ$78)-IMshareM!AQ$43),0))</f>
        <v>6.1018577385044491E-5</v>
      </c>
      <c r="AR33" s="8">
        <f>IF($A33=AR$1,0,IF(SUM(IMshareM!AR$2:AR$78)-IMshareM!AR$44&gt;0,IMshareM!AR33/(SUM(IMshareM!AR$2:AR$78)-IMshareM!AR$44),0))</f>
        <v>0</v>
      </c>
      <c r="AS33" s="8">
        <f>IF($A33=AS$1,0,IF(SUM(IMshareM!AS$2:AS$78)-IMshareM!AS$45&gt;0,IMshareM!AS33/(SUM(IMshareM!AS$2:AS$78)-IMshareM!AS$45),0))</f>
        <v>8.0373929559059376E-5</v>
      </c>
      <c r="AT33" s="8">
        <f>IF($A33=AT$1,0,IF(SUM(IMshareM!AT$2:AT$78)-IMshareM!AT$46&gt;0,IMshareM!AT33/(SUM(IMshareM!AT$2:AT$78)-IMshareM!AT$46),0))</f>
        <v>1.0118140560739299E-5</v>
      </c>
      <c r="AU33" s="8">
        <f>IF($A33=AU$1,0,IF(SUM(IMshareM!AU$2:AU$78)-IMshareM!AU$47&gt;0,IMshareM!AU33/(SUM(IMshareM!AU$2:AU$78)-IMshareM!AU$47),0))</f>
        <v>0</v>
      </c>
      <c r="AV33" s="8">
        <f>IF($A33=AV$1,0,IF(SUM(IMshareM!AV$2:AV$78)-IMshareM!AV$48&gt;0,IMshareM!AV33/(SUM(IMshareM!AV$2:AV$78)-IMshareM!AV$48),0))</f>
        <v>1.0094558661616996E-4</v>
      </c>
      <c r="AW33" s="8">
        <f>IF($A33=AW$1,0,IF(SUM(IMshareM!AW$2:AW$78)-IMshareM!AW$49&gt;0,IMshareM!AW33/(SUM(IMshareM!AW$2:AW$78)-IMshareM!AW$49),0))</f>
        <v>3.1156404895402983E-3</v>
      </c>
      <c r="AX33" s="8">
        <f>IF($A33=AX$1,0,IF(SUM(IMshareM!AX$2:AX$78)-IMshareM!AX$50&gt;0,IMshareM!AX33/(SUM(IMshareM!AX$2:AX$78)-IMshareM!AX$50),0))</f>
        <v>0</v>
      </c>
      <c r="AY33" s="8">
        <f>IF($A33=AY$1,0,IF(SUM(IMshareM!AY$2:AY$78)-IMshareM!AY$51&gt;0,IMshareM!AY33/(SUM(IMshareM!AY$2:AY$78)-IMshareM!AY$51),0))</f>
        <v>7.8967164484555728E-3</v>
      </c>
      <c r="AZ33" s="8">
        <f>IF($A33=AZ$1,0,IF(SUM(IMshareM!AZ$2:AZ$78)-IMshareM!AZ$52&gt;0,IMshareM!AZ33/(SUM(IMshareM!AZ$2:AZ$78)-IMshareM!AZ$52),0))</f>
        <v>1.7045692092436546E-2</v>
      </c>
      <c r="BA33" s="8">
        <f>IF($A33=BA$1,0,IF(SUM(IMshareM!BA$2:BA$78)-IMshareM!BA$53&gt;0,IMshareM!BA33/(SUM(IMshareM!BA$2:BA$78)-IMshareM!BA$53),0))</f>
        <v>9.1065885207042388E-5</v>
      </c>
      <c r="BB33" s="8">
        <f>IF($A33=BB$1,0,IF(SUM(IMshareM!BB$2:BB$78)-IMshareM!BB$54&gt;0,IMshareM!BB33/(SUM(IMshareM!BB$2:BB$78)-IMshareM!BB$54),0))</f>
        <v>4.1024972288007382E-5</v>
      </c>
      <c r="BC33" s="8">
        <f>IF($A33=BC$1,0,IF(SUM(IMshareM!BC$2:BC$78)-IMshareM!BC$55&gt;0,IMshareM!BC33/(SUM(IMshareM!BC$2:BC$78)-IMshareM!BC$55),0))</f>
        <v>1.350361519066353E-4</v>
      </c>
      <c r="BD33" s="8">
        <f>IF($A33=BD$1,0,IF(SUM(IMshareM!BD$2:BD$78)-IMshareM!BD$56&gt;0,IMshareM!BD33/(SUM(IMshareM!BD$2:BD$78)-IMshareM!BD$56),0))</f>
        <v>4.4384190118808211E-4</v>
      </c>
      <c r="BE33" s="8">
        <f>IF($A33=BE$1,0,IF(SUM(IMshareM!BE$2:BE$78)-IMshareM!BE$57&gt;0,IMshareM!BE33/(SUM(IMshareM!BE$2:BE$78)-IMshareM!BE$57),0))</f>
        <v>8.4447604887380803E-3</v>
      </c>
      <c r="BF33" s="8">
        <f>IF($A33=BF$1,0,IF(SUM(IMshareM!BF$2:BF$78)-IMshareM!BF$58&gt;0,IMshareM!BF33/(SUM(IMshareM!BF$2:BF$78)-IMshareM!BF$58),0))</f>
        <v>1.4575998941377549E-4</v>
      </c>
      <c r="BG33" s="8">
        <f>IF($A33=BG$1,0,IF(SUM(IMshareM!BG$2:BG$78)-IMshareM!BG$59&gt;0,IMshareM!BG33/(SUM(IMshareM!BG$2:BG$78)-IMshareM!BG$59),0))</f>
        <v>6.3812891355411877E-2</v>
      </c>
      <c r="BH33" s="8">
        <f>IF($A33=BH$1,0,IF(SUM(IMshareM!BH$2:BH$78)-IMshareM!BH$60&gt;0,IMshareM!BH33/(SUM(IMshareM!BH$2:BH$78)-IMshareM!BH$60),0))</f>
        <v>4.0082181252836298E-3</v>
      </c>
      <c r="BI33" s="8">
        <f>IF($A33=BI$1,0,IF(SUM(IMshareM!BI$2:BI$78)-IMshareM!BI$61&gt;0,IMshareM!BI33/(SUM(IMshareM!BI$2:BI$78)-IMshareM!BI$61),0))</f>
        <v>1.1948431778326256E-6</v>
      </c>
      <c r="BJ33" s="8">
        <f>IF($A33=BJ$1,0,IF(SUM(IMshareM!BJ$2:BJ$78)-IMshareM!BJ$62&gt;0,IMshareM!BJ33/(SUM(IMshareM!BJ$2:BJ$78)-IMshareM!BJ$62),0))</f>
        <v>0</v>
      </c>
      <c r="BK33" s="8">
        <f>IF($A33=BK$1,0,IF(SUM(IMshareM!BK$2:BK$78)-IMshareM!BK$63&gt;0,IMshareM!BK33/(SUM(IMshareM!BK$2:BK$78)-IMshareM!BK$63),0))</f>
        <v>8.2973084881295626E-6</v>
      </c>
      <c r="BL33" s="8">
        <f>IF($A33=BL$1,0,IF(SUM(IMshareM!BL$2:BL$78)-IMshareM!BL$64&gt;0,IMshareM!BL33/(SUM(IMshareM!BL$2:BL$78)-IMshareM!BL$64),0))</f>
        <v>2.408130151446779E-6</v>
      </c>
      <c r="BM33" s="8">
        <f>IF($A33=BM$1,0,IF(SUM(IMshareM!BM$2:BM$78)-IMshareM!BM$65&gt;0,IMshareM!BM33/(SUM(IMshareM!BM$2:BM$78)-IMshareM!BM$65),0))</f>
        <v>4.0898405811043552E-6</v>
      </c>
      <c r="BN33" s="8">
        <f>IF($A33=BN$1,0,IF(SUM(IMshareM!BN$2:BN$78)-IMshareM!BN$66&gt;0,IMshareM!BN33/(SUM(IMshareM!BN$2:BN$78)-IMshareM!BN$66),0))</f>
        <v>1.5427236471594269E-3</v>
      </c>
      <c r="BO33" s="8">
        <f>IF($A33=BO$1,0,IF(SUM(IMshareM!BO$2:BO$78)-IMshareM!BO$67&gt;0,IMshareM!BO33/(SUM(IMshareM!BO$2:BO$78)-IMshareM!BO$67),0))</f>
        <v>3.1934696090858934E-5</v>
      </c>
      <c r="BP33" s="8">
        <f>IF($A33=BP$1,0,IF(SUM(IMshareM!BP$2:BP$78)-IMshareM!BP$68&gt;0,IMshareM!BP33/(SUM(IMshareM!BP$2:BP$78)-IMshareM!BP$68),0))</f>
        <v>7.3317615708681181E-6</v>
      </c>
      <c r="BQ33" s="8">
        <f>IF($A33=BQ$1,0,IF(SUM(IMshareM!BQ$2:BQ$78)-IMshareM!BQ$69&gt;0,IMshareM!BQ33/(SUM(IMshareM!BQ$2:BQ$78)-IMshareM!BQ$69),0))</f>
        <v>2.2162117065557226E-6</v>
      </c>
      <c r="BR33" s="8">
        <f>IF($A33=BR$1,0,IF(SUM(IMshareM!BR$2:BR$78)-IMshareM!BR$70&gt;0,IMshareM!BR33/(SUM(IMshareM!BR$2:BR$78)-IMshareM!BR$70),0))</f>
        <v>5.8818282116039844E-2</v>
      </c>
      <c r="BS33" s="8">
        <f>IF($A33=BS$1,0,IF(SUM(IMshareM!BS$2:BS$78)-IMshareM!BS$71&gt;0,IMshareM!BS33/(SUM(IMshareM!BS$2:BS$78)-IMshareM!BS$71),0))</f>
        <v>2.7601387106671126E-5</v>
      </c>
      <c r="BT33" s="8">
        <f>IF($A33=BT$1,0,IF(SUM(IMshareM!BT$2:BT$78)-IMshareM!BT$72&gt;0,IMshareM!BT33/(SUM(IMshareM!BT$2:BT$78)-IMshareM!BT$72),0))</f>
        <v>3.0381266341849571E-3</v>
      </c>
      <c r="BU33" s="8">
        <f>IF($A33=BU$1,0,IF(SUM(IMshareM!BU$2:BU$78)-IMshareM!BU$73&gt;0,IMshareM!BU33/(SUM(IMshareM!BU$2:BU$78)-IMshareM!BU$73),0))</f>
        <v>8.7648863859937105E-3</v>
      </c>
      <c r="BV33" s="8">
        <f>IF($A33=BV$1,0,IF(SUM(IMshareM!BV$2:BV$78)-IMshareM!BV$74&gt;0,IMshareM!BV33/(SUM(IMshareM!BV$2:BV$78)-IMshareM!BV$74),0))</f>
        <v>2.2967025502320529E-3</v>
      </c>
      <c r="BW33" s="8">
        <f>IF($A33=BW$1,0,IF(SUM(IMshareM!BW$2:BW$78)-IMshareM!BW$75&gt;0,IMshareM!BW33/(SUM(IMshareM!BW$2:BW$78)-IMshareM!BW$75),0))</f>
        <v>4.1791117962216261E-3</v>
      </c>
      <c r="BX33" s="8">
        <f>IF($A33=BX$1,0,IF(SUM(IMshareM!BX$2:BX$78)-IMshareM!BX$76&gt;0,IMshareM!BX33/(SUM(IMshareM!BX$2:BX$78)-IMshareM!BX$76),0))</f>
        <v>5.8299257414639559E-3</v>
      </c>
      <c r="BY33" s="8">
        <f>IF($A33=BY$1,0,IF(SUM(IMshareM!BY$2:BY$78)-IMshareM!BY$77&gt;0,IMshareM!BY33/(SUM(IMshareM!BY$2:BY$78)-IMshareM!BY$77),0))</f>
        <v>2.7464064845552517E-2</v>
      </c>
      <c r="BZ33" s="8">
        <f>IF($A33=BZ$1,0,IF(SUM(IMshareM!BZ$2:BZ$78)-IMshareM!BZ$78&gt;0,IMshareM!BZ33/(SUM(IMshareM!BZ$2:BZ$78)-IMshareM!BZ$78),0))</f>
        <v>1.056180757425095E-3</v>
      </c>
    </row>
    <row r="34" spans="1:78">
      <c r="A34" s="4" t="s">
        <v>135</v>
      </c>
      <c r="B34" s="8">
        <f>IF($A34=B$1,0,IF(SUM(IMshareM!B$2:B$78)-IMshareM!B$2&gt;0,IMshareM!B34/(SUM(IMshareM!B$2:B$78)-IMshareM!B$2),0))</f>
        <v>3.0859301025831011E-3</v>
      </c>
      <c r="C34" s="8">
        <f>IF($A34=C$1,0,IF(SUM(IMshareM!C$2:C$78)-IMshareM!C$3&gt;0,IMshareM!C34/(SUM(IMshareM!C$2:C$78)-IMshareM!C$3),0))</f>
        <v>3.1306606320142913E-2</v>
      </c>
      <c r="D34" s="8">
        <f>IF($A34=D$1,0,IF(SUM(IMshareM!D$2:D$78)-IMshareM!D$4&gt;0,IMshareM!D34/(SUM(IMshareM!D$2:D$78)-IMshareM!D$4),0))</f>
        <v>1.432654780093978E-2</v>
      </c>
      <c r="E34" s="8">
        <f>IF($A34=E$1,0,IF(SUM(IMshareM!E$2:E$78)-IMshareM!E$5&gt;0,IMshareM!E34/(SUM(IMshareM!E$2:E$78)-IMshareM!E$5),0))</f>
        <v>8.2922832634349432E-4</v>
      </c>
      <c r="F34" s="8">
        <f>IF($A34=F$1,0,IF(SUM(IMshareM!F$2:F$78)-IMshareM!F$6&gt;0,IMshareM!F34/(SUM(IMshareM!F$2:F$78)-IMshareM!F$6),0))</f>
        <v>8.9324067405365873E-2</v>
      </c>
      <c r="G34" s="8">
        <f>IF($A34=G$1,0,IF(SUM(IMshareM!G$2:G$78)-IMshareM!G$7&gt;0,IMshareM!G34/(SUM(IMshareM!G$2:G$78)-IMshareM!G$7),0))</f>
        <v>5.2816954253524675E-4</v>
      </c>
      <c r="H34" s="8">
        <f>IF($A34=H$1,0,IF(SUM(IMshareM!H$2:H$78)-IMshareM!H$8&gt;0,IMshareM!H34/(SUM(IMshareM!H$2:H$78)-IMshareM!H$8),0))</f>
        <v>4.0490649103571871E-5</v>
      </c>
      <c r="I34" s="8">
        <f>IF($A34=I$1,0,IF(SUM(IMshareM!I$2:I$78)-IMshareM!I$9&gt;0,IMshareM!I34/(SUM(IMshareM!I$2:I$78)-IMshareM!I$9),0))</f>
        <v>1.088793765019049E-2</v>
      </c>
      <c r="J34" s="8">
        <f>IF($A34=J$1,0,IF(SUM(IMshareM!J$2:J$78)-IMshareM!J$10&gt;0,IMshareM!J34/(SUM(IMshareM!J$2:J$78)-IMshareM!J$10),0))</f>
        <v>3.6890500179672671E-3</v>
      </c>
      <c r="K34" s="8">
        <f>IF($A34=K$1,0,IF(SUM(IMshareM!K$2:K$78)-IMshareM!K$11&gt;0,IMshareM!K34/(SUM(IMshareM!K$2:K$78)-IMshareM!K$11),0))</f>
        <v>7.5007674915384967E-3</v>
      </c>
      <c r="L34" s="8">
        <f>IF($A34=L$1,0,IF(SUM(IMshareM!L$2:L$78)-IMshareM!L$12&gt;0,IMshareM!L34/(SUM(IMshareM!L$2:L$78)-IMshareM!L$12),0))</f>
        <v>8.8774375008402635E-3</v>
      </c>
      <c r="M34" s="8">
        <f>IF($A34=M$1,0,IF(SUM(IMshareM!M$2:M$78)-IMshareM!M$13&gt;0,IMshareM!M34/(SUM(IMshareM!M$2:M$78)-IMshareM!M$13),0))</f>
        <v>7.0463569349711866E-3</v>
      </c>
      <c r="N34" s="8">
        <f>IF($A34=N$1,0,IF(SUM(IMshareM!N$2:N$78)-IMshareM!N$14&gt;0,IMshareM!N34/(SUM(IMshareM!N$2:N$78)-IMshareM!N$14),0))</f>
        <v>6.1369298548890894E-3</v>
      </c>
      <c r="O34" s="8">
        <f>IF($A34=O$1,0,IF(SUM(IMshareM!O$2:O$78)-IMshareM!O$15&gt;0,IMshareM!O34/(SUM(IMshareM!O$2:O$78)-IMshareM!O$15),0))</f>
        <v>2.2983099335963091E-2</v>
      </c>
      <c r="P34" s="8">
        <f>IF($A34=P$1,0,IF(SUM(IMshareM!P$2:P$78)-IMshareM!P$16&gt;0,IMshareM!P34/(SUM(IMshareM!P$2:P$78)-IMshareM!P$16),0))</f>
        <v>1.8279893463485391E-2</v>
      </c>
      <c r="Q34" s="8">
        <f>IF($A34=Q$1,0,IF(SUM(IMshareM!Q$2:Q$78)-IMshareM!Q$17&gt;0,IMshareM!Q34/(SUM(IMshareM!Q$2:Q$78)-IMshareM!Q$17),0))</f>
        <v>7.9212796963044722E-3</v>
      </c>
      <c r="R34" s="8">
        <f>IF($A34=R$1,0,IF(SUM(IMshareM!R$2:R$78)-IMshareM!R$18&gt;0,IMshareM!R34/(SUM(IMshareM!R$2:R$78)-IMshareM!R$18),0))</f>
        <v>3.3434828918320839E-3</v>
      </c>
      <c r="S34" s="8">
        <f>IF($A34=S$1,0,IF(SUM(IMshareM!S$2:S$78)-IMshareM!S$19&gt;0,IMshareM!S34/(SUM(IMshareM!S$2:S$78)-IMshareM!S$19),0))</f>
        <v>1.0786926610751408E-2</v>
      </c>
      <c r="T34" s="8">
        <f>IF($A34=T$1,0,IF(SUM(IMshareM!T$2:T$78)-IMshareM!T$20&gt;0,IMshareM!T34/(SUM(IMshareM!T$2:T$78)-IMshareM!T$20),0))</f>
        <v>3.7639843474514328E-3</v>
      </c>
      <c r="U34" s="8">
        <f>IF($A34=U$1,0,IF(SUM(IMshareM!U$2:U$78)-IMshareM!U$21&gt;0,IMshareM!U34/(SUM(IMshareM!U$2:U$78)-IMshareM!U$21),0))</f>
        <v>6.6703943174310351E-3</v>
      </c>
      <c r="V34" s="8">
        <f>IF($A34=V$1,0,IF(SUM(IMshareM!V$2:V$78)-IMshareM!V$22&gt;0,IMshareM!V34/(SUM(IMshareM!V$2:V$78)-IMshareM!V$22),0))</f>
        <v>3.7121880487052338E-3</v>
      </c>
      <c r="W34" s="8">
        <f>IF($A34=W$1,0,IF(SUM(IMshareM!W$2:W$78)-IMshareM!W$23&gt;0,IMshareM!W34/(SUM(IMshareM!W$2:W$78)-IMshareM!W$23),0))</f>
        <v>2.5253631009299379E-2</v>
      </c>
      <c r="X34" s="8">
        <f>IF($A34=X$1,0,IF(SUM(IMshareM!X$2:X$78)-IMshareM!X$24&gt;0,IMshareM!X34/(SUM(IMshareM!X$2:X$78)-IMshareM!X$24),0))</f>
        <v>2.691605751589177E-2</v>
      </c>
      <c r="Y34" s="8">
        <f>IF($A34=Y$1,0,IF(SUM(IMshareM!Y$2:Y$78)-IMshareM!Y$25&gt;0,IMshareM!Y34/(SUM(IMshareM!Y$2:Y$78)-IMshareM!Y$25),0))</f>
        <v>1.0308707079315672E-3</v>
      </c>
      <c r="Z34" s="8">
        <f>IF($A34=Z$1,0,IF(SUM(IMshareM!Z$2:Z$78)-IMshareM!Z$26&gt;0,IMshareM!Z34/(SUM(IMshareM!Z$2:Z$78)-IMshareM!Z$26),0))</f>
        <v>3.0331828221574781E-3</v>
      </c>
      <c r="AA34" s="8">
        <f>IF($A34=AA$1,0,IF(SUM(IMshareM!AA$2:AA$78)-IMshareM!AA$27&gt;0,IMshareM!AA34/(SUM(IMshareM!AA$2:AA$78)-IMshareM!AA$27),0))</f>
        <v>9.1639893602300775E-3</v>
      </c>
      <c r="AB34" s="8">
        <f>IF($A34=AB$1,0,IF(SUM(IMshareM!AB$2:AB$78)-IMshareM!AB$28&gt;0,IMshareM!AB34/(SUM(IMshareM!AB$2:AB$78)-IMshareM!AB$28),0))</f>
        <v>5.6916233939237259E-3</v>
      </c>
      <c r="AC34" s="8">
        <f>IF($A34=AC$1,0,IF(SUM(IMshareM!AC$2:AC$78)-IMshareM!AC$29&gt;0,IMshareM!AC34/(SUM(IMshareM!AC$2:AC$78)-IMshareM!AC$29),0))</f>
        <v>2.6478453574944097E-3</v>
      </c>
      <c r="AD34" s="8">
        <f>IF($A34=AD$1,0,IF(SUM(IMshareM!AD$2:AD$78)-IMshareM!AD$30&gt;0,IMshareM!AD34/(SUM(IMshareM!AD$2:AD$78)-IMshareM!AD$30),0))</f>
        <v>6.0458719723828535E-4</v>
      </c>
      <c r="AE34" s="8">
        <f>IF($A34=AE$1,0,IF(SUM(IMshareM!AE$2:AE$78)-IMshareM!AE$31&gt;0,IMshareM!AE34/(SUM(IMshareM!AE$2:AE$78)-IMshareM!AE$31),0))</f>
        <v>1.3190060222591891E-4</v>
      </c>
      <c r="AF34" s="8">
        <f>IF($A34=AF$1,0,IF(SUM(IMshareM!AF$2:AF$78)-IMshareM!AF$32&gt;0,IMshareM!AF34/(SUM(IMshareM!AF$2:AF$78)-IMshareM!AF$32),0))</f>
        <v>3.1938452916543947E-4</v>
      </c>
      <c r="AG34" s="8">
        <f>IF($A34=AG$1,0,IF(SUM(IMshareM!AG$2:AG$78)-IMshareM!AG$33&gt;0,IMshareM!AG34/(SUM(IMshareM!AG$2:AG$78)-IMshareM!AG$33),0))</f>
        <v>1.9352121661981633E-2</v>
      </c>
      <c r="AH34" s="8">
        <f>IF($A34=AH$1,0,IF(SUM(IMshareM!AH$2:AH$78)-IMshareM!AH$34&gt;0,IMshareM!AH34/(SUM(IMshareM!AH$2:AH$78)-IMshareM!AH$34),0))</f>
        <v>0</v>
      </c>
      <c r="AI34" s="8">
        <f>IF($A34=AI$1,0,IF(SUM(IMshareM!AI$2:AI$78)-IMshareM!AI$35&gt;0,IMshareM!AI34/(SUM(IMshareM!AI$2:AI$78)-IMshareM!AI$35),0))</f>
        <v>3.3350479764049116E-3</v>
      </c>
      <c r="AJ34" s="8">
        <f>IF($A34=AJ$1,0,IF(SUM(IMshareM!AJ$2:AJ$78)-IMshareM!AJ$36&gt;0,IMshareM!AJ34/(SUM(IMshareM!AJ$2:AJ$78)-IMshareM!AJ$36),0))</f>
        <v>1.3849513336288901E-3</v>
      </c>
      <c r="AK34" s="8">
        <f>IF($A34=AK$1,0,IF(SUM(IMshareM!AK$2:AK$78)-IMshareM!AK$37&gt;0,IMshareM!AK34/(SUM(IMshareM!AK$2:AK$78)-IMshareM!AK$37),0))</f>
        <v>1.5011296813662162E-2</v>
      </c>
      <c r="AL34" s="8">
        <f>IF($A34=AL$1,0,IF(SUM(IMshareM!AL$2:AL$78)-IMshareM!AL$38&gt;0,IMshareM!AL34/(SUM(IMshareM!AL$2:AL$78)-IMshareM!AL$38),0))</f>
        <v>7.9916309459068299E-3</v>
      </c>
      <c r="AM34" s="8">
        <f>IF($A34=AM$1,0,IF(SUM(IMshareM!AM$2:AM$78)-IMshareM!AM$39&gt;0,IMshareM!AM34/(SUM(IMshareM!AM$2:AM$78)-IMshareM!AM$39),0))</f>
        <v>2.4786128078973221E-2</v>
      </c>
      <c r="AN34" s="8">
        <f>IF($A34=AN$1,0,IF(SUM(IMshareM!AN$2:AN$78)-IMshareM!AN$40&gt;0,IMshareM!AN34/(SUM(IMshareM!AN$2:AN$78)-IMshareM!AN$40),0))</f>
        <v>5.4370545858016183E-3</v>
      </c>
      <c r="AO34" s="8">
        <f>IF($A34=AO$1,0,IF(SUM(IMshareM!AO$2:AO$78)-IMshareM!AO$41&gt;0,IMshareM!AO34/(SUM(IMshareM!AO$2:AO$78)-IMshareM!AO$41),0))</f>
        <v>1.6291197616515045E-3</v>
      </c>
      <c r="AP34" s="8">
        <f>IF($A34=AP$1,0,IF(SUM(IMshareM!AP$2:AP$78)-IMshareM!AP$42&gt;0,IMshareM!AP34/(SUM(IMshareM!AP$2:AP$78)-IMshareM!AP$42),0))</f>
        <v>1.4989526297565487E-2</v>
      </c>
      <c r="AQ34" s="8">
        <f>IF($A34=AQ$1,0,IF(SUM(IMshareM!AQ$2:AQ$78)-IMshareM!AQ$43&gt;0,IMshareM!AQ34/(SUM(IMshareM!AQ$2:AQ$78)-IMshareM!AQ$43),0))</f>
        <v>1.925316814474432E-3</v>
      </c>
      <c r="AR34" s="8">
        <f>IF($A34=AR$1,0,IF(SUM(IMshareM!AR$2:AR$78)-IMshareM!AR$44&gt;0,IMshareM!AR34/(SUM(IMshareM!AR$2:AR$78)-IMshareM!AR$44),0))</f>
        <v>9.3851942322656666E-5</v>
      </c>
      <c r="AS34" s="8">
        <f>IF($A34=AS$1,0,IF(SUM(IMshareM!AS$2:AS$78)-IMshareM!AS$45&gt;0,IMshareM!AS34/(SUM(IMshareM!AS$2:AS$78)-IMshareM!AS$45),0))</f>
        <v>9.0374243719995757E-3</v>
      </c>
      <c r="AT34" s="8">
        <f>IF($A34=AT$1,0,IF(SUM(IMshareM!AT$2:AT$78)-IMshareM!AT$46&gt;0,IMshareM!AT34/(SUM(IMshareM!AT$2:AT$78)-IMshareM!AT$46),0))</f>
        <v>1.7123705719314001E-4</v>
      </c>
      <c r="AU34" s="8">
        <f>IF($A34=AU$1,0,IF(SUM(IMshareM!AU$2:AU$78)-IMshareM!AU$47&gt;0,IMshareM!AU34/(SUM(IMshareM!AU$2:AU$78)-IMshareM!AU$47),0))</f>
        <v>1.199877958528615E-3</v>
      </c>
      <c r="AV34" s="8">
        <f>IF($A34=AV$1,0,IF(SUM(IMshareM!AV$2:AV$78)-IMshareM!AV$48&gt;0,IMshareM!AV34/(SUM(IMshareM!AV$2:AV$78)-IMshareM!AV$48),0))</f>
        <v>1.4852892100824532E-2</v>
      </c>
      <c r="AW34" s="8">
        <f>IF($A34=AW$1,0,IF(SUM(IMshareM!AW$2:AW$78)-IMshareM!AW$49&gt;0,IMshareM!AW34/(SUM(IMshareM!AW$2:AW$78)-IMshareM!AW$49),0))</f>
        <v>1.7442761459086086E-2</v>
      </c>
      <c r="AX34" s="8">
        <f>IF($A34=AX$1,0,IF(SUM(IMshareM!AX$2:AX$78)-IMshareM!AX$50&gt;0,IMshareM!AX34/(SUM(IMshareM!AX$2:AX$78)-IMshareM!AX$50),0))</f>
        <v>1.0746252621068697E-4</v>
      </c>
      <c r="AY34" s="8">
        <f>IF($A34=AY$1,0,IF(SUM(IMshareM!AY$2:AY$78)-IMshareM!AY$51&gt;0,IMshareM!AY34/(SUM(IMshareM!AY$2:AY$78)-IMshareM!AY$51),0))</f>
        <v>2.0337563663830719E-2</v>
      </c>
      <c r="AZ34" s="8">
        <f>IF($A34=AZ$1,0,IF(SUM(IMshareM!AZ$2:AZ$78)-IMshareM!AZ$52&gt;0,IMshareM!AZ34/(SUM(IMshareM!AZ$2:AZ$78)-IMshareM!AZ$52),0))</f>
        <v>2.592854977718322E-3</v>
      </c>
      <c r="BA34" s="8">
        <f>IF($A34=BA$1,0,IF(SUM(IMshareM!BA$2:BA$78)-IMshareM!BA$53&gt;0,IMshareM!BA34/(SUM(IMshareM!BA$2:BA$78)-IMshareM!BA$53),0))</f>
        <v>5.2946541360797059E-2</v>
      </c>
      <c r="BB34" s="8">
        <f>IF($A34=BB$1,0,IF(SUM(IMshareM!BB$2:BB$78)-IMshareM!BB$54&gt;0,IMshareM!BB34/(SUM(IMshareM!BB$2:BB$78)-IMshareM!BB$54),0))</f>
        <v>2.0172411200118671E-3</v>
      </c>
      <c r="BC34" s="8">
        <f>IF($A34=BC$1,0,IF(SUM(IMshareM!BC$2:BC$78)-IMshareM!BC$55&gt;0,IMshareM!BC34/(SUM(IMshareM!BC$2:BC$78)-IMshareM!BC$55),0))</f>
        <v>1.55349059902195E-2</v>
      </c>
      <c r="BD34" s="8">
        <f>IF($A34=BD$1,0,IF(SUM(IMshareM!BD$2:BD$78)-IMshareM!BD$56&gt;0,IMshareM!BD34/(SUM(IMshareM!BD$2:BD$78)-IMshareM!BD$56),0))</f>
        <v>7.721090906080314E-3</v>
      </c>
      <c r="BE34" s="8">
        <f>IF($A34=BE$1,0,IF(SUM(IMshareM!BE$2:BE$78)-IMshareM!BE$57&gt;0,IMshareM!BE34/(SUM(IMshareM!BE$2:BE$78)-IMshareM!BE$57),0))</f>
        <v>0</v>
      </c>
      <c r="BF34" s="8">
        <f>IF($A34=BF$1,0,IF(SUM(IMshareM!BF$2:BF$78)-IMshareM!BF$58&gt;0,IMshareM!BF34/(SUM(IMshareM!BF$2:BF$78)-IMshareM!BF$58),0))</f>
        <v>4.8799096736591979E-3</v>
      </c>
      <c r="BG34" s="8">
        <f>IF($A34=BG$1,0,IF(SUM(IMshareM!BG$2:BG$78)-IMshareM!BG$59&gt;0,IMshareM!BG34/(SUM(IMshareM!BG$2:BG$78)-IMshareM!BG$59),0))</f>
        <v>4.4035628810523836E-3</v>
      </c>
      <c r="BH34" s="8">
        <f>IF($A34=BH$1,0,IF(SUM(IMshareM!BH$2:BH$78)-IMshareM!BH$60&gt;0,IMshareM!BH34/(SUM(IMshareM!BH$2:BH$78)-IMshareM!BH$60),0))</f>
        <v>8.7253269016294554E-3</v>
      </c>
      <c r="BI34" s="8">
        <f>IF($A34=BI$1,0,IF(SUM(IMshareM!BI$2:BI$78)-IMshareM!BI$61&gt;0,IMshareM!BI34/(SUM(IMshareM!BI$2:BI$78)-IMshareM!BI$61),0))</f>
        <v>1.7609051731649838E-3</v>
      </c>
      <c r="BJ34" s="8">
        <f>IF($A34=BJ$1,0,IF(SUM(IMshareM!BJ$2:BJ$78)-IMshareM!BJ$62&gt;0,IMshareM!BJ34/(SUM(IMshareM!BJ$2:BJ$78)-IMshareM!BJ$62),0))</f>
        <v>3.231500306321917E-3</v>
      </c>
      <c r="BK34" s="8">
        <f>IF($A34=BK$1,0,IF(SUM(IMshareM!BK$2:BK$78)-IMshareM!BK$63&gt;0,IMshareM!BK34/(SUM(IMshareM!BK$2:BK$78)-IMshareM!BK$63),0))</f>
        <v>5.9309296878849709E-3</v>
      </c>
      <c r="BL34" s="8">
        <f>IF($A34=BL$1,0,IF(SUM(IMshareM!BL$2:BL$78)-IMshareM!BL$64&gt;0,IMshareM!BL34/(SUM(IMshareM!BL$2:BL$78)-IMshareM!BL$64),0))</f>
        <v>8.4568637266187269E-2</v>
      </c>
      <c r="BM34" s="8">
        <f>IF($A34=BM$1,0,IF(SUM(IMshareM!BM$2:BM$78)-IMshareM!BM$65&gt;0,IMshareM!BM34/(SUM(IMshareM!BM$2:BM$78)-IMshareM!BM$65),0))</f>
        <v>2.2301572645502418E-2</v>
      </c>
      <c r="BN34" s="8">
        <f>IF($A34=BN$1,0,IF(SUM(IMshareM!BN$2:BN$78)-IMshareM!BN$66&gt;0,IMshareM!BN34/(SUM(IMshareM!BN$2:BN$78)-IMshareM!BN$66),0))</f>
        <v>1.0062587545242641E-2</v>
      </c>
      <c r="BO34" s="8">
        <f>IF($A34=BO$1,0,IF(SUM(IMshareM!BO$2:BO$78)-IMshareM!BO$67&gt;0,IMshareM!BO34/(SUM(IMshareM!BO$2:BO$78)-IMshareM!BO$67),0))</f>
        <v>3.3328393267266347E-4</v>
      </c>
      <c r="BP34" s="8">
        <f>IF($A34=BP$1,0,IF(SUM(IMshareM!BP$2:BP$78)-IMshareM!BP$68&gt;0,IMshareM!BP34/(SUM(IMshareM!BP$2:BP$78)-IMshareM!BP$68),0))</f>
        <v>2.154930759455971E-3</v>
      </c>
      <c r="BQ34" s="8">
        <f>IF($A34=BQ$1,0,IF(SUM(IMshareM!BQ$2:BQ$78)-IMshareM!BQ$69&gt;0,IMshareM!BQ34/(SUM(IMshareM!BQ$2:BQ$78)-IMshareM!BQ$69),0))</f>
        <v>2.0873947159774564E-3</v>
      </c>
      <c r="BR34" s="8">
        <f>IF($A34=BR$1,0,IF(SUM(IMshareM!BR$2:BR$78)-IMshareM!BR$70&gt;0,IMshareM!BR34/(SUM(IMshareM!BR$2:BR$78)-IMshareM!BR$70),0))</f>
        <v>4.3177495381762007E-3</v>
      </c>
      <c r="BS34" s="8">
        <f>IF($A34=BS$1,0,IF(SUM(IMshareM!BS$2:BS$78)-IMshareM!BS$71&gt;0,IMshareM!BS34/(SUM(IMshareM!BS$2:BS$78)-IMshareM!BS$71),0))</f>
        <v>5.2655690111769876E-4</v>
      </c>
      <c r="BT34" s="8">
        <f>IF($A34=BT$1,0,IF(SUM(IMshareM!BT$2:BT$78)-IMshareM!BT$72&gt;0,IMshareM!BT34/(SUM(IMshareM!BT$2:BT$78)-IMshareM!BT$72),0))</f>
        <v>1.9198192884538279E-2</v>
      </c>
      <c r="BU34" s="8">
        <f>IF($A34=BU$1,0,IF(SUM(IMshareM!BU$2:BU$78)-IMshareM!BU$73&gt;0,IMshareM!BU34/(SUM(IMshareM!BU$2:BU$78)-IMshareM!BU$73),0))</f>
        <v>2.8900379732654038E-3</v>
      </c>
      <c r="BV34" s="8">
        <f>IF($A34=BV$1,0,IF(SUM(IMshareM!BV$2:BV$78)-IMshareM!BV$74&gt;0,IMshareM!BV34/(SUM(IMshareM!BV$2:BV$78)-IMshareM!BV$74),0))</f>
        <v>1.473821424269639E-2</v>
      </c>
      <c r="BW34" s="8">
        <f>IF($A34=BW$1,0,IF(SUM(IMshareM!BW$2:BW$78)-IMshareM!BW$75&gt;0,IMshareM!BW34/(SUM(IMshareM!BW$2:BW$78)-IMshareM!BW$75),0))</f>
        <v>1.7679875074578816E-2</v>
      </c>
      <c r="BX34" s="8">
        <f>IF($A34=BX$1,0,IF(SUM(IMshareM!BX$2:BX$78)-IMshareM!BX$76&gt;0,IMshareM!BX34/(SUM(IMshareM!BX$2:BX$78)-IMshareM!BX$76),0))</f>
        <v>1.0089378362397573E-2</v>
      </c>
      <c r="BY34" s="8">
        <f>IF($A34=BY$1,0,IF(SUM(IMshareM!BY$2:BY$78)-IMshareM!BY$77&gt;0,IMshareM!BY34/(SUM(IMshareM!BY$2:BY$78)-IMshareM!BY$77),0))</f>
        <v>3.6535341665098836E-2</v>
      </c>
      <c r="BZ34" s="8">
        <f>IF($A34=BZ$1,0,IF(SUM(IMshareM!BZ$2:BZ$78)-IMshareM!BZ$78&gt;0,IMshareM!BZ34/(SUM(IMshareM!BZ$2:BZ$78)-IMshareM!BZ$78),0))</f>
        <v>5.9735298637072984E-2</v>
      </c>
    </row>
    <row r="35" spans="1:78">
      <c r="A35" s="4" t="s">
        <v>137</v>
      </c>
      <c r="B35" s="8">
        <f>IF($A35=B$1,0,IF(SUM(IMshareM!B$2:B$78)-IMshareM!B$2&gt;0,IMshareM!B35/(SUM(IMshareM!B$2:B$78)-IMshareM!B$2),0))</f>
        <v>2.788687392926077E-5</v>
      </c>
      <c r="C35" s="8">
        <f>IF($A35=C$1,0,IF(SUM(IMshareM!C$2:C$78)-IMshareM!C$3&gt;0,IMshareM!C35/(SUM(IMshareM!C$2:C$78)-IMshareM!C$3),0))</f>
        <v>3.5614538324206649E-4</v>
      </c>
      <c r="D35" s="8">
        <f>IF($A35=D$1,0,IF(SUM(IMshareM!D$2:D$78)-IMshareM!D$4&gt;0,IMshareM!D35/(SUM(IMshareM!D$2:D$78)-IMshareM!D$4),0))</f>
        <v>1.0685773588893094E-4</v>
      </c>
      <c r="E35" s="8">
        <f>IF($A35=E$1,0,IF(SUM(IMshareM!E$2:E$78)-IMshareM!E$5&gt;0,IMshareM!E35/(SUM(IMshareM!E$2:E$78)-IMshareM!E$5),0))</f>
        <v>2.0932586028927832E-4</v>
      </c>
      <c r="F35" s="8">
        <f>IF($A35=F$1,0,IF(SUM(IMshareM!F$2:F$78)-IMshareM!F$6&gt;0,IMshareM!F35/(SUM(IMshareM!F$2:F$78)-IMshareM!F$6),0))</f>
        <v>0</v>
      </c>
      <c r="G35" s="8">
        <f>IF($A35=G$1,0,IF(SUM(IMshareM!G$2:G$78)-IMshareM!G$7&gt;0,IMshareM!G35/(SUM(IMshareM!G$2:G$78)-IMshareM!G$7),0))</f>
        <v>2.7534810408597056E-6</v>
      </c>
      <c r="H35" s="8">
        <f>IF($A35=H$1,0,IF(SUM(IMshareM!H$2:H$78)-IMshareM!H$8&gt;0,IMshareM!H35/(SUM(IMshareM!H$2:H$78)-IMshareM!H$8),0))</f>
        <v>9.9773928161497179E-6</v>
      </c>
      <c r="I35" s="8">
        <f>IF($A35=I$1,0,IF(SUM(IMshareM!I$2:I$78)-IMshareM!I$9&gt;0,IMshareM!I35/(SUM(IMshareM!I$2:I$78)-IMshareM!I$9),0))</f>
        <v>1.4820115513092141E-3</v>
      </c>
      <c r="J35" s="8">
        <f>IF($A35=J$1,0,IF(SUM(IMshareM!J$2:J$78)-IMshareM!J$10&gt;0,IMshareM!J35/(SUM(IMshareM!J$2:J$78)-IMshareM!J$10),0))</f>
        <v>0</v>
      </c>
      <c r="K35" s="8">
        <f>IF($A35=K$1,0,IF(SUM(IMshareM!K$2:K$78)-IMshareM!K$11&gt;0,IMshareM!K35/(SUM(IMshareM!K$2:K$78)-IMshareM!K$11),0))</f>
        <v>5.6396942412040462E-5</v>
      </c>
      <c r="L35" s="8">
        <f>IF($A35=L$1,0,IF(SUM(IMshareM!L$2:L$78)-IMshareM!L$12&gt;0,IMshareM!L35/(SUM(IMshareM!L$2:L$78)-IMshareM!L$12),0))</f>
        <v>1.7163302108776253E-4</v>
      </c>
      <c r="M35" s="8">
        <f>IF($A35=M$1,0,IF(SUM(IMshareM!M$2:M$78)-IMshareM!M$13&gt;0,IMshareM!M35/(SUM(IMshareM!M$2:M$78)-IMshareM!M$13),0))</f>
        <v>2.8047805673936714E-6</v>
      </c>
      <c r="N35" s="8">
        <f>IF($A35=N$1,0,IF(SUM(IMshareM!N$2:N$78)-IMshareM!N$14&gt;0,IMshareM!N35/(SUM(IMshareM!N$2:N$78)-IMshareM!N$14),0))</f>
        <v>9.2033335367727043E-5</v>
      </c>
      <c r="O35" s="8">
        <f>IF($A35=O$1,0,IF(SUM(IMshareM!O$2:O$78)-IMshareM!O$15&gt;0,IMshareM!O35/(SUM(IMshareM!O$2:O$78)-IMshareM!O$15),0))</f>
        <v>8.3374345177989685E-5</v>
      </c>
      <c r="P35" s="8">
        <f>IF($A35=P$1,0,IF(SUM(IMshareM!P$2:P$78)-IMshareM!P$16&gt;0,IMshareM!P35/(SUM(IMshareM!P$2:P$78)-IMshareM!P$16),0))</f>
        <v>0</v>
      </c>
      <c r="Q35" s="8">
        <f>IF($A35=Q$1,0,IF(SUM(IMshareM!Q$2:Q$78)-IMshareM!Q$17&gt;0,IMshareM!Q35/(SUM(IMshareM!Q$2:Q$78)-IMshareM!Q$17),0))</f>
        <v>1.6017165502165201E-5</v>
      </c>
      <c r="R35" s="8">
        <f>IF($A35=R$1,0,IF(SUM(IMshareM!R$2:R$78)-IMshareM!R$18&gt;0,IMshareM!R35/(SUM(IMshareM!R$2:R$78)-IMshareM!R$18),0))</f>
        <v>2.0870207861322024E-4</v>
      </c>
      <c r="S35" s="8">
        <f>IF($A35=S$1,0,IF(SUM(IMshareM!S$2:S$78)-IMshareM!S$19&gt;0,IMshareM!S35/(SUM(IMshareM!S$2:S$78)-IMshareM!S$19),0))</f>
        <v>1.0339156957305618E-3</v>
      </c>
      <c r="T35" s="8">
        <f>IF($A35=T$1,0,IF(SUM(IMshareM!T$2:T$78)-IMshareM!T$20&gt;0,IMshareM!T35/(SUM(IMshareM!T$2:T$78)-IMshareM!T$20),0))</f>
        <v>2.8558212019565268E-5</v>
      </c>
      <c r="U35" s="8">
        <f>IF($A35=U$1,0,IF(SUM(IMshareM!U$2:U$78)-IMshareM!U$21&gt;0,IMshareM!U35/(SUM(IMshareM!U$2:U$78)-IMshareM!U$21),0))</f>
        <v>1.3338875809391483E-3</v>
      </c>
      <c r="V35" s="8">
        <f>IF($A35=V$1,0,IF(SUM(IMshareM!V$2:V$78)-IMshareM!V$22&gt;0,IMshareM!V35/(SUM(IMshareM!V$2:V$78)-IMshareM!V$22),0))</f>
        <v>8.7947251424727043E-5</v>
      </c>
      <c r="W35" s="8">
        <f>IF($A35=W$1,0,IF(SUM(IMshareM!W$2:W$78)-IMshareM!W$23&gt;0,IMshareM!W35/(SUM(IMshareM!W$2:W$78)-IMshareM!W$23),0))</f>
        <v>7.9459419648680429E-5</v>
      </c>
      <c r="X35" s="8">
        <f>IF($A35=X$1,0,IF(SUM(IMshareM!X$2:X$78)-IMshareM!X$24&gt;0,IMshareM!X35/(SUM(IMshareM!X$2:X$78)-IMshareM!X$24),0))</f>
        <v>3.9375661364400116E-4</v>
      </c>
      <c r="Y35" s="8">
        <f>IF($A35=Y$1,0,IF(SUM(IMshareM!Y$2:Y$78)-IMshareM!Y$25&gt;0,IMshareM!Y35/(SUM(IMshareM!Y$2:Y$78)-IMshareM!Y$25),0))</f>
        <v>3.6431256453738844E-5</v>
      </c>
      <c r="Z35" s="8">
        <f>IF($A35=Z$1,0,IF(SUM(IMshareM!Z$2:Z$78)-IMshareM!Z$26&gt;0,IMshareM!Z35/(SUM(IMshareM!Z$2:Z$78)-IMshareM!Z$26),0))</f>
        <v>1.9536123987015644E-4</v>
      </c>
      <c r="AA35" s="8">
        <f>IF($A35=AA$1,0,IF(SUM(IMshareM!AA$2:AA$78)-IMshareM!AA$27&gt;0,IMshareM!AA35/(SUM(IMshareM!AA$2:AA$78)-IMshareM!AA$27),0))</f>
        <v>1.5774178969896254E-3</v>
      </c>
      <c r="AB35" s="8">
        <f>IF($A35=AB$1,0,IF(SUM(IMshareM!AB$2:AB$78)-IMshareM!AB$28&gt;0,IMshareM!AB35/(SUM(IMshareM!AB$2:AB$78)-IMshareM!AB$28),0))</f>
        <v>5.4296986690078666E-3</v>
      </c>
      <c r="AC35" s="8">
        <f>IF($A35=AC$1,0,IF(SUM(IMshareM!AC$2:AC$78)-IMshareM!AC$29&gt;0,IMshareM!AC35/(SUM(IMshareM!AC$2:AC$78)-IMshareM!AC$29),0))</f>
        <v>4.4904156116297565E-6</v>
      </c>
      <c r="AD35" s="8">
        <f>IF($A35=AD$1,0,IF(SUM(IMshareM!AD$2:AD$78)-IMshareM!AD$30&gt;0,IMshareM!AD35/(SUM(IMshareM!AD$2:AD$78)-IMshareM!AD$30),0))</f>
        <v>3.3244274765044649E-7</v>
      </c>
      <c r="AE35" s="8">
        <f>IF($A35=AE$1,0,IF(SUM(IMshareM!AE$2:AE$78)-IMshareM!AE$31&gt;0,IMshareM!AE35/(SUM(IMshareM!AE$2:AE$78)-IMshareM!AE$31),0))</f>
        <v>2.7945147966892562E-4</v>
      </c>
      <c r="AF35" s="8">
        <f>IF($A35=AF$1,0,IF(SUM(IMshareM!AF$2:AF$78)-IMshareM!AF$32&gt;0,IMshareM!AF35/(SUM(IMshareM!AF$2:AF$78)-IMshareM!AF$32),0))</f>
        <v>5.7056677439829777E-2</v>
      </c>
      <c r="AG35" s="8">
        <f>IF($A35=AG$1,0,IF(SUM(IMshareM!AG$2:AG$78)-IMshareM!AG$33&gt;0,IMshareM!AG35/(SUM(IMshareM!AG$2:AG$78)-IMshareM!AG$33),0))</f>
        <v>4.3479069665188712E-7</v>
      </c>
      <c r="AH35" s="8">
        <f>IF($A35=AH$1,0,IF(SUM(IMshareM!AH$2:AH$78)-IMshareM!AH$34&gt;0,IMshareM!AH35/(SUM(IMshareM!AH$2:AH$78)-IMshareM!AH$34),0))</f>
        <v>7.426743729813672E-5</v>
      </c>
      <c r="AI35" s="8">
        <f>IF($A35=AI$1,0,IF(SUM(IMshareM!AI$2:AI$78)-IMshareM!AI$35&gt;0,IMshareM!AI35/(SUM(IMshareM!AI$2:AI$78)-IMshareM!AI$35),0))</f>
        <v>0</v>
      </c>
      <c r="AJ35" s="8">
        <f>IF($A35=AJ$1,0,IF(SUM(IMshareM!AJ$2:AJ$78)-IMshareM!AJ$36&gt;0,IMshareM!AJ35/(SUM(IMshareM!AJ$2:AJ$78)-IMshareM!AJ$36),0))</f>
        <v>1.0014617460014084E-3</v>
      </c>
      <c r="AK35" s="8">
        <f>IF($A35=AK$1,0,IF(SUM(IMshareM!AK$2:AK$78)-IMshareM!AK$37&gt;0,IMshareM!AK35/(SUM(IMshareM!AK$2:AK$78)-IMshareM!AK$37),0))</f>
        <v>2.3895017668013612E-3</v>
      </c>
      <c r="AL35" s="8">
        <f>IF($A35=AL$1,0,IF(SUM(IMshareM!AL$2:AL$78)-IMshareM!AL$38&gt;0,IMshareM!AL35/(SUM(IMshareM!AL$2:AL$78)-IMshareM!AL$38),0))</f>
        <v>2.0409440686161564E-3</v>
      </c>
      <c r="AM35" s="8">
        <f>IF($A35=AM$1,0,IF(SUM(IMshareM!AM$2:AM$78)-IMshareM!AM$39&gt;0,IMshareM!AM35/(SUM(IMshareM!AM$2:AM$78)-IMshareM!AM$39),0))</f>
        <v>2.0700364058702788E-6</v>
      </c>
      <c r="AN35" s="8">
        <f>IF($A35=AN$1,0,IF(SUM(IMshareM!AN$2:AN$78)-IMshareM!AN$40&gt;0,IMshareM!AN35/(SUM(IMshareM!AN$2:AN$78)-IMshareM!AN$40),0))</f>
        <v>1.9073086136657324E-4</v>
      </c>
      <c r="AO35" s="8">
        <f>IF($A35=AO$1,0,IF(SUM(IMshareM!AO$2:AO$78)-IMshareM!AO$41&gt;0,IMshareM!AO35/(SUM(IMshareM!AO$2:AO$78)-IMshareM!AO$41),0))</f>
        <v>5.9071712533084087E-6</v>
      </c>
      <c r="AP35" s="8">
        <f>IF($A35=AP$1,0,IF(SUM(IMshareM!AP$2:AP$78)-IMshareM!AP$42&gt;0,IMshareM!AP35/(SUM(IMshareM!AP$2:AP$78)-IMshareM!AP$42),0))</f>
        <v>0</v>
      </c>
      <c r="AQ35" s="8">
        <f>IF($A35=AQ$1,0,IF(SUM(IMshareM!AQ$2:AQ$78)-IMshareM!AQ$43&gt;0,IMshareM!AQ35/(SUM(IMshareM!AQ$2:AQ$78)-IMshareM!AQ$43),0))</f>
        <v>2.6104865960162181E-3</v>
      </c>
      <c r="AR35" s="8">
        <f>IF($A35=AR$1,0,IF(SUM(IMshareM!AR$2:AR$78)-IMshareM!AR$44&gt;0,IMshareM!AR35/(SUM(IMshareM!AR$2:AR$78)-IMshareM!AR$44),0))</f>
        <v>0</v>
      </c>
      <c r="AS35" s="8">
        <f>IF($A35=AS$1,0,IF(SUM(IMshareM!AS$2:AS$78)-IMshareM!AS$45&gt;0,IMshareM!AS35/(SUM(IMshareM!AS$2:AS$78)-IMshareM!AS$45),0))</f>
        <v>4.300821152055758E-4</v>
      </c>
      <c r="AT35" s="8">
        <f>IF($A35=AT$1,0,IF(SUM(IMshareM!AT$2:AT$78)-IMshareM!AT$46&gt;0,IMshareM!AT35/(SUM(IMshareM!AT$2:AT$78)-IMshareM!AT$46),0))</f>
        <v>8.2542661489024395E-4</v>
      </c>
      <c r="AU35" s="8">
        <f>IF($A35=AU$1,0,IF(SUM(IMshareM!AU$2:AU$78)-IMshareM!AU$47&gt;0,IMshareM!AU35/(SUM(IMshareM!AU$2:AU$78)-IMshareM!AU$47),0))</f>
        <v>4.2961569701278632E-3</v>
      </c>
      <c r="AV35" s="8">
        <f>IF($A35=AV$1,0,IF(SUM(IMshareM!AV$2:AV$78)-IMshareM!AV$48&gt;0,IMshareM!AV35/(SUM(IMshareM!AV$2:AV$78)-IMshareM!AV$48),0))</f>
        <v>1.3381235631485433E-5</v>
      </c>
      <c r="AW35" s="8">
        <f>IF($A35=AW$1,0,IF(SUM(IMshareM!AW$2:AW$78)-IMshareM!AW$49&gt;0,IMshareM!AW35/(SUM(IMshareM!AW$2:AW$78)-IMshareM!AW$49),0))</f>
        <v>5.4277236965593267E-4</v>
      </c>
      <c r="AX35" s="8">
        <f>IF($A35=AX$1,0,IF(SUM(IMshareM!AX$2:AX$78)-IMshareM!AX$50&gt;0,IMshareM!AX35/(SUM(IMshareM!AX$2:AX$78)-IMshareM!AX$50),0))</f>
        <v>3.1160473752820473E-4</v>
      </c>
      <c r="AY35" s="8">
        <f>IF($A35=AY$1,0,IF(SUM(IMshareM!AY$2:AY$78)-IMshareM!AY$51&gt;0,IMshareM!AY35/(SUM(IMshareM!AY$2:AY$78)-IMshareM!AY$51),0))</f>
        <v>0</v>
      </c>
      <c r="AZ35" s="8">
        <f>IF($A35=AZ$1,0,IF(SUM(IMshareM!AZ$2:AZ$78)-IMshareM!AZ$52&gt;0,IMshareM!AZ35/(SUM(IMshareM!AZ$2:AZ$78)-IMshareM!AZ$52),0))</f>
        <v>5.1170165994121731E-6</v>
      </c>
      <c r="BA35" s="8">
        <f>IF($A35=BA$1,0,IF(SUM(IMshareM!BA$2:BA$78)-IMshareM!BA$53&gt;0,IMshareM!BA35/(SUM(IMshareM!BA$2:BA$78)-IMshareM!BA$53),0))</f>
        <v>1.979701201052372E-5</v>
      </c>
      <c r="BB35" s="8">
        <f>IF($A35=BB$1,0,IF(SUM(IMshareM!BB$2:BB$78)-IMshareM!BB$54&gt;0,IMshareM!BB35/(SUM(IMshareM!BB$2:BB$78)-IMshareM!BB$54),0))</f>
        <v>2.1350313025157211E-3</v>
      </c>
      <c r="BC35" s="8">
        <f>IF($A35=BC$1,0,IF(SUM(IMshareM!BC$2:BC$78)-IMshareM!BC$55&gt;0,IMshareM!BC35/(SUM(IMshareM!BC$2:BC$78)-IMshareM!BC$55),0))</f>
        <v>5.7468247748236785E-4</v>
      </c>
      <c r="BD35" s="8">
        <f>IF($A35=BD$1,0,IF(SUM(IMshareM!BD$2:BD$78)-IMshareM!BD$56&gt;0,IMshareM!BD35/(SUM(IMshareM!BD$2:BD$78)-IMshareM!BD$56),0))</f>
        <v>8.9528718948018443E-5</v>
      </c>
      <c r="BE35" s="8">
        <f>IF($A35=BE$1,0,IF(SUM(IMshareM!BE$2:BE$78)-IMshareM!BE$57&gt;0,IMshareM!BE35/(SUM(IMshareM!BE$2:BE$78)-IMshareM!BE$57),0))</f>
        <v>1.110041671893407E-4</v>
      </c>
      <c r="BF35" s="8">
        <f>IF($A35=BF$1,0,IF(SUM(IMshareM!BF$2:BF$78)-IMshareM!BF$58&gt;0,IMshareM!BF35/(SUM(IMshareM!BF$2:BF$78)-IMshareM!BF$58),0))</f>
        <v>2.4250352963303069E-5</v>
      </c>
      <c r="BG35" s="8">
        <f>IF($A35=BG$1,0,IF(SUM(IMshareM!BG$2:BG$78)-IMshareM!BG$59&gt;0,IMshareM!BG35/(SUM(IMshareM!BG$2:BG$78)-IMshareM!BG$59),0))</f>
        <v>6.6745754053357089E-6</v>
      </c>
      <c r="BH35" s="8">
        <f>IF($A35=BH$1,0,IF(SUM(IMshareM!BH$2:BH$78)-IMshareM!BH$60&gt;0,IMshareM!BH35/(SUM(IMshareM!BH$2:BH$78)-IMshareM!BH$60),0))</f>
        <v>1.1426494729706331E-3</v>
      </c>
      <c r="BI35" s="8">
        <f>IF($A35=BI$1,0,IF(SUM(IMshareM!BI$2:BI$78)-IMshareM!BI$61&gt;0,IMshareM!BI35/(SUM(IMshareM!BI$2:BI$78)-IMshareM!BI$61),0))</f>
        <v>3.2919898791475932E-6</v>
      </c>
      <c r="BJ35" s="8">
        <f>IF($A35=BJ$1,0,IF(SUM(IMshareM!BJ$2:BJ$78)-IMshareM!BJ$62&gt;0,IMshareM!BJ35/(SUM(IMshareM!BJ$2:BJ$78)-IMshareM!BJ$62),0))</f>
        <v>1.6633673229551724E-3</v>
      </c>
      <c r="BK35" s="8">
        <f>IF($A35=BK$1,0,IF(SUM(IMshareM!BK$2:BK$78)-IMshareM!BK$63&gt;0,IMshareM!BK35/(SUM(IMshareM!BK$2:BK$78)-IMshareM!BK$63),0))</f>
        <v>2.2657928018135215E-5</v>
      </c>
      <c r="BL35" s="8">
        <f>IF($A35=BL$1,0,IF(SUM(IMshareM!BL$2:BL$78)-IMshareM!BL$64&gt;0,IMshareM!BL35/(SUM(IMshareM!BL$2:BL$78)-IMshareM!BL$64),0))</f>
        <v>6.6690128239731044E-3</v>
      </c>
      <c r="BM35" s="8">
        <f>IF($A35=BM$1,0,IF(SUM(IMshareM!BM$2:BM$78)-IMshareM!BM$65&gt;0,IMshareM!BM35/(SUM(IMshareM!BM$2:BM$78)-IMshareM!BM$65),0))</f>
        <v>0</v>
      </c>
      <c r="BN35" s="8">
        <f>IF($A35=BN$1,0,IF(SUM(IMshareM!BN$2:BN$78)-IMshareM!BN$66&gt;0,IMshareM!BN35/(SUM(IMshareM!BN$2:BN$78)-IMshareM!BN$66),0))</f>
        <v>8.7965279826171392E-5</v>
      </c>
      <c r="BO35" s="8">
        <f>IF($A35=BO$1,0,IF(SUM(IMshareM!BO$2:BO$78)-IMshareM!BO$67&gt;0,IMshareM!BO35/(SUM(IMshareM!BO$2:BO$78)-IMshareM!BO$67),0))</f>
        <v>2.0678023511388134E-3</v>
      </c>
      <c r="BP35" s="8">
        <f>IF($A35=BP$1,0,IF(SUM(IMshareM!BP$2:BP$78)-IMshareM!BP$68&gt;0,IMshareM!BP35/(SUM(IMshareM!BP$2:BP$78)-IMshareM!BP$68),0))</f>
        <v>4.2879650110503266E-5</v>
      </c>
      <c r="BQ35" s="8">
        <f>IF($A35=BQ$1,0,IF(SUM(IMshareM!BQ$2:BQ$78)-IMshareM!BQ$69&gt;0,IMshareM!BQ35/(SUM(IMshareM!BQ$2:BQ$78)-IMshareM!BQ$69),0))</f>
        <v>4.0584382655252966E-5</v>
      </c>
      <c r="BR35" s="8">
        <f>IF($A35=BR$1,0,IF(SUM(IMshareM!BR$2:BR$78)-IMshareM!BR$70&gt;0,IMshareM!BR35/(SUM(IMshareM!BR$2:BR$78)-IMshareM!BR$70),0))</f>
        <v>3.7755435939865654E-5</v>
      </c>
      <c r="BS35" s="8">
        <f>IF($A35=BS$1,0,IF(SUM(IMshareM!BS$2:BS$78)-IMshareM!BS$71&gt;0,IMshareM!BS35/(SUM(IMshareM!BS$2:BS$78)-IMshareM!BS$71),0))</f>
        <v>2.9429853004825925E-5</v>
      </c>
      <c r="BT35" s="8">
        <f>IF($A35=BT$1,0,IF(SUM(IMshareM!BT$2:BT$78)-IMshareM!BT$72&gt;0,IMshareM!BT35/(SUM(IMshareM!BT$2:BT$78)-IMshareM!BT$72),0))</f>
        <v>1.3394118345730461E-3</v>
      </c>
      <c r="BU35" s="8">
        <f>IF($A35=BU$1,0,IF(SUM(IMshareM!BU$2:BU$78)-IMshareM!BU$73&gt;0,IMshareM!BU35/(SUM(IMshareM!BU$2:BU$78)-IMshareM!BU$73),0))</f>
        <v>9.8769803461815701E-6</v>
      </c>
      <c r="BV35" s="8">
        <f>IF($A35=BV$1,0,IF(SUM(IMshareM!BV$2:BV$78)-IMshareM!BV$74&gt;0,IMshareM!BV35/(SUM(IMshareM!BV$2:BV$78)-IMshareM!BV$74),0))</f>
        <v>1.356285767256718E-2</v>
      </c>
      <c r="BW35" s="8">
        <f>IF($A35=BW$1,0,IF(SUM(IMshareM!BW$2:BW$78)-IMshareM!BW$75&gt;0,IMshareM!BW35/(SUM(IMshareM!BW$2:BW$78)-IMshareM!BW$75),0))</f>
        <v>2.9396618619273039E-3</v>
      </c>
      <c r="BX35" s="8">
        <f>IF($A35=BX$1,0,IF(SUM(IMshareM!BX$2:BX$78)-IMshareM!BX$76&gt;0,IMshareM!BX35/(SUM(IMshareM!BX$2:BX$78)-IMshareM!BX$76),0))</f>
        <v>5.6955953087192865E-6</v>
      </c>
      <c r="BY35" s="8">
        <f>IF($A35=BY$1,0,IF(SUM(IMshareM!BY$2:BY$78)-IMshareM!BY$77&gt;0,IMshareM!BY35/(SUM(IMshareM!BY$2:BY$78)-IMshareM!BY$77),0))</f>
        <v>4.8063855072590382E-4</v>
      </c>
      <c r="BZ35" s="8">
        <f>IF($A35=BZ$1,0,IF(SUM(IMshareM!BZ$2:BZ$78)-IMshareM!BZ$78&gt;0,IMshareM!BZ35/(SUM(IMshareM!BZ$2:BZ$78)-IMshareM!BZ$78),0))</f>
        <v>1.5832764946150038E-4</v>
      </c>
    </row>
    <row r="36" spans="1:78">
      <c r="A36" s="4" t="s">
        <v>139</v>
      </c>
      <c r="B36" s="8">
        <f>IF($A36=B$1,0,IF(SUM(IMshareM!B$2:B$78)-IMshareM!B$2&gt;0,IMshareM!B36/(SUM(IMshareM!B$2:B$78)-IMshareM!B$2),0))</f>
        <v>0</v>
      </c>
      <c r="C36" s="8">
        <f>IF($A36=C$1,0,IF(SUM(IMshareM!C$2:C$78)-IMshareM!C$3&gt;0,IMshareM!C36/(SUM(IMshareM!C$2:C$78)-IMshareM!C$3),0))</f>
        <v>1.5640870858481891E-4</v>
      </c>
      <c r="D36" s="8">
        <f>IF($A36=D$1,0,IF(SUM(IMshareM!D$2:D$78)-IMshareM!D$4&gt;0,IMshareM!D36/(SUM(IMshareM!D$2:D$78)-IMshareM!D$4),0))</f>
        <v>8.7728978369651177E-8</v>
      </c>
      <c r="E36" s="8">
        <f>IF($A36=E$1,0,IF(SUM(IMshareM!E$2:E$78)-IMshareM!E$5&gt;0,IMshareM!E36/(SUM(IMshareM!E$2:E$78)-IMshareM!E$5),0))</f>
        <v>9.9127438148636325E-5</v>
      </c>
      <c r="F36" s="8">
        <f>IF($A36=F$1,0,IF(SUM(IMshareM!F$2:F$78)-IMshareM!F$6&gt;0,IMshareM!F36/(SUM(IMshareM!F$2:F$78)-IMshareM!F$6),0))</f>
        <v>0</v>
      </c>
      <c r="G36" s="8">
        <f>IF($A36=G$1,0,IF(SUM(IMshareM!G$2:G$78)-IMshareM!G$7&gt;0,IMshareM!G36/(SUM(IMshareM!G$2:G$78)-IMshareM!G$7),0))</f>
        <v>0</v>
      </c>
      <c r="H36" s="8">
        <f>IF($A36=H$1,0,IF(SUM(IMshareM!H$2:H$78)-IMshareM!H$8&gt;0,IMshareM!H36/(SUM(IMshareM!H$2:H$78)-IMshareM!H$8),0))</f>
        <v>0</v>
      </c>
      <c r="I36" s="8">
        <f>IF($A36=I$1,0,IF(SUM(IMshareM!I$2:I$78)-IMshareM!I$9&gt;0,IMshareM!I36/(SUM(IMshareM!I$2:I$78)-IMshareM!I$9),0))</f>
        <v>7.0670518055700659E-6</v>
      </c>
      <c r="J36" s="8">
        <f>IF($A36=J$1,0,IF(SUM(IMshareM!J$2:J$78)-IMshareM!J$10&gt;0,IMshareM!J36/(SUM(IMshareM!J$2:J$78)-IMshareM!J$10),0))</f>
        <v>0</v>
      </c>
      <c r="K36" s="8">
        <f>IF($A36=K$1,0,IF(SUM(IMshareM!K$2:K$78)-IMshareM!K$11&gt;0,IMshareM!K36/(SUM(IMshareM!K$2:K$78)-IMshareM!K$11),0))</f>
        <v>4.0989080991442536E-6</v>
      </c>
      <c r="L36" s="8">
        <f>IF($A36=L$1,0,IF(SUM(IMshareM!L$2:L$78)-IMshareM!L$12&gt;0,IMshareM!L36/(SUM(IMshareM!L$2:L$78)-IMshareM!L$12),0))</f>
        <v>2.6245135194794785E-5</v>
      </c>
      <c r="M36" s="8">
        <f>IF($A36=M$1,0,IF(SUM(IMshareM!M$2:M$78)-IMshareM!M$13&gt;0,IMshareM!M36/(SUM(IMshareM!M$2:M$78)-IMshareM!M$13),0))</f>
        <v>2.5425041307540115E-6</v>
      </c>
      <c r="N36" s="8">
        <f>IF($A36=N$1,0,IF(SUM(IMshareM!N$2:N$78)-IMshareM!N$14&gt;0,IMshareM!N36/(SUM(IMshareM!N$2:N$78)-IMshareM!N$14),0))</f>
        <v>0</v>
      </c>
      <c r="O36" s="8">
        <f>IF($A36=O$1,0,IF(SUM(IMshareM!O$2:O$78)-IMshareM!O$15&gt;0,IMshareM!O36/(SUM(IMshareM!O$2:O$78)-IMshareM!O$15),0))</f>
        <v>0</v>
      </c>
      <c r="P36" s="8">
        <f>IF($A36=P$1,0,IF(SUM(IMshareM!P$2:P$78)-IMshareM!P$16&gt;0,IMshareM!P36/(SUM(IMshareM!P$2:P$78)-IMshareM!P$16),0))</f>
        <v>0</v>
      </c>
      <c r="Q36" s="8">
        <f>IF($A36=Q$1,0,IF(SUM(IMshareM!Q$2:Q$78)-IMshareM!Q$17&gt;0,IMshareM!Q36/(SUM(IMshareM!Q$2:Q$78)-IMshareM!Q$17),0))</f>
        <v>0</v>
      </c>
      <c r="R36" s="8">
        <f>IF($A36=R$1,0,IF(SUM(IMshareM!R$2:R$78)-IMshareM!R$18&gt;0,IMshareM!R36/(SUM(IMshareM!R$2:R$78)-IMshareM!R$18),0))</f>
        <v>0</v>
      </c>
      <c r="S36" s="8">
        <f>IF($A36=S$1,0,IF(SUM(IMshareM!S$2:S$78)-IMshareM!S$19&gt;0,IMshareM!S36/(SUM(IMshareM!S$2:S$78)-IMshareM!S$19),0))</f>
        <v>0</v>
      </c>
      <c r="T36" s="8">
        <f>IF($A36=T$1,0,IF(SUM(IMshareM!T$2:T$78)-IMshareM!T$20&gt;0,IMshareM!T36/(SUM(IMshareM!T$2:T$78)-IMshareM!T$20),0))</f>
        <v>5.8100947791822736E-8</v>
      </c>
      <c r="U36" s="8">
        <f>IF($A36=U$1,0,IF(SUM(IMshareM!U$2:U$78)-IMshareM!U$21&gt;0,IMshareM!U36/(SUM(IMshareM!U$2:U$78)-IMshareM!U$21),0))</f>
        <v>2.4841041847508803E-6</v>
      </c>
      <c r="V36" s="8">
        <f>IF($A36=V$1,0,IF(SUM(IMshareM!V$2:V$78)-IMshareM!V$22&gt;0,IMshareM!V36/(SUM(IMshareM!V$2:V$78)-IMshareM!V$22),0))</f>
        <v>4.5608130115344457E-4</v>
      </c>
      <c r="W36" s="8">
        <f>IF($A36=W$1,0,IF(SUM(IMshareM!W$2:W$78)-IMshareM!W$23&gt;0,IMshareM!W36/(SUM(IMshareM!W$2:W$78)-IMshareM!W$23),0))</f>
        <v>2.3988667704067579E-6</v>
      </c>
      <c r="X36" s="8">
        <f>IF($A36=X$1,0,IF(SUM(IMshareM!X$2:X$78)-IMshareM!X$24&gt;0,IMshareM!X36/(SUM(IMshareM!X$2:X$78)-IMshareM!X$24),0))</f>
        <v>2.7358515501863648E-6</v>
      </c>
      <c r="Y36" s="8">
        <f>IF($A36=Y$1,0,IF(SUM(IMshareM!Y$2:Y$78)-IMshareM!Y$25&gt;0,IMshareM!Y36/(SUM(IMshareM!Y$2:Y$78)-IMshareM!Y$25),0))</f>
        <v>0</v>
      </c>
      <c r="Z36" s="8">
        <f>IF($A36=Z$1,0,IF(SUM(IMshareM!Z$2:Z$78)-IMshareM!Z$26&gt;0,IMshareM!Z36/(SUM(IMshareM!Z$2:Z$78)-IMshareM!Z$26),0))</f>
        <v>0</v>
      </c>
      <c r="AA36" s="8">
        <f>IF($A36=AA$1,0,IF(SUM(IMshareM!AA$2:AA$78)-IMshareM!AA$27&gt;0,IMshareM!AA36/(SUM(IMshareM!AA$2:AA$78)-IMshareM!AA$27),0))</f>
        <v>4.3168194967594428E-5</v>
      </c>
      <c r="AB36" s="8">
        <f>IF($A36=AB$1,0,IF(SUM(IMshareM!AB$2:AB$78)-IMshareM!AB$28&gt;0,IMshareM!AB36/(SUM(IMshareM!AB$2:AB$78)-IMshareM!AB$28),0))</f>
        <v>3.4116310499899294E-5</v>
      </c>
      <c r="AC36" s="8">
        <f>IF($A36=AC$1,0,IF(SUM(IMshareM!AC$2:AC$78)-IMshareM!AC$29&gt;0,IMshareM!AC36/(SUM(IMshareM!AC$2:AC$78)-IMshareM!AC$29),0))</f>
        <v>6.1822791049081842E-6</v>
      </c>
      <c r="AD36" s="8">
        <f>IF($A36=AD$1,0,IF(SUM(IMshareM!AD$2:AD$78)-IMshareM!AD$30&gt;0,IMshareM!AD36/(SUM(IMshareM!AD$2:AD$78)-IMshareM!AD$30),0))</f>
        <v>0</v>
      </c>
      <c r="AE36" s="8">
        <f>IF($A36=AE$1,0,IF(SUM(IMshareM!AE$2:AE$78)-IMshareM!AE$31&gt;0,IMshareM!AE36/(SUM(IMshareM!AE$2:AE$78)-IMshareM!AE$31),0))</f>
        <v>0</v>
      </c>
      <c r="AF36" s="8">
        <f>IF($A36=AF$1,0,IF(SUM(IMshareM!AF$2:AF$78)-IMshareM!AF$32&gt;0,IMshareM!AF36/(SUM(IMshareM!AF$2:AF$78)-IMshareM!AF$32),0))</f>
        <v>0</v>
      </c>
      <c r="AG36" s="8">
        <f>IF($A36=AG$1,0,IF(SUM(IMshareM!AG$2:AG$78)-IMshareM!AG$33&gt;0,IMshareM!AG36/(SUM(IMshareM!AG$2:AG$78)-IMshareM!AG$33),0))</f>
        <v>0</v>
      </c>
      <c r="AH36" s="8">
        <f>IF($A36=AH$1,0,IF(SUM(IMshareM!AH$2:AH$78)-IMshareM!AH$34&gt;0,IMshareM!AH36/(SUM(IMshareM!AH$2:AH$78)-IMshareM!AH$34),0))</f>
        <v>0</v>
      </c>
      <c r="AI36" s="8">
        <f>IF($A36=AI$1,0,IF(SUM(IMshareM!AI$2:AI$78)-IMshareM!AI$35&gt;0,IMshareM!AI36/(SUM(IMshareM!AI$2:AI$78)-IMshareM!AI$35),0))</f>
        <v>1.0015741792073182E-5</v>
      </c>
      <c r="AJ36" s="8">
        <f>IF($A36=AJ$1,0,IF(SUM(IMshareM!AJ$2:AJ$78)-IMshareM!AJ$36&gt;0,IMshareM!AJ36/(SUM(IMshareM!AJ$2:AJ$78)-IMshareM!AJ$36),0))</f>
        <v>0</v>
      </c>
      <c r="AK36" s="8">
        <f>IF($A36=AK$1,0,IF(SUM(IMshareM!AK$2:AK$78)-IMshareM!AK$37&gt;0,IMshareM!AK36/(SUM(IMshareM!AK$2:AK$78)-IMshareM!AK$37),0))</f>
        <v>0</v>
      </c>
      <c r="AL36" s="8">
        <f>IF($A36=AL$1,0,IF(SUM(IMshareM!AL$2:AL$78)-IMshareM!AL$38&gt;0,IMshareM!AL36/(SUM(IMshareM!AL$2:AL$78)-IMshareM!AL$38),0))</f>
        <v>0</v>
      </c>
      <c r="AM36" s="8">
        <f>IF($A36=AM$1,0,IF(SUM(IMshareM!AM$2:AM$78)-IMshareM!AM$39&gt;0,IMshareM!AM36/(SUM(IMshareM!AM$2:AM$78)-IMshareM!AM$39),0))</f>
        <v>0</v>
      </c>
      <c r="AN36" s="8">
        <f>IF($A36=AN$1,0,IF(SUM(IMshareM!AN$2:AN$78)-IMshareM!AN$40&gt;0,IMshareM!AN36/(SUM(IMshareM!AN$2:AN$78)-IMshareM!AN$40),0))</f>
        <v>7.2418464157548031E-6</v>
      </c>
      <c r="AO36" s="8">
        <f>IF($A36=AO$1,0,IF(SUM(IMshareM!AO$2:AO$78)-IMshareM!AO$41&gt;0,IMshareM!AO36/(SUM(IMshareM!AO$2:AO$78)-IMshareM!AO$41),0))</f>
        <v>0</v>
      </c>
      <c r="AP36" s="8">
        <f>IF($A36=AP$1,0,IF(SUM(IMshareM!AP$2:AP$78)-IMshareM!AP$42&gt;0,IMshareM!AP36/(SUM(IMshareM!AP$2:AP$78)-IMshareM!AP$42),0))</f>
        <v>0</v>
      </c>
      <c r="AQ36" s="8">
        <f>IF($A36=AQ$1,0,IF(SUM(IMshareM!AQ$2:AQ$78)-IMshareM!AQ$43&gt;0,IMshareM!AQ36/(SUM(IMshareM!AQ$2:AQ$78)-IMshareM!AQ$43),0))</f>
        <v>8.3656470499290273E-9</v>
      </c>
      <c r="AR36" s="8">
        <f>IF($A36=AR$1,0,IF(SUM(IMshareM!AR$2:AR$78)-IMshareM!AR$44&gt;0,IMshareM!AR36/(SUM(IMshareM!AR$2:AR$78)-IMshareM!AR$44),0))</f>
        <v>0</v>
      </c>
      <c r="AS36" s="8">
        <f>IF($A36=AS$1,0,IF(SUM(IMshareM!AS$2:AS$78)-IMshareM!AS$45&gt;0,IMshareM!AS36/(SUM(IMshareM!AS$2:AS$78)-IMshareM!AS$45),0))</f>
        <v>1.4213107817936038E-4</v>
      </c>
      <c r="AT36" s="8">
        <f>IF($A36=AT$1,0,IF(SUM(IMshareM!AT$2:AT$78)-IMshareM!AT$46&gt;0,IMshareM!AT36/(SUM(IMshareM!AT$2:AT$78)-IMshareM!AT$46),0))</f>
        <v>0</v>
      </c>
      <c r="AU36" s="8">
        <f>IF($A36=AU$1,0,IF(SUM(IMshareM!AU$2:AU$78)-IMshareM!AU$47&gt;0,IMshareM!AU36/(SUM(IMshareM!AU$2:AU$78)-IMshareM!AU$47),0))</f>
        <v>0</v>
      </c>
      <c r="AV36" s="8">
        <f>IF($A36=AV$1,0,IF(SUM(IMshareM!AV$2:AV$78)-IMshareM!AV$48&gt;0,IMshareM!AV36/(SUM(IMshareM!AV$2:AV$78)-IMshareM!AV$48),0))</f>
        <v>0</v>
      </c>
      <c r="AW36" s="8">
        <f>IF($A36=AW$1,0,IF(SUM(IMshareM!AW$2:AW$78)-IMshareM!AW$49&gt;0,IMshareM!AW36/(SUM(IMshareM!AW$2:AW$78)-IMshareM!AW$49),0))</f>
        <v>0</v>
      </c>
      <c r="AX36" s="8">
        <f>IF($A36=AX$1,0,IF(SUM(IMshareM!AX$2:AX$78)-IMshareM!AX$50&gt;0,IMshareM!AX36/(SUM(IMshareM!AX$2:AX$78)-IMshareM!AX$50),0))</f>
        <v>0</v>
      </c>
      <c r="AY36" s="8">
        <f>IF($A36=AY$1,0,IF(SUM(IMshareM!AY$2:AY$78)-IMshareM!AY$51&gt;0,IMshareM!AY36/(SUM(IMshareM!AY$2:AY$78)-IMshareM!AY$51),0))</f>
        <v>0</v>
      </c>
      <c r="AZ36" s="8">
        <f>IF($A36=AZ$1,0,IF(SUM(IMshareM!AZ$2:AZ$78)-IMshareM!AZ$52&gt;0,IMshareM!AZ36/(SUM(IMshareM!AZ$2:AZ$78)-IMshareM!AZ$52),0))</f>
        <v>0</v>
      </c>
      <c r="BA36" s="8">
        <f>IF($A36=BA$1,0,IF(SUM(IMshareM!BA$2:BA$78)-IMshareM!BA$53&gt;0,IMshareM!BA36/(SUM(IMshareM!BA$2:BA$78)-IMshareM!BA$53),0))</f>
        <v>0</v>
      </c>
      <c r="BB36" s="8">
        <f>IF($A36=BB$1,0,IF(SUM(IMshareM!BB$2:BB$78)-IMshareM!BB$54&gt;0,IMshareM!BB36/(SUM(IMshareM!BB$2:BB$78)-IMshareM!BB$54),0))</f>
        <v>2.3361109036720308E-4</v>
      </c>
      <c r="BC36" s="8">
        <f>IF($A36=BC$1,0,IF(SUM(IMshareM!BC$2:BC$78)-IMshareM!BC$55&gt;0,IMshareM!BC36/(SUM(IMshareM!BC$2:BC$78)-IMshareM!BC$55),0))</f>
        <v>2.6706655653471831E-4</v>
      </c>
      <c r="BD36" s="8">
        <f>IF($A36=BD$1,0,IF(SUM(IMshareM!BD$2:BD$78)-IMshareM!BD$56&gt;0,IMshareM!BD36/(SUM(IMshareM!BD$2:BD$78)-IMshareM!BD$56),0))</f>
        <v>4.8423438302932028E-5</v>
      </c>
      <c r="BE36" s="8">
        <f>IF($A36=BE$1,0,IF(SUM(IMshareM!BE$2:BE$78)-IMshareM!BE$57&gt;0,IMshareM!BE36/(SUM(IMshareM!BE$2:BE$78)-IMshareM!BE$57),0))</f>
        <v>0</v>
      </c>
      <c r="BF36" s="8">
        <f>IF($A36=BF$1,0,IF(SUM(IMshareM!BF$2:BF$78)-IMshareM!BF$58&gt;0,IMshareM!BF36/(SUM(IMshareM!BF$2:BF$78)-IMshareM!BF$58),0))</f>
        <v>0</v>
      </c>
      <c r="BG36" s="8">
        <f>IF($A36=BG$1,0,IF(SUM(IMshareM!BG$2:BG$78)-IMshareM!BG$59&gt;0,IMshareM!BG36/(SUM(IMshareM!BG$2:BG$78)-IMshareM!BG$59),0))</f>
        <v>0</v>
      </c>
      <c r="BH36" s="8">
        <f>IF($A36=BH$1,0,IF(SUM(IMshareM!BH$2:BH$78)-IMshareM!BH$60&gt;0,IMshareM!BH36/(SUM(IMshareM!BH$2:BH$78)-IMshareM!BH$60),0))</f>
        <v>2.067138924190359E-6</v>
      </c>
      <c r="BI36" s="8">
        <f>IF($A36=BI$1,0,IF(SUM(IMshareM!BI$2:BI$78)-IMshareM!BI$61&gt;0,IMshareM!BI36/(SUM(IMshareM!BI$2:BI$78)-IMshareM!BI$61),0))</f>
        <v>0</v>
      </c>
      <c r="BJ36" s="8">
        <f>IF($A36=BJ$1,0,IF(SUM(IMshareM!BJ$2:BJ$78)-IMshareM!BJ$62&gt;0,IMshareM!BJ36/(SUM(IMshareM!BJ$2:BJ$78)-IMshareM!BJ$62),0))</f>
        <v>0</v>
      </c>
      <c r="BK36" s="8">
        <f>IF($A36=BK$1,0,IF(SUM(IMshareM!BK$2:BK$78)-IMshareM!BK$63&gt;0,IMshareM!BK36/(SUM(IMshareM!BK$2:BK$78)-IMshareM!BK$63),0))</f>
        <v>0</v>
      </c>
      <c r="BL36" s="8">
        <f>IF($A36=BL$1,0,IF(SUM(IMshareM!BL$2:BL$78)-IMshareM!BL$64&gt;0,IMshareM!BL36/(SUM(IMshareM!BL$2:BL$78)-IMshareM!BL$64),0))</f>
        <v>1.614265596658742E-5</v>
      </c>
      <c r="BM36" s="8">
        <f>IF($A36=BM$1,0,IF(SUM(IMshareM!BM$2:BM$78)-IMshareM!BM$65&gt;0,IMshareM!BM36/(SUM(IMshareM!BM$2:BM$78)-IMshareM!BM$65),0))</f>
        <v>0</v>
      </c>
      <c r="BN36" s="8">
        <f>IF($A36=BN$1,0,IF(SUM(IMshareM!BN$2:BN$78)-IMshareM!BN$66&gt;0,IMshareM!BN36/(SUM(IMshareM!BN$2:BN$78)-IMshareM!BN$66),0))</f>
        <v>1.5534776038977051E-5</v>
      </c>
      <c r="BO36" s="8">
        <f>IF($A36=BO$1,0,IF(SUM(IMshareM!BO$2:BO$78)-IMshareM!BO$67&gt;0,IMshareM!BO36/(SUM(IMshareM!BO$2:BO$78)-IMshareM!BO$67),0))</f>
        <v>2.8862400179269749E-6</v>
      </c>
      <c r="BP36" s="8">
        <f>IF($A36=BP$1,0,IF(SUM(IMshareM!BP$2:BP$78)-IMshareM!BP$68&gt;0,IMshareM!BP36/(SUM(IMshareM!BP$2:BP$78)-IMshareM!BP$68),0))</f>
        <v>0</v>
      </c>
      <c r="BQ36" s="8">
        <f>IF($A36=BQ$1,0,IF(SUM(IMshareM!BQ$2:BQ$78)-IMshareM!BQ$69&gt;0,IMshareM!BQ36/(SUM(IMshareM!BQ$2:BQ$78)-IMshareM!BQ$69),0))</f>
        <v>9.2803877470402415E-6</v>
      </c>
      <c r="BR36" s="8">
        <f>IF($A36=BR$1,0,IF(SUM(IMshareM!BR$2:BR$78)-IMshareM!BR$70&gt;0,IMshareM!BR36/(SUM(IMshareM!BR$2:BR$78)-IMshareM!BR$70),0))</f>
        <v>0</v>
      </c>
      <c r="BS36" s="8">
        <f>IF($A36=BS$1,0,IF(SUM(IMshareM!BS$2:BS$78)-IMshareM!BS$71&gt;0,IMshareM!BS36/(SUM(IMshareM!BS$2:BS$78)-IMshareM!BS$71),0))</f>
        <v>0</v>
      </c>
      <c r="BT36" s="8">
        <f>IF($A36=BT$1,0,IF(SUM(IMshareM!BT$2:BT$78)-IMshareM!BT$72&gt;0,IMshareM!BT36/(SUM(IMshareM!BT$2:BT$78)-IMshareM!BT$72),0))</f>
        <v>0</v>
      </c>
      <c r="BU36" s="8">
        <f>IF($A36=BU$1,0,IF(SUM(IMshareM!BU$2:BU$78)-IMshareM!BU$73&gt;0,IMshareM!BU36/(SUM(IMshareM!BU$2:BU$78)-IMshareM!BU$73),0))</f>
        <v>0</v>
      </c>
      <c r="BV36" s="8">
        <f>IF($A36=BV$1,0,IF(SUM(IMshareM!BV$2:BV$78)-IMshareM!BV$74&gt;0,IMshareM!BV36/(SUM(IMshareM!BV$2:BV$78)-IMshareM!BV$74),0))</f>
        <v>0</v>
      </c>
      <c r="BW36" s="8">
        <f>IF($A36=BW$1,0,IF(SUM(IMshareM!BW$2:BW$78)-IMshareM!BW$75&gt;0,IMshareM!BW36/(SUM(IMshareM!BW$2:BW$78)-IMshareM!BW$75),0))</f>
        <v>1.1472805150812593E-5</v>
      </c>
      <c r="BX36" s="8">
        <f>IF($A36=BX$1,0,IF(SUM(IMshareM!BX$2:BX$78)-IMshareM!BX$76&gt;0,IMshareM!BX36/(SUM(IMshareM!BX$2:BX$78)-IMshareM!BX$76),0))</f>
        <v>0</v>
      </c>
      <c r="BY36" s="8">
        <f>IF($A36=BY$1,0,IF(SUM(IMshareM!BY$2:BY$78)-IMshareM!BY$77&gt;0,IMshareM!BY36/(SUM(IMshareM!BY$2:BY$78)-IMshareM!BY$77),0))</f>
        <v>0</v>
      </c>
      <c r="BZ36" s="8">
        <f>IF($A36=BZ$1,0,IF(SUM(IMshareM!BZ$2:BZ$78)-IMshareM!BZ$78&gt;0,IMshareM!BZ36/(SUM(IMshareM!BZ$2:BZ$78)-IMshareM!BZ$78),0))</f>
        <v>9.6692239005860845E-7</v>
      </c>
    </row>
    <row r="37" spans="1:78">
      <c r="A37" s="4" t="s">
        <v>141</v>
      </c>
      <c r="B37" s="8">
        <f>IF($A37=B$1,0,IF(SUM(IMshareM!B$2:B$78)-IMshareM!B$2&gt;0,IMshareM!B37/(SUM(IMshareM!B$2:B$78)-IMshareM!B$2),0))</f>
        <v>5.3693727868986039E-4</v>
      </c>
      <c r="C37" s="8">
        <f>IF($A37=C$1,0,IF(SUM(IMshareM!C$2:C$78)-IMshareM!C$3&gt;0,IMshareM!C37/(SUM(IMshareM!C$2:C$78)-IMshareM!C$3),0))</f>
        <v>2.6279004334764508E-4</v>
      </c>
      <c r="D37" s="8">
        <f>IF($A37=D$1,0,IF(SUM(IMshareM!D$2:D$78)-IMshareM!D$4&gt;0,IMshareM!D37/(SUM(IMshareM!D$2:D$78)-IMshareM!D$4),0))</f>
        <v>1.9655952664493046E-3</v>
      </c>
      <c r="E37" s="8">
        <f>IF($A37=E$1,0,IF(SUM(IMshareM!E$2:E$78)-IMshareM!E$5&gt;0,IMshareM!E37/(SUM(IMshareM!E$2:E$78)-IMshareM!E$5),0))</f>
        <v>2.1611157537100302E-4</v>
      </c>
      <c r="F37" s="8">
        <f>IF($A37=F$1,0,IF(SUM(IMshareM!F$2:F$78)-IMshareM!F$6&gt;0,IMshareM!F37/(SUM(IMshareM!F$2:F$78)-IMshareM!F$6),0))</f>
        <v>0</v>
      </c>
      <c r="G37" s="8">
        <f>IF($A37=G$1,0,IF(SUM(IMshareM!G$2:G$78)-IMshareM!G$7&gt;0,IMshareM!G37/(SUM(IMshareM!G$2:G$78)-IMshareM!G$7),0))</f>
        <v>3.8155000658141893E-5</v>
      </c>
      <c r="H37" s="8">
        <f>IF($A37=H$1,0,IF(SUM(IMshareM!H$2:H$78)-IMshareM!H$8&gt;0,IMshareM!H37/(SUM(IMshareM!H$2:H$78)-IMshareM!H$8),0))</f>
        <v>4.446494226568733E-3</v>
      </c>
      <c r="I37" s="8">
        <f>IF($A37=I$1,0,IF(SUM(IMshareM!I$2:I$78)-IMshareM!I$9&gt;0,IMshareM!I37/(SUM(IMshareM!I$2:I$78)-IMshareM!I$9),0))</f>
        <v>7.5764414418308807E-5</v>
      </c>
      <c r="J37" s="8">
        <f>IF($A37=J$1,0,IF(SUM(IMshareM!J$2:J$78)-IMshareM!J$10&gt;0,IMshareM!J37/(SUM(IMshareM!J$2:J$78)-IMshareM!J$10),0))</f>
        <v>0</v>
      </c>
      <c r="K37" s="8">
        <f>IF($A37=K$1,0,IF(SUM(IMshareM!K$2:K$78)-IMshareM!K$11&gt;0,IMshareM!K37/(SUM(IMshareM!K$2:K$78)-IMshareM!K$11),0))</f>
        <v>2.906393290465002E-4</v>
      </c>
      <c r="L37" s="8">
        <f>IF($A37=L$1,0,IF(SUM(IMshareM!L$2:L$78)-IMshareM!L$12&gt;0,IMshareM!L37/(SUM(IMshareM!L$2:L$78)-IMshareM!L$12),0))</f>
        <v>2.4448206611472566E-3</v>
      </c>
      <c r="M37" s="8">
        <f>IF($A37=M$1,0,IF(SUM(IMshareM!M$2:M$78)-IMshareM!M$13&gt;0,IMshareM!M37/(SUM(IMshareM!M$2:M$78)-IMshareM!M$13),0))</f>
        <v>1.1250908525055377E-4</v>
      </c>
      <c r="N37" s="8">
        <f>IF($A37=N$1,0,IF(SUM(IMshareM!N$2:N$78)-IMshareM!N$14&gt;0,IMshareM!N37/(SUM(IMshareM!N$2:N$78)-IMshareM!N$14),0))</f>
        <v>8.5484887078661486E-4</v>
      </c>
      <c r="O37" s="8">
        <f>IF($A37=O$1,0,IF(SUM(IMshareM!O$2:O$78)-IMshareM!O$15&gt;0,IMshareM!O37/(SUM(IMshareM!O$2:O$78)-IMshareM!O$15),0))</f>
        <v>5.2182118543676973E-5</v>
      </c>
      <c r="P37" s="8">
        <f>IF($A37=P$1,0,IF(SUM(IMshareM!P$2:P$78)-IMshareM!P$16&gt;0,IMshareM!P37/(SUM(IMshareM!P$2:P$78)-IMshareM!P$16),0))</f>
        <v>0</v>
      </c>
      <c r="Q37" s="8">
        <f>IF($A37=Q$1,0,IF(SUM(IMshareM!Q$2:Q$78)-IMshareM!Q$17&gt;0,IMshareM!Q37/(SUM(IMshareM!Q$2:Q$78)-IMshareM!Q$17),0))</f>
        <v>1.1006153307549834E-3</v>
      </c>
      <c r="R37" s="8">
        <f>IF($A37=R$1,0,IF(SUM(IMshareM!R$2:R$78)-IMshareM!R$18&gt;0,IMshareM!R37/(SUM(IMshareM!R$2:R$78)-IMshareM!R$18),0))</f>
        <v>1.8409612476685236E-4</v>
      </c>
      <c r="S37" s="8">
        <f>IF($A37=S$1,0,IF(SUM(IMshareM!S$2:S$78)-IMshareM!S$19&gt;0,IMshareM!S37/(SUM(IMshareM!S$2:S$78)-IMshareM!S$19),0))</f>
        <v>8.9243926280847385E-4</v>
      </c>
      <c r="T37" s="8">
        <f>IF($A37=T$1,0,IF(SUM(IMshareM!T$2:T$78)-IMshareM!T$20&gt;0,IMshareM!T37/(SUM(IMshareM!T$2:T$78)-IMshareM!T$20),0))</f>
        <v>1.0212754752943253E-3</v>
      </c>
      <c r="U37" s="8">
        <f>IF($A37=U$1,0,IF(SUM(IMshareM!U$2:U$78)-IMshareM!U$21&gt;0,IMshareM!U37/(SUM(IMshareM!U$2:U$78)-IMshareM!U$21),0))</f>
        <v>6.27845775495786E-4</v>
      </c>
      <c r="V37" s="8">
        <f>IF($A37=V$1,0,IF(SUM(IMshareM!V$2:V$78)-IMshareM!V$22&gt;0,IMshareM!V37/(SUM(IMshareM!V$2:V$78)-IMshareM!V$22),0))</f>
        <v>8.2382855981021495E-5</v>
      </c>
      <c r="W37" s="8">
        <f>IF($A37=W$1,0,IF(SUM(IMshareM!W$2:W$78)-IMshareM!W$23&gt;0,IMshareM!W37/(SUM(IMshareM!W$2:W$78)-IMshareM!W$23),0))</f>
        <v>1.0193943228665929E-6</v>
      </c>
      <c r="X37" s="8">
        <f>IF($A37=X$1,0,IF(SUM(IMshareM!X$2:X$78)-IMshareM!X$24&gt;0,IMshareM!X37/(SUM(IMshareM!X$2:X$78)-IMshareM!X$24),0))</f>
        <v>1.2727338246187254E-4</v>
      </c>
      <c r="Y37" s="8">
        <f>IF($A37=Y$1,0,IF(SUM(IMshareM!Y$2:Y$78)-IMshareM!Y$25&gt;0,IMshareM!Y37/(SUM(IMshareM!Y$2:Y$78)-IMshareM!Y$25),0))</f>
        <v>1.1904815565586223E-3</v>
      </c>
      <c r="Z37" s="8">
        <f>IF($A37=Z$1,0,IF(SUM(IMshareM!Z$2:Z$78)-IMshareM!Z$26&gt;0,IMshareM!Z37/(SUM(IMshareM!Z$2:Z$78)-IMshareM!Z$26),0))</f>
        <v>1.3605566052721338E-4</v>
      </c>
      <c r="AA37" s="8">
        <f>IF($A37=AA$1,0,IF(SUM(IMshareM!AA$2:AA$78)-IMshareM!AA$27&gt;0,IMshareM!AA37/(SUM(IMshareM!AA$2:AA$78)-IMshareM!AA$27),0))</f>
        <v>3.5667483938823244E-4</v>
      </c>
      <c r="AB37" s="8">
        <f>IF($A37=AB$1,0,IF(SUM(IMshareM!AB$2:AB$78)-IMshareM!AB$28&gt;0,IMshareM!AB37/(SUM(IMshareM!AB$2:AB$78)-IMshareM!AB$28),0))</f>
        <v>2.9508408045445097E-4</v>
      </c>
      <c r="AC37" s="8">
        <f>IF($A37=AC$1,0,IF(SUM(IMshareM!AC$2:AC$78)-IMshareM!AC$29&gt;0,IMshareM!AC37/(SUM(IMshareM!AC$2:AC$78)-IMshareM!AC$29),0))</f>
        <v>5.8486480960153507E-3</v>
      </c>
      <c r="AD37" s="8">
        <f>IF($A37=AD$1,0,IF(SUM(IMshareM!AD$2:AD$78)-IMshareM!AD$30&gt;0,IMshareM!AD37/(SUM(IMshareM!AD$2:AD$78)-IMshareM!AD$30),0))</f>
        <v>1.4148480230127649E-5</v>
      </c>
      <c r="AE37" s="8">
        <f>IF($A37=AE$1,0,IF(SUM(IMshareM!AE$2:AE$78)-IMshareM!AE$31&gt;0,IMshareM!AE37/(SUM(IMshareM!AE$2:AE$78)-IMshareM!AE$31),0))</f>
        <v>0</v>
      </c>
      <c r="AF37" s="8">
        <f>IF($A37=AF$1,0,IF(SUM(IMshareM!AF$2:AF$78)-IMshareM!AF$32&gt;0,IMshareM!AF37/(SUM(IMshareM!AF$2:AF$78)-IMshareM!AF$32),0))</f>
        <v>8.0885851910785224E-5</v>
      </c>
      <c r="AG37" s="8">
        <f>IF($A37=AG$1,0,IF(SUM(IMshareM!AG$2:AG$78)-IMshareM!AG$33&gt;0,IMshareM!AG37/(SUM(IMshareM!AG$2:AG$78)-IMshareM!AG$33),0))</f>
        <v>1.9699239230157533E-5</v>
      </c>
      <c r="AH37" s="8">
        <f>IF($A37=AH$1,0,IF(SUM(IMshareM!AH$2:AH$78)-IMshareM!AH$34&gt;0,IMshareM!AH37/(SUM(IMshareM!AH$2:AH$78)-IMshareM!AH$34),0))</f>
        <v>1.8016837195843651E-3</v>
      </c>
      <c r="AI37" s="8">
        <f>IF($A37=AI$1,0,IF(SUM(IMshareM!AI$2:AI$78)-IMshareM!AI$35&gt;0,IMshareM!AI37/(SUM(IMshareM!AI$2:AI$78)-IMshareM!AI$35),0))</f>
        <v>3.0892846680598984E-4</v>
      </c>
      <c r="AJ37" s="8">
        <f>IF($A37=AJ$1,0,IF(SUM(IMshareM!AJ$2:AJ$78)-IMshareM!AJ$36&gt;0,IMshareM!AJ37/(SUM(IMshareM!AJ$2:AJ$78)-IMshareM!AJ$36),0))</f>
        <v>1.8397424274370607E-4</v>
      </c>
      <c r="AK37" s="8">
        <f>IF($A37=AK$1,0,IF(SUM(IMshareM!AK$2:AK$78)-IMshareM!AK$37&gt;0,IMshareM!AK37/(SUM(IMshareM!AK$2:AK$78)-IMshareM!AK$37),0))</f>
        <v>0</v>
      </c>
      <c r="AL37" s="8">
        <f>IF($A37=AL$1,0,IF(SUM(IMshareM!AL$2:AL$78)-IMshareM!AL$38&gt;0,IMshareM!AL37/(SUM(IMshareM!AL$2:AL$78)-IMshareM!AL$38),0))</f>
        <v>5.7423465810483958E-4</v>
      </c>
      <c r="AM37" s="8">
        <f>IF($A37=AM$1,0,IF(SUM(IMshareM!AM$2:AM$78)-IMshareM!AM$39&gt;0,IMshareM!AM37/(SUM(IMshareM!AM$2:AM$78)-IMshareM!AM$39),0))</f>
        <v>3.423116344825354E-3</v>
      </c>
      <c r="AN37" s="8">
        <f>IF($A37=AN$1,0,IF(SUM(IMshareM!AN$2:AN$78)-IMshareM!AN$40&gt;0,IMshareM!AN37/(SUM(IMshareM!AN$2:AN$78)-IMshareM!AN$40),0))</f>
        <v>3.2511336472574193E-4</v>
      </c>
      <c r="AO37" s="8">
        <f>IF($A37=AO$1,0,IF(SUM(IMshareM!AO$2:AO$78)-IMshareM!AO$41&gt;0,IMshareM!AO37/(SUM(IMshareM!AO$2:AO$78)-IMshareM!AO$41),0))</f>
        <v>0</v>
      </c>
      <c r="AP37" s="8">
        <f>IF($A37=AP$1,0,IF(SUM(IMshareM!AP$2:AP$78)-IMshareM!AP$42&gt;0,IMshareM!AP37/(SUM(IMshareM!AP$2:AP$78)-IMshareM!AP$42),0))</f>
        <v>0</v>
      </c>
      <c r="AQ37" s="8">
        <f>IF($A37=AQ$1,0,IF(SUM(IMshareM!AQ$2:AQ$78)-IMshareM!AQ$43&gt;0,IMshareM!AQ37/(SUM(IMshareM!AQ$2:AQ$78)-IMshareM!AQ$43),0))</f>
        <v>2.7258262589778472E-4</v>
      </c>
      <c r="AR37" s="8">
        <f>IF($A37=AR$1,0,IF(SUM(IMshareM!AR$2:AR$78)-IMshareM!AR$44&gt;0,IMshareM!AR37/(SUM(IMshareM!AR$2:AR$78)-IMshareM!AR$44),0))</f>
        <v>0</v>
      </c>
      <c r="AS37" s="8">
        <f>IF($A37=AS$1,0,IF(SUM(IMshareM!AS$2:AS$78)-IMshareM!AS$45&gt;0,IMshareM!AS37/(SUM(IMshareM!AS$2:AS$78)-IMshareM!AS$45),0))</f>
        <v>2.7036852169516585E-4</v>
      </c>
      <c r="AT37" s="8">
        <f>IF($A37=AT$1,0,IF(SUM(IMshareM!AT$2:AT$78)-IMshareM!AT$46&gt;0,IMshareM!AT37/(SUM(IMshareM!AT$2:AT$78)-IMshareM!AT$46),0))</f>
        <v>9.6617178908904426E-4</v>
      </c>
      <c r="AU37" s="8">
        <f>IF($A37=AU$1,0,IF(SUM(IMshareM!AU$2:AU$78)-IMshareM!AU$47&gt;0,IMshareM!AU37/(SUM(IMshareM!AU$2:AU$78)-IMshareM!AU$47),0))</f>
        <v>7.4801100204438027E-5</v>
      </c>
      <c r="AV37" s="8">
        <f>IF($A37=AV$1,0,IF(SUM(IMshareM!AV$2:AV$78)-IMshareM!AV$48&gt;0,IMshareM!AV37/(SUM(IMshareM!AV$2:AV$78)-IMshareM!AV$48),0))</f>
        <v>1.6426078137506392E-5</v>
      </c>
      <c r="AW37" s="8">
        <f>IF($A37=AW$1,0,IF(SUM(IMshareM!AW$2:AW$78)-IMshareM!AW$49&gt;0,IMshareM!AW37/(SUM(IMshareM!AW$2:AW$78)-IMshareM!AW$49),0))</f>
        <v>6.6576082405532504E-6</v>
      </c>
      <c r="AX37" s="8">
        <f>IF($A37=AX$1,0,IF(SUM(IMshareM!AX$2:AX$78)-IMshareM!AX$50&gt;0,IMshareM!AX37/(SUM(IMshareM!AX$2:AX$78)-IMshareM!AX$50),0))</f>
        <v>2.9314772781159982E-3</v>
      </c>
      <c r="AY37" s="8">
        <f>IF($A37=AY$1,0,IF(SUM(IMshareM!AY$2:AY$78)-IMshareM!AY$51&gt;0,IMshareM!AY37/(SUM(IMshareM!AY$2:AY$78)-IMshareM!AY$51),0))</f>
        <v>0</v>
      </c>
      <c r="AZ37" s="8">
        <f>IF($A37=AZ$1,0,IF(SUM(IMshareM!AZ$2:AZ$78)-IMshareM!AZ$52&gt;0,IMshareM!AZ37/(SUM(IMshareM!AZ$2:AZ$78)-IMshareM!AZ$52),0))</f>
        <v>0</v>
      </c>
      <c r="BA37" s="8">
        <f>IF($A37=BA$1,0,IF(SUM(IMshareM!BA$2:BA$78)-IMshareM!BA$53&gt;0,IMshareM!BA37/(SUM(IMshareM!BA$2:BA$78)-IMshareM!BA$53),0))</f>
        <v>1.7392362543860396E-5</v>
      </c>
      <c r="BB37" s="8">
        <f>IF($A37=BB$1,0,IF(SUM(IMshareM!BB$2:BB$78)-IMshareM!BB$54&gt;0,IMshareM!BB37/(SUM(IMshareM!BB$2:BB$78)-IMshareM!BB$54),0))</f>
        <v>1.0979129494682626E-3</v>
      </c>
      <c r="BC37" s="8">
        <f>IF($A37=BC$1,0,IF(SUM(IMshareM!BC$2:BC$78)-IMshareM!BC$55&gt;0,IMshareM!BC37/(SUM(IMshareM!BC$2:BC$78)-IMshareM!BC$55),0))</f>
        <v>1.8528308520207441E-4</v>
      </c>
      <c r="BD37" s="8">
        <f>IF($A37=BD$1,0,IF(SUM(IMshareM!BD$2:BD$78)-IMshareM!BD$56&gt;0,IMshareM!BD37/(SUM(IMshareM!BD$2:BD$78)-IMshareM!BD$56),0))</f>
        <v>9.9481095580560485E-4</v>
      </c>
      <c r="BE37" s="8">
        <f>IF($A37=BE$1,0,IF(SUM(IMshareM!BE$2:BE$78)-IMshareM!BE$57&gt;0,IMshareM!BE37/(SUM(IMshareM!BE$2:BE$78)-IMshareM!BE$57),0))</f>
        <v>0</v>
      </c>
      <c r="BF37" s="8">
        <f>IF($A37=BF$1,0,IF(SUM(IMshareM!BF$2:BF$78)-IMshareM!BF$58&gt;0,IMshareM!BF37/(SUM(IMshareM!BF$2:BF$78)-IMshareM!BF$58),0))</f>
        <v>4.3490875456676488E-4</v>
      </c>
      <c r="BG37" s="8">
        <f>IF($A37=BG$1,0,IF(SUM(IMshareM!BG$2:BG$78)-IMshareM!BG$59&gt;0,IMshareM!BG37/(SUM(IMshareM!BG$2:BG$78)-IMshareM!BG$59),0))</f>
        <v>5.5039019087684252E-5</v>
      </c>
      <c r="BH37" s="8">
        <f>IF($A37=BH$1,0,IF(SUM(IMshareM!BH$2:BH$78)-IMshareM!BH$60&gt;0,IMshareM!BH37/(SUM(IMshareM!BH$2:BH$78)-IMshareM!BH$60),0))</f>
        <v>4.0386789296106558E-5</v>
      </c>
      <c r="BI37" s="8">
        <f>IF($A37=BI$1,0,IF(SUM(IMshareM!BI$2:BI$78)-IMshareM!BI$61&gt;0,IMshareM!BI37/(SUM(IMshareM!BI$2:BI$78)-IMshareM!BI$61),0))</f>
        <v>5.4620971122740676E-5</v>
      </c>
      <c r="BJ37" s="8">
        <f>IF($A37=BJ$1,0,IF(SUM(IMshareM!BJ$2:BJ$78)-IMshareM!BJ$62&gt;0,IMshareM!BJ37/(SUM(IMshareM!BJ$2:BJ$78)-IMshareM!BJ$62),0))</f>
        <v>5.0152727814992311E-4</v>
      </c>
      <c r="BK37" s="8">
        <f>IF($A37=BK$1,0,IF(SUM(IMshareM!BK$2:BK$78)-IMshareM!BK$63&gt;0,IMshareM!BK37/(SUM(IMshareM!BK$2:BK$78)-IMshareM!BK$63),0))</f>
        <v>3.6294807003990097E-5</v>
      </c>
      <c r="BL37" s="8">
        <f>IF($A37=BL$1,0,IF(SUM(IMshareM!BL$2:BL$78)-IMshareM!BL$64&gt;0,IMshareM!BL37/(SUM(IMshareM!BL$2:BL$78)-IMshareM!BL$64),0))</f>
        <v>0</v>
      </c>
      <c r="BM37" s="8">
        <f>IF($A37=BM$1,0,IF(SUM(IMshareM!BM$2:BM$78)-IMshareM!BM$65&gt;0,IMshareM!BM37/(SUM(IMshareM!BM$2:BM$78)-IMshareM!BM$65),0))</f>
        <v>0</v>
      </c>
      <c r="BN37" s="8">
        <f>IF($A37=BN$1,0,IF(SUM(IMshareM!BN$2:BN$78)-IMshareM!BN$66&gt;0,IMshareM!BN37/(SUM(IMshareM!BN$2:BN$78)-IMshareM!BN$66),0))</f>
        <v>1.196088625351432E-3</v>
      </c>
      <c r="BO37" s="8">
        <f>IF($A37=BO$1,0,IF(SUM(IMshareM!BO$2:BO$78)-IMshareM!BO$67&gt;0,IMshareM!BO37/(SUM(IMshareM!BO$2:BO$78)-IMshareM!BO$67),0))</f>
        <v>2.2417037963871295E-4</v>
      </c>
      <c r="BP37" s="8">
        <f>IF($A37=BP$1,0,IF(SUM(IMshareM!BP$2:BP$78)-IMshareM!BP$68&gt;0,IMshareM!BP37/(SUM(IMshareM!BP$2:BP$78)-IMshareM!BP$68),0))</f>
        <v>4.4671235542676559E-4</v>
      </c>
      <c r="BQ37" s="8">
        <f>IF($A37=BQ$1,0,IF(SUM(IMshareM!BQ$2:BQ$78)-IMshareM!BQ$69&gt;0,IMshareM!BQ37/(SUM(IMshareM!BQ$2:BQ$78)-IMshareM!BQ$69),0))</f>
        <v>5.595935469675827E-5</v>
      </c>
      <c r="BR37" s="8">
        <f>IF($A37=BR$1,0,IF(SUM(IMshareM!BR$2:BR$78)-IMshareM!BR$70&gt;0,IMshareM!BR37/(SUM(IMshareM!BR$2:BR$78)-IMshareM!BR$70),0))</f>
        <v>9.6639225038211516E-5</v>
      </c>
      <c r="BS37" s="8">
        <f>IF($A37=BS$1,0,IF(SUM(IMshareM!BS$2:BS$78)-IMshareM!BS$71&gt;0,IMshareM!BS37/(SUM(IMshareM!BS$2:BS$78)-IMshareM!BS$71),0))</f>
        <v>0</v>
      </c>
      <c r="BT37" s="8">
        <f>IF($A37=BT$1,0,IF(SUM(IMshareM!BT$2:BT$78)-IMshareM!BT$72&gt;0,IMshareM!BT37/(SUM(IMshareM!BT$2:BT$78)-IMshareM!BT$72),0))</f>
        <v>1.091526956201626E-4</v>
      </c>
      <c r="BU37" s="8">
        <f>IF($A37=BU$1,0,IF(SUM(IMshareM!BU$2:BU$78)-IMshareM!BU$73&gt;0,IMshareM!BU37/(SUM(IMshareM!BU$2:BU$78)-IMshareM!BU$73),0))</f>
        <v>1.0674362704443125E-3</v>
      </c>
      <c r="BV37" s="8">
        <f>IF($A37=BV$1,0,IF(SUM(IMshareM!BV$2:BV$78)-IMshareM!BV$74&gt;0,IMshareM!BV37/(SUM(IMshareM!BV$2:BV$78)-IMshareM!BV$74),0))</f>
        <v>4.1263675144296028E-5</v>
      </c>
      <c r="BW37" s="8">
        <f>IF($A37=BW$1,0,IF(SUM(IMshareM!BW$2:BW$78)-IMshareM!BW$75&gt;0,IMshareM!BW37/(SUM(IMshareM!BW$2:BW$78)-IMshareM!BW$75),0))</f>
        <v>5.0386752831974686E-4</v>
      </c>
      <c r="BX37" s="8">
        <f>IF($A37=BX$1,0,IF(SUM(IMshareM!BX$2:BX$78)-IMshareM!BX$76&gt;0,IMshareM!BX37/(SUM(IMshareM!BX$2:BX$78)-IMshareM!BX$76),0))</f>
        <v>2.940341059487909E-4</v>
      </c>
      <c r="BY37" s="8">
        <f>IF($A37=BY$1,0,IF(SUM(IMshareM!BY$2:BY$78)-IMshareM!BY$77&gt;0,IMshareM!BY37/(SUM(IMshareM!BY$2:BY$78)-IMshareM!BY$77),0))</f>
        <v>2.2643355455609975E-4</v>
      </c>
      <c r="BZ37" s="8">
        <f>IF($A37=BZ$1,0,IF(SUM(IMshareM!BZ$2:BZ$78)-IMshareM!BZ$78&gt;0,IMshareM!BZ37/(SUM(IMshareM!BZ$2:BZ$78)-IMshareM!BZ$78),0))</f>
        <v>2.3427351981521144E-3</v>
      </c>
    </row>
    <row r="38" spans="1:78">
      <c r="A38" s="4" t="s">
        <v>143</v>
      </c>
      <c r="B38" s="8">
        <f>IF($A38=B$1,0,IF(SUM(IMshareM!B$2:B$78)-IMshareM!B$2&gt;0,IMshareM!B38/(SUM(IMshareM!B$2:B$78)-IMshareM!B$2),0))</f>
        <v>5.0105826987040553E-2</v>
      </c>
      <c r="C38" s="8">
        <f>IF($A38=C$1,0,IF(SUM(IMshareM!C$2:C$78)-IMshareM!C$3&gt;0,IMshareM!C38/(SUM(IMshareM!C$2:C$78)-IMshareM!C$3),0))</f>
        <v>2.8324215250604721E-2</v>
      </c>
      <c r="D38" s="8">
        <f>IF($A38=D$1,0,IF(SUM(IMshareM!D$2:D$78)-IMshareM!D$4&gt;0,IMshareM!D38/(SUM(IMshareM!D$2:D$78)-IMshareM!D$4),0))</f>
        <v>9.8825536398122638E-2</v>
      </c>
      <c r="E38" s="8">
        <f>IF($A38=E$1,0,IF(SUM(IMshareM!E$2:E$78)-IMshareM!E$5&gt;0,IMshareM!E38/(SUM(IMshareM!E$2:E$78)-IMshareM!E$5),0))</f>
        <v>1.9568517178130632E-2</v>
      </c>
      <c r="F38" s="8">
        <f>IF($A38=F$1,0,IF(SUM(IMshareM!F$2:F$78)-IMshareM!F$6&gt;0,IMshareM!F38/(SUM(IMshareM!F$2:F$78)-IMshareM!F$6),0))</f>
        <v>1.3070559518318347E-2</v>
      </c>
      <c r="G38" s="8">
        <f>IF($A38=G$1,0,IF(SUM(IMshareM!G$2:G$78)-IMshareM!G$7&gt;0,IMshareM!G38/(SUM(IMshareM!G$2:G$78)-IMshareM!G$7),0))</f>
        <v>4.348269248318478E-2</v>
      </c>
      <c r="H38" s="8">
        <f>IF($A38=H$1,0,IF(SUM(IMshareM!H$2:H$78)-IMshareM!H$8&gt;0,IMshareM!H38/(SUM(IMshareM!H$2:H$78)-IMshareM!H$8),0))</f>
        <v>1.1766982572953454E-2</v>
      </c>
      <c r="I38" s="8">
        <f>IF($A38=I$1,0,IF(SUM(IMshareM!I$2:I$78)-IMshareM!I$9&gt;0,IMshareM!I38/(SUM(IMshareM!I$2:I$78)-IMshareM!I$9),0))</f>
        <v>2.7942864578462338E-2</v>
      </c>
      <c r="J38" s="8">
        <f>IF($A38=J$1,0,IF(SUM(IMshareM!J$2:J$78)-IMshareM!J$10&gt;0,IMshareM!J38/(SUM(IMshareM!J$2:J$78)-IMshareM!J$10),0))</f>
        <v>4.0964918623857963E-3</v>
      </c>
      <c r="K38" s="8">
        <f>IF($A38=K$1,0,IF(SUM(IMshareM!K$2:K$78)-IMshareM!K$11&gt;0,IMshareM!K38/(SUM(IMshareM!K$2:K$78)-IMshareM!K$11),0))</f>
        <v>2.3912942190547889E-2</v>
      </c>
      <c r="L38" s="8">
        <f>IF($A38=L$1,0,IF(SUM(IMshareM!L$2:L$78)-IMshareM!L$12&gt;0,IMshareM!L38/(SUM(IMshareM!L$2:L$78)-IMshareM!L$12),0))</f>
        <v>6.6186689049271621E-2</v>
      </c>
      <c r="M38" s="8">
        <f>IF($A38=M$1,0,IF(SUM(IMshareM!M$2:M$78)-IMshareM!M$13&gt;0,IMshareM!M38/(SUM(IMshareM!M$2:M$78)-IMshareM!M$13),0))</f>
        <v>1.9904528143287435E-2</v>
      </c>
      <c r="N38" s="8">
        <f>IF($A38=N$1,0,IF(SUM(IMshareM!N$2:N$78)-IMshareM!N$14&gt;0,IMshareM!N38/(SUM(IMshareM!N$2:N$78)-IMshareM!N$14),0))</f>
        <v>2.043218132152947E-2</v>
      </c>
      <c r="O38" s="8">
        <f>IF($A38=O$1,0,IF(SUM(IMshareM!O$2:O$78)-IMshareM!O$15&gt;0,IMshareM!O38/(SUM(IMshareM!O$2:O$78)-IMshareM!O$15),0))</f>
        <v>2.533495394149143E-2</v>
      </c>
      <c r="P38" s="8">
        <f>IF($A38=P$1,0,IF(SUM(IMshareM!P$2:P$78)-IMshareM!P$16&gt;0,IMshareM!P38/(SUM(IMshareM!P$2:P$78)-IMshareM!P$16),0))</f>
        <v>3.8534131553756659E-3</v>
      </c>
      <c r="Q38" s="8">
        <f>IF($A38=Q$1,0,IF(SUM(IMshareM!Q$2:Q$78)-IMshareM!Q$17&gt;0,IMshareM!Q38/(SUM(IMshareM!Q$2:Q$78)-IMshareM!Q$17),0))</f>
        <v>3.4499826951440757E-2</v>
      </c>
      <c r="R38" s="8">
        <f>IF($A38=R$1,0,IF(SUM(IMshareM!R$2:R$78)-IMshareM!R$18&gt;0,IMshareM!R38/(SUM(IMshareM!R$2:R$78)-IMshareM!R$18),0))</f>
        <v>3.8551747623127124E-2</v>
      </c>
      <c r="S38" s="8">
        <f>IF($A38=S$1,0,IF(SUM(IMshareM!S$2:S$78)-IMshareM!S$19&gt;0,IMshareM!S38/(SUM(IMshareM!S$2:S$78)-IMshareM!S$19),0))</f>
        <v>0.12030372238452278</v>
      </c>
      <c r="T38" s="8">
        <f>IF($A38=T$1,0,IF(SUM(IMshareM!T$2:T$78)-IMshareM!T$20&gt;0,IMshareM!T38/(SUM(IMshareM!T$2:T$78)-IMshareM!T$20),0))</f>
        <v>4.3458608064356655E-2</v>
      </c>
      <c r="U38" s="8">
        <f>IF($A38=U$1,0,IF(SUM(IMshareM!U$2:U$78)-IMshareM!U$21&gt;0,IMshareM!U38/(SUM(IMshareM!U$2:U$78)-IMshareM!U$21),0))</f>
        <v>6.1182909288835491E-2</v>
      </c>
      <c r="V38" s="8">
        <f>IF($A38=V$1,0,IF(SUM(IMshareM!V$2:V$78)-IMshareM!V$22&gt;0,IMshareM!V38/(SUM(IMshareM!V$2:V$78)-IMshareM!V$22),0))</f>
        <v>7.9098042166718327E-2</v>
      </c>
      <c r="W38" s="8">
        <f>IF($A38=W$1,0,IF(SUM(IMshareM!W$2:W$78)-IMshareM!W$23&gt;0,IMshareM!W38/(SUM(IMshareM!W$2:W$78)-IMshareM!W$23),0))</f>
        <v>8.597379513406106E-2</v>
      </c>
      <c r="X38" s="8">
        <f>IF($A38=X$1,0,IF(SUM(IMshareM!X$2:X$78)-IMshareM!X$24&gt;0,IMshareM!X38/(SUM(IMshareM!X$2:X$78)-IMshareM!X$24),0))</f>
        <v>8.2820962592509775E-2</v>
      </c>
      <c r="Y38" s="8">
        <f>IF($A38=Y$1,0,IF(SUM(IMshareM!Y$2:Y$78)-IMshareM!Y$25&gt;0,IMshareM!Y38/(SUM(IMshareM!Y$2:Y$78)-IMshareM!Y$25),0))</f>
        <v>4.265133131654851E-2</v>
      </c>
      <c r="Z38" s="8">
        <f>IF($A38=Z$1,0,IF(SUM(IMshareM!Z$2:Z$78)-IMshareM!Z$26&gt;0,IMshareM!Z38/(SUM(IMshareM!Z$2:Z$78)-IMshareM!Z$26),0))</f>
        <v>5.0188752788666989E-2</v>
      </c>
      <c r="AA38" s="8">
        <f>IF($A38=AA$1,0,IF(SUM(IMshareM!AA$2:AA$78)-IMshareM!AA$27&gt;0,IMshareM!AA38/(SUM(IMshareM!AA$2:AA$78)-IMshareM!AA$27),0))</f>
        <v>6.239547815671697E-2</v>
      </c>
      <c r="AB38" s="8">
        <f>IF($A38=AB$1,0,IF(SUM(IMshareM!AB$2:AB$78)-IMshareM!AB$28&gt;0,IMshareM!AB38/(SUM(IMshareM!AB$2:AB$78)-IMshareM!AB$28),0))</f>
        <v>4.1401513771428915E-2</v>
      </c>
      <c r="AC38" s="8">
        <f>IF($A38=AC$1,0,IF(SUM(IMshareM!AC$2:AC$78)-IMshareM!AC$29&gt;0,IMshareM!AC38/(SUM(IMshareM!AC$2:AC$78)-IMshareM!AC$29),0))</f>
        <v>0.16242697916827781</v>
      </c>
      <c r="AD38" s="8">
        <f>IF($A38=AD$1,0,IF(SUM(IMshareM!AD$2:AD$78)-IMshareM!AD$30&gt;0,IMshareM!AD38/(SUM(IMshareM!AD$2:AD$78)-IMshareM!AD$30),0))</f>
        <v>2.7708473711194289E-3</v>
      </c>
      <c r="AE38" s="8">
        <f>IF($A38=AE$1,0,IF(SUM(IMshareM!AE$2:AE$78)-IMshareM!AE$31&gt;0,IMshareM!AE38/(SUM(IMshareM!AE$2:AE$78)-IMshareM!AE$31),0))</f>
        <v>0.14659172438036269</v>
      </c>
      <c r="AF38" s="8">
        <f>IF($A38=AF$1,0,IF(SUM(IMshareM!AF$2:AF$78)-IMshareM!AF$32&gt;0,IMshareM!AF38/(SUM(IMshareM!AF$2:AF$78)-IMshareM!AF$32),0))</f>
        <v>2.6089791660848263E-2</v>
      </c>
      <c r="AG38" s="8">
        <f>IF($A38=AG$1,0,IF(SUM(IMshareM!AG$2:AG$78)-IMshareM!AG$33&gt;0,IMshareM!AG38/(SUM(IMshareM!AG$2:AG$78)-IMshareM!AG$33),0))</f>
        <v>9.8541720347063051E-3</v>
      </c>
      <c r="AH38" s="8">
        <f>IF($A38=AH$1,0,IF(SUM(IMshareM!AH$2:AH$78)-IMshareM!AH$34&gt;0,IMshareM!AH38/(SUM(IMshareM!AH$2:AH$78)-IMshareM!AH$34),0))</f>
        <v>2.4397949953160331E-2</v>
      </c>
      <c r="AI38" s="8">
        <f>IF($A38=AI$1,0,IF(SUM(IMshareM!AI$2:AI$78)-IMshareM!AI$35&gt;0,IMshareM!AI38/(SUM(IMshareM!AI$2:AI$78)-IMshareM!AI$35),0))</f>
        <v>2.4599079524265245E-2</v>
      </c>
      <c r="AJ38" s="8">
        <f>IF($A38=AJ$1,0,IF(SUM(IMshareM!AJ$2:AJ$78)-IMshareM!AJ$36&gt;0,IMshareM!AJ38/(SUM(IMshareM!AJ$2:AJ$78)-IMshareM!AJ$36),0))</f>
        <v>6.463351105282035E-2</v>
      </c>
      <c r="AK38" s="8">
        <f>IF($A38=AK$1,0,IF(SUM(IMshareM!AK$2:AK$78)-IMshareM!AK$37&gt;0,IMshareM!AK38/(SUM(IMshareM!AK$2:AK$78)-IMshareM!AK$37),0))</f>
        <v>5.8270971657076565E-2</v>
      </c>
      <c r="AL38" s="8">
        <f>IF($A38=AL$1,0,IF(SUM(IMshareM!AL$2:AL$78)-IMshareM!AL$38&gt;0,IMshareM!AL38/(SUM(IMshareM!AL$2:AL$78)-IMshareM!AL$38),0))</f>
        <v>0</v>
      </c>
      <c r="AM38" s="8">
        <f>IF($A38=AM$1,0,IF(SUM(IMshareM!AM$2:AM$78)-IMshareM!AM$39&gt;0,IMshareM!AM38/(SUM(IMshareM!AM$2:AM$78)-IMshareM!AM$39),0))</f>
        <v>0.19913877882987169</v>
      </c>
      <c r="AN38" s="8">
        <f>IF($A38=AN$1,0,IF(SUM(IMshareM!AN$2:AN$78)-IMshareM!AN$40&gt;0,IMshareM!AN38/(SUM(IMshareM!AN$2:AN$78)-IMshareM!AN$40),0))</f>
        <v>3.7040092240046771E-3</v>
      </c>
      <c r="AO38" s="8">
        <f>IF($A38=AO$1,0,IF(SUM(IMshareM!AO$2:AO$78)-IMshareM!AO$41&gt;0,IMshareM!AO38/(SUM(IMshareM!AO$2:AO$78)-IMshareM!AO$41),0))</f>
        <v>1.3037576674303407E-2</v>
      </c>
      <c r="AP38" s="8">
        <f>IF($A38=AP$1,0,IF(SUM(IMshareM!AP$2:AP$78)-IMshareM!AP$42&gt;0,IMshareM!AP38/(SUM(IMshareM!AP$2:AP$78)-IMshareM!AP$42),0))</f>
        <v>5.5895851370414825E-4</v>
      </c>
      <c r="AQ38" s="8">
        <f>IF($A38=AQ$1,0,IF(SUM(IMshareM!AQ$2:AQ$78)-IMshareM!AQ$43&gt;0,IMshareM!AQ38/(SUM(IMshareM!AQ$2:AQ$78)-IMshareM!AQ$43),0))</f>
        <v>6.7005330603098984E-3</v>
      </c>
      <c r="AR38" s="8">
        <f>IF($A38=AR$1,0,IF(SUM(IMshareM!AR$2:AR$78)-IMshareM!AR$44&gt;0,IMshareM!AR38/(SUM(IMshareM!AR$2:AR$78)-IMshareM!AR$44),0))</f>
        <v>9.4786192604387812E-5</v>
      </c>
      <c r="AS38" s="8">
        <f>IF($A38=AS$1,0,IF(SUM(IMshareM!AS$2:AS$78)-IMshareM!AS$45&gt;0,IMshareM!AS38/(SUM(IMshareM!AS$2:AS$78)-IMshareM!AS$45),0))</f>
        <v>5.0187474301747519E-2</v>
      </c>
      <c r="AT38" s="8">
        <f>IF($A38=AT$1,0,IF(SUM(IMshareM!AT$2:AT$78)-IMshareM!AT$46&gt;0,IMshareM!AT38/(SUM(IMshareM!AT$2:AT$78)-IMshareM!AT$46),0))</f>
        <v>2.093664569640177E-2</v>
      </c>
      <c r="AU38" s="8">
        <f>IF($A38=AU$1,0,IF(SUM(IMshareM!AU$2:AU$78)-IMshareM!AU$47&gt;0,IMshareM!AU38/(SUM(IMshareM!AU$2:AU$78)-IMshareM!AU$47),0))</f>
        <v>9.2036173535569102E-2</v>
      </c>
      <c r="AV38" s="8">
        <f>IF($A38=AV$1,0,IF(SUM(IMshareM!AV$2:AV$78)-IMshareM!AV$48&gt;0,IMshareM!AV38/(SUM(IMshareM!AV$2:AV$78)-IMshareM!AV$48),0))</f>
        <v>0.11532038826573804</v>
      </c>
      <c r="AW38" s="8">
        <f>IF($A38=AW$1,0,IF(SUM(IMshareM!AW$2:AW$78)-IMshareM!AW$49&gt;0,IMshareM!AW38/(SUM(IMshareM!AW$2:AW$78)-IMshareM!AW$49),0))</f>
        <v>3.2090281707431764E-2</v>
      </c>
      <c r="AX38" s="8">
        <f>IF($A38=AX$1,0,IF(SUM(IMshareM!AX$2:AX$78)-IMshareM!AX$50&gt;0,IMshareM!AX38/(SUM(IMshareM!AX$2:AX$78)-IMshareM!AX$50),0))</f>
        <v>4.6391307118010053E-2</v>
      </c>
      <c r="AY38" s="8">
        <f>IF($A38=AY$1,0,IF(SUM(IMshareM!AY$2:AY$78)-IMshareM!AY$51&gt;0,IMshareM!AY38/(SUM(IMshareM!AY$2:AY$78)-IMshareM!AY$51),0))</f>
        <v>2.4604927849103887E-3</v>
      </c>
      <c r="AZ38" s="8">
        <f>IF($A38=AZ$1,0,IF(SUM(IMshareM!AZ$2:AZ$78)-IMshareM!AZ$52&gt;0,IMshareM!AZ38/(SUM(IMshareM!AZ$2:AZ$78)-IMshareM!AZ$52),0))</f>
        <v>8.2681872772628826E-3</v>
      </c>
      <c r="BA38" s="8">
        <f>IF($A38=BA$1,0,IF(SUM(IMshareM!BA$2:BA$78)-IMshareM!BA$53&gt;0,IMshareM!BA38/(SUM(IMshareM!BA$2:BA$78)-IMshareM!BA$53),0))</f>
        <v>1.4827377571854167E-2</v>
      </c>
      <c r="BB38" s="8">
        <f>IF($A38=BB$1,0,IF(SUM(IMshareM!BB$2:BB$78)-IMshareM!BB$54&gt;0,IMshareM!BB38/(SUM(IMshareM!BB$2:BB$78)-IMshareM!BB$54),0))</f>
        <v>3.5178871152623636E-2</v>
      </c>
      <c r="BC38" s="8">
        <f>IF($A38=BC$1,0,IF(SUM(IMshareM!BC$2:BC$78)-IMshareM!BC$55&gt;0,IMshareM!BC38/(SUM(IMshareM!BC$2:BC$78)-IMshareM!BC$55),0))</f>
        <v>3.969029485282282E-2</v>
      </c>
      <c r="BD38" s="8">
        <f>IF($A38=BD$1,0,IF(SUM(IMshareM!BD$2:BD$78)-IMshareM!BD$56&gt;0,IMshareM!BD38/(SUM(IMshareM!BD$2:BD$78)-IMshareM!BD$56),0))</f>
        <v>5.1357973267941164E-2</v>
      </c>
      <c r="BE38" s="8">
        <f>IF($A38=BE$1,0,IF(SUM(IMshareM!BE$2:BE$78)-IMshareM!BE$57&gt;0,IMshareM!BE38/(SUM(IMshareM!BE$2:BE$78)-IMshareM!BE$57),0))</f>
        <v>1.133299316521025E-2</v>
      </c>
      <c r="BF38" s="8">
        <f>IF($A38=BF$1,0,IF(SUM(IMshareM!BF$2:BF$78)-IMshareM!BF$58&gt;0,IMshareM!BF38/(SUM(IMshareM!BF$2:BF$78)-IMshareM!BF$58),0))</f>
        <v>5.2994932421356222E-2</v>
      </c>
      <c r="BG38" s="8">
        <f>IF($A38=BG$1,0,IF(SUM(IMshareM!BG$2:BG$78)-IMshareM!BG$59&gt;0,IMshareM!BG38/(SUM(IMshareM!BG$2:BG$78)-IMshareM!BG$59),0))</f>
        <v>7.0601126278408734E-3</v>
      </c>
      <c r="BH38" s="8">
        <f>IF($A38=BH$1,0,IF(SUM(IMshareM!BH$2:BH$78)-IMshareM!BH$60&gt;0,IMshareM!BH38/(SUM(IMshareM!BH$2:BH$78)-IMshareM!BH$60),0))</f>
        <v>0.10758938276821101</v>
      </c>
      <c r="BI38" s="8">
        <f>IF($A38=BI$1,0,IF(SUM(IMshareM!BI$2:BI$78)-IMshareM!BI$61&gt;0,IMshareM!BI38/(SUM(IMshareM!BI$2:BI$78)-IMshareM!BI$61),0))</f>
        <v>4.8039676375208618E-2</v>
      </c>
      <c r="BJ38" s="8">
        <f>IF($A38=BJ$1,0,IF(SUM(IMshareM!BJ$2:BJ$78)-IMshareM!BJ$62&gt;0,IMshareM!BJ38/(SUM(IMshareM!BJ$2:BJ$78)-IMshareM!BJ$62),0))</f>
        <v>7.1425816264904018E-2</v>
      </c>
      <c r="BK38" s="8">
        <f>IF($A38=BK$1,0,IF(SUM(IMshareM!BK$2:BK$78)-IMshareM!BK$63&gt;0,IMshareM!BK38/(SUM(IMshareM!BK$2:BK$78)-IMshareM!BK$63),0))</f>
        <v>4.6168467256083486E-2</v>
      </c>
      <c r="BL38" s="8">
        <f>IF($A38=BL$1,0,IF(SUM(IMshareM!BL$2:BL$78)-IMshareM!BL$64&gt;0,IMshareM!BL38/(SUM(IMshareM!BL$2:BL$78)-IMshareM!BL$64),0))</f>
        <v>7.1068166711695274E-2</v>
      </c>
      <c r="BM38" s="8">
        <f>IF($A38=BM$1,0,IF(SUM(IMshareM!BM$2:BM$78)-IMshareM!BM$65&gt;0,IMshareM!BM38/(SUM(IMshareM!BM$2:BM$78)-IMshareM!BM$65),0))</f>
        <v>3.9637770946149694E-3</v>
      </c>
      <c r="BN38" s="8">
        <f>IF($A38=BN$1,0,IF(SUM(IMshareM!BN$2:BN$78)-IMshareM!BN$66&gt;0,IMshareM!BN38/(SUM(IMshareM!BN$2:BN$78)-IMshareM!BN$66),0))</f>
        <v>1.0352268372758249E-2</v>
      </c>
      <c r="BO38" s="8">
        <f>IF($A38=BO$1,0,IF(SUM(IMshareM!BO$2:BO$78)-IMshareM!BO$67&gt;0,IMshareM!BO38/(SUM(IMshareM!BO$2:BO$78)-IMshareM!BO$67),0))</f>
        <v>2.9964728780712178E-2</v>
      </c>
      <c r="BP38" s="8">
        <f>IF($A38=BP$1,0,IF(SUM(IMshareM!BP$2:BP$78)-IMshareM!BP$68&gt;0,IMshareM!BP38/(SUM(IMshareM!BP$2:BP$78)-IMshareM!BP$68),0))</f>
        <v>3.3952214088928234E-2</v>
      </c>
      <c r="BQ38" s="8">
        <f>IF($A38=BQ$1,0,IF(SUM(IMshareM!BQ$2:BQ$78)-IMshareM!BQ$69&gt;0,IMshareM!BQ38/(SUM(IMshareM!BQ$2:BQ$78)-IMshareM!BQ$69),0))</f>
        <v>2.9039441933730134E-2</v>
      </c>
      <c r="BR38" s="8">
        <f>IF($A38=BR$1,0,IF(SUM(IMshareM!BR$2:BR$78)-IMshareM!BR$70&gt;0,IMshareM!BR38/(SUM(IMshareM!BR$2:BR$78)-IMshareM!BR$70),0))</f>
        <v>9.0721926124364138E-3</v>
      </c>
      <c r="BS38" s="8">
        <f>IF($A38=BS$1,0,IF(SUM(IMshareM!BS$2:BS$78)-IMshareM!BS$71&gt;0,IMshareM!BS38/(SUM(IMshareM!BS$2:BS$78)-IMshareM!BS$71),0))</f>
        <v>0.27163572884857085</v>
      </c>
      <c r="BT38" s="8">
        <f>IF($A38=BT$1,0,IF(SUM(IMshareM!BT$2:BT$78)-IMshareM!BT$72&gt;0,IMshareM!BT38/(SUM(IMshareM!BT$2:BT$78)-IMshareM!BT$72),0))</f>
        <v>5.2326073747949932E-2</v>
      </c>
      <c r="BU38" s="8">
        <f>IF($A38=BU$1,0,IF(SUM(IMshareM!BU$2:BU$78)-IMshareM!BU$73&gt;0,IMshareM!BU38/(SUM(IMshareM!BU$2:BU$78)-IMshareM!BU$73),0))</f>
        <v>9.0871364029516885E-3</v>
      </c>
      <c r="BV38" s="8">
        <f>IF($A38=BV$1,0,IF(SUM(IMshareM!BV$2:BV$78)-IMshareM!BV$74&gt;0,IMshareM!BV38/(SUM(IMshareM!BV$2:BV$78)-IMshareM!BV$74),0))</f>
        <v>3.8211730997994797E-2</v>
      </c>
      <c r="BW38" s="8">
        <f>IF($A38=BW$1,0,IF(SUM(IMshareM!BW$2:BW$78)-IMshareM!BW$75&gt;0,IMshareM!BW38/(SUM(IMshareM!BW$2:BW$78)-IMshareM!BW$75),0))</f>
        <v>2.5980968326250617E-2</v>
      </c>
      <c r="BX38" s="8">
        <f>IF($A38=BX$1,0,IF(SUM(IMshareM!BX$2:BX$78)-IMshareM!BX$76&gt;0,IMshareM!BX38/(SUM(IMshareM!BX$2:BX$78)-IMshareM!BX$76),0))</f>
        <v>6.374143254201243E-3</v>
      </c>
      <c r="BY38" s="8">
        <f>IF($A38=BY$1,0,IF(SUM(IMshareM!BY$2:BY$78)-IMshareM!BY$77&gt;0,IMshareM!BY38/(SUM(IMshareM!BY$2:BY$78)-IMshareM!BY$77),0))</f>
        <v>4.7274903899314026E-2</v>
      </c>
      <c r="BZ38" s="8">
        <f>IF($A38=BZ$1,0,IF(SUM(IMshareM!BZ$2:BZ$78)-IMshareM!BZ$78&gt;0,IMshareM!BZ38/(SUM(IMshareM!BZ$2:BZ$78)-IMshareM!BZ$78),0))</f>
        <v>4.1111432700566622E-2</v>
      </c>
    </row>
    <row r="39" spans="1:78">
      <c r="A39" s="4" t="s">
        <v>145</v>
      </c>
      <c r="B39" s="8">
        <f>IF($A39=B$1,0,IF(SUM(IMshareM!B$2:B$78)-IMshareM!B$2&gt;0,IMshareM!B39/(SUM(IMshareM!B$2:B$78)-IMshareM!B$2),0))</f>
        <v>0</v>
      </c>
      <c r="C39" s="8">
        <f>IF($A39=C$1,0,IF(SUM(IMshareM!C$2:C$78)-IMshareM!C$3&gt;0,IMshareM!C39/(SUM(IMshareM!C$2:C$78)-IMshareM!C$3),0))</f>
        <v>0</v>
      </c>
      <c r="D39" s="8">
        <f>IF($A39=D$1,0,IF(SUM(IMshareM!D$2:D$78)-IMshareM!D$4&gt;0,IMshareM!D39/(SUM(IMshareM!D$2:D$78)-IMshareM!D$4),0))</f>
        <v>0</v>
      </c>
      <c r="E39" s="8">
        <f>IF($A39=E$1,0,IF(SUM(IMshareM!E$2:E$78)-IMshareM!E$5&gt;0,IMshareM!E39/(SUM(IMshareM!E$2:E$78)-IMshareM!E$5),0))</f>
        <v>0</v>
      </c>
      <c r="F39" s="8">
        <f>IF($A39=F$1,0,IF(SUM(IMshareM!F$2:F$78)-IMshareM!F$6&gt;0,IMshareM!F39/(SUM(IMshareM!F$2:F$78)-IMshareM!F$6),0))</f>
        <v>0</v>
      </c>
      <c r="G39" s="8">
        <f>IF($A39=G$1,0,IF(SUM(IMshareM!G$2:G$78)-IMshareM!G$7&gt;0,IMshareM!G39/(SUM(IMshareM!G$2:G$78)-IMshareM!G$7),0))</f>
        <v>0</v>
      </c>
      <c r="H39" s="8">
        <f>IF($A39=H$1,0,IF(SUM(IMshareM!H$2:H$78)-IMshareM!H$8&gt;0,IMshareM!H39/(SUM(IMshareM!H$2:H$78)-IMshareM!H$8),0))</f>
        <v>0</v>
      </c>
      <c r="I39" s="8">
        <f>IF($A39=I$1,0,IF(SUM(IMshareM!I$2:I$78)-IMshareM!I$9&gt;0,IMshareM!I39/(SUM(IMshareM!I$2:I$78)-IMshareM!I$9),0))</f>
        <v>0</v>
      </c>
      <c r="J39" s="8">
        <f>IF($A39=J$1,0,IF(SUM(IMshareM!J$2:J$78)-IMshareM!J$10&gt;0,IMshareM!J39/(SUM(IMshareM!J$2:J$78)-IMshareM!J$10),0))</f>
        <v>0</v>
      </c>
      <c r="K39" s="8">
        <f>IF($A39=K$1,0,IF(SUM(IMshareM!K$2:K$78)-IMshareM!K$11&gt;0,IMshareM!K39/(SUM(IMshareM!K$2:K$78)-IMshareM!K$11),0))</f>
        <v>2.225985606750959E-5</v>
      </c>
      <c r="L39" s="8">
        <f>IF($A39=L$1,0,IF(SUM(IMshareM!L$2:L$78)-IMshareM!L$12&gt;0,IMshareM!L39/(SUM(IMshareM!L$2:L$78)-IMshareM!L$12),0))</f>
        <v>0</v>
      </c>
      <c r="M39" s="8">
        <f>IF($A39=M$1,0,IF(SUM(IMshareM!M$2:M$78)-IMshareM!M$13&gt;0,IMshareM!M39/(SUM(IMshareM!M$2:M$78)-IMshareM!M$13),0))</f>
        <v>7.9340801775853575E-7</v>
      </c>
      <c r="N39" s="8">
        <f>IF($A39=N$1,0,IF(SUM(IMshareM!N$2:N$78)-IMshareM!N$14&gt;0,IMshareM!N39/(SUM(IMshareM!N$2:N$78)-IMshareM!N$14),0))</f>
        <v>0</v>
      </c>
      <c r="O39" s="8">
        <f>IF($A39=O$1,0,IF(SUM(IMshareM!O$2:O$78)-IMshareM!O$15&gt;0,IMshareM!O39/(SUM(IMshareM!O$2:O$78)-IMshareM!O$15),0))</f>
        <v>0</v>
      </c>
      <c r="P39" s="8">
        <f>IF($A39=P$1,0,IF(SUM(IMshareM!P$2:P$78)-IMshareM!P$16&gt;0,IMshareM!P39/(SUM(IMshareM!P$2:P$78)-IMshareM!P$16),0))</f>
        <v>0</v>
      </c>
      <c r="Q39" s="8">
        <f>IF($A39=Q$1,0,IF(SUM(IMshareM!Q$2:Q$78)-IMshareM!Q$17&gt;0,IMshareM!Q39/(SUM(IMshareM!Q$2:Q$78)-IMshareM!Q$17),0))</f>
        <v>0</v>
      </c>
      <c r="R39" s="8">
        <f>IF($A39=R$1,0,IF(SUM(IMshareM!R$2:R$78)-IMshareM!R$18&gt;0,IMshareM!R39/(SUM(IMshareM!R$2:R$78)-IMshareM!R$18),0))</f>
        <v>0</v>
      </c>
      <c r="S39" s="8">
        <f>IF($A39=S$1,0,IF(SUM(IMshareM!S$2:S$78)-IMshareM!S$19&gt;0,IMshareM!S39/(SUM(IMshareM!S$2:S$78)-IMshareM!S$19),0))</f>
        <v>0</v>
      </c>
      <c r="T39" s="8">
        <f>IF($A39=T$1,0,IF(SUM(IMshareM!T$2:T$78)-IMshareM!T$20&gt;0,IMshareM!T39/(SUM(IMshareM!T$2:T$78)-IMshareM!T$20),0))</f>
        <v>8.0064383001039243E-7</v>
      </c>
      <c r="U39" s="8">
        <f>IF($A39=U$1,0,IF(SUM(IMshareM!U$2:U$78)-IMshareM!U$21&gt;0,IMshareM!U39/(SUM(IMshareM!U$2:U$78)-IMshareM!U$21),0))</f>
        <v>1.4524159974656805E-6</v>
      </c>
      <c r="V39" s="8">
        <f>IF($A39=V$1,0,IF(SUM(IMshareM!V$2:V$78)-IMshareM!V$22&gt;0,IMshareM!V39/(SUM(IMshareM!V$2:V$78)-IMshareM!V$22),0))</f>
        <v>0</v>
      </c>
      <c r="W39" s="8">
        <f>IF($A39=W$1,0,IF(SUM(IMshareM!W$2:W$78)-IMshareM!W$23&gt;0,IMshareM!W39/(SUM(IMshareM!W$2:W$78)-IMshareM!W$23),0))</f>
        <v>1.7985574121980871E-5</v>
      </c>
      <c r="X39" s="8">
        <f>IF($A39=X$1,0,IF(SUM(IMshareM!X$2:X$78)-IMshareM!X$24&gt;0,IMshareM!X39/(SUM(IMshareM!X$2:X$78)-IMshareM!X$24),0))</f>
        <v>8.1527235011710137E-7</v>
      </c>
      <c r="Y39" s="8">
        <f>IF($A39=Y$1,0,IF(SUM(IMshareM!Y$2:Y$78)-IMshareM!Y$25&gt;0,IMshareM!Y39/(SUM(IMshareM!Y$2:Y$78)-IMshareM!Y$25),0))</f>
        <v>0</v>
      </c>
      <c r="Z39" s="8">
        <f>IF($A39=Z$1,0,IF(SUM(IMshareM!Z$2:Z$78)-IMshareM!Z$26&gt;0,IMshareM!Z39/(SUM(IMshareM!Z$2:Z$78)-IMshareM!Z$26),0))</f>
        <v>0</v>
      </c>
      <c r="AA39" s="8">
        <f>IF($A39=AA$1,0,IF(SUM(IMshareM!AA$2:AA$78)-IMshareM!AA$27&gt;0,IMshareM!AA39/(SUM(IMshareM!AA$2:AA$78)-IMshareM!AA$27),0))</f>
        <v>1.2835628852677764E-6</v>
      </c>
      <c r="AB39" s="8">
        <f>IF($A39=AB$1,0,IF(SUM(IMshareM!AB$2:AB$78)-IMshareM!AB$28&gt;0,IMshareM!AB39/(SUM(IMshareM!AB$2:AB$78)-IMshareM!AB$28),0))</f>
        <v>1.3602208641457061E-4</v>
      </c>
      <c r="AC39" s="8">
        <f>IF($A39=AC$1,0,IF(SUM(IMshareM!AC$2:AC$78)-IMshareM!AC$29&gt;0,IMshareM!AC39/(SUM(IMshareM!AC$2:AC$78)-IMshareM!AC$29),0))</f>
        <v>0</v>
      </c>
      <c r="AD39" s="8">
        <f>IF($A39=AD$1,0,IF(SUM(IMshareM!AD$2:AD$78)-IMshareM!AD$30&gt;0,IMshareM!AD39/(SUM(IMshareM!AD$2:AD$78)-IMshareM!AD$30),0))</f>
        <v>0</v>
      </c>
      <c r="AE39" s="8">
        <f>IF($A39=AE$1,0,IF(SUM(IMshareM!AE$2:AE$78)-IMshareM!AE$31&gt;0,IMshareM!AE39/(SUM(IMshareM!AE$2:AE$78)-IMshareM!AE$31),0))</f>
        <v>0</v>
      </c>
      <c r="AF39" s="8">
        <f>IF($A39=AF$1,0,IF(SUM(IMshareM!AF$2:AF$78)-IMshareM!AF$32&gt;0,IMshareM!AF39/(SUM(IMshareM!AF$2:AF$78)-IMshareM!AF$32),0))</f>
        <v>0</v>
      </c>
      <c r="AG39" s="8">
        <f>IF($A39=AG$1,0,IF(SUM(IMshareM!AG$2:AG$78)-IMshareM!AG$33&gt;0,IMshareM!AG39/(SUM(IMshareM!AG$2:AG$78)-IMshareM!AG$33),0))</f>
        <v>0</v>
      </c>
      <c r="AH39" s="8">
        <f>IF($A39=AH$1,0,IF(SUM(IMshareM!AH$2:AH$78)-IMshareM!AH$34&gt;0,IMshareM!AH39/(SUM(IMshareM!AH$2:AH$78)-IMshareM!AH$34),0))</f>
        <v>3.7672496894643133E-7</v>
      </c>
      <c r="AI39" s="8">
        <f>IF($A39=AI$1,0,IF(SUM(IMshareM!AI$2:AI$78)-IMshareM!AI$35&gt;0,IMshareM!AI39/(SUM(IMshareM!AI$2:AI$78)-IMshareM!AI$35),0))</f>
        <v>1.4629726796616922E-5</v>
      </c>
      <c r="AJ39" s="8">
        <f>IF($A39=AJ$1,0,IF(SUM(IMshareM!AJ$2:AJ$78)-IMshareM!AJ$36&gt;0,IMshareM!AJ39/(SUM(IMshareM!AJ$2:AJ$78)-IMshareM!AJ$36),0))</f>
        <v>0</v>
      </c>
      <c r="AK39" s="8">
        <f>IF($A39=AK$1,0,IF(SUM(IMshareM!AK$2:AK$78)-IMshareM!AK$37&gt;0,IMshareM!AK39/(SUM(IMshareM!AK$2:AK$78)-IMshareM!AK$37),0))</f>
        <v>5.4785754794387445E-5</v>
      </c>
      <c r="AL39" s="8">
        <f>IF($A39=AL$1,0,IF(SUM(IMshareM!AL$2:AL$78)-IMshareM!AL$38&gt;0,IMshareM!AL39/(SUM(IMshareM!AL$2:AL$78)-IMshareM!AL$38),0))</f>
        <v>6.1334195496024624E-6</v>
      </c>
      <c r="AM39" s="8">
        <f>IF($A39=AM$1,0,IF(SUM(IMshareM!AM$2:AM$78)-IMshareM!AM$39&gt;0,IMshareM!AM39/(SUM(IMshareM!AM$2:AM$78)-IMshareM!AM$39),0))</f>
        <v>0</v>
      </c>
      <c r="AN39" s="8">
        <f>IF($A39=AN$1,0,IF(SUM(IMshareM!AN$2:AN$78)-IMshareM!AN$40&gt;0,IMshareM!AN39/(SUM(IMshareM!AN$2:AN$78)-IMshareM!AN$40),0))</f>
        <v>0</v>
      </c>
      <c r="AO39" s="8">
        <f>IF($A39=AO$1,0,IF(SUM(IMshareM!AO$2:AO$78)-IMshareM!AO$41&gt;0,IMshareM!AO39/(SUM(IMshareM!AO$2:AO$78)-IMshareM!AO$41),0))</f>
        <v>0</v>
      </c>
      <c r="AP39" s="8">
        <f>IF($A39=AP$1,0,IF(SUM(IMshareM!AP$2:AP$78)-IMshareM!AP$42&gt;0,IMshareM!AP39/(SUM(IMshareM!AP$2:AP$78)-IMshareM!AP$42),0))</f>
        <v>0</v>
      </c>
      <c r="AQ39" s="8">
        <f>IF($A39=AQ$1,0,IF(SUM(IMshareM!AQ$2:AQ$78)-IMshareM!AQ$43&gt;0,IMshareM!AQ39/(SUM(IMshareM!AQ$2:AQ$78)-IMshareM!AQ$43),0))</f>
        <v>0</v>
      </c>
      <c r="AR39" s="8">
        <f>IF($A39=AR$1,0,IF(SUM(IMshareM!AR$2:AR$78)-IMshareM!AR$44&gt;0,IMshareM!AR39/(SUM(IMshareM!AR$2:AR$78)-IMshareM!AR$44),0))</f>
        <v>0</v>
      </c>
      <c r="AS39" s="8">
        <f>IF($A39=AS$1,0,IF(SUM(IMshareM!AS$2:AS$78)-IMshareM!AS$45&gt;0,IMshareM!AS39/(SUM(IMshareM!AS$2:AS$78)-IMshareM!AS$45),0))</f>
        <v>0</v>
      </c>
      <c r="AT39" s="8">
        <f>IF($A39=AT$1,0,IF(SUM(IMshareM!AT$2:AT$78)-IMshareM!AT$46&gt;0,IMshareM!AT39/(SUM(IMshareM!AT$2:AT$78)-IMshareM!AT$46),0))</f>
        <v>0</v>
      </c>
      <c r="AU39" s="8">
        <f>IF($A39=AU$1,0,IF(SUM(IMshareM!AU$2:AU$78)-IMshareM!AU$47&gt;0,IMshareM!AU39/(SUM(IMshareM!AU$2:AU$78)-IMshareM!AU$47),0))</f>
        <v>0</v>
      </c>
      <c r="AV39" s="8">
        <f>IF($A39=AV$1,0,IF(SUM(IMshareM!AV$2:AV$78)-IMshareM!AV$48&gt;0,IMshareM!AV39/(SUM(IMshareM!AV$2:AV$78)-IMshareM!AV$48),0))</f>
        <v>0</v>
      </c>
      <c r="AW39" s="8">
        <f>IF($A39=AW$1,0,IF(SUM(IMshareM!AW$2:AW$78)-IMshareM!AW$49&gt;0,IMshareM!AW39/(SUM(IMshareM!AW$2:AW$78)-IMshareM!AW$49),0))</f>
        <v>0</v>
      </c>
      <c r="AX39" s="8">
        <f>IF($A39=AX$1,0,IF(SUM(IMshareM!AX$2:AX$78)-IMshareM!AX$50&gt;0,IMshareM!AX39/(SUM(IMshareM!AX$2:AX$78)-IMshareM!AX$50),0))</f>
        <v>0</v>
      </c>
      <c r="AY39" s="8">
        <f>IF($A39=AY$1,0,IF(SUM(IMshareM!AY$2:AY$78)-IMshareM!AY$51&gt;0,IMshareM!AY39/(SUM(IMshareM!AY$2:AY$78)-IMshareM!AY$51),0))</f>
        <v>0</v>
      </c>
      <c r="AZ39" s="8">
        <f>IF($A39=AZ$1,0,IF(SUM(IMshareM!AZ$2:AZ$78)-IMshareM!AZ$52&gt;0,IMshareM!AZ39/(SUM(IMshareM!AZ$2:AZ$78)-IMshareM!AZ$52),0))</f>
        <v>0</v>
      </c>
      <c r="BA39" s="8">
        <f>IF($A39=BA$1,0,IF(SUM(IMshareM!BA$2:BA$78)-IMshareM!BA$53&gt;0,IMshareM!BA39/(SUM(IMshareM!BA$2:BA$78)-IMshareM!BA$53),0))</f>
        <v>0</v>
      </c>
      <c r="BB39" s="8">
        <f>IF($A39=BB$1,0,IF(SUM(IMshareM!BB$2:BB$78)-IMshareM!BB$54&gt;0,IMshareM!BB39/(SUM(IMshareM!BB$2:BB$78)-IMshareM!BB$54),0))</f>
        <v>7.9636667894074137E-6</v>
      </c>
      <c r="BC39" s="8">
        <f>IF($A39=BC$1,0,IF(SUM(IMshareM!BC$2:BC$78)-IMshareM!BC$55&gt;0,IMshareM!BC39/(SUM(IMshareM!BC$2:BC$78)-IMshareM!BC$55),0))</f>
        <v>0</v>
      </c>
      <c r="BD39" s="8">
        <f>IF($A39=BD$1,0,IF(SUM(IMshareM!BD$2:BD$78)-IMshareM!BD$56&gt;0,IMshareM!BD39/(SUM(IMshareM!BD$2:BD$78)-IMshareM!BD$56),0))</f>
        <v>0</v>
      </c>
      <c r="BE39" s="8">
        <f>IF($A39=BE$1,0,IF(SUM(IMshareM!BE$2:BE$78)-IMshareM!BE$57&gt;0,IMshareM!BE39/(SUM(IMshareM!BE$2:BE$78)-IMshareM!BE$57),0))</f>
        <v>0</v>
      </c>
      <c r="BF39" s="8">
        <f>IF($A39=BF$1,0,IF(SUM(IMshareM!BF$2:BF$78)-IMshareM!BF$58&gt;0,IMshareM!BF39/(SUM(IMshareM!BF$2:BF$78)-IMshareM!BF$58),0))</f>
        <v>0</v>
      </c>
      <c r="BG39" s="8">
        <f>IF($A39=BG$1,0,IF(SUM(IMshareM!BG$2:BG$78)-IMshareM!BG$59&gt;0,IMshareM!BG39/(SUM(IMshareM!BG$2:BG$78)-IMshareM!BG$59),0))</f>
        <v>6.4683690106993204E-6</v>
      </c>
      <c r="BH39" s="8">
        <f>IF($A39=BH$1,0,IF(SUM(IMshareM!BH$2:BH$78)-IMshareM!BH$60&gt;0,IMshareM!BH39/(SUM(IMshareM!BH$2:BH$78)-IMshareM!BH$60),0))</f>
        <v>3.640910204765586E-6</v>
      </c>
      <c r="BI39" s="8">
        <f>IF($A39=BI$1,0,IF(SUM(IMshareM!BI$2:BI$78)-IMshareM!BI$61&gt;0,IMshareM!BI39/(SUM(IMshareM!BI$2:BI$78)-IMshareM!BI$61),0))</f>
        <v>0</v>
      </c>
      <c r="BJ39" s="8">
        <f>IF($A39=BJ$1,0,IF(SUM(IMshareM!BJ$2:BJ$78)-IMshareM!BJ$62&gt;0,IMshareM!BJ39/(SUM(IMshareM!BJ$2:BJ$78)-IMshareM!BJ$62),0))</f>
        <v>0</v>
      </c>
      <c r="BK39" s="8">
        <f>IF($A39=BK$1,0,IF(SUM(IMshareM!BK$2:BK$78)-IMshareM!BK$63&gt;0,IMshareM!BK39/(SUM(IMshareM!BK$2:BK$78)-IMshareM!BK$63),0))</f>
        <v>0</v>
      </c>
      <c r="BL39" s="8">
        <f>IF($A39=BL$1,0,IF(SUM(IMshareM!BL$2:BL$78)-IMshareM!BL$64&gt;0,IMshareM!BL39/(SUM(IMshareM!BL$2:BL$78)-IMshareM!BL$64),0))</f>
        <v>1.3063875407791169E-4</v>
      </c>
      <c r="BM39" s="8">
        <f>IF($A39=BM$1,0,IF(SUM(IMshareM!BM$2:BM$78)-IMshareM!BM$65&gt;0,IMshareM!BM39/(SUM(IMshareM!BM$2:BM$78)-IMshareM!BM$65),0))</f>
        <v>0</v>
      </c>
      <c r="BN39" s="8">
        <f>IF($A39=BN$1,0,IF(SUM(IMshareM!BN$2:BN$78)-IMshareM!BN$66&gt;0,IMshareM!BN39/(SUM(IMshareM!BN$2:BN$78)-IMshareM!BN$66),0))</f>
        <v>3.4588177340343251E-6</v>
      </c>
      <c r="BO39" s="8">
        <f>IF($A39=BO$1,0,IF(SUM(IMshareM!BO$2:BO$78)-IMshareM!BO$67&gt;0,IMshareM!BO39/(SUM(IMshareM!BO$2:BO$78)-IMshareM!BO$67),0))</f>
        <v>1.8257032033072375E-6</v>
      </c>
      <c r="BP39" s="8">
        <f>IF($A39=BP$1,0,IF(SUM(IMshareM!BP$2:BP$78)-IMshareM!BP$68&gt;0,IMshareM!BP39/(SUM(IMshareM!BP$2:BP$78)-IMshareM!BP$68),0))</f>
        <v>0</v>
      </c>
      <c r="BQ39" s="8">
        <f>IF($A39=BQ$1,0,IF(SUM(IMshareM!BQ$2:BQ$78)-IMshareM!BQ$69&gt;0,IMshareM!BQ39/(SUM(IMshareM!BQ$2:BQ$78)-IMshareM!BQ$69),0))</f>
        <v>1.4572979689438976E-5</v>
      </c>
      <c r="BR39" s="8">
        <f>IF($A39=BR$1,0,IF(SUM(IMshareM!BR$2:BR$78)-IMshareM!BR$70&gt;0,IMshareM!BR39/(SUM(IMshareM!BR$2:BR$78)-IMshareM!BR$70),0))</f>
        <v>9.0072988146630179E-7</v>
      </c>
      <c r="BS39" s="8">
        <f>IF($A39=BS$1,0,IF(SUM(IMshareM!BS$2:BS$78)-IMshareM!BS$71&gt;0,IMshareM!BS39/(SUM(IMshareM!BS$2:BS$78)-IMshareM!BS$71),0))</f>
        <v>0</v>
      </c>
      <c r="BT39" s="8">
        <f>IF($A39=BT$1,0,IF(SUM(IMshareM!BT$2:BT$78)-IMshareM!BT$72&gt;0,IMshareM!BT39/(SUM(IMshareM!BT$2:BT$78)-IMshareM!BT$72),0))</f>
        <v>9.1329020251087917E-7</v>
      </c>
      <c r="BU39" s="8">
        <f>IF($A39=BU$1,0,IF(SUM(IMshareM!BU$2:BU$78)-IMshareM!BU$73&gt;0,IMshareM!BU39/(SUM(IMshareM!BU$2:BU$78)-IMshareM!BU$73),0))</f>
        <v>0</v>
      </c>
      <c r="BV39" s="8">
        <f>IF($A39=BV$1,0,IF(SUM(IMshareM!BV$2:BV$78)-IMshareM!BV$74&gt;0,IMshareM!BV39/(SUM(IMshareM!BV$2:BV$78)-IMshareM!BV$74),0))</f>
        <v>0</v>
      </c>
      <c r="BW39" s="8">
        <f>IF($A39=BW$1,0,IF(SUM(IMshareM!BW$2:BW$78)-IMshareM!BW$75&gt;0,IMshareM!BW39/(SUM(IMshareM!BW$2:BW$78)-IMshareM!BW$75),0))</f>
        <v>8.2660463734340084E-5</v>
      </c>
      <c r="BX39" s="8">
        <f>IF($A39=BX$1,0,IF(SUM(IMshareM!BX$2:BX$78)-IMshareM!BX$76&gt;0,IMshareM!BX39/(SUM(IMshareM!BX$2:BX$78)-IMshareM!BX$76),0))</f>
        <v>0</v>
      </c>
      <c r="BY39" s="8">
        <f>IF($A39=BY$1,0,IF(SUM(IMshareM!BY$2:BY$78)-IMshareM!BY$77&gt;0,IMshareM!BY39/(SUM(IMshareM!BY$2:BY$78)-IMshareM!BY$77),0))</f>
        <v>1.1211883291270593E-6</v>
      </c>
      <c r="BZ39" s="8">
        <f>IF($A39=BZ$1,0,IF(SUM(IMshareM!BZ$2:BZ$78)-IMshareM!BZ$78&gt;0,IMshareM!BZ39/(SUM(IMshareM!BZ$2:BZ$78)-IMshareM!BZ$78),0))</f>
        <v>9.5602919124749343E-5</v>
      </c>
    </row>
    <row r="40" spans="1:78">
      <c r="A40" s="4" t="s">
        <v>147</v>
      </c>
      <c r="B40" s="8">
        <f>IF($A40=B$1,0,IF(SUM(IMshareM!B$2:B$78)-IMshareM!B$2&gt;0,IMshareM!B40/(SUM(IMshareM!B$2:B$78)-IMshareM!B$2),0))</f>
        <v>2.7735000135421111E-2</v>
      </c>
      <c r="C40" s="8">
        <f>IF($A40=C$1,0,IF(SUM(IMshareM!C$2:C$78)-IMshareM!C$3&gt;0,IMshareM!C40/(SUM(IMshareM!C$2:C$78)-IMshareM!C$3),0))</f>
        <v>2.5040635157996882E-2</v>
      </c>
      <c r="D40" s="8">
        <f>IF($A40=D$1,0,IF(SUM(IMshareM!D$2:D$78)-IMshareM!D$4&gt;0,IMshareM!D40/(SUM(IMshareM!D$2:D$78)-IMshareM!D$4),0))</f>
        <v>7.9570378459888104E-3</v>
      </c>
      <c r="E40" s="8">
        <f>IF($A40=E$1,0,IF(SUM(IMshareM!E$2:E$78)-IMshareM!E$5&gt;0,IMshareM!E40/(SUM(IMshareM!E$2:E$78)-IMshareM!E$5),0))</f>
        <v>1.3027569437947672E-2</v>
      </c>
      <c r="F40" s="8">
        <f>IF($A40=F$1,0,IF(SUM(IMshareM!F$2:F$78)-IMshareM!F$6&gt;0,IMshareM!F40/(SUM(IMshareM!F$2:F$78)-IMshareM!F$6),0))</f>
        <v>4.7488880298474603E-2</v>
      </c>
      <c r="G40" s="8">
        <f>IF($A40=G$1,0,IF(SUM(IMshareM!G$2:G$78)-IMshareM!G$7&gt;0,IMshareM!G40/(SUM(IMshareM!G$2:G$78)-IMshareM!G$7),0))</f>
        <v>0.16265304307729236</v>
      </c>
      <c r="H40" s="8">
        <f>IF($A40=H$1,0,IF(SUM(IMshareM!H$2:H$78)-IMshareM!H$8&gt;0,IMshareM!H40/(SUM(IMshareM!H$2:H$78)-IMshareM!H$8),0))</f>
        <v>4.7877003244266688E-4</v>
      </c>
      <c r="I40" s="8">
        <f>IF($A40=I$1,0,IF(SUM(IMshareM!I$2:I$78)-IMshareM!I$9&gt;0,IMshareM!I40/(SUM(IMshareM!I$2:I$78)-IMshareM!I$9),0))</f>
        <v>6.8189364775059824E-2</v>
      </c>
      <c r="J40" s="8">
        <f>IF($A40=J$1,0,IF(SUM(IMshareM!J$2:J$78)-IMshareM!J$10&gt;0,IMshareM!J40/(SUM(IMshareM!J$2:J$78)-IMshareM!J$10),0))</f>
        <v>3.9176693287368537E-2</v>
      </c>
      <c r="K40" s="8">
        <f>IF($A40=K$1,0,IF(SUM(IMshareM!K$2:K$78)-IMshareM!K$11&gt;0,IMshareM!K40/(SUM(IMshareM!K$2:K$78)-IMshareM!K$11),0))</f>
        <v>4.4073026913691027E-2</v>
      </c>
      <c r="L40" s="8">
        <f>IF($A40=L$1,0,IF(SUM(IMshareM!L$2:L$78)-IMshareM!L$12&gt;0,IMshareM!L40/(SUM(IMshareM!L$2:L$78)-IMshareM!L$12),0))</f>
        <v>4.5245484007157749E-2</v>
      </c>
      <c r="M40" s="8">
        <f>IF($A40=M$1,0,IF(SUM(IMshareM!M$2:M$78)-IMshareM!M$13&gt;0,IMshareM!M40/(SUM(IMshareM!M$2:M$78)-IMshareM!M$13),0))</f>
        <v>7.7287512791064856E-4</v>
      </c>
      <c r="N40" s="8">
        <f>IF($A40=N$1,0,IF(SUM(IMshareM!N$2:N$78)-IMshareM!N$14&gt;0,IMshareM!N40/(SUM(IMshareM!N$2:N$78)-IMshareM!N$14),0))</f>
        <v>0.2383580764873626</v>
      </c>
      <c r="O40" s="8">
        <f>IF($A40=O$1,0,IF(SUM(IMshareM!O$2:O$78)-IMshareM!O$15&gt;0,IMshareM!O40/(SUM(IMshareM!O$2:O$78)-IMshareM!O$15),0))</f>
        <v>6.153480835986172E-3</v>
      </c>
      <c r="P40" s="8">
        <f>IF($A40=P$1,0,IF(SUM(IMshareM!P$2:P$78)-IMshareM!P$16&gt;0,IMshareM!P40/(SUM(IMshareM!P$2:P$78)-IMshareM!P$16),0))</f>
        <v>1.4344651821068051E-4</v>
      </c>
      <c r="Q40" s="8">
        <f>IF($A40=Q$1,0,IF(SUM(IMshareM!Q$2:Q$78)-IMshareM!Q$17&gt;0,IMshareM!Q40/(SUM(IMshareM!Q$2:Q$78)-IMshareM!Q$17),0))</f>
        <v>6.6636478003865539E-3</v>
      </c>
      <c r="R40" s="8">
        <f>IF($A40=R$1,0,IF(SUM(IMshareM!R$2:R$78)-IMshareM!R$18&gt;0,IMshareM!R40/(SUM(IMshareM!R$2:R$78)-IMshareM!R$18),0))</f>
        <v>1.3534177749529844E-2</v>
      </c>
      <c r="S40" s="8">
        <f>IF($A40=S$1,0,IF(SUM(IMshareM!S$2:S$78)-IMshareM!S$19&gt;0,IMshareM!S40/(SUM(IMshareM!S$2:S$78)-IMshareM!S$19),0))</f>
        <v>9.5501912271489281E-4</v>
      </c>
      <c r="T40" s="8">
        <f>IF($A40=T$1,0,IF(SUM(IMshareM!T$2:T$78)-IMshareM!T$20&gt;0,IMshareM!T40/(SUM(IMshareM!T$2:T$78)-IMshareM!T$20),0))</f>
        <v>6.2384790688877471E-2</v>
      </c>
      <c r="U40" s="8">
        <f>IF($A40=U$1,0,IF(SUM(IMshareM!U$2:U$78)-IMshareM!U$21&gt;0,IMshareM!U40/(SUM(IMshareM!U$2:U$78)-IMshareM!U$21),0))</f>
        <v>2.2061814352075975E-2</v>
      </c>
      <c r="V40" s="8">
        <f>IF($A40=V$1,0,IF(SUM(IMshareM!V$2:V$78)-IMshareM!V$22&gt;0,IMshareM!V40/(SUM(IMshareM!V$2:V$78)-IMshareM!V$22),0))</f>
        <v>4.1003052293167022E-3</v>
      </c>
      <c r="W40" s="8">
        <f>IF($A40=W$1,0,IF(SUM(IMshareM!W$2:W$78)-IMshareM!W$23&gt;0,IMshareM!W40/(SUM(IMshareM!W$2:W$78)-IMshareM!W$23),0))</f>
        <v>5.5827416305911336E-3</v>
      </c>
      <c r="X40" s="8">
        <f>IF($A40=X$1,0,IF(SUM(IMshareM!X$2:X$78)-IMshareM!X$24&gt;0,IMshareM!X40/(SUM(IMshareM!X$2:X$78)-IMshareM!X$24),0))</f>
        <v>3.3747811009100029E-2</v>
      </c>
      <c r="Y40" s="8">
        <f>IF($A40=Y$1,0,IF(SUM(IMshareM!Y$2:Y$78)-IMshareM!Y$25&gt;0,IMshareM!Y40/(SUM(IMshareM!Y$2:Y$78)-IMshareM!Y$25),0))</f>
        <v>3.4456895945585937E-2</v>
      </c>
      <c r="Z40" s="8">
        <f>IF($A40=Z$1,0,IF(SUM(IMshareM!Z$2:Z$78)-IMshareM!Z$26&gt;0,IMshareM!Z40/(SUM(IMshareM!Z$2:Z$78)-IMshareM!Z$26),0))</f>
        <v>1.6739804204918815E-2</v>
      </c>
      <c r="AA40" s="8">
        <f>IF($A40=AA$1,0,IF(SUM(IMshareM!AA$2:AA$78)-IMshareM!AA$27&gt;0,IMshareM!AA40/(SUM(IMshareM!AA$2:AA$78)-IMshareM!AA$27),0))</f>
        <v>3.0103358534393665E-2</v>
      </c>
      <c r="AB40" s="8">
        <f>IF($A40=AB$1,0,IF(SUM(IMshareM!AB$2:AB$78)-IMshareM!AB$28&gt;0,IMshareM!AB40/(SUM(IMshareM!AB$2:AB$78)-IMshareM!AB$28),0))</f>
        <v>2.7965114778457895E-2</v>
      </c>
      <c r="AC40" s="8">
        <f>IF($A40=AC$1,0,IF(SUM(IMshareM!AC$2:AC$78)-IMshareM!AC$29&gt;0,IMshareM!AC40/(SUM(IMshareM!AC$2:AC$78)-IMshareM!AC$29),0))</f>
        <v>2.414299111640273E-2</v>
      </c>
      <c r="AD40" s="8">
        <f>IF($A40=AD$1,0,IF(SUM(IMshareM!AD$2:AD$78)-IMshareM!AD$30&gt;0,IMshareM!AD40/(SUM(IMshareM!AD$2:AD$78)-IMshareM!AD$30),0))</f>
        <v>7.8413020939906881E-3</v>
      </c>
      <c r="AE40" s="8">
        <f>IF($A40=AE$1,0,IF(SUM(IMshareM!AE$2:AE$78)-IMshareM!AE$31&gt;0,IMshareM!AE40/(SUM(IMshareM!AE$2:AE$78)-IMshareM!AE$31),0))</f>
        <v>4.4503015102118028E-4</v>
      </c>
      <c r="AF40" s="8">
        <f>IF($A40=AF$1,0,IF(SUM(IMshareM!AF$2:AF$78)-IMshareM!AF$32&gt;0,IMshareM!AF40/(SUM(IMshareM!AF$2:AF$78)-IMshareM!AF$32),0))</f>
        <v>3.9413482388988307E-2</v>
      </c>
      <c r="AG40" s="8">
        <f>IF($A40=AG$1,0,IF(SUM(IMshareM!AG$2:AG$78)-IMshareM!AG$33&gt;0,IMshareM!AG40/(SUM(IMshareM!AG$2:AG$78)-IMshareM!AG$33),0))</f>
        <v>7.906082495308453E-2</v>
      </c>
      <c r="AH40" s="8">
        <f>IF($A40=AH$1,0,IF(SUM(IMshareM!AH$2:AH$78)-IMshareM!AH$34&gt;0,IMshareM!AH40/(SUM(IMshareM!AH$2:AH$78)-IMshareM!AH$34),0))</f>
        <v>5.7341790717592579E-2</v>
      </c>
      <c r="AI40" s="8">
        <f>IF($A40=AI$1,0,IF(SUM(IMshareM!AI$2:AI$78)-IMshareM!AI$35&gt;0,IMshareM!AI40/(SUM(IMshareM!AI$2:AI$78)-IMshareM!AI$35),0))</f>
        <v>1.7116342288000925E-2</v>
      </c>
      <c r="AJ40" s="8">
        <f>IF($A40=AJ$1,0,IF(SUM(IMshareM!AJ$2:AJ$78)-IMshareM!AJ$36&gt;0,IMshareM!AJ40/(SUM(IMshareM!AJ$2:AJ$78)-IMshareM!AJ$36),0))</f>
        <v>1.4131450371729101E-2</v>
      </c>
      <c r="AK40" s="8">
        <f>IF($A40=AK$1,0,IF(SUM(IMshareM!AK$2:AK$78)-IMshareM!AK$37&gt;0,IMshareM!AK40/(SUM(IMshareM!AK$2:AK$78)-IMshareM!AK$37),0))</f>
        <v>1.9659657393524418E-2</v>
      </c>
      <c r="AL40" s="8">
        <f>IF($A40=AL$1,0,IF(SUM(IMshareM!AL$2:AL$78)-IMshareM!AL$38&gt;0,IMshareM!AL40/(SUM(IMshareM!AL$2:AL$78)-IMshareM!AL$38),0))</f>
        <v>8.6756926159886182E-3</v>
      </c>
      <c r="AM40" s="8">
        <f>IF($A40=AM$1,0,IF(SUM(IMshareM!AM$2:AM$78)-IMshareM!AM$39&gt;0,IMshareM!AM40/(SUM(IMshareM!AM$2:AM$78)-IMshareM!AM$39),0))</f>
        <v>2.590649338436752E-2</v>
      </c>
      <c r="AN40" s="8">
        <f>IF($A40=AN$1,0,IF(SUM(IMshareM!AN$2:AN$78)-IMshareM!AN$40&gt;0,IMshareM!AN40/(SUM(IMshareM!AN$2:AN$78)-IMshareM!AN$40),0))</f>
        <v>0</v>
      </c>
      <c r="AO40" s="8">
        <f>IF($A40=AO$1,0,IF(SUM(IMshareM!AO$2:AO$78)-IMshareM!AO$41&gt;0,IMshareM!AO40/(SUM(IMshareM!AO$2:AO$78)-IMshareM!AO$41),0))</f>
        <v>1.2981503590530547E-3</v>
      </c>
      <c r="AP40" s="8">
        <f>IF($A40=AP$1,0,IF(SUM(IMshareM!AP$2:AP$78)-IMshareM!AP$42&gt;0,IMshareM!AP40/(SUM(IMshareM!AP$2:AP$78)-IMshareM!AP$42),0))</f>
        <v>8.2998484970337547E-3</v>
      </c>
      <c r="AQ40" s="8">
        <f>IF($A40=AQ$1,0,IF(SUM(IMshareM!AQ$2:AQ$78)-IMshareM!AQ$43&gt;0,IMshareM!AQ40/(SUM(IMshareM!AQ$2:AQ$78)-IMshareM!AQ$43),0))</f>
        <v>5.9812054826886903E-2</v>
      </c>
      <c r="AR40" s="8">
        <f>IF($A40=AR$1,0,IF(SUM(IMshareM!AR$2:AR$78)-IMshareM!AR$44&gt;0,IMshareM!AR40/(SUM(IMshareM!AR$2:AR$78)-IMshareM!AR$44),0))</f>
        <v>2.2946501288127269E-4</v>
      </c>
      <c r="AS40" s="8">
        <f>IF($A40=AS$1,0,IF(SUM(IMshareM!AS$2:AS$78)-IMshareM!AS$45&gt;0,IMshareM!AS40/(SUM(IMshareM!AS$2:AS$78)-IMshareM!AS$45),0))</f>
        <v>1.8016389753483436E-2</v>
      </c>
      <c r="AT40" s="8">
        <f>IF($A40=AT$1,0,IF(SUM(IMshareM!AT$2:AT$78)-IMshareM!AT$46&gt;0,IMshareM!AT40/(SUM(IMshareM!AT$2:AT$78)-IMshareM!AT$46),0))</f>
        <v>0.602422194959775</v>
      </c>
      <c r="AU40" s="8">
        <f>IF($A40=AU$1,0,IF(SUM(IMshareM!AU$2:AU$78)-IMshareM!AU$47&gt;0,IMshareM!AU40/(SUM(IMshareM!AU$2:AU$78)-IMshareM!AU$47),0))</f>
        <v>1.465507349479822E-3</v>
      </c>
      <c r="AV40" s="8">
        <f>IF($A40=AV$1,0,IF(SUM(IMshareM!AV$2:AV$78)-IMshareM!AV$48&gt;0,IMshareM!AV40/(SUM(IMshareM!AV$2:AV$78)-IMshareM!AV$48),0))</f>
        <v>3.5528102536704874E-3</v>
      </c>
      <c r="AW40" s="8">
        <f>IF($A40=AW$1,0,IF(SUM(IMshareM!AW$2:AW$78)-IMshareM!AW$49&gt;0,IMshareM!AW40/(SUM(IMshareM!AW$2:AW$78)-IMshareM!AW$49),0))</f>
        <v>6.1130194590095749E-2</v>
      </c>
      <c r="AX40" s="8">
        <f>IF($A40=AX$1,0,IF(SUM(IMshareM!AX$2:AX$78)-IMshareM!AX$50&gt;0,IMshareM!AX40/(SUM(IMshareM!AX$2:AX$78)-IMshareM!AX$50),0))</f>
        <v>6.94864747695949E-4</v>
      </c>
      <c r="AY40" s="8">
        <f>IF($A40=AY$1,0,IF(SUM(IMshareM!AY$2:AY$78)-IMshareM!AY$51&gt;0,IMshareM!AY40/(SUM(IMshareM!AY$2:AY$78)-IMshareM!AY$51),0))</f>
        <v>5.632982325597409E-2</v>
      </c>
      <c r="AZ40" s="8">
        <f>IF($A40=AZ$1,0,IF(SUM(IMshareM!AZ$2:AZ$78)-IMshareM!AZ$52&gt;0,IMshareM!AZ40/(SUM(IMshareM!AZ$2:AZ$78)-IMshareM!AZ$52),0))</f>
        <v>6.5588414768157036E-2</v>
      </c>
      <c r="BA40" s="8">
        <f>IF($A40=BA$1,0,IF(SUM(IMshareM!BA$2:BA$78)-IMshareM!BA$53&gt;0,IMshareM!BA40/(SUM(IMshareM!BA$2:BA$78)-IMshareM!BA$53),0))</f>
        <v>3.1008779541986872E-3</v>
      </c>
      <c r="BB40" s="8">
        <f>IF($A40=BB$1,0,IF(SUM(IMshareM!BB$2:BB$78)-IMshareM!BB$54&gt;0,IMshareM!BB40/(SUM(IMshareM!BB$2:BB$78)-IMshareM!BB$54),0))</f>
        <v>5.9066753020265969E-2</v>
      </c>
      <c r="BC40" s="8">
        <f>IF($A40=BC$1,0,IF(SUM(IMshareM!BC$2:BC$78)-IMshareM!BC$55&gt;0,IMshareM!BC40/(SUM(IMshareM!BC$2:BC$78)-IMshareM!BC$55),0))</f>
        <v>9.2183890660645796E-3</v>
      </c>
      <c r="BD40" s="8">
        <f>IF($A40=BD$1,0,IF(SUM(IMshareM!BD$2:BD$78)-IMshareM!BD$56&gt;0,IMshareM!BD40/(SUM(IMshareM!BD$2:BD$78)-IMshareM!BD$56),0))</f>
        <v>3.2086704684611084E-2</v>
      </c>
      <c r="BE40" s="8">
        <f>IF($A40=BE$1,0,IF(SUM(IMshareM!BE$2:BE$78)-IMshareM!BE$57&gt;0,IMshareM!BE40/(SUM(IMshareM!BE$2:BE$78)-IMshareM!BE$57),0))</f>
        <v>1.1664162203449679E-2</v>
      </c>
      <c r="BF40" s="8">
        <f>IF($A40=BF$1,0,IF(SUM(IMshareM!BF$2:BF$78)-IMshareM!BF$58&gt;0,IMshareM!BF40/(SUM(IMshareM!BF$2:BF$78)-IMshareM!BF$58),0))</f>
        <v>2.056348771567542E-2</v>
      </c>
      <c r="BG40" s="8">
        <f>IF($A40=BG$1,0,IF(SUM(IMshareM!BG$2:BG$78)-IMshareM!BG$59&gt;0,IMshareM!BG40/(SUM(IMshareM!BG$2:BG$78)-IMshareM!BG$59),0))</f>
        <v>5.5670875275066652E-2</v>
      </c>
      <c r="BH40" s="8">
        <f>IF($A40=BH$1,0,IF(SUM(IMshareM!BH$2:BH$78)-IMshareM!BH$60&gt;0,IMshareM!BH40/(SUM(IMshareM!BH$2:BH$78)-IMshareM!BH$60),0))</f>
        <v>1.013150619884761E-2</v>
      </c>
      <c r="BI40" s="8">
        <f>IF($A40=BI$1,0,IF(SUM(IMshareM!BI$2:BI$78)-IMshareM!BI$61&gt;0,IMshareM!BI40/(SUM(IMshareM!BI$2:BI$78)-IMshareM!BI$61),0))</f>
        <v>1.2610522467331615E-2</v>
      </c>
      <c r="BJ40" s="8">
        <f>IF($A40=BJ$1,0,IF(SUM(IMshareM!BJ$2:BJ$78)-IMshareM!BJ$62&gt;0,IMshareM!BJ40/(SUM(IMshareM!BJ$2:BJ$78)-IMshareM!BJ$62),0))</f>
        <v>7.6199934351308361E-3</v>
      </c>
      <c r="BK40" s="8">
        <f>IF($A40=BK$1,0,IF(SUM(IMshareM!BK$2:BK$78)-IMshareM!BK$63&gt;0,IMshareM!BK40/(SUM(IMshareM!BK$2:BK$78)-IMshareM!BK$63),0))</f>
        <v>6.7548534654154639E-3</v>
      </c>
      <c r="BL40" s="8">
        <f>IF($A40=BL$1,0,IF(SUM(IMshareM!BL$2:BL$78)-IMshareM!BL$64&gt;0,IMshareM!BL40/(SUM(IMshareM!BL$2:BL$78)-IMshareM!BL$64),0))</f>
        <v>2.934578510796795E-2</v>
      </c>
      <c r="BM40" s="8">
        <f>IF($A40=BM$1,0,IF(SUM(IMshareM!BM$2:BM$78)-IMshareM!BM$65&gt;0,IMshareM!BM40/(SUM(IMshareM!BM$2:BM$78)-IMshareM!BM$65),0))</f>
        <v>2.6668500781989735E-3</v>
      </c>
      <c r="BN40" s="8">
        <f>IF($A40=BN$1,0,IF(SUM(IMshareM!BN$2:BN$78)-IMshareM!BN$66&gt;0,IMshareM!BN40/(SUM(IMshareM!BN$2:BN$78)-IMshareM!BN$66),0))</f>
        <v>9.1971246648174326E-2</v>
      </c>
      <c r="BO40" s="8">
        <f>IF($A40=BO$1,0,IF(SUM(IMshareM!BO$2:BO$78)-IMshareM!BO$67&gt;0,IMshareM!BO40/(SUM(IMshareM!BO$2:BO$78)-IMshareM!BO$67),0))</f>
        <v>6.4851119514114444E-3</v>
      </c>
      <c r="BP40" s="8">
        <f>IF($A40=BP$1,0,IF(SUM(IMshareM!BP$2:BP$78)-IMshareM!BP$68&gt;0,IMshareM!BP40/(SUM(IMshareM!BP$2:BP$78)-IMshareM!BP$68),0))</f>
        <v>2.4222377554993037E-2</v>
      </c>
      <c r="BQ40" s="8">
        <f>IF($A40=BQ$1,0,IF(SUM(IMshareM!BQ$2:BQ$78)-IMshareM!BQ$69&gt;0,IMshareM!BQ40/(SUM(IMshareM!BQ$2:BQ$78)-IMshareM!BQ$69),0))</f>
        <v>7.4461954363857271E-3</v>
      </c>
      <c r="BR40" s="8">
        <f>IF($A40=BR$1,0,IF(SUM(IMshareM!BR$2:BR$78)-IMshareM!BR$70&gt;0,IMshareM!BR40/(SUM(IMshareM!BR$2:BR$78)-IMshareM!BR$70),0))</f>
        <v>0.14099091262818386</v>
      </c>
      <c r="BS40" s="8">
        <f>IF($A40=BS$1,0,IF(SUM(IMshareM!BS$2:BS$78)-IMshareM!BS$71&gt;0,IMshareM!BS40/(SUM(IMshareM!BS$2:BS$78)-IMshareM!BS$71),0))</f>
        <v>3.841166957438389E-3</v>
      </c>
      <c r="BT40" s="8">
        <f>IF($A40=BT$1,0,IF(SUM(IMshareM!BT$2:BT$78)-IMshareM!BT$72&gt;0,IMshareM!BT40/(SUM(IMshareM!BT$2:BT$78)-IMshareM!BT$72),0))</f>
        <v>3.2659066854553283E-2</v>
      </c>
      <c r="BU40" s="8">
        <f>IF($A40=BU$1,0,IF(SUM(IMshareM!BU$2:BU$78)-IMshareM!BU$73&gt;0,IMshareM!BU40/(SUM(IMshareM!BU$2:BU$78)-IMshareM!BU$73),0))</f>
        <v>0.26545976964220014</v>
      </c>
      <c r="BV40" s="8">
        <f>IF($A40=BV$1,0,IF(SUM(IMshareM!BV$2:BV$78)-IMshareM!BV$74&gt;0,IMshareM!BV40/(SUM(IMshareM!BV$2:BV$78)-IMshareM!BV$74),0))</f>
        <v>2.0512145970166609E-3</v>
      </c>
      <c r="BW40" s="8">
        <f>IF($A40=BW$1,0,IF(SUM(IMshareM!BW$2:BW$78)-IMshareM!BW$75&gt;0,IMshareM!BW40/(SUM(IMshareM!BW$2:BW$78)-IMshareM!BW$75),0))</f>
        <v>8.4121329031270869E-2</v>
      </c>
      <c r="BX40" s="8">
        <f>IF($A40=BX$1,0,IF(SUM(IMshareM!BX$2:BX$78)-IMshareM!BX$76&gt;0,IMshareM!BX40/(SUM(IMshareM!BX$2:BX$78)-IMshareM!BX$76),0))</f>
        <v>3.5720021893172312E-2</v>
      </c>
      <c r="BY40" s="8">
        <f>IF($A40=BY$1,0,IF(SUM(IMshareM!BY$2:BY$78)-IMshareM!BY$77&gt;0,IMshareM!BY40/(SUM(IMshareM!BY$2:BY$78)-IMshareM!BY$77),0))</f>
        <v>1.7500361026690642E-2</v>
      </c>
      <c r="BZ40" s="8">
        <f>IF($A40=BZ$1,0,IF(SUM(IMshareM!BZ$2:BZ$78)-IMshareM!BZ$78&gt;0,IMshareM!BZ40/(SUM(IMshareM!BZ$2:BZ$78)-IMshareM!BZ$78),0))</f>
        <v>1.7947521778484958E-2</v>
      </c>
    </row>
    <row r="41" spans="1:78">
      <c r="A41" s="4" t="s">
        <v>149</v>
      </c>
      <c r="B41" s="8">
        <f>IF($A41=B$1,0,IF(SUM(IMshareM!B$2:B$78)-IMshareM!B$2&gt;0,IMshareM!B41/(SUM(IMshareM!B$2:B$78)-IMshareM!B$2),0))</f>
        <v>0</v>
      </c>
      <c r="C41" s="8">
        <f>IF($A41=C$1,0,IF(SUM(IMshareM!C$2:C$78)-IMshareM!C$3&gt;0,IMshareM!C41/(SUM(IMshareM!C$2:C$78)-IMshareM!C$3),0))</f>
        <v>0</v>
      </c>
      <c r="D41" s="8">
        <f>IF($A41=D$1,0,IF(SUM(IMshareM!D$2:D$78)-IMshareM!D$4&gt;0,IMshareM!D41/(SUM(IMshareM!D$2:D$78)-IMshareM!D$4),0))</f>
        <v>0</v>
      </c>
      <c r="E41" s="8">
        <f>IF($A41=E$1,0,IF(SUM(IMshareM!E$2:E$78)-IMshareM!E$5&gt;0,IMshareM!E41/(SUM(IMshareM!E$2:E$78)-IMshareM!E$5),0))</f>
        <v>0</v>
      </c>
      <c r="F41" s="8">
        <f>IF($A41=F$1,0,IF(SUM(IMshareM!F$2:F$78)-IMshareM!F$6&gt;0,IMshareM!F41/(SUM(IMshareM!F$2:F$78)-IMshareM!F$6),0))</f>
        <v>0</v>
      </c>
      <c r="G41" s="8">
        <f>IF($A41=G$1,0,IF(SUM(IMshareM!G$2:G$78)-IMshareM!G$7&gt;0,IMshareM!G41/(SUM(IMshareM!G$2:G$78)-IMshareM!G$7),0))</f>
        <v>0</v>
      </c>
      <c r="H41" s="8">
        <f>IF($A41=H$1,0,IF(SUM(IMshareM!H$2:H$78)-IMshareM!H$8&gt;0,IMshareM!H41/(SUM(IMshareM!H$2:H$78)-IMshareM!H$8),0))</f>
        <v>9.7857094367648362E-3</v>
      </c>
      <c r="I41" s="8">
        <f>IF($A41=I$1,0,IF(SUM(IMshareM!I$2:I$78)-IMshareM!I$9&gt;0,IMshareM!I41/(SUM(IMshareM!I$2:I$78)-IMshareM!I$9),0))</f>
        <v>0</v>
      </c>
      <c r="J41" s="8">
        <f>IF($A41=J$1,0,IF(SUM(IMshareM!J$2:J$78)-IMshareM!J$10&gt;0,IMshareM!J41/(SUM(IMshareM!J$2:J$78)-IMshareM!J$10),0))</f>
        <v>0</v>
      </c>
      <c r="K41" s="8">
        <f>IF($A41=K$1,0,IF(SUM(IMshareM!K$2:K$78)-IMshareM!K$11&gt;0,IMshareM!K41/(SUM(IMshareM!K$2:K$78)-IMshareM!K$11),0))</f>
        <v>0</v>
      </c>
      <c r="L41" s="8">
        <f>IF($A41=L$1,0,IF(SUM(IMshareM!L$2:L$78)-IMshareM!L$12&gt;0,IMshareM!L41/(SUM(IMshareM!L$2:L$78)-IMshareM!L$12),0))</f>
        <v>0</v>
      </c>
      <c r="M41" s="8">
        <f>IF($A41=M$1,0,IF(SUM(IMshareM!M$2:M$78)-IMshareM!M$13&gt;0,IMshareM!M41/(SUM(IMshareM!M$2:M$78)-IMshareM!M$13),0))</f>
        <v>0</v>
      </c>
      <c r="N41" s="8">
        <f>IF($A41=N$1,0,IF(SUM(IMshareM!N$2:N$78)-IMshareM!N$14&gt;0,IMshareM!N41/(SUM(IMshareM!N$2:N$78)-IMshareM!N$14),0))</f>
        <v>0</v>
      </c>
      <c r="O41" s="8">
        <f>IF($A41=O$1,0,IF(SUM(IMshareM!O$2:O$78)-IMshareM!O$15&gt;0,IMshareM!O41/(SUM(IMshareM!O$2:O$78)-IMshareM!O$15),0))</f>
        <v>0</v>
      </c>
      <c r="P41" s="8">
        <f>IF($A41=P$1,0,IF(SUM(IMshareM!P$2:P$78)-IMshareM!P$16&gt;0,IMshareM!P41/(SUM(IMshareM!P$2:P$78)-IMshareM!P$16),0))</f>
        <v>0</v>
      </c>
      <c r="Q41" s="8">
        <f>IF($A41=Q$1,0,IF(SUM(IMshareM!Q$2:Q$78)-IMshareM!Q$17&gt;0,IMshareM!Q41/(SUM(IMshareM!Q$2:Q$78)-IMshareM!Q$17),0))</f>
        <v>0</v>
      </c>
      <c r="R41" s="8">
        <f>IF($A41=R$1,0,IF(SUM(IMshareM!R$2:R$78)-IMshareM!R$18&gt;0,IMshareM!R41/(SUM(IMshareM!R$2:R$78)-IMshareM!R$18),0))</f>
        <v>0</v>
      </c>
      <c r="S41" s="8">
        <f>IF($A41=S$1,0,IF(SUM(IMshareM!S$2:S$78)-IMshareM!S$19&gt;0,IMshareM!S41/(SUM(IMshareM!S$2:S$78)-IMshareM!S$19),0))</f>
        <v>0</v>
      </c>
      <c r="T41" s="8">
        <f>IF($A41=T$1,0,IF(SUM(IMshareM!T$2:T$78)-IMshareM!T$20&gt;0,IMshareM!T41/(SUM(IMshareM!T$2:T$78)-IMshareM!T$20),0))</f>
        <v>0</v>
      </c>
      <c r="U41" s="8">
        <f>IF($A41=U$1,0,IF(SUM(IMshareM!U$2:U$78)-IMshareM!U$21&gt;0,IMshareM!U41/(SUM(IMshareM!U$2:U$78)-IMshareM!U$21),0))</f>
        <v>0</v>
      </c>
      <c r="V41" s="8">
        <f>IF($A41=V$1,0,IF(SUM(IMshareM!V$2:V$78)-IMshareM!V$22&gt;0,IMshareM!V41/(SUM(IMshareM!V$2:V$78)-IMshareM!V$22),0))</f>
        <v>0</v>
      </c>
      <c r="W41" s="8">
        <f>IF($A41=W$1,0,IF(SUM(IMshareM!W$2:W$78)-IMshareM!W$23&gt;0,IMshareM!W41/(SUM(IMshareM!W$2:W$78)-IMshareM!W$23),0))</f>
        <v>0</v>
      </c>
      <c r="X41" s="8">
        <f>IF($A41=X$1,0,IF(SUM(IMshareM!X$2:X$78)-IMshareM!X$24&gt;0,IMshareM!X41/(SUM(IMshareM!X$2:X$78)-IMshareM!X$24),0))</f>
        <v>2.7351597650096736E-5</v>
      </c>
      <c r="Y41" s="8">
        <f>IF($A41=Y$1,0,IF(SUM(IMshareM!Y$2:Y$78)-IMshareM!Y$25&gt;0,IMshareM!Y41/(SUM(IMshareM!Y$2:Y$78)-IMshareM!Y$25),0))</f>
        <v>0</v>
      </c>
      <c r="Z41" s="8">
        <f>IF($A41=Z$1,0,IF(SUM(IMshareM!Z$2:Z$78)-IMshareM!Z$26&gt;0,IMshareM!Z41/(SUM(IMshareM!Z$2:Z$78)-IMshareM!Z$26),0))</f>
        <v>0</v>
      </c>
      <c r="AA41" s="8">
        <f>IF($A41=AA$1,0,IF(SUM(IMshareM!AA$2:AA$78)-IMshareM!AA$27&gt;0,IMshareM!AA41/(SUM(IMshareM!AA$2:AA$78)-IMshareM!AA$27),0))</f>
        <v>1.0118765912728476E-3</v>
      </c>
      <c r="AB41" s="8">
        <f>IF($A41=AB$1,0,IF(SUM(IMshareM!AB$2:AB$78)-IMshareM!AB$28&gt;0,IMshareM!AB41/(SUM(IMshareM!AB$2:AB$78)-IMshareM!AB$28),0))</f>
        <v>1.7148070059383492E-6</v>
      </c>
      <c r="AC41" s="8">
        <f>IF($A41=AC$1,0,IF(SUM(IMshareM!AC$2:AC$78)-IMshareM!AC$29&gt;0,IMshareM!AC41/(SUM(IMshareM!AC$2:AC$78)-IMshareM!AC$29),0))</f>
        <v>0</v>
      </c>
      <c r="AD41" s="8">
        <f>IF($A41=AD$1,0,IF(SUM(IMshareM!AD$2:AD$78)-IMshareM!AD$30&gt;0,IMshareM!AD41/(SUM(IMshareM!AD$2:AD$78)-IMshareM!AD$30),0))</f>
        <v>0</v>
      </c>
      <c r="AE41" s="8">
        <f>IF($A41=AE$1,0,IF(SUM(IMshareM!AE$2:AE$78)-IMshareM!AE$31&gt;0,IMshareM!AE41/(SUM(IMshareM!AE$2:AE$78)-IMshareM!AE$31),0))</f>
        <v>0</v>
      </c>
      <c r="AF41" s="8">
        <f>IF($A41=AF$1,0,IF(SUM(IMshareM!AF$2:AF$78)-IMshareM!AF$32&gt;0,IMshareM!AF41/(SUM(IMshareM!AF$2:AF$78)-IMshareM!AF$32),0))</f>
        <v>1.1114052586054197E-7</v>
      </c>
      <c r="AG41" s="8">
        <f>IF($A41=AG$1,0,IF(SUM(IMshareM!AG$2:AG$78)-IMshareM!AG$33&gt;0,IMshareM!AG41/(SUM(IMshareM!AG$2:AG$78)-IMshareM!AG$33),0))</f>
        <v>0</v>
      </c>
      <c r="AH41" s="8">
        <f>IF($A41=AH$1,0,IF(SUM(IMshareM!AH$2:AH$78)-IMshareM!AH$34&gt;0,IMshareM!AH41/(SUM(IMshareM!AH$2:AH$78)-IMshareM!AH$34),0))</f>
        <v>0</v>
      </c>
      <c r="AI41" s="8">
        <f>IF($A41=AI$1,0,IF(SUM(IMshareM!AI$2:AI$78)-IMshareM!AI$35&gt;0,IMshareM!AI41/(SUM(IMshareM!AI$2:AI$78)-IMshareM!AI$35),0))</f>
        <v>0</v>
      </c>
      <c r="AJ41" s="8">
        <f>IF($A41=AJ$1,0,IF(SUM(IMshareM!AJ$2:AJ$78)-IMshareM!AJ$36&gt;0,IMshareM!AJ41/(SUM(IMshareM!AJ$2:AJ$78)-IMshareM!AJ$36),0))</f>
        <v>0</v>
      </c>
      <c r="AK41" s="8">
        <f>IF($A41=AK$1,0,IF(SUM(IMshareM!AK$2:AK$78)-IMshareM!AK$37&gt;0,IMshareM!AK41/(SUM(IMshareM!AK$2:AK$78)-IMshareM!AK$37),0))</f>
        <v>0</v>
      </c>
      <c r="AL41" s="8">
        <f>IF($A41=AL$1,0,IF(SUM(IMshareM!AL$2:AL$78)-IMshareM!AL$38&gt;0,IMshareM!AL41/(SUM(IMshareM!AL$2:AL$78)-IMshareM!AL$38),0))</f>
        <v>5.2970243761830995E-6</v>
      </c>
      <c r="AM41" s="8">
        <f>IF($A41=AM$1,0,IF(SUM(IMshareM!AM$2:AM$78)-IMshareM!AM$39&gt;0,IMshareM!AM41/(SUM(IMshareM!AM$2:AM$78)-IMshareM!AM$39),0))</f>
        <v>0</v>
      </c>
      <c r="AN41" s="8">
        <f>IF($A41=AN$1,0,IF(SUM(IMshareM!AN$2:AN$78)-IMshareM!AN$40&gt;0,IMshareM!AN41/(SUM(IMshareM!AN$2:AN$78)-IMshareM!AN$40),0))</f>
        <v>0</v>
      </c>
      <c r="AO41" s="8">
        <f>IF($A41=AO$1,0,IF(SUM(IMshareM!AO$2:AO$78)-IMshareM!AO$41&gt;0,IMshareM!AO41/(SUM(IMshareM!AO$2:AO$78)-IMshareM!AO$41),0))</f>
        <v>0</v>
      </c>
      <c r="AP41" s="8">
        <f>IF($A41=AP$1,0,IF(SUM(IMshareM!AP$2:AP$78)-IMshareM!AP$42&gt;0,IMshareM!AP41/(SUM(IMshareM!AP$2:AP$78)-IMshareM!AP$42),0))</f>
        <v>0</v>
      </c>
      <c r="AQ41" s="8">
        <f>IF($A41=AQ$1,0,IF(SUM(IMshareM!AQ$2:AQ$78)-IMshareM!AQ$43&gt;0,IMshareM!AQ41/(SUM(IMshareM!AQ$2:AQ$78)-IMshareM!AQ$43),0))</f>
        <v>7.0090556364270229E-9</v>
      </c>
      <c r="AR41" s="8">
        <f>IF($A41=AR$1,0,IF(SUM(IMshareM!AR$2:AR$78)-IMshareM!AR$44&gt;0,IMshareM!AR41/(SUM(IMshareM!AR$2:AR$78)-IMshareM!AR$44),0))</f>
        <v>0</v>
      </c>
      <c r="AS41" s="8">
        <f>IF($A41=AS$1,0,IF(SUM(IMshareM!AS$2:AS$78)-IMshareM!AS$45&gt;0,IMshareM!AS41/(SUM(IMshareM!AS$2:AS$78)-IMshareM!AS$45),0))</f>
        <v>0</v>
      </c>
      <c r="AT41" s="8">
        <f>IF($A41=AT$1,0,IF(SUM(IMshareM!AT$2:AT$78)-IMshareM!AT$46&gt;0,IMshareM!AT41/(SUM(IMshareM!AT$2:AT$78)-IMshareM!AT$46),0))</f>
        <v>0</v>
      </c>
      <c r="AU41" s="8">
        <f>IF($A41=AU$1,0,IF(SUM(IMshareM!AU$2:AU$78)-IMshareM!AU$47&gt;0,IMshareM!AU41/(SUM(IMshareM!AU$2:AU$78)-IMshareM!AU$47),0))</f>
        <v>0</v>
      </c>
      <c r="AV41" s="8">
        <f>IF($A41=AV$1,0,IF(SUM(IMshareM!AV$2:AV$78)-IMshareM!AV$48&gt;0,IMshareM!AV41/(SUM(IMshareM!AV$2:AV$78)-IMshareM!AV$48),0))</f>
        <v>0</v>
      </c>
      <c r="AW41" s="8">
        <f>IF($A41=AW$1,0,IF(SUM(IMshareM!AW$2:AW$78)-IMshareM!AW$49&gt;0,IMshareM!AW41/(SUM(IMshareM!AW$2:AW$78)-IMshareM!AW$49),0))</f>
        <v>0</v>
      </c>
      <c r="AX41" s="8">
        <f>IF($A41=AX$1,0,IF(SUM(IMshareM!AX$2:AX$78)-IMshareM!AX$50&gt;0,IMshareM!AX41/(SUM(IMshareM!AX$2:AX$78)-IMshareM!AX$50),0))</f>
        <v>0</v>
      </c>
      <c r="AY41" s="8">
        <f>IF($A41=AY$1,0,IF(SUM(IMshareM!AY$2:AY$78)-IMshareM!AY$51&gt;0,IMshareM!AY41/(SUM(IMshareM!AY$2:AY$78)-IMshareM!AY$51),0))</f>
        <v>0</v>
      </c>
      <c r="AZ41" s="8">
        <f>IF($A41=AZ$1,0,IF(SUM(IMshareM!AZ$2:AZ$78)-IMshareM!AZ$52&gt;0,IMshareM!AZ41/(SUM(IMshareM!AZ$2:AZ$78)-IMshareM!AZ$52),0))</f>
        <v>0</v>
      </c>
      <c r="BA41" s="8">
        <f>IF($A41=BA$1,0,IF(SUM(IMshareM!BA$2:BA$78)-IMshareM!BA$53&gt;0,IMshareM!BA41/(SUM(IMshareM!BA$2:BA$78)-IMshareM!BA$53),0))</f>
        <v>0</v>
      </c>
      <c r="BB41" s="8">
        <f>IF($A41=BB$1,0,IF(SUM(IMshareM!BB$2:BB$78)-IMshareM!BB$54&gt;0,IMshareM!BB41/(SUM(IMshareM!BB$2:BB$78)-IMshareM!BB$54),0))</f>
        <v>1.4334674839552264E-4</v>
      </c>
      <c r="BC41" s="8">
        <f>IF($A41=BC$1,0,IF(SUM(IMshareM!BC$2:BC$78)-IMshareM!BC$55&gt;0,IMshareM!BC41/(SUM(IMshareM!BC$2:BC$78)-IMshareM!BC$55),0))</f>
        <v>0</v>
      </c>
      <c r="BD41" s="8">
        <f>IF($A41=BD$1,0,IF(SUM(IMshareM!BD$2:BD$78)-IMshareM!BD$56&gt;0,IMshareM!BD41/(SUM(IMshareM!BD$2:BD$78)-IMshareM!BD$56),0))</f>
        <v>0</v>
      </c>
      <c r="BE41" s="8">
        <f>IF($A41=BE$1,0,IF(SUM(IMshareM!BE$2:BE$78)-IMshareM!BE$57&gt;0,IMshareM!BE41/(SUM(IMshareM!BE$2:BE$78)-IMshareM!BE$57),0))</f>
        <v>0</v>
      </c>
      <c r="BF41" s="8">
        <f>IF($A41=BF$1,0,IF(SUM(IMshareM!BF$2:BF$78)-IMshareM!BF$58&gt;0,IMshareM!BF41/(SUM(IMshareM!BF$2:BF$78)-IMshareM!BF$58),0))</f>
        <v>0</v>
      </c>
      <c r="BG41" s="8">
        <f>IF($A41=BG$1,0,IF(SUM(IMshareM!BG$2:BG$78)-IMshareM!BG$59&gt;0,IMshareM!BG41/(SUM(IMshareM!BG$2:BG$78)-IMshareM!BG$59),0))</f>
        <v>0</v>
      </c>
      <c r="BH41" s="8">
        <f>IF($A41=BH$1,0,IF(SUM(IMshareM!BH$2:BH$78)-IMshareM!BH$60&gt;0,IMshareM!BH41/(SUM(IMshareM!BH$2:BH$78)-IMshareM!BH$60),0))</f>
        <v>0</v>
      </c>
      <c r="BI41" s="8">
        <f>IF($A41=BI$1,0,IF(SUM(IMshareM!BI$2:BI$78)-IMshareM!BI$61&gt;0,IMshareM!BI41/(SUM(IMshareM!BI$2:BI$78)-IMshareM!BI$61),0))</f>
        <v>0</v>
      </c>
      <c r="BJ41" s="8">
        <f>IF($A41=BJ$1,0,IF(SUM(IMshareM!BJ$2:BJ$78)-IMshareM!BJ$62&gt;0,IMshareM!BJ41/(SUM(IMshareM!BJ$2:BJ$78)-IMshareM!BJ$62),0))</f>
        <v>0</v>
      </c>
      <c r="BK41" s="8">
        <f>IF($A41=BK$1,0,IF(SUM(IMshareM!BK$2:BK$78)-IMshareM!BK$63&gt;0,IMshareM!BK41/(SUM(IMshareM!BK$2:BK$78)-IMshareM!BK$63),0))</f>
        <v>6.8544805045483645E-3</v>
      </c>
      <c r="BL41" s="8">
        <f>IF($A41=BL$1,0,IF(SUM(IMshareM!BL$2:BL$78)-IMshareM!BL$64&gt;0,IMshareM!BL41/(SUM(IMshareM!BL$2:BL$78)-IMshareM!BL$64),0))</f>
        <v>0</v>
      </c>
      <c r="BM41" s="8">
        <f>IF($A41=BM$1,0,IF(SUM(IMshareM!BM$2:BM$78)-IMshareM!BM$65&gt;0,IMshareM!BM41/(SUM(IMshareM!BM$2:BM$78)-IMshareM!BM$65),0))</f>
        <v>0</v>
      </c>
      <c r="BN41" s="8">
        <f>IF($A41=BN$1,0,IF(SUM(IMshareM!BN$2:BN$78)-IMshareM!BN$66&gt;0,IMshareM!BN41/(SUM(IMshareM!BN$2:BN$78)-IMshareM!BN$66),0))</f>
        <v>0</v>
      </c>
      <c r="BO41" s="8">
        <f>IF($A41=BO$1,0,IF(SUM(IMshareM!BO$2:BO$78)-IMshareM!BO$67&gt;0,IMshareM!BO41/(SUM(IMshareM!BO$2:BO$78)-IMshareM!BO$67),0))</f>
        <v>0</v>
      </c>
      <c r="BP41" s="8">
        <f>IF($A41=BP$1,0,IF(SUM(IMshareM!BP$2:BP$78)-IMshareM!BP$68&gt;0,IMshareM!BP41/(SUM(IMshareM!BP$2:BP$78)-IMshareM!BP$68),0))</f>
        <v>0</v>
      </c>
      <c r="BQ41" s="8">
        <f>IF($A41=BQ$1,0,IF(SUM(IMshareM!BQ$2:BQ$78)-IMshareM!BQ$69&gt;0,IMshareM!BQ41/(SUM(IMshareM!BQ$2:BQ$78)-IMshareM!BQ$69),0))</f>
        <v>0</v>
      </c>
      <c r="BR41" s="8">
        <f>IF($A41=BR$1,0,IF(SUM(IMshareM!BR$2:BR$78)-IMshareM!BR$70&gt;0,IMshareM!BR41/(SUM(IMshareM!BR$2:BR$78)-IMshareM!BR$70),0))</f>
        <v>0</v>
      </c>
      <c r="BS41" s="8">
        <f>IF($A41=BS$1,0,IF(SUM(IMshareM!BS$2:BS$78)-IMshareM!BS$71&gt;0,IMshareM!BS41/(SUM(IMshareM!BS$2:BS$78)-IMshareM!BS$71),0))</f>
        <v>0</v>
      </c>
      <c r="BT41" s="8">
        <f>IF($A41=BT$1,0,IF(SUM(IMshareM!BT$2:BT$78)-IMshareM!BT$72&gt;0,IMshareM!BT41/(SUM(IMshareM!BT$2:BT$78)-IMshareM!BT$72),0))</f>
        <v>1.9078723576521539E-7</v>
      </c>
      <c r="BU41" s="8">
        <f>IF($A41=BU$1,0,IF(SUM(IMshareM!BU$2:BU$78)-IMshareM!BU$73&gt;0,IMshareM!BU41/(SUM(IMshareM!BU$2:BU$78)-IMshareM!BU$73),0))</f>
        <v>0</v>
      </c>
      <c r="BV41" s="8">
        <f>IF($A41=BV$1,0,IF(SUM(IMshareM!BV$2:BV$78)-IMshareM!BV$74&gt;0,IMshareM!BV41/(SUM(IMshareM!BV$2:BV$78)-IMshareM!BV$74),0))</f>
        <v>0</v>
      </c>
      <c r="BW41" s="8">
        <f>IF($A41=BW$1,0,IF(SUM(IMshareM!BW$2:BW$78)-IMshareM!BW$75&gt;0,IMshareM!BW41/(SUM(IMshareM!BW$2:BW$78)-IMshareM!BW$75),0))</f>
        <v>1.2518302187017896E-4</v>
      </c>
      <c r="BX41" s="8">
        <f>IF($A41=BX$1,0,IF(SUM(IMshareM!BX$2:BX$78)-IMshareM!BX$76&gt;0,IMshareM!BX41/(SUM(IMshareM!BX$2:BX$78)-IMshareM!BX$76),0))</f>
        <v>0</v>
      </c>
      <c r="BY41" s="8">
        <f>IF($A41=BY$1,0,IF(SUM(IMshareM!BY$2:BY$78)-IMshareM!BY$77&gt;0,IMshareM!BY41/(SUM(IMshareM!BY$2:BY$78)-IMshareM!BY$77),0))</f>
        <v>0</v>
      </c>
      <c r="BZ41" s="8">
        <f>IF($A41=BZ$1,0,IF(SUM(IMshareM!BZ$2:BZ$78)-IMshareM!BZ$78&gt;0,IMshareM!BZ41/(SUM(IMshareM!BZ$2:BZ$78)-IMshareM!BZ$78),0))</f>
        <v>3.0747357801667798E-4</v>
      </c>
    </row>
    <row r="42" spans="1:78">
      <c r="A42" s="4" t="s">
        <v>151</v>
      </c>
      <c r="B42" s="8">
        <f>IF($A42=B$1,0,IF(SUM(IMshareM!B$2:B$78)-IMshareM!B$2&gt;0,IMshareM!B42/(SUM(IMshareM!B$2:B$78)-IMshareM!B$2),0))</f>
        <v>3.7536010608367199E-7</v>
      </c>
      <c r="C42" s="8">
        <f>IF($A42=C$1,0,IF(SUM(IMshareM!C$2:C$78)-IMshareM!C$3&gt;0,IMshareM!C42/(SUM(IMshareM!C$2:C$78)-IMshareM!C$3),0))</f>
        <v>8.3739379776334616E-7</v>
      </c>
      <c r="D42" s="8">
        <f>IF($A42=D$1,0,IF(SUM(IMshareM!D$2:D$78)-IMshareM!D$4&gt;0,IMshareM!D42/(SUM(IMshareM!D$2:D$78)-IMshareM!D$4),0))</f>
        <v>3.4218417670586201E-4</v>
      </c>
      <c r="E42" s="8">
        <f>IF($A42=E$1,0,IF(SUM(IMshareM!E$2:E$78)-IMshareM!E$5&gt;0,IMshareM!E42/(SUM(IMshareM!E$2:E$78)-IMshareM!E$5),0))</f>
        <v>1.5208692279948355E-8</v>
      </c>
      <c r="F42" s="8">
        <f>IF($A42=F$1,0,IF(SUM(IMshareM!F$2:F$78)-IMshareM!F$6&gt;0,IMshareM!F42/(SUM(IMshareM!F$2:F$78)-IMshareM!F$6),0))</f>
        <v>0</v>
      </c>
      <c r="G42" s="8">
        <f>IF($A42=G$1,0,IF(SUM(IMshareM!G$2:G$78)-IMshareM!G$7&gt;0,IMshareM!G42/(SUM(IMshareM!G$2:G$78)-IMshareM!G$7),0))</f>
        <v>0</v>
      </c>
      <c r="H42" s="8">
        <f>IF($A42=H$1,0,IF(SUM(IMshareM!H$2:H$78)-IMshareM!H$8&gt;0,IMshareM!H42/(SUM(IMshareM!H$2:H$78)-IMshareM!H$8),0))</f>
        <v>0</v>
      </c>
      <c r="I42" s="8">
        <f>IF($A42=I$1,0,IF(SUM(IMshareM!I$2:I$78)-IMshareM!I$9&gt;0,IMshareM!I42/(SUM(IMshareM!I$2:I$78)-IMshareM!I$9),0))</f>
        <v>2.1881926462200891E-6</v>
      </c>
      <c r="J42" s="8">
        <f>IF($A42=J$1,0,IF(SUM(IMshareM!J$2:J$78)-IMshareM!J$10&gt;0,IMshareM!J42/(SUM(IMshareM!J$2:J$78)-IMshareM!J$10),0))</f>
        <v>0</v>
      </c>
      <c r="K42" s="8">
        <f>IF($A42=K$1,0,IF(SUM(IMshareM!K$2:K$78)-IMshareM!K$11&gt;0,IMshareM!K42/(SUM(IMshareM!K$2:K$78)-IMshareM!K$11),0))</f>
        <v>8.8934776533680195E-6</v>
      </c>
      <c r="L42" s="8">
        <f>IF($A42=L$1,0,IF(SUM(IMshareM!L$2:L$78)-IMshareM!L$12&gt;0,IMshareM!L42/(SUM(IMshareM!L$2:L$78)-IMshareM!L$12),0))</f>
        <v>0</v>
      </c>
      <c r="M42" s="8">
        <f>IF($A42=M$1,0,IF(SUM(IMshareM!M$2:M$78)-IMshareM!M$13&gt;0,IMshareM!M42/(SUM(IMshareM!M$2:M$78)-IMshareM!M$13),0))</f>
        <v>1.7716539473465329E-7</v>
      </c>
      <c r="N42" s="8">
        <f>IF($A42=N$1,0,IF(SUM(IMshareM!N$2:N$78)-IMshareM!N$14&gt;0,IMshareM!N42/(SUM(IMshareM!N$2:N$78)-IMshareM!N$14),0))</f>
        <v>1.619661657113804E-2</v>
      </c>
      <c r="O42" s="8">
        <f>IF($A42=O$1,0,IF(SUM(IMshareM!O$2:O$78)-IMshareM!O$15&gt;0,IMshareM!O42/(SUM(IMshareM!O$2:O$78)-IMshareM!O$15),0))</f>
        <v>0</v>
      </c>
      <c r="P42" s="8">
        <f>IF($A42=P$1,0,IF(SUM(IMshareM!P$2:P$78)-IMshareM!P$16&gt;0,IMshareM!P42/(SUM(IMshareM!P$2:P$78)-IMshareM!P$16),0))</f>
        <v>0</v>
      </c>
      <c r="Q42" s="8">
        <f>IF($A42=Q$1,0,IF(SUM(IMshareM!Q$2:Q$78)-IMshareM!Q$17&gt;0,IMshareM!Q42/(SUM(IMshareM!Q$2:Q$78)-IMshareM!Q$17),0))</f>
        <v>0</v>
      </c>
      <c r="R42" s="8">
        <f>IF($A42=R$1,0,IF(SUM(IMshareM!R$2:R$78)-IMshareM!R$18&gt;0,IMshareM!R42/(SUM(IMshareM!R$2:R$78)-IMshareM!R$18),0))</f>
        <v>7.8118272436746909E-7</v>
      </c>
      <c r="S42" s="8">
        <f>IF($A42=S$1,0,IF(SUM(IMshareM!S$2:S$78)-IMshareM!S$19&gt;0,IMshareM!S42/(SUM(IMshareM!S$2:S$78)-IMshareM!S$19),0))</f>
        <v>0</v>
      </c>
      <c r="T42" s="8">
        <f>IF($A42=T$1,0,IF(SUM(IMshareM!T$2:T$78)-IMshareM!T$20&gt;0,IMshareM!T42/(SUM(IMshareM!T$2:T$78)-IMshareM!T$20),0))</f>
        <v>8.6053249927273265E-6</v>
      </c>
      <c r="U42" s="8">
        <f>IF($A42=U$1,0,IF(SUM(IMshareM!U$2:U$78)-IMshareM!U$21&gt;0,IMshareM!U42/(SUM(IMshareM!U$2:U$78)-IMshareM!U$21),0))</f>
        <v>3.4584452837413956E-5</v>
      </c>
      <c r="V42" s="8">
        <f>IF($A42=V$1,0,IF(SUM(IMshareM!V$2:V$78)-IMshareM!V$22&gt;0,IMshareM!V42/(SUM(IMshareM!V$2:V$78)-IMshareM!V$22),0))</f>
        <v>1.040671042734809E-6</v>
      </c>
      <c r="W42" s="8">
        <f>IF($A42=W$1,0,IF(SUM(IMshareM!W$2:W$78)-IMshareM!W$23&gt;0,IMshareM!W42/(SUM(IMshareM!W$2:W$78)-IMshareM!W$23),0))</f>
        <v>0</v>
      </c>
      <c r="X42" s="8">
        <f>IF($A42=X$1,0,IF(SUM(IMshareM!X$2:X$78)-IMshareM!X$24&gt;0,IMshareM!X42/(SUM(IMshareM!X$2:X$78)-IMshareM!X$24),0))</f>
        <v>0</v>
      </c>
      <c r="Y42" s="8">
        <f>IF($A42=Y$1,0,IF(SUM(IMshareM!Y$2:Y$78)-IMshareM!Y$25&gt;0,IMshareM!Y42/(SUM(IMshareM!Y$2:Y$78)-IMshareM!Y$25),0))</f>
        <v>1.0213829168150231E-5</v>
      </c>
      <c r="Z42" s="8">
        <f>IF($A42=Z$1,0,IF(SUM(IMshareM!Z$2:Z$78)-IMshareM!Z$26&gt;0,IMshareM!Z42/(SUM(IMshareM!Z$2:Z$78)-IMshareM!Z$26),0))</f>
        <v>5.0308318758632894E-4</v>
      </c>
      <c r="AA42" s="8">
        <f>IF($A42=AA$1,0,IF(SUM(IMshareM!AA$2:AA$78)-IMshareM!AA$27&gt;0,IMshareM!AA42/(SUM(IMshareM!AA$2:AA$78)-IMshareM!AA$27),0))</f>
        <v>1.8939936192610234E-5</v>
      </c>
      <c r="AB42" s="8">
        <f>IF($A42=AB$1,0,IF(SUM(IMshareM!AB$2:AB$78)-IMshareM!AB$28&gt;0,IMshareM!AB42/(SUM(IMshareM!AB$2:AB$78)-IMshareM!AB$28),0))</f>
        <v>4.315517323490126E-5</v>
      </c>
      <c r="AC42" s="8">
        <f>IF($A42=AC$1,0,IF(SUM(IMshareM!AC$2:AC$78)-IMshareM!AC$29&gt;0,IMshareM!AC42/(SUM(IMshareM!AC$2:AC$78)-IMshareM!AC$29),0))</f>
        <v>2.615702185904967E-4</v>
      </c>
      <c r="AD42" s="8">
        <f>IF($A42=AD$1,0,IF(SUM(IMshareM!AD$2:AD$78)-IMshareM!AD$30&gt;0,IMshareM!AD42/(SUM(IMshareM!AD$2:AD$78)-IMshareM!AD$30),0))</f>
        <v>2.1680076412276129E-2</v>
      </c>
      <c r="AE42" s="8">
        <f>IF($A42=AE$1,0,IF(SUM(IMshareM!AE$2:AE$78)-IMshareM!AE$31&gt;0,IMshareM!AE42/(SUM(IMshareM!AE$2:AE$78)-IMshareM!AE$31),0))</f>
        <v>0</v>
      </c>
      <c r="AF42" s="8">
        <f>IF($A42=AF$1,0,IF(SUM(IMshareM!AF$2:AF$78)-IMshareM!AF$32&gt;0,IMshareM!AF42/(SUM(IMshareM!AF$2:AF$78)-IMshareM!AF$32),0))</f>
        <v>6.6198186856211163E-4</v>
      </c>
      <c r="AG42" s="8">
        <f>IF($A42=AG$1,0,IF(SUM(IMshareM!AG$2:AG$78)-IMshareM!AG$33&gt;0,IMshareM!AG42/(SUM(IMshareM!AG$2:AG$78)-IMshareM!AG$33),0))</f>
        <v>1.5503170836924985E-3</v>
      </c>
      <c r="AH42" s="8">
        <f>IF($A42=AH$1,0,IF(SUM(IMshareM!AH$2:AH$78)-IMshareM!AH$34&gt;0,IMshareM!AH42/(SUM(IMshareM!AH$2:AH$78)-IMshareM!AH$34),0))</f>
        <v>2.3363454734402962E-3</v>
      </c>
      <c r="AI42" s="8">
        <f>IF($A42=AI$1,0,IF(SUM(IMshareM!AI$2:AI$78)-IMshareM!AI$35&gt;0,IMshareM!AI42/(SUM(IMshareM!AI$2:AI$78)-IMshareM!AI$35),0))</f>
        <v>1.2218237227231532E-5</v>
      </c>
      <c r="AJ42" s="8">
        <f>IF($A42=AJ$1,0,IF(SUM(IMshareM!AJ$2:AJ$78)-IMshareM!AJ$36&gt;0,IMshareM!AJ42/(SUM(IMshareM!AJ$2:AJ$78)-IMshareM!AJ$36),0))</f>
        <v>4.8316435869078168E-6</v>
      </c>
      <c r="AK42" s="8">
        <f>IF($A42=AK$1,0,IF(SUM(IMshareM!AK$2:AK$78)-IMshareM!AK$37&gt;0,IMshareM!AK42/(SUM(IMshareM!AK$2:AK$78)-IMshareM!AK$37),0))</f>
        <v>1.6857155321349984E-5</v>
      </c>
      <c r="AL42" s="8">
        <f>IF($A42=AL$1,0,IF(SUM(IMshareM!AL$2:AL$78)-IMshareM!AL$38&gt;0,IMshareM!AL42/(SUM(IMshareM!AL$2:AL$78)-IMshareM!AL$38),0))</f>
        <v>0</v>
      </c>
      <c r="AM42" s="8">
        <f>IF($A42=AM$1,0,IF(SUM(IMshareM!AM$2:AM$78)-IMshareM!AM$39&gt;0,IMshareM!AM42/(SUM(IMshareM!AM$2:AM$78)-IMshareM!AM$39),0))</f>
        <v>0</v>
      </c>
      <c r="AN42" s="8">
        <f>IF($A42=AN$1,0,IF(SUM(IMshareM!AN$2:AN$78)-IMshareM!AN$40&gt;0,IMshareM!AN42/(SUM(IMshareM!AN$2:AN$78)-IMshareM!AN$40),0))</f>
        <v>3.4025258161386042E-3</v>
      </c>
      <c r="AO42" s="8">
        <f>IF($A42=AO$1,0,IF(SUM(IMshareM!AO$2:AO$78)-IMshareM!AO$41&gt;0,IMshareM!AO42/(SUM(IMshareM!AO$2:AO$78)-IMshareM!AO$41),0))</f>
        <v>0</v>
      </c>
      <c r="AP42" s="8">
        <f>IF($A42=AP$1,0,IF(SUM(IMshareM!AP$2:AP$78)-IMshareM!AP$42&gt;0,IMshareM!AP42/(SUM(IMshareM!AP$2:AP$78)-IMshareM!AP$42),0))</f>
        <v>0</v>
      </c>
      <c r="AQ42" s="8">
        <f>IF($A42=AQ$1,0,IF(SUM(IMshareM!AQ$2:AQ$78)-IMshareM!AQ$43&gt;0,IMshareM!AQ42/(SUM(IMshareM!AQ$2:AQ$78)-IMshareM!AQ$43),0))</f>
        <v>4.7945512910549718E-4</v>
      </c>
      <c r="AR42" s="8">
        <f>IF($A42=AR$1,0,IF(SUM(IMshareM!AR$2:AR$78)-IMshareM!AR$44&gt;0,IMshareM!AR42/(SUM(IMshareM!AR$2:AR$78)-IMshareM!AR$44),0))</f>
        <v>0</v>
      </c>
      <c r="AS42" s="8">
        <f>IF($A42=AS$1,0,IF(SUM(IMshareM!AS$2:AS$78)-IMshareM!AS$45&gt;0,IMshareM!AS42/(SUM(IMshareM!AS$2:AS$78)-IMshareM!AS$45),0))</f>
        <v>4.1922232632463331E-5</v>
      </c>
      <c r="AT42" s="8">
        <f>IF($A42=AT$1,0,IF(SUM(IMshareM!AT$2:AT$78)-IMshareM!AT$46&gt;0,IMshareM!AT42/(SUM(IMshareM!AT$2:AT$78)-IMshareM!AT$46),0))</f>
        <v>0</v>
      </c>
      <c r="AU42" s="8">
        <f>IF($A42=AU$1,0,IF(SUM(IMshareM!AU$2:AU$78)-IMshareM!AU$47&gt;0,IMshareM!AU42/(SUM(IMshareM!AU$2:AU$78)-IMshareM!AU$47),0))</f>
        <v>1.2061787301666579E-5</v>
      </c>
      <c r="AV42" s="8">
        <f>IF($A42=AV$1,0,IF(SUM(IMshareM!AV$2:AV$78)-IMshareM!AV$48&gt;0,IMshareM!AV42/(SUM(IMshareM!AV$2:AV$78)-IMshareM!AV$48),0))</f>
        <v>0</v>
      </c>
      <c r="AW42" s="8">
        <f>IF($A42=AW$1,0,IF(SUM(IMshareM!AW$2:AW$78)-IMshareM!AW$49&gt;0,IMshareM!AW42/(SUM(IMshareM!AW$2:AW$78)-IMshareM!AW$49),0))</f>
        <v>8.2552364003109018E-4</v>
      </c>
      <c r="AX42" s="8">
        <f>IF($A42=AX$1,0,IF(SUM(IMshareM!AX$2:AX$78)-IMshareM!AX$50&gt;0,IMshareM!AX42/(SUM(IMshareM!AX$2:AX$78)-IMshareM!AX$50),0))</f>
        <v>0</v>
      </c>
      <c r="AY42" s="8">
        <f>IF($A42=AY$1,0,IF(SUM(IMshareM!AY$2:AY$78)-IMshareM!AY$51&gt;0,IMshareM!AY42/(SUM(IMshareM!AY$2:AY$78)-IMshareM!AY$51),0))</f>
        <v>0</v>
      </c>
      <c r="AZ42" s="8">
        <f>IF($A42=AZ$1,0,IF(SUM(IMshareM!AZ$2:AZ$78)-IMshareM!AZ$52&gt;0,IMshareM!AZ42/(SUM(IMshareM!AZ$2:AZ$78)-IMshareM!AZ$52),0))</f>
        <v>3.5764187959846914E-3</v>
      </c>
      <c r="BA42" s="8">
        <f>IF($A42=BA$1,0,IF(SUM(IMshareM!BA$2:BA$78)-IMshareM!BA$53&gt;0,IMshareM!BA42/(SUM(IMshareM!BA$2:BA$78)-IMshareM!BA$53),0))</f>
        <v>0</v>
      </c>
      <c r="BB42" s="8">
        <f>IF($A42=BB$1,0,IF(SUM(IMshareM!BB$2:BB$78)-IMshareM!BB$54&gt;0,IMshareM!BB42/(SUM(IMshareM!BB$2:BB$78)-IMshareM!BB$54),0))</f>
        <v>7.299082685685713E-5</v>
      </c>
      <c r="BC42" s="8">
        <f>IF($A42=BC$1,0,IF(SUM(IMshareM!BC$2:BC$78)-IMshareM!BC$55&gt;0,IMshareM!BC42/(SUM(IMshareM!BC$2:BC$78)-IMshareM!BC$55),0))</f>
        <v>0</v>
      </c>
      <c r="BD42" s="8">
        <f>IF($A42=BD$1,0,IF(SUM(IMshareM!BD$2:BD$78)-IMshareM!BD$56&gt;0,IMshareM!BD42/(SUM(IMshareM!BD$2:BD$78)-IMshareM!BD$56),0))</f>
        <v>2.1384089029802504E-7</v>
      </c>
      <c r="BE42" s="8">
        <f>IF($A42=BE$1,0,IF(SUM(IMshareM!BE$2:BE$78)-IMshareM!BE$57&gt;0,IMshareM!BE42/(SUM(IMshareM!BE$2:BE$78)-IMshareM!BE$57),0))</f>
        <v>0</v>
      </c>
      <c r="BF42" s="8">
        <f>IF($A42=BF$1,0,IF(SUM(IMshareM!BF$2:BF$78)-IMshareM!BF$58&gt;0,IMshareM!BF42/(SUM(IMshareM!BF$2:BF$78)-IMshareM!BF$58),0))</f>
        <v>0</v>
      </c>
      <c r="BG42" s="8">
        <f>IF($A42=BG$1,0,IF(SUM(IMshareM!BG$2:BG$78)-IMshareM!BG$59&gt;0,IMshareM!BG42/(SUM(IMshareM!BG$2:BG$78)-IMshareM!BG$59),0))</f>
        <v>2.5047847344609461E-2</v>
      </c>
      <c r="BH42" s="8">
        <f>IF($A42=BH$1,0,IF(SUM(IMshareM!BH$2:BH$78)-IMshareM!BH$60&gt;0,IMshareM!BH42/(SUM(IMshareM!BH$2:BH$78)-IMshareM!BH$60),0))</f>
        <v>8.2942966172978791E-8</v>
      </c>
      <c r="BI42" s="8">
        <f>IF($A42=BI$1,0,IF(SUM(IMshareM!BI$2:BI$78)-IMshareM!BI$61&gt;0,IMshareM!BI42/(SUM(IMshareM!BI$2:BI$78)-IMshareM!BI$61),0))</f>
        <v>0</v>
      </c>
      <c r="BJ42" s="8">
        <f>IF($A42=BJ$1,0,IF(SUM(IMshareM!BJ$2:BJ$78)-IMshareM!BJ$62&gt;0,IMshareM!BJ42/(SUM(IMshareM!BJ$2:BJ$78)-IMshareM!BJ$62),0))</f>
        <v>4.7779845796706611E-4</v>
      </c>
      <c r="BK42" s="8">
        <f>IF($A42=BK$1,0,IF(SUM(IMshareM!BK$2:BK$78)-IMshareM!BK$63&gt;0,IMshareM!BK42/(SUM(IMshareM!BK$2:BK$78)-IMshareM!BK$63),0))</f>
        <v>0</v>
      </c>
      <c r="BL42" s="8">
        <f>IF($A42=BL$1,0,IF(SUM(IMshareM!BL$2:BL$78)-IMshareM!BL$64&gt;0,IMshareM!BL42/(SUM(IMshareM!BL$2:BL$78)-IMshareM!BL$64),0))</f>
        <v>0</v>
      </c>
      <c r="BM42" s="8">
        <f>IF($A42=BM$1,0,IF(SUM(IMshareM!BM$2:BM$78)-IMshareM!BM$65&gt;0,IMshareM!BM42/(SUM(IMshareM!BM$2:BM$78)-IMshareM!BM$65),0))</f>
        <v>0</v>
      </c>
      <c r="BN42" s="8">
        <f>IF($A42=BN$1,0,IF(SUM(IMshareM!BN$2:BN$78)-IMshareM!BN$66&gt;0,IMshareM!BN42/(SUM(IMshareM!BN$2:BN$78)-IMshareM!BN$66),0))</f>
        <v>6.9896600182043347E-3</v>
      </c>
      <c r="BO42" s="8">
        <f>IF($A42=BO$1,0,IF(SUM(IMshareM!BO$2:BO$78)-IMshareM!BO$67&gt;0,IMshareM!BO42/(SUM(IMshareM!BO$2:BO$78)-IMshareM!BO$67),0))</f>
        <v>3.4241826607619443E-4</v>
      </c>
      <c r="BP42" s="8">
        <f>IF($A42=BP$1,0,IF(SUM(IMshareM!BP$2:BP$78)-IMshareM!BP$68&gt;0,IMshareM!BP42/(SUM(IMshareM!BP$2:BP$78)-IMshareM!BP$68),0))</f>
        <v>2.4588173837784787E-8</v>
      </c>
      <c r="BQ42" s="8">
        <f>IF($A42=BQ$1,0,IF(SUM(IMshareM!BQ$2:BQ$78)-IMshareM!BQ$69&gt;0,IMshareM!BQ42/(SUM(IMshareM!BQ$2:BQ$78)-IMshareM!BQ$69),0))</f>
        <v>1.6621580794378485E-6</v>
      </c>
      <c r="BR42" s="8">
        <f>IF($A42=BR$1,0,IF(SUM(IMshareM!BR$2:BR$78)-IMshareM!BR$70&gt;0,IMshareM!BR42/(SUM(IMshareM!BR$2:BR$78)-IMshareM!BR$70),0))</f>
        <v>1.6583787090926668E-2</v>
      </c>
      <c r="BS42" s="8">
        <f>IF($A42=BS$1,0,IF(SUM(IMshareM!BS$2:BS$78)-IMshareM!BS$71&gt;0,IMshareM!BS42/(SUM(IMshareM!BS$2:BS$78)-IMshareM!BS$71),0))</f>
        <v>0</v>
      </c>
      <c r="BT42" s="8">
        <f>IF($A42=BT$1,0,IF(SUM(IMshareM!BT$2:BT$78)-IMshareM!BT$72&gt;0,IMshareM!BT42/(SUM(IMshareM!BT$2:BT$78)-IMshareM!BT$72),0))</f>
        <v>6.8453050026034078E-4</v>
      </c>
      <c r="BU42" s="8">
        <f>IF($A42=BU$1,0,IF(SUM(IMshareM!BU$2:BU$78)-IMshareM!BU$73&gt;0,IMshareM!BU42/(SUM(IMshareM!BU$2:BU$78)-IMshareM!BU$73),0))</f>
        <v>1.1033901560191695E-3</v>
      </c>
      <c r="BV42" s="8">
        <f>IF($A42=BV$1,0,IF(SUM(IMshareM!BV$2:BV$78)-IMshareM!BV$74&gt;0,IMshareM!BV42/(SUM(IMshareM!BV$2:BV$78)-IMshareM!BV$74),0))</f>
        <v>9.9582678454351439E-6</v>
      </c>
      <c r="BW42" s="8">
        <f>IF($A42=BW$1,0,IF(SUM(IMshareM!BW$2:BW$78)-IMshareM!BW$75&gt;0,IMshareM!BW42/(SUM(IMshareM!BW$2:BW$78)-IMshareM!BW$75),0))</f>
        <v>1.3534206333158495E-4</v>
      </c>
      <c r="BX42" s="8">
        <f>IF($A42=BX$1,0,IF(SUM(IMshareM!BX$2:BX$78)-IMshareM!BX$76&gt;0,IMshareM!BX42/(SUM(IMshareM!BX$2:BX$78)-IMshareM!BX$76),0))</f>
        <v>8.0553927142604162E-3</v>
      </c>
      <c r="BY42" s="8">
        <f>IF($A42=BY$1,0,IF(SUM(IMshareM!BY$2:BY$78)-IMshareM!BY$77&gt;0,IMshareM!BY42/(SUM(IMshareM!BY$2:BY$78)-IMshareM!BY$77),0))</f>
        <v>4.4284723188390618E-7</v>
      </c>
      <c r="BZ42" s="8">
        <f>IF($A42=BZ$1,0,IF(SUM(IMshareM!BZ$2:BZ$78)-IMshareM!BZ$78&gt;0,IMshareM!BZ42/(SUM(IMshareM!BZ$2:BZ$78)-IMshareM!BZ$78),0))</f>
        <v>8.9243313561197923E-7</v>
      </c>
    </row>
    <row r="43" spans="1:78">
      <c r="A43" s="4" t="s">
        <v>153</v>
      </c>
      <c r="B43" s="8">
        <f>IF($A43=B$1,0,IF(SUM(IMshareM!B$2:B$78)-IMshareM!B$2&gt;0,IMshareM!B43/(SUM(IMshareM!B$2:B$78)-IMshareM!B$2),0))</f>
        <v>3.8294815686708969E-3</v>
      </c>
      <c r="C43" s="8">
        <f>IF($A43=C$1,0,IF(SUM(IMshareM!C$2:C$78)-IMshareM!C$3&gt;0,IMshareM!C43/(SUM(IMshareM!C$2:C$78)-IMshareM!C$3),0))</f>
        <v>7.0945582035502946E-3</v>
      </c>
      <c r="D43" s="8">
        <f>IF($A43=D$1,0,IF(SUM(IMshareM!D$2:D$78)-IMshareM!D$4&gt;0,IMshareM!D43/(SUM(IMshareM!D$2:D$78)-IMshareM!D$4),0))</f>
        <v>5.3988996946853097E-3</v>
      </c>
      <c r="E43" s="8">
        <f>IF($A43=E$1,0,IF(SUM(IMshareM!E$2:E$78)-IMshareM!E$5&gt;0,IMshareM!E43/(SUM(IMshareM!E$2:E$78)-IMshareM!E$5),0))</f>
        <v>6.3731826842368978E-3</v>
      </c>
      <c r="F43" s="8">
        <f>IF($A43=F$1,0,IF(SUM(IMshareM!F$2:F$78)-IMshareM!F$6&gt;0,IMshareM!F43/(SUM(IMshareM!F$2:F$78)-IMshareM!F$6),0))</f>
        <v>3.3500591105396653E-2</v>
      </c>
      <c r="G43" s="8">
        <f>IF($A43=G$1,0,IF(SUM(IMshareM!G$2:G$78)-IMshareM!G$7&gt;0,IMshareM!G43/(SUM(IMshareM!G$2:G$78)-IMshareM!G$7),0))</f>
        <v>1.0367513708889617E-3</v>
      </c>
      <c r="H43" s="8">
        <f>IF($A43=H$1,0,IF(SUM(IMshareM!H$2:H$78)-IMshareM!H$8&gt;0,IMshareM!H43/(SUM(IMshareM!H$2:H$78)-IMshareM!H$8),0))</f>
        <v>0</v>
      </c>
      <c r="I43" s="8">
        <f>IF($A43=I$1,0,IF(SUM(IMshareM!I$2:I$78)-IMshareM!I$9&gt;0,IMshareM!I43/(SUM(IMshareM!I$2:I$78)-IMshareM!I$9),0))</f>
        <v>1.4197973982863651E-2</v>
      </c>
      <c r="J43" s="8">
        <f>IF($A43=J$1,0,IF(SUM(IMshareM!J$2:J$78)-IMshareM!J$10&gt;0,IMshareM!J43/(SUM(IMshareM!J$2:J$78)-IMshareM!J$10),0))</f>
        <v>2.2594207301599022E-2</v>
      </c>
      <c r="K43" s="8">
        <f>IF($A43=K$1,0,IF(SUM(IMshareM!K$2:K$78)-IMshareM!K$11&gt;0,IMshareM!K43/(SUM(IMshareM!K$2:K$78)-IMshareM!K$11),0))</f>
        <v>2.979675602597728E-2</v>
      </c>
      <c r="L43" s="8">
        <f>IF($A43=L$1,0,IF(SUM(IMshareM!L$2:L$78)-IMshareM!L$12&gt;0,IMshareM!L43/(SUM(IMshareM!L$2:L$78)-IMshareM!L$12),0))</f>
        <v>9.4701237600092782E-3</v>
      </c>
      <c r="M43" s="8">
        <f>IF($A43=M$1,0,IF(SUM(IMshareM!M$2:M$78)-IMshareM!M$13&gt;0,IMshareM!M43/(SUM(IMshareM!M$2:M$78)-IMshareM!M$13),0))</f>
        <v>9.0009739892313702E-4</v>
      </c>
      <c r="N43" s="8">
        <f>IF($A43=N$1,0,IF(SUM(IMshareM!N$2:N$78)-IMshareM!N$14&gt;0,IMshareM!N43/(SUM(IMshareM!N$2:N$78)-IMshareM!N$14),0))</f>
        <v>4.2800187130586059E-2</v>
      </c>
      <c r="O43" s="8">
        <f>IF($A43=O$1,0,IF(SUM(IMshareM!O$2:O$78)-IMshareM!O$15&gt;0,IMshareM!O43/(SUM(IMshareM!O$2:O$78)-IMshareM!O$15),0))</f>
        <v>1.5733762179467391E-2</v>
      </c>
      <c r="P43" s="8">
        <f>IF($A43=P$1,0,IF(SUM(IMshareM!P$2:P$78)-IMshareM!P$16&gt;0,IMshareM!P43/(SUM(IMshareM!P$2:P$78)-IMshareM!P$16),0))</f>
        <v>4.7252880814245861E-4</v>
      </c>
      <c r="Q43" s="8">
        <f>IF($A43=Q$1,0,IF(SUM(IMshareM!Q$2:Q$78)-IMshareM!Q$17&gt;0,IMshareM!Q43/(SUM(IMshareM!Q$2:Q$78)-IMshareM!Q$17),0))</f>
        <v>8.8160036620384061E-3</v>
      </c>
      <c r="R43" s="8">
        <f>IF($A43=R$1,0,IF(SUM(IMshareM!R$2:R$78)-IMshareM!R$18&gt;0,IMshareM!R43/(SUM(IMshareM!R$2:R$78)-IMshareM!R$18),0))</f>
        <v>6.44582552641199E-3</v>
      </c>
      <c r="S43" s="8">
        <f>IF($A43=S$1,0,IF(SUM(IMshareM!S$2:S$78)-IMshareM!S$19&gt;0,IMshareM!S43/(SUM(IMshareM!S$2:S$78)-IMshareM!S$19),0))</f>
        <v>5.5018943392464081E-3</v>
      </c>
      <c r="T43" s="8">
        <f>IF($A43=T$1,0,IF(SUM(IMshareM!T$2:T$78)-IMshareM!T$20&gt;0,IMshareM!T43/(SUM(IMshareM!T$2:T$78)-IMshareM!T$20),0))</f>
        <v>7.6302481349100962E-2</v>
      </c>
      <c r="U43" s="8">
        <f>IF($A43=U$1,0,IF(SUM(IMshareM!U$2:U$78)-IMshareM!U$21&gt;0,IMshareM!U43/(SUM(IMshareM!U$2:U$78)-IMshareM!U$21),0))</f>
        <v>3.6221124173219897E-3</v>
      </c>
      <c r="V43" s="8">
        <f>IF($A43=V$1,0,IF(SUM(IMshareM!V$2:V$78)-IMshareM!V$22&gt;0,IMshareM!V43/(SUM(IMshareM!V$2:V$78)-IMshareM!V$22),0))</f>
        <v>2.559088035544011E-3</v>
      </c>
      <c r="W43" s="8">
        <f>IF($A43=W$1,0,IF(SUM(IMshareM!W$2:W$78)-IMshareM!W$23&gt;0,IMshareM!W43/(SUM(IMshareM!W$2:W$78)-IMshareM!W$23),0))</f>
        <v>4.7614740220069248E-3</v>
      </c>
      <c r="X43" s="8">
        <f>IF($A43=X$1,0,IF(SUM(IMshareM!X$2:X$78)-IMshareM!X$24&gt;0,IMshareM!X43/(SUM(IMshareM!X$2:X$78)-IMshareM!X$24),0))</f>
        <v>6.2510109008857874E-3</v>
      </c>
      <c r="Y43" s="8">
        <f>IF($A43=Y$1,0,IF(SUM(IMshareM!Y$2:Y$78)-IMshareM!Y$25&gt;0,IMshareM!Y43/(SUM(IMshareM!Y$2:Y$78)-IMshareM!Y$25),0))</f>
        <v>2.0994760703399915E-3</v>
      </c>
      <c r="Z43" s="8">
        <f>IF($A43=Z$1,0,IF(SUM(IMshareM!Z$2:Z$78)-IMshareM!Z$26&gt;0,IMshareM!Z43/(SUM(IMshareM!Z$2:Z$78)-IMshareM!Z$26),0))</f>
        <v>3.1671418369570051E-3</v>
      </c>
      <c r="AA43" s="8">
        <f>IF($A43=AA$1,0,IF(SUM(IMshareM!AA$2:AA$78)-IMshareM!AA$27&gt;0,IMshareM!AA43/(SUM(IMshareM!AA$2:AA$78)-IMshareM!AA$27),0))</f>
        <v>5.8439733399423517E-3</v>
      </c>
      <c r="AB43" s="8">
        <f>IF($A43=AB$1,0,IF(SUM(IMshareM!AB$2:AB$78)-IMshareM!AB$28&gt;0,IMshareM!AB43/(SUM(IMshareM!AB$2:AB$78)-IMshareM!AB$28),0))</f>
        <v>7.8568939503352031E-3</v>
      </c>
      <c r="AC43" s="8">
        <f>IF($A43=AC$1,0,IF(SUM(IMshareM!AC$2:AC$78)-IMshareM!AC$29&gt;0,IMshareM!AC43/(SUM(IMshareM!AC$2:AC$78)-IMshareM!AC$29),0))</f>
        <v>1.2297129496198274E-3</v>
      </c>
      <c r="AD43" s="8">
        <f>IF($A43=AD$1,0,IF(SUM(IMshareM!AD$2:AD$78)-IMshareM!AD$30&gt;0,IMshareM!AD43/(SUM(IMshareM!AD$2:AD$78)-IMshareM!AD$30),0))</f>
        <v>2.4789432902546432E-3</v>
      </c>
      <c r="AE43" s="8">
        <f>IF($A43=AE$1,0,IF(SUM(IMshareM!AE$2:AE$78)-IMshareM!AE$31&gt;0,IMshareM!AE43/(SUM(IMshareM!AE$2:AE$78)-IMshareM!AE$31),0))</f>
        <v>1.7117286946452911E-2</v>
      </c>
      <c r="AF43" s="8">
        <f>IF($A43=AF$1,0,IF(SUM(IMshareM!AF$2:AF$78)-IMshareM!AF$32&gt;0,IMshareM!AF43/(SUM(IMshareM!AF$2:AF$78)-IMshareM!AF$32),0))</f>
        <v>8.2996299356351052E-3</v>
      </c>
      <c r="AG43" s="8">
        <f>IF($A43=AG$1,0,IF(SUM(IMshareM!AG$2:AG$78)-IMshareM!AG$33&gt;0,IMshareM!AG43/(SUM(IMshareM!AG$2:AG$78)-IMshareM!AG$33),0))</f>
        <v>1.2593825252035864E-2</v>
      </c>
      <c r="AH43" s="8">
        <f>IF($A43=AH$1,0,IF(SUM(IMshareM!AH$2:AH$78)-IMshareM!AH$34&gt;0,IMshareM!AH43/(SUM(IMshareM!AH$2:AH$78)-IMshareM!AH$34),0))</f>
        <v>5.4559568929702609E-2</v>
      </c>
      <c r="AI43" s="8">
        <f>IF($A43=AI$1,0,IF(SUM(IMshareM!AI$2:AI$78)-IMshareM!AI$35&gt;0,IMshareM!AI43/(SUM(IMshareM!AI$2:AI$78)-IMshareM!AI$35),0))</f>
        <v>3.3206352664181165E-3</v>
      </c>
      <c r="AJ43" s="8">
        <f>IF($A43=AJ$1,0,IF(SUM(IMshareM!AJ$2:AJ$78)-IMshareM!AJ$36&gt;0,IMshareM!AJ43/(SUM(IMshareM!AJ$2:AJ$78)-IMshareM!AJ$36),0))</f>
        <v>1.0056888020804292E-2</v>
      </c>
      <c r="AK43" s="8">
        <f>IF($A43=AK$1,0,IF(SUM(IMshareM!AK$2:AK$78)-IMshareM!AK$37&gt;0,IMshareM!AK43/(SUM(IMshareM!AK$2:AK$78)-IMshareM!AK$37),0))</f>
        <v>1.3966153183738464E-2</v>
      </c>
      <c r="AL43" s="8">
        <f>IF($A43=AL$1,0,IF(SUM(IMshareM!AL$2:AL$78)-IMshareM!AL$38&gt;0,IMshareM!AL43/(SUM(IMshareM!AL$2:AL$78)-IMshareM!AL$38),0))</f>
        <v>4.8133529842604873E-3</v>
      </c>
      <c r="AM43" s="8">
        <f>IF($A43=AM$1,0,IF(SUM(IMshareM!AM$2:AM$78)-IMshareM!AM$39&gt;0,IMshareM!AM43/(SUM(IMshareM!AM$2:AM$78)-IMshareM!AM$39),0))</f>
        <v>9.2709194375990463E-3</v>
      </c>
      <c r="AN43" s="8">
        <f>IF($A43=AN$1,0,IF(SUM(IMshareM!AN$2:AN$78)-IMshareM!AN$40&gt;0,IMshareM!AN43/(SUM(IMshareM!AN$2:AN$78)-IMshareM!AN$40),0))</f>
        <v>3.349109611121992E-2</v>
      </c>
      <c r="AO43" s="8">
        <f>IF($A43=AO$1,0,IF(SUM(IMshareM!AO$2:AO$78)-IMshareM!AO$41&gt;0,IMshareM!AO43/(SUM(IMshareM!AO$2:AO$78)-IMshareM!AO$41),0))</f>
        <v>1.1250879448276247E-4</v>
      </c>
      <c r="AP43" s="8">
        <f>IF($A43=AP$1,0,IF(SUM(IMshareM!AP$2:AP$78)-IMshareM!AP$42&gt;0,IMshareM!AP43/(SUM(IMshareM!AP$2:AP$78)-IMshareM!AP$42),0))</f>
        <v>1.8797808725697389E-3</v>
      </c>
      <c r="AQ43" s="8">
        <f>IF($A43=AQ$1,0,IF(SUM(IMshareM!AQ$2:AQ$78)-IMshareM!AQ$43&gt;0,IMshareM!AQ43/(SUM(IMshareM!AQ$2:AQ$78)-IMshareM!AQ$43),0))</f>
        <v>0</v>
      </c>
      <c r="AR43" s="8">
        <f>IF($A43=AR$1,0,IF(SUM(IMshareM!AR$2:AR$78)-IMshareM!AR$44&gt;0,IMshareM!AR43/(SUM(IMshareM!AR$2:AR$78)-IMshareM!AR$44),0))</f>
        <v>2.288638297931791E-5</v>
      </c>
      <c r="AS43" s="8">
        <f>IF($A43=AS$1,0,IF(SUM(IMshareM!AS$2:AS$78)-IMshareM!AS$45&gt;0,IMshareM!AS43/(SUM(IMshareM!AS$2:AS$78)-IMshareM!AS$45),0))</f>
        <v>1.5356545906458537E-4</v>
      </c>
      <c r="AT43" s="8">
        <f>IF($A43=AT$1,0,IF(SUM(IMshareM!AT$2:AT$78)-IMshareM!AT$46&gt;0,IMshareM!AT43/(SUM(IMshareM!AT$2:AT$78)-IMshareM!AT$46),0))</f>
        <v>1.095825030647615E-4</v>
      </c>
      <c r="AU43" s="8">
        <f>IF($A43=AU$1,0,IF(SUM(IMshareM!AU$2:AU$78)-IMshareM!AU$47&gt;0,IMshareM!AU43/(SUM(IMshareM!AU$2:AU$78)-IMshareM!AU$47),0))</f>
        <v>3.1315644098053519E-3</v>
      </c>
      <c r="AV43" s="8">
        <f>IF($A43=AV$1,0,IF(SUM(IMshareM!AV$2:AV$78)-IMshareM!AV$48&gt;0,IMshareM!AV43/(SUM(IMshareM!AV$2:AV$78)-IMshareM!AV$48),0))</f>
        <v>3.2264631161117016E-3</v>
      </c>
      <c r="AW43" s="8">
        <f>IF($A43=AW$1,0,IF(SUM(IMshareM!AW$2:AW$78)-IMshareM!AW$49&gt;0,IMshareM!AW43/(SUM(IMshareM!AW$2:AW$78)-IMshareM!AW$49),0))</f>
        <v>5.8145053732995548E-2</v>
      </c>
      <c r="AX43" s="8">
        <f>IF($A43=AX$1,0,IF(SUM(IMshareM!AX$2:AX$78)-IMshareM!AX$50&gt;0,IMshareM!AX43/(SUM(IMshareM!AX$2:AX$78)-IMshareM!AX$50),0))</f>
        <v>2.4848627779144638E-3</v>
      </c>
      <c r="AY43" s="8">
        <f>IF($A43=AY$1,0,IF(SUM(IMshareM!AY$2:AY$78)-IMshareM!AY$51&gt;0,IMshareM!AY43/(SUM(IMshareM!AY$2:AY$78)-IMshareM!AY$51),0))</f>
        <v>1.4809002655956614E-2</v>
      </c>
      <c r="AZ43" s="8">
        <f>IF($A43=AZ$1,0,IF(SUM(IMshareM!AZ$2:AZ$78)-IMshareM!AZ$52&gt;0,IMshareM!AZ43/(SUM(IMshareM!AZ$2:AZ$78)-IMshareM!AZ$52),0))</f>
        <v>1.9141749946921496E-2</v>
      </c>
      <c r="BA43" s="8">
        <f>IF($A43=BA$1,0,IF(SUM(IMshareM!BA$2:BA$78)-IMshareM!BA$53&gt;0,IMshareM!BA43/(SUM(IMshareM!BA$2:BA$78)-IMshareM!BA$53),0))</f>
        <v>4.7642701278412253E-4</v>
      </c>
      <c r="BB43" s="8">
        <f>IF($A43=BB$1,0,IF(SUM(IMshareM!BB$2:BB$78)-IMshareM!BB$54&gt;0,IMshareM!BB43/(SUM(IMshareM!BB$2:BB$78)-IMshareM!BB$54),0))</f>
        <v>4.4657865805964678E-3</v>
      </c>
      <c r="BC43" s="8">
        <f>IF($A43=BC$1,0,IF(SUM(IMshareM!BC$2:BC$78)-IMshareM!BC$55&gt;0,IMshareM!BC43/(SUM(IMshareM!BC$2:BC$78)-IMshareM!BC$55),0))</f>
        <v>1.6261771216417299E-2</v>
      </c>
      <c r="BD43" s="8">
        <f>IF($A43=BD$1,0,IF(SUM(IMshareM!BD$2:BD$78)-IMshareM!BD$56&gt;0,IMshareM!BD43/(SUM(IMshareM!BD$2:BD$78)-IMshareM!BD$56),0))</f>
        <v>8.1872041005293713E-3</v>
      </c>
      <c r="BE43" s="8">
        <f>IF($A43=BE$1,0,IF(SUM(IMshareM!BE$2:BE$78)-IMshareM!BE$57&gt;0,IMshareM!BE43/(SUM(IMshareM!BE$2:BE$78)-IMshareM!BE$57),0))</f>
        <v>8.8693273203799151E-3</v>
      </c>
      <c r="BF43" s="8">
        <f>IF($A43=BF$1,0,IF(SUM(IMshareM!BF$2:BF$78)-IMshareM!BF$58&gt;0,IMshareM!BF43/(SUM(IMshareM!BF$2:BF$78)-IMshareM!BF$58),0))</f>
        <v>4.7153530238484686E-3</v>
      </c>
      <c r="BG43" s="8">
        <f>IF($A43=BG$1,0,IF(SUM(IMshareM!BG$2:BG$78)-IMshareM!BG$59&gt;0,IMshareM!BG43/(SUM(IMshareM!BG$2:BG$78)-IMshareM!BG$59),0))</f>
        <v>1.8614019713839764E-2</v>
      </c>
      <c r="BH43" s="8">
        <f>IF($A43=BH$1,0,IF(SUM(IMshareM!BH$2:BH$78)-IMshareM!BH$60&gt;0,IMshareM!BH43/(SUM(IMshareM!BH$2:BH$78)-IMshareM!BH$60),0))</f>
        <v>4.5960337825106182E-2</v>
      </c>
      <c r="BI43" s="8">
        <f>IF($A43=BI$1,0,IF(SUM(IMshareM!BI$2:BI$78)-IMshareM!BI$61&gt;0,IMshareM!BI43/(SUM(IMshareM!BI$2:BI$78)-IMshareM!BI$61),0))</f>
        <v>1.5147389482001925E-4</v>
      </c>
      <c r="BJ43" s="8">
        <f>IF($A43=BJ$1,0,IF(SUM(IMshareM!BJ$2:BJ$78)-IMshareM!BJ$62&gt;0,IMshareM!BJ43/(SUM(IMshareM!BJ$2:BJ$78)-IMshareM!BJ$62),0))</f>
        <v>4.7931802845054402E-3</v>
      </c>
      <c r="BK43" s="8">
        <f>IF($A43=BK$1,0,IF(SUM(IMshareM!BK$2:BK$78)-IMshareM!BK$63&gt;0,IMshareM!BK43/(SUM(IMshareM!BK$2:BK$78)-IMshareM!BK$63),0))</f>
        <v>9.0543376824433527E-3</v>
      </c>
      <c r="BL43" s="8">
        <f>IF($A43=BL$1,0,IF(SUM(IMshareM!BL$2:BL$78)-IMshareM!BL$64&gt;0,IMshareM!BL43/(SUM(IMshareM!BL$2:BL$78)-IMshareM!BL$64),0))</f>
        <v>4.850130053747758E-2</v>
      </c>
      <c r="BM43" s="8">
        <f>IF($A43=BM$1,0,IF(SUM(IMshareM!BM$2:BM$78)-IMshareM!BM$65&gt;0,IMshareM!BM43/(SUM(IMshareM!BM$2:BM$78)-IMshareM!BM$65),0))</f>
        <v>1.0633902711297788E-3</v>
      </c>
      <c r="BN43" s="8">
        <f>IF($A43=BN$1,0,IF(SUM(IMshareM!BN$2:BN$78)-IMshareM!BN$66&gt;0,IMshareM!BN43/(SUM(IMshareM!BN$2:BN$78)-IMshareM!BN$66),0))</f>
        <v>9.5269002521490669E-3</v>
      </c>
      <c r="BO43" s="8">
        <f>IF($A43=BO$1,0,IF(SUM(IMshareM!BO$2:BO$78)-IMshareM!BO$67&gt;0,IMshareM!BO43/(SUM(IMshareM!BO$2:BO$78)-IMshareM!BO$67),0))</f>
        <v>0.14536127314718303</v>
      </c>
      <c r="BP43" s="8">
        <f>IF($A43=BP$1,0,IF(SUM(IMshareM!BP$2:BP$78)-IMshareM!BP$68&gt;0,IMshareM!BP43/(SUM(IMshareM!BP$2:BP$78)-IMshareM!BP$68),0))</f>
        <v>1.0733992352627234E-3</v>
      </c>
      <c r="BQ43" s="8">
        <f>IF($A43=BQ$1,0,IF(SUM(IMshareM!BQ$2:BQ$78)-IMshareM!BQ$69&gt;0,IMshareM!BQ43/(SUM(IMshareM!BQ$2:BQ$78)-IMshareM!BQ$69),0))</f>
        <v>9.0483782326868448E-3</v>
      </c>
      <c r="BR43" s="8">
        <f>IF($A43=BR$1,0,IF(SUM(IMshareM!BR$2:BR$78)-IMshareM!BR$70&gt;0,IMshareM!BR43/(SUM(IMshareM!BR$2:BR$78)-IMshareM!BR$70),0))</f>
        <v>1.6062909866756216E-2</v>
      </c>
      <c r="BS43" s="8">
        <f>IF($A43=BS$1,0,IF(SUM(IMshareM!BS$2:BS$78)-IMshareM!BS$71&gt;0,IMshareM!BS43/(SUM(IMshareM!BS$2:BS$78)-IMshareM!BS$71),0))</f>
        <v>1.2597255590455533E-3</v>
      </c>
      <c r="BT43" s="8">
        <f>IF($A43=BT$1,0,IF(SUM(IMshareM!BT$2:BT$78)-IMshareM!BT$72&gt;0,IMshareM!BT43/(SUM(IMshareM!BT$2:BT$78)-IMshareM!BT$72),0))</f>
        <v>1.555462784294403E-2</v>
      </c>
      <c r="BU43" s="8">
        <f>IF($A43=BU$1,0,IF(SUM(IMshareM!BU$2:BU$78)-IMshareM!BU$73&gt;0,IMshareM!BU43/(SUM(IMshareM!BU$2:BU$78)-IMshareM!BU$73),0))</f>
        <v>7.0742740827307599E-3</v>
      </c>
      <c r="BV43" s="8">
        <f>IF($A43=BV$1,0,IF(SUM(IMshareM!BV$2:BV$78)-IMshareM!BV$74&gt;0,IMshareM!BV43/(SUM(IMshareM!BV$2:BV$78)-IMshareM!BV$74),0))</f>
        <v>2.6938466119695338E-3</v>
      </c>
      <c r="BW43" s="8">
        <f>IF($A43=BW$1,0,IF(SUM(IMshareM!BW$2:BW$78)-IMshareM!BW$75&gt;0,IMshareM!BW43/(SUM(IMshareM!BW$2:BW$78)-IMshareM!BW$75),0))</f>
        <v>3.4717444887905222E-2</v>
      </c>
      <c r="BX43" s="8">
        <f>IF($A43=BX$1,0,IF(SUM(IMshareM!BX$2:BX$78)-IMshareM!BX$76&gt;0,IMshareM!BX43/(SUM(IMshareM!BX$2:BX$78)-IMshareM!BX$76),0))</f>
        <v>3.0057958021590281E-2</v>
      </c>
      <c r="BY43" s="8">
        <f>IF($A43=BY$1,0,IF(SUM(IMshareM!BY$2:BY$78)-IMshareM!BY$77&gt;0,IMshareM!BY43/(SUM(IMshareM!BY$2:BY$78)-IMshareM!BY$77),0))</f>
        <v>4.2194930190029307E-3</v>
      </c>
      <c r="BZ43" s="8">
        <f>IF($A43=BZ$1,0,IF(SUM(IMshareM!BZ$2:BZ$78)-IMshareM!BZ$78&gt;0,IMshareM!BZ43/(SUM(IMshareM!BZ$2:BZ$78)-IMshareM!BZ$78),0))</f>
        <v>1.9546522270821765E-2</v>
      </c>
    </row>
    <row r="44" spans="1:78">
      <c r="A44" s="4" t="s">
        <v>155</v>
      </c>
      <c r="B44" s="8">
        <f>IF($A44=B$1,0,IF(SUM(IMshareM!B$2:B$78)-IMshareM!B$2&gt;0,IMshareM!B44/(SUM(IMshareM!B$2:B$78)-IMshareM!B$2),0))</f>
        <v>0</v>
      </c>
      <c r="C44" s="8">
        <f>IF($A44=C$1,0,IF(SUM(IMshareM!C$2:C$78)-IMshareM!C$3&gt;0,IMshareM!C44/(SUM(IMshareM!C$2:C$78)-IMshareM!C$3),0))</f>
        <v>1.6083062604234949E-5</v>
      </c>
      <c r="D44" s="8">
        <f>IF($A44=D$1,0,IF(SUM(IMshareM!D$2:D$78)-IMshareM!D$4&gt;0,IMshareM!D44/(SUM(IMshareM!D$2:D$78)-IMshareM!D$4),0))</f>
        <v>0</v>
      </c>
      <c r="E44" s="8">
        <f>IF($A44=E$1,0,IF(SUM(IMshareM!E$2:E$78)-IMshareM!E$5&gt;0,IMshareM!E44/(SUM(IMshareM!E$2:E$78)-IMshareM!E$5),0))</f>
        <v>0</v>
      </c>
      <c r="F44" s="8">
        <f>IF($A44=F$1,0,IF(SUM(IMshareM!F$2:F$78)-IMshareM!F$6&gt;0,IMshareM!F44/(SUM(IMshareM!F$2:F$78)-IMshareM!F$6),0))</f>
        <v>0</v>
      </c>
      <c r="G44" s="8">
        <f>IF($A44=G$1,0,IF(SUM(IMshareM!G$2:G$78)-IMshareM!G$7&gt;0,IMshareM!G44/(SUM(IMshareM!G$2:G$78)-IMshareM!G$7),0))</f>
        <v>0</v>
      </c>
      <c r="H44" s="8">
        <f>IF($A44=H$1,0,IF(SUM(IMshareM!H$2:H$78)-IMshareM!H$8&gt;0,IMshareM!H44/(SUM(IMshareM!H$2:H$78)-IMshareM!H$8),0))</f>
        <v>0</v>
      </c>
      <c r="I44" s="8">
        <f>IF($A44=I$1,0,IF(SUM(IMshareM!I$2:I$78)-IMshareM!I$9&gt;0,IMshareM!I44/(SUM(IMshareM!I$2:I$78)-IMshareM!I$9),0))</f>
        <v>0</v>
      </c>
      <c r="J44" s="8">
        <f>IF($A44=J$1,0,IF(SUM(IMshareM!J$2:J$78)-IMshareM!J$10&gt;0,IMshareM!J44/(SUM(IMshareM!J$2:J$78)-IMshareM!J$10),0))</f>
        <v>0</v>
      </c>
      <c r="K44" s="8">
        <f>IF($A44=K$1,0,IF(SUM(IMshareM!K$2:K$78)-IMshareM!K$11&gt;0,IMshareM!K44/(SUM(IMshareM!K$2:K$78)-IMshareM!K$11),0))</f>
        <v>2.866389591594152E-8</v>
      </c>
      <c r="L44" s="8">
        <f>IF($A44=L$1,0,IF(SUM(IMshareM!L$2:L$78)-IMshareM!L$12&gt;0,IMshareM!L44/(SUM(IMshareM!L$2:L$78)-IMshareM!L$12),0))</f>
        <v>0</v>
      </c>
      <c r="M44" s="8">
        <f>IF($A44=M$1,0,IF(SUM(IMshareM!M$2:M$78)-IMshareM!M$13&gt;0,IMshareM!M44/(SUM(IMshareM!M$2:M$78)-IMshareM!M$13),0))</f>
        <v>1.9599793669463604E-7</v>
      </c>
      <c r="N44" s="8">
        <f>IF($A44=N$1,0,IF(SUM(IMshareM!N$2:N$78)-IMshareM!N$14&gt;0,IMshareM!N44/(SUM(IMshareM!N$2:N$78)-IMshareM!N$14),0))</f>
        <v>0</v>
      </c>
      <c r="O44" s="8">
        <f>IF($A44=O$1,0,IF(SUM(IMshareM!O$2:O$78)-IMshareM!O$15&gt;0,IMshareM!O44/(SUM(IMshareM!O$2:O$78)-IMshareM!O$15),0))</f>
        <v>0</v>
      </c>
      <c r="P44" s="8">
        <f>IF($A44=P$1,0,IF(SUM(IMshareM!P$2:P$78)-IMshareM!P$16&gt;0,IMshareM!P44/(SUM(IMshareM!P$2:P$78)-IMshareM!P$16),0))</f>
        <v>0</v>
      </c>
      <c r="Q44" s="8">
        <f>IF($A44=Q$1,0,IF(SUM(IMshareM!Q$2:Q$78)-IMshareM!Q$17&gt;0,IMshareM!Q44/(SUM(IMshareM!Q$2:Q$78)-IMshareM!Q$17),0))</f>
        <v>0</v>
      </c>
      <c r="R44" s="8">
        <f>IF($A44=R$1,0,IF(SUM(IMshareM!R$2:R$78)-IMshareM!R$18&gt;0,IMshareM!R44/(SUM(IMshareM!R$2:R$78)-IMshareM!R$18),0))</f>
        <v>0</v>
      </c>
      <c r="S44" s="8">
        <f>IF($A44=S$1,0,IF(SUM(IMshareM!S$2:S$78)-IMshareM!S$19&gt;0,IMshareM!S44/(SUM(IMshareM!S$2:S$78)-IMshareM!S$19),0))</f>
        <v>0</v>
      </c>
      <c r="T44" s="8">
        <f>IF($A44=T$1,0,IF(SUM(IMshareM!T$2:T$78)-IMshareM!T$20&gt;0,IMshareM!T44/(SUM(IMshareM!T$2:T$78)-IMshareM!T$20),0))</f>
        <v>0</v>
      </c>
      <c r="U44" s="8">
        <f>IF($A44=U$1,0,IF(SUM(IMshareM!U$2:U$78)-IMshareM!U$21&gt;0,IMshareM!U44/(SUM(IMshareM!U$2:U$78)-IMshareM!U$21),0))</f>
        <v>0</v>
      </c>
      <c r="V44" s="8">
        <f>IF($A44=V$1,0,IF(SUM(IMshareM!V$2:V$78)-IMshareM!V$22&gt;0,IMshareM!V44/(SUM(IMshareM!V$2:V$78)-IMshareM!V$22),0))</f>
        <v>0</v>
      </c>
      <c r="W44" s="8">
        <f>IF($A44=W$1,0,IF(SUM(IMshareM!W$2:W$78)-IMshareM!W$23&gt;0,IMshareM!W44/(SUM(IMshareM!W$2:W$78)-IMshareM!W$23),0))</f>
        <v>0</v>
      </c>
      <c r="X44" s="8">
        <f>IF($A44=X$1,0,IF(SUM(IMshareM!X$2:X$78)-IMshareM!X$24&gt;0,IMshareM!X44/(SUM(IMshareM!X$2:X$78)-IMshareM!X$24),0))</f>
        <v>0</v>
      </c>
      <c r="Y44" s="8">
        <f>IF($A44=Y$1,0,IF(SUM(IMshareM!Y$2:Y$78)-IMshareM!Y$25&gt;0,IMshareM!Y44/(SUM(IMshareM!Y$2:Y$78)-IMshareM!Y$25),0))</f>
        <v>0</v>
      </c>
      <c r="Z44" s="8">
        <f>IF($A44=Z$1,0,IF(SUM(IMshareM!Z$2:Z$78)-IMshareM!Z$26&gt;0,IMshareM!Z44/(SUM(IMshareM!Z$2:Z$78)-IMshareM!Z$26),0))</f>
        <v>0</v>
      </c>
      <c r="AA44" s="8">
        <f>IF($A44=AA$1,0,IF(SUM(IMshareM!AA$2:AA$78)-IMshareM!AA$27&gt;0,IMshareM!AA44/(SUM(IMshareM!AA$2:AA$78)-IMshareM!AA$27),0))</f>
        <v>0</v>
      </c>
      <c r="AB44" s="8">
        <f>IF($A44=AB$1,0,IF(SUM(IMshareM!AB$2:AB$78)-IMshareM!AB$28&gt;0,IMshareM!AB44/(SUM(IMshareM!AB$2:AB$78)-IMshareM!AB$28),0))</f>
        <v>0</v>
      </c>
      <c r="AC44" s="8">
        <f>IF($A44=AC$1,0,IF(SUM(IMshareM!AC$2:AC$78)-IMshareM!AC$29&gt;0,IMshareM!AC44/(SUM(IMshareM!AC$2:AC$78)-IMshareM!AC$29),0))</f>
        <v>0</v>
      </c>
      <c r="AD44" s="8">
        <f>IF($A44=AD$1,0,IF(SUM(IMshareM!AD$2:AD$78)-IMshareM!AD$30&gt;0,IMshareM!AD44/(SUM(IMshareM!AD$2:AD$78)-IMshareM!AD$30),0))</f>
        <v>0</v>
      </c>
      <c r="AE44" s="8">
        <f>IF($A44=AE$1,0,IF(SUM(IMshareM!AE$2:AE$78)-IMshareM!AE$31&gt;0,IMshareM!AE44/(SUM(IMshareM!AE$2:AE$78)-IMshareM!AE$31),0))</f>
        <v>0</v>
      </c>
      <c r="AF44" s="8">
        <f>IF($A44=AF$1,0,IF(SUM(IMshareM!AF$2:AF$78)-IMshareM!AF$32&gt;0,IMshareM!AF44/(SUM(IMshareM!AF$2:AF$78)-IMshareM!AF$32),0))</f>
        <v>0</v>
      </c>
      <c r="AG44" s="8">
        <f>IF($A44=AG$1,0,IF(SUM(IMshareM!AG$2:AG$78)-IMshareM!AG$33&gt;0,IMshareM!AG44/(SUM(IMshareM!AG$2:AG$78)-IMshareM!AG$33),0))</f>
        <v>0</v>
      </c>
      <c r="AH44" s="8">
        <f>IF($A44=AH$1,0,IF(SUM(IMshareM!AH$2:AH$78)-IMshareM!AH$34&gt;0,IMshareM!AH44/(SUM(IMshareM!AH$2:AH$78)-IMshareM!AH$34),0))</f>
        <v>0</v>
      </c>
      <c r="AI44" s="8">
        <f>IF($A44=AI$1,0,IF(SUM(IMshareM!AI$2:AI$78)-IMshareM!AI$35&gt;0,IMshareM!AI44/(SUM(IMshareM!AI$2:AI$78)-IMshareM!AI$35),0))</f>
        <v>0</v>
      </c>
      <c r="AJ44" s="8">
        <f>IF($A44=AJ$1,0,IF(SUM(IMshareM!AJ$2:AJ$78)-IMshareM!AJ$36&gt;0,IMshareM!AJ44/(SUM(IMshareM!AJ$2:AJ$78)-IMshareM!AJ$36),0))</f>
        <v>0</v>
      </c>
      <c r="AK44" s="8">
        <f>IF($A44=AK$1,0,IF(SUM(IMshareM!AK$2:AK$78)-IMshareM!AK$37&gt;0,IMshareM!AK44/(SUM(IMshareM!AK$2:AK$78)-IMshareM!AK$37),0))</f>
        <v>0</v>
      </c>
      <c r="AL44" s="8">
        <f>IF($A44=AL$1,0,IF(SUM(IMshareM!AL$2:AL$78)-IMshareM!AL$38&gt;0,IMshareM!AL44/(SUM(IMshareM!AL$2:AL$78)-IMshareM!AL$38),0))</f>
        <v>0</v>
      </c>
      <c r="AM44" s="8">
        <f>IF($A44=AM$1,0,IF(SUM(IMshareM!AM$2:AM$78)-IMshareM!AM$39&gt;0,IMshareM!AM44/(SUM(IMshareM!AM$2:AM$78)-IMshareM!AM$39),0))</f>
        <v>0</v>
      </c>
      <c r="AN44" s="8">
        <f>IF($A44=AN$1,0,IF(SUM(IMshareM!AN$2:AN$78)-IMshareM!AN$40&gt;0,IMshareM!AN44/(SUM(IMshareM!AN$2:AN$78)-IMshareM!AN$40),0))</f>
        <v>0</v>
      </c>
      <c r="AO44" s="8">
        <f>IF($A44=AO$1,0,IF(SUM(IMshareM!AO$2:AO$78)-IMshareM!AO$41&gt;0,IMshareM!AO44/(SUM(IMshareM!AO$2:AO$78)-IMshareM!AO$41),0))</f>
        <v>0</v>
      </c>
      <c r="AP44" s="8">
        <f>IF($A44=AP$1,0,IF(SUM(IMshareM!AP$2:AP$78)-IMshareM!AP$42&gt;0,IMshareM!AP44/(SUM(IMshareM!AP$2:AP$78)-IMshareM!AP$42),0))</f>
        <v>0</v>
      </c>
      <c r="AQ44" s="8">
        <f>IF($A44=AQ$1,0,IF(SUM(IMshareM!AQ$2:AQ$78)-IMshareM!AQ$43&gt;0,IMshareM!AQ44/(SUM(IMshareM!AQ$2:AQ$78)-IMshareM!AQ$43),0))</f>
        <v>0</v>
      </c>
      <c r="AR44" s="8">
        <f>IF($A44=AR$1,0,IF(SUM(IMshareM!AR$2:AR$78)-IMshareM!AR$44&gt;0,IMshareM!AR44/(SUM(IMshareM!AR$2:AR$78)-IMshareM!AR$44),0))</f>
        <v>0</v>
      </c>
      <c r="AS44" s="8">
        <f>IF($A44=AS$1,0,IF(SUM(IMshareM!AS$2:AS$78)-IMshareM!AS$45&gt;0,IMshareM!AS44/(SUM(IMshareM!AS$2:AS$78)-IMshareM!AS$45),0))</f>
        <v>0</v>
      </c>
      <c r="AT44" s="8">
        <f>IF($A44=AT$1,0,IF(SUM(IMshareM!AT$2:AT$78)-IMshareM!AT$46&gt;0,IMshareM!AT44/(SUM(IMshareM!AT$2:AT$78)-IMshareM!AT$46),0))</f>
        <v>0</v>
      </c>
      <c r="AU44" s="8">
        <f>IF($A44=AU$1,0,IF(SUM(IMshareM!AU$2:AU$78)-IMshareM!AU$47&gt;0,IMshareM!AU44/(SUM(IMshareM!AU$2:AU$78)-IMshareM!AU$47),0))</f>
        <v>0</v>
      </c>
      <c r="AV44" s="8">
        <f>IF($A44=AV$1,0,IF(SUM(IMshareM!AV$2:AV$78)-IMshareM!AV$48&gt;0,IMshareM!AV44/(SUM(IMshareM!AV$2:AV$78)-IMshareM!AV$48),0))</f>
        <v>0</v>
      </c>
      <c r="AW44" s="8">
        <f>IF($A44=AW$1,0,IF(SUM(IMshareM!AW$2:AW$78)-IMshareM!AW$49&gt;0,IMshareM!AW44/(SUM(IMshareM!AW$2:AW$78)-IMshareM!AW$49),0))</f>
        <v>0</v>
      </c>
      <c r="AX44" s="8">
        <f>IF($A44=AX$1,0,IF(SUM(IMshareM!AX$2:AX$78)-IMshareM!AX$50&gt;0,IMshareM!AX44/(SUM(IMshareM!AX$2:AX$78)-IMshareM!AX$50),0))</f>
        <v>0</v>
      </c>
      <c r="AY44" s="8">
        <f>IF($A44=AY$1,0,IF(SUM(IMshareM!AY$2:AY$78)-IMshareM!AY$51&gt;0,IMshareM!AY44/(SUM(IMshareM!AY$2:AY$78)-IMshareM!AY$51),0))</f>
        <v>0</v>
      </c>
      <c r="AZ44" s="8">
        <f>IF($A44=AZ$1,0,IF(SUM(IMshareM!AZ$2:AZ$78)-IMshareM!AZ$52&gt;0,IMshareM!AZ44/(SUM(IMshareM!AZ$2:AZ$78)-IMshareM!AZ$52),0))</f>
        <v>0</v>
      </c>
      <c r="BA44" s="8">
        <f>IF($A44=BA$1,0,IF(SUM(IMshareM!BA$2:BA$78)-IMshareM!BA$53&gt;0,IMshareM!BA44/(SUM(IMshareM!BA$2:BA$78)-IMshareM!BA$53),0))</f>
        <v>0</v>
      </c>
      <c r="BB44" s="8">
        <f>IF($A44=BB$1,0,IF(SUM(IMshareM!BB$2:BB$78)-IMshareM!BB$54&gt;0,IMshareM!BB44/(SUM(IMshareM!BB$2:BB$78)-IMshareM!BB$54),0))</f>
        <v>0</v>
      </c>
      <c r="BC44" s="8">
        <f>IF($A44=BC$1,0,IF(SUM(IMshareM!BC$2:BC$78)-IMshareM!BC$55&gt;0,IMshareM!BC44/(SUM(IMshareM!BC$2:BC$78)-IMshareM!BC$55),0))</f>
        <v>0</v>
      </c>
      <c r="BD44" s="8">
        <f>IF($A44=BD$1,0,IF(SUM(IMshareM!BD$2:BD$78)-IMshareM!BD$56&gt;0,IMshareM!BD44/(SUM(IMshareM!BD$2:BD$78)-IMshareM!BD$56),0))</f>
        <v>0</v>
      </c>
      <c r="BE44" s="8">
        <f>IF($A44=BE$1,0,IF(SUM(IMshareM!BE$2:BE$78)-IMshareM!BE$57&gt;0,IMshareM!BE44/(SUM(IMshareM!BE$2:BE$78)-IMshareM!BE$57),0))</f>
        <v>0</v>
      </c>
      <c r="BF44" s="8">
        <f>IF($A44=BF$1,0,IF(SUM(IMshareM!BF$2:BF$78)-IMshareM!BF$58&gt;0,IMshareM!BF44/(SUM(IMshareM!BF$2:BF$78)-IMshareM!BF$58),0))</f>
        <v>0</v>
      </c>
      <c r="BG44" s="8">
        <f>IF($A44=BG$1,0,IF(SUM(IMshareM!BG$2:BG$78)-IMshareM!BG$59&gt;0,IMshareM!BG44/(SUM(IMshareM!BG$2:BG$78)-IMshareM!BG$59),0))</f>
        <v>0</v>
      </c>
      <c r="BH44" s="8">
        <f>IF($A44=BH$1,0,IF(SUM(IMshareM!BH$2:BH$78)-IMshareM!BH$60&gt;0,IMshareM!BH44/(SUM(IMshareM!BH$2:BH$78)-IMshareM!BH$60),0))</f>
        <v>0</v>
      </c>
      <c r="BI44" s="8">
        <f>IF($A44=BI$1,0,IF(SUM(IMshareM!BI$2:BI$78)-IMshareM!BI$61&gt;0,IMshareM!BI44/(SUM(IMshareM!BI$2:BI$78)-IMshareM!BI$61),0))</f>
        <v>0</v>
      </c>
      <c r="BJ44" s="8">
        <f>IF($A44=BJ$1,0,IF(SUM(IMshareM!BJ$2:BJ$78)-IMshareM!BJ$62&gt;0,IMshareM!BJ44/(SUM(IMshareM!BJ$2:BJ$78)-IMshareM!BJ$62),0))</f>
        <v>0</v>
      </c>
      <c r="BK44" s="8">
        <f>IF($A44=BK$1,0,IF(SUM(IMshareM!BK$2:BK$78)-IMshareM!BK$63&gt;0,IMshareM!BK44/(SUM(IMshareM!BK$2:BK$78)-IMshareM!BK$63),0))</f>
        <v>0</v>
      </c>
      <c r="BL44" s="8">
        <f>IF($A44=BL$1,0,IF(SUM(IMshareM!BL$2:BL$78)-IMshareM!BL$64&gt;0,IMshareM!BL44/(SUM(IMshareM!BL$2:BL$78)-IMshareM!BL$64),0))</f>
        <v>0</v>
      </c>
      <c r="BM44" s="8">
        <f>IF($A44=BM$1,0,IF(SUM(IMshareM!BM$2:BM$78)-IMshareM!BM$65&gt;0,IMshareM!BM44/(SUM(IMshareM!BM$2:BM$78)-IMshareM!BM$65),0))</f>
        <v>0</v>
      </c>
      <c r="BN44" s="8">
        <f>IF($A44=BN$1,0,IF(SUM(IMshareM!BN$2:BN$78)-IMshareM!BN$66&gt;0,IMshareM!BN44/(SUM(IMshareM!BN$2:BN$78)-IMshareM!BN$66),0))</f>
        <v>0</v>
      </c>
      <c r="BO44" s="8">
        <f>IF($A44=BO$1,0,IF(SUM(IMshareM!BO$2:BO$78)-IMshareM!BO$67&gt;0,IMshareM!BO44/(SUM(IMshareM!BO$2:BO$78)-IMshareM!BO$67),0))</f>
        <v>0</v>
      </c>
      <c r="BP44" s="8">
        <f>IF($A44=BP$1,0,IF(SUM(IMshareM!BP$2:BP$78)-IMshareM!BP$68&gt;0,IMshareM!BP44/(SUM(IMshareM!BP$2:BP$78)-IMshareM!BP$68),0))</f>
        <v>0</v>
      </c>
      <c r="BQ44" s="8">
        <f>IF($A44=BQ$1,0,IF(SUM(IMshareM!BQ$2:BQ$78)-IMshareM!BQ$69&gt;0,IMshareM!BQ44/(SUM(IMshareM!BQ$2:BQ$78)-IMshareM!BQ$69),0))</f>
        <v>8.3107903971892425E-7</v>
      </c>
      <c r="BR44" s="8">
        <f>IF($A44=BR$1,0,IF(SUM(IMshareM!BR$2:BR$78)-IMshareM!BR$70&gt;0,IMshareM!BR44/(SUM(IMshareM!BR$2:BR$78)-IMshareM!BR$70),0))</f>
        <v>1.9194235686836376E-5</v>
      </c>
      <c r="BS44" s="8">
        <f>IF($A44=BS$1,0,IF(SUM(IMshareM!BS$2:BS$78)-IMshareM!BS$71&gt;0,IMshareM!BS44/(SUM(IMshareM!BS$2:BS$78)-IMshareM!BS$71),0))</f>
        <v>0</v>
      </c>
      <c r="BT44" s="8">
        <f>IF($A44=BT$1,0,IF(SUM(IMshareM!BT$2:BT$78)-IMshareM!BT$72&gt;0,IMshareM!BT44/(SUM(IMshareM!BT$2:BT$78)-IMshareM!BT$72),0))</f>
        <v>0</v>
      </c>
      <c r="BU44" s="8">
        <f>IF($A44=BU$1,0,IF(SUM(IMshareM!BU$2:BU$78)-IMshareM!BU$73&gt;0,IMshareM!BU44/(SUM(IMshareM!BU$2:BU$78)-IMshareM!BU$73),0))</f>
        <v>0</v>
      </c>
      <c r="BV44" s="8">
        <f>IF($A44=BV$1,0,IF(SUM(IMshareM!BV$2:BV$78)-IMshareM!BV$74&gt;0,IMshareM!BV44/(SUM(IMshareM!BV$2:BV$78)-IMshareM!BV$74),0))</f>
        <v>0</v>
      </c>
      <c r="BW44" s="8">
        <f>IF($A44=BW$1,0,IF(SUM(IMshareM!BW$2:BW$78)-IMshareM!BW$75&gt;0,IMshareM!BW44/(SUM(IMshareM!BW$2:BW$78)-IMshareM!BW$75),0))</f>
        <v>0</v>
      </c>
      <c r="BX44" s="8">
        <f>IF($A44=BX$1,0,IF(SUM(IMshareM!BX$2:BX$78)-IMshareM!BX$76&gt;0,IMshareM!BX44/(SUM(IMshareM!BX$2:BX$78)-IMshareM!BX$76),0))</f>
        <v>0</v>
      </c>
      <c r="BY44" s="8">
        <f>IF($A44=BY$1,0,IF(SUM(IMshareM!BY$2:BY$78)-IMshareM!BY$77&gt;0,IMshareM!BY44/(SUM(IMshareM!BY$2:BY$78)-IMshareM!BY$77),0))</f>
        <v>0</v>
      </c>
      <c r="BZ44" s="8">
        <f>IF($A44=BZ$1,0,IF(SUM(IMshareM!BZ$2:BZ$78)-IMshareM!BZ$78&gt;0,IMshareM!BZ44/(SUM(IMshareM!BZ$2:BZ$78)-IMshareM!BZ$78),0))</f>
        <v>0</v>
      </c>
    </row>
    <row r="45" spans="1:78">
      <c r="A45" s="4" t="s">
        <v>157</v>
      </c>
      <c r="B45" s="8">
        <f>IF($A45=B$1,0,IF(SUM(IMshareM!B$2:B$78)-IMshareM!B$2&gt;0,IMshareM!B45/(SUM(IMshareM!B$2:B$78)-IMshareM!B$2),0))</f>
        <v>6.9788258566528109E-5</v>
      </c>
      <c r="C45" s="8">
        <f>IF($A45=C$1,0,IF(SUM(IMshareM!C$2:C$78)-IMshareM!C$3&gt;0,IMshareM!C45/(SUM(IMshareM!C$2:C$78)-IMshareM!C$3),0))</f>
        <v>2.70408131500614E-5</v>
      </c>
      <c r="D45" s="8">
        <f>IF($A45=D$1,0,IF(SUM(IMshareM!D$2:D$78)-IMshareM!D$4&gt;0,IMshareM!D45/(SUM(IMshareM!D$2:D$78)-IMshareM!D$4),0))</f>
        <v>8.3523077248633508E-5</v>
      </c>
      <c r="E45" s="8">
        <f>IF($A45=E$1,0,IF(SUM(IMshareM!E$2:E$78)-IMshareM!E$5&gt;0,IMshareM!E45/(SUM(IMshareM!E$2:E$78)-IMshareM!E$5),0))</f>
        <v>1.4121659787892221E-5</v>
      </c>
      <c r="F45" s="8">
        <f>IF($A45=F$1,0,IF(SUM(IMshareM!F$2:F$78)-IMshareM!F$6&gt;0,IMshareM!F45/(SUM(IMshareM!F$2:F$78)-IMshareM!F$6),0))</f>
        <v>0</v>
      </c>
      <c r="G45" s="8">
        <f>IF($A45=G$1,0,IF(SUM(IMshareM!G$2:G$78)-IMshareM!G$7&gt;0,IMshareM!G45/(SUM(IMshareM!G$2:G$78)-IMshareM!G$7),0))</f>
        <v>2.8011763068371243E-5</v>
      </c>
      <c r="H45" s="8">
        <f>IF($A45=H$1,0,IF(SUM(IMshareM!H$2:H$78)-IMshareM!H$8&gt;0,IMshareM!H45/(SUM(IMshareM!H$2:H$78)-IMshareM!H$8),0))</f>
        <v>3.1172251665412126E-2</v>
      </c>
      <c r="I45" s="8">
        <f>IF($A45=I$1,0,IF(SUM(IMshareM!I$2:I$78)-IMshareM!I$9&gt;0,IMshareM!I45/(SUM(IMshareM!I$2:I$78)-IMshareM!I$9),0))</f>
        <v>1.220092995973878E-5</v>
      </c>
      <c r="J45" s="8">
        <f>IF($A45=J$1,0,IF(SUM(IMshareM!J$2:J$78)-IMshareM!J$10&gt;0,IMshareM!J45/(SUM(IMshareM!J$2:J$78)-IMshareM!J$10),0))</f>
        <v>0</v>
      </c>
      <c r="K45" s="8">
        <f>IF($A45=K$1,0,IF(SUM(IMshareM!K$2:K$78)-IMshareM!K$11&gt;0,IMshareM!K45/(SUM(IMshareM!K$2:K$78)-IMshareM!K$11),0))</f>
        <v>1.741432762073037E-5</v>
      </c>
      <c r="L45" s="8">
        <f>IF($A45=L$1,0,IF(SUM(IMshareM!L$2:L$78)-IMshareM!L$12&gt;0,IMshareM!L45/(SUM(IMshareM!L$2:L$78)-IMshareM!L$12),0))</f>
        <v>1.2204698781268102E-4</v>
      </c>
      <c r="M45" s="8">
        <f>IF($A45=M$1,0,IF(SUM(IMshareM!M$2:M$78)-IMshareM!M$13&gt;0,IMshareM!M45/(SUM(IMshareM!M$2:M$78)-IMshareM!M$13),0))</f>
        <v>4.5718056407904436E-8</v>
      </c>
      <c r="N45" s="8">
        <f>IF($A45=N$1,0,IF(SUM(IMshareM!N$2:N$78)-IMshareM!N$14&gt;0,IMshareM!N45/(SUM(IMshareM!N$2:N$78)-IMshareM!N$14),0))</f>
        <v>5.1589052736051506E-6</v>
      </c>
      <c r="O45" s="8">
        <f>IF($A45=O$1,0,IF(SUM(IMshareM!O$2:O$78)-IMshareM!O$15&gt;0,IMshareM!O45/(SUM(IMshareM!O$2:O$78)-IMshareM!O$15),0))</f>
        <v>6.160511332817561E-5</v>
      </c>
      <c r="P45" s="8">
        <f>IF($A45=P$1,0,IF(SUM(IMshareM!P$2:P$78)-IMshareM!P$16&gt;0,IMshareM!P45/(SUM(IMshareM!P$2:P$78)-IMshareM!P$16),0))</f>
        <v>0</v>
      </c>
      <c r="Q45" s="8">
        <f>IF($A45=Q$1,0,IF(SUM(IMshareM!Q$2:Q$78)-IMshareM!Q$17&gt;0,IMshareM!Q45/(SUM(IMshareM!Q$2:Q$78)-IMshareM!Q$17),0))</f>
        <v>0</v>
      </c>
      <c r="R45" s="8">
        <f>IF($A45=R$1,0,IF(SUM(IMshareM!R$2:R$78)-IMshareM!R$18&gt;0,IMshareM!R45/(SUM(IMshareM!R$2:R$78)-IMshareM!R$18),0))</f>
        <v>0</v>
      </c>
      <c r="S45" s="8">
        <f>IF($A45=S$1,0,IF(SUM(IMshareM!S$2:S$78)-IMshareM!S$19&gt;0,IMshareM!S45/(SUM(IMshareM!S$2:S$78)-IMshareM!S$19),0))</f>
        <v>1.1963981340548706E-5</v>
      </c>
      <c r="T45" s="8">
        <f>IF($A45=T$1,0,IF(SUM(IMshareM!T$2:T$78)-IMshareM!T$20&gt;0,IMshareM!T45/(SUM(IMshareM!T$2:T$78)-IMshareM!T$20),0))</f>
        <v>1.1229253181079573E-4</v>
      </c>
      <c r="U45" s="8">
        <f>IF($A45=U$1,0,IF(SUM(IMshareM!U$2:U$78)-IMshareM!U$21&gt;0,IMshareM!U45/(SUM(IMshareM!U$2:U$78)-IMshareM!U$21),0))</f>
        <v>2.0364605704807764E-4</v>
      </c>
      <c r="V45" s="8">
        <f>IF($A45=V$1,0,IF(SUM(IMshareM!V$2:V$78)-IMshareM!V$22&gt;0,IMshareM!V45/(SUM(IMshareM!V$2:V$78)-IMshareM!V$22),0))</f>
        <v>7.8802141620258257E-4</v>
      </c>
      <c r="W45" s="8">
        <f>IF($A45=W$1,0,IF(SUM(IMshareM!W$2:W$78)-IMshareM!W$23&gt;0,IMshareM!W45/(SUM(IMshareM!W$2:W$78)-IMshareM!W$23),0))</f>
        <v>1.4047667805626451E-5</v>
      </c>
      <c r="X45" s="8">
        <f>IF($A45=X$1,0,IF(SUM(IMshareM!X$2:X$78)-IMshareM!X$24&gt;0,IMshareM!X45/(SUM(IMshareM!X$2:X$78)-IMshareM!X$24),0))</f>
        <v>8.9317515780861806E-6</v>
      </c>
      <c r="Y45" s="8">
        <f>IF($A45=Y$1,0,IF(SUM(IMshareM!Y$2:Y$78)-IMshareM!Y$25&gt;0,IMshareM!Y45/(SUM(IMshareM!Y$2:Y$78)-IMshareM!Y$25),0))</f>
        <v>6.4181736156031788E-3</v>
      </c>
      <c r="Z45" s="8">
        <f>IF($A45=Z$1,0,IF(SUM(IMshareM!Z$2:Z$78)-IMshareM!Z$26&gt;0,IMshareM!Z45/(SUM(IMshareM!Z$2:Z$78)-IMshareM!Z$26),0))</f>
        <v>1.1003785603386338E-5</v>
      </c>
      <c r="AA45" s="8">
        <f>IF($A45=AA$1,0,IF(SUM(IMshareM!AA$2:AA$78)-IMshareM!AA$27&gt;0,IMshareM!AA45/(SUM(IMshareM!AA$2:AA$78)-IMshareM!AA$27),0))</f>
        <v>4.4861360395505447E-5</v>
      </c>
      <c r="AB45" s="8">
        <f>IF($A45=AB$1,0,IF(SUM(IMshareM!AB$2:AB$78)-IMshareM!AB$28&gt;0,IMshareM!AB45/(SUM(IMshareM!AB$2:AB$78)-IMshareM!AB$28),0))</f>
        <v>1.2719958085800121E-3</v>
      </c>
      <c r="AC45" s="8">
        <f>IF($A45=AC$1,0,IF(SUM(IMshareM!AC$2:AC$78)-IMshareM!AC$29&gt;0,IMshareM!AC45/(SUM(IMshareM!AC$2:AC$78)-IMshareM!AC$29),0))</f>
        <v>1.4978659808007424E-4</v>
      </c>
      <c r="AD45" s="8">
        <f>IF($A45=AD$1,0,IF(SUM(IMshareM!AD$2:AD$78)-IMshareM!AD$30&gt;0,IMshareM!AD45/(SUM(IMshareM!AD$2:AD$78)-IMshareM!AD$30),0))</f>
        <v>2.6120778695174108E-4</v>
      </c>
      <c r="AE45" s="8">
        <f>IF($A45=AE$1,0,IF(SUM(IMshareM!AE$2:AE$78)-IMshareM!AE$31&gt;0,IMshareM!AE45/(SUM(IMshareM!AE$2:AE$78)-IMshareM!AE$31),0))</f>
        <v>1.085140879252983E-3</v>
      </c>
      <c r="AF45" s="8">
        <f>IF($A45=AF$1,0,IF(SUM(IMshareM!AF$2:AF$78)-IMshareM!AF$32&gt;0,IMshareM!AF45/(SUM(IMshareM!AF$2:AF$78)-IMshareM!AF$32),0))</f>
        <v>2.2460500011682783E-4</v>
      </c>
      <c r="AG45" s="8">
        <f>IF($A45=AG$1,0,IF(SUM(IMshareM!AG$2:AG$78)-IMshareM!AG$33&gt;0,IMshareM!AG45/(SUM(IMshareM!AG$2:AG$78)-IMshareM!AG$33),0))</f>
        <v>2.2222635606652005E-7</v>
      </c>
      <c r="AH45" s="8">
        <f>IF($A45=AH$1,0,IF(SUM(IMshareM!AH$2:AH$78)-IMshareM!AH$34&gt;0,IMshareM!AH45/(SUM(IMshareM!AH$2:AH$78)-IMshareM!AH$34),0))</f>
        <v>3.7169425992312501E-6</v>
      </c>
      <c r="AI45" s="8">
        <f>IF($A45=AI$1,0,IF(SUM(IMshareM!AI$2:AI$78)-IMshareM!AI$35&gt;0,IMshareM!AI45/(SUM(IMshareM!AI$2:AI$78)-IMshareM!AI$35),0))</f>
        <v>1.9541138567880502E-5</v>
      </c>
      <c r="AJ45" s="8">
        <f>IF($A45=AJ$1,0,IF(SUM(IMshareM!AJ$2:AJ$78)-IMshareM!AJ$36&gt;0,IMshareM!AJ45/(SUM(IMshareM!AJ$2:AJ$78)-IMshareM!AJ$36),0))</f>
        <v>1.2320291594701792E-3</v>
      </c>
      <c r="AK45" s="8">
        <f>IF($A45=AK$1,0,IF(SUM(IMshareM!AK$2:AK$78)-IMshareM!AK$37&gt;0,IMshareM!AK45/(SUM(IMshareM!AK$2:AK$78)-IMshareM!AK$37),0))</f>
        <v>3.3714310642699968E-5</v>
      </c>
      <c r="AL45" s="8">
        <f>IF($A45=AL$1,0,IF(SUM(IMshareM!AL$2:AL$78)-IMshareM!AL$38&gt;0,IMshareM!AL45/(SUM(IMshareM!AL$2:AL$78)-IMshareM!AL$38),0))</f>
        <v>8.7727579060815908E-5</v>
      </c>
      <c r="AM45" s="8">
        <f>IF($A45=AM$1,0,IF(SUM(IMshareM!AM$2:AM$78)-IMshareM!AM$39&gt;0,IMshareM!AM45/(SUM(IMshareM!AM$2:AM$78)-IMshareM!AM$39),0))</f>
        <v>0</v>
      </c>
      <c r="AN45" s="8">
        <f>IF($A45=AN$1,0,IF(SUM(IMshareM!AN$2:AN$78)-IMshareM!AN$40&gt;0,IMshareM!AN45/(SUM(IMshareM!AN$2:AN$78)-IMshareM!AN$40),0))</f>
        <v>1.0869996615949738E-5</v>
      </c>
      <c r="AO45" s="8">
        <f>IF($A45=AO$1,0,IF(SUM(IMshareM!AO$2:AO$78)-IMshareM!AO$41&gt;0,IMshareM!AO45/(SUM(IMshareM!AO$2:AO$78)-IMshareM!AO$41),0))</f>
        <v>2.5294504486023581E-2</v>
      </c>
      <c r="AP45" s="8">
        <f>IF($A45=AP$1,0,IF(SUM(IMshareM!AP$2:AP$78)-IMshareM!AP$42&gt;0,IMshareM!AP45/(SUM(IMshareM!AP$2:AP$78)-IMshareM!AP$42),0))</f>
        <v>0</v>
      </c>
      <c r="AQ45" s="8">
        <f>IF($A45=AQ$1,0,IF(SUM(IMshareM!AQ$2:AQ$78)-IMshareM!AQ$43&gt;0,IMshareM!AQ45/(SUM(IMshareM!AQ$2:AQ$78)-IMshareM!AQ$43),0))</f>
        <v>3.0658965945145302E-7</v>
      </c>
      <c r="AR45" s="8">
        <f>IF($A45=AR$1,0,IF(SUM(IMshareM!AR$2:AR$78)-IMshareM!AR$44&gt;0,IMshareM!AR45/(SUM(IMshareM!AR$2:AR$78)-IMshareM!AR$44),0))</f>
        <v>0</v>
      </c>
      <c r="AS45" s="8">
        <f>IF($A45=AS$1,0,IF(SUM(IMshareM!AS$2:AS$78)-IMshareM!AS$45&gt;0,IMshareM!AS45/(SUM(IMshareM!AS$2:AS$78)-IMshareM!AS$45),0))</f>
        <v>0</v>
      </c>
      <c r="AT45" s="8">
        <f>IF($A45=AT$1,0,IF(SUM(IMshareM!AT$2:AT$78)-IMshareM!AT$46&gt;0,IMshareM!AT45/(SUM(IMshareM!AT$2:AT$78)-IMshareM!AT$46),0))</f>
        <v>6.9346200991068496E-6</v>
      </c>
      <c r="AU45" s="8">
        <f>IF($A45=AU$1,0,IF(SUM(IMshareM!AU$2:AU$78)-IMshareM!AU$47&gt;0,IMshareM!AU45/(SUM(IMshareM!AU$2:AU$78)-IMshareM!AU$47),0))</f>
        <v>0.1134179893478959</v>
      </c>
      <c r="AV45" s="8">
        <f>IF($A45=AV$1,0,IF(SUM(IMshareM!AV$2:AV$78)-IMshareM!AV$48&gt;0,IMshareM!AV45/(SUM(IMshareM!AV$2:AV$78)-IMshareM!AV$48),0))</f>
        <v>0</v>
      </c>
      <c r="AW45" s="8">
        <f>IF($A45=AW$1,0,IF(SUM(IMshareM!AW$2:AW$78)-IMshareM!AW$49&gt;0,IMshareM!AW45/(SUM(IMshareM!AW$2:AW$78)-IMshareM!AW$49),0))</f>
        <v>0</v>
      </c>
      <c r="AX45" s="8">
        <f>IF($A45=AX$1,0,IF(SUM(IMshareM!AX$2:AX$78)-IMshareM!AX$50&gt;0,IMshareM!AX45/(SUM(IMshareM!AX$2:AX$78)-IMshareM!AX$50),0))</f>
        <v>8.410644654816357E-5</v>
      </c>
      <c r="AY45" s="8">
        <f>IF($A45=AY$1,0,IF(SUM(IMshareM!AY$2:AY$78)-IMshareM!AY$51&gt;0,IMshareM!AY45/(SUM(IMshareM!AY$2:AY$78)-IMshareM!AY$51),0))</f>
        <v>0</v>
      </c>
      <c r="AZ45" s="8">
        <f>IF($A45=AZ$1,0,IF(SUM(IMshareM!AZ$2:AZ$78)-IMshareM!AZ$52&gt;0,IMshareM!AZ45/(SUM(IMshareM!AZ$2:AZ$78)-IMshareM!AZ$52),0))</f>
        <v>7.6702539197027818E-6</v>
      </c>
      <c r="BA45" s="8">
        <f>IF($A45=BA$1,0,IF(SUM(IMshareM!BA$2:BA$78)-IMshareM!BA$53&gt;0,IMshareM!BA45/(SUM(IMshareM!BA$2:BA$78)-IMshareM!BA$53),0))</f>
        <v>3.5708593692589428E-4</v>
      </c>
      <c r="BB45" s="8">
        <f>IF($A45=BB$1,0,IF(SUM(IMshareM!BB$2:BB$78)-IMshareM!BB$54&gt;0,IMshareM!BB45/(SUM(IMshareM!BB$2:BB$78)-IMshareM!BB$54),0))</f>
        <v>2.2101070706673281E-3</v>
      </c>
      <c r="BC45" s="8">
        <f>IF($A45=BC$1,0,IF(SUM(IMshareM!BC$2:BC$78)-IMshareM!BC$55&gt;0,IMshareM!BC45/(SUM(IMshareM!BC$2:BC$78)-IMshareM!BC$55),0))</f>
        <v>2.217142767683051E-4</v>
      </c>
      <c r="BD45" s="8">
        <f>IF($A45=BD$1,0,IF(SUM(IMshareM!BD$2:BD$78)-IMshareM!BD$56&gt;0,IMshareM!BD45/(SUM(IMshareM!BD$2:BD$78)-IMshareM!BD$56),0))</f>
        <v>1.5265737907421526E-3</v>
      </c>
      <c r="BE45" s="8">
        <f>IF($A45=BE$1,0,IF(SUM(IMshareM!BE$2:BE$78)-IMshareM!BE$57&gt;0,IMshareM!BE45/(SUM(IMshareM!BE$2:BE$78)-IMshareM!BE$57),0))</f>
        <v>2.4918094444479998E-4</v>
      </c>
      <c r="BF45" s="8">
        <f>IF($A45=BF$1,0,IF(SUM(IMshareM!BF$2:BF$78)-IMshareM!BF$58&gt;0,IMshareM!BF45/(SUM(IMshareM!BF$2:BF$78)-IMshareM!BF$58),0))</f>
        <v>7.4320980231635926E-5</v>
      </c>
      <c r="BG45" s="8">
        <f>IF($A45=BG$1,0,IF(SUM(IMshareM!BG$2:BG$78)-IMshareM!BG$59&gt;0,IMshareM!BG45/(SUM(IMshareM!BG$2:BG$78)-IMshareM!BG$59),0))</f>
        <v>0</v>
      </c>
      <c r="BH45" s="8">
        <f>IF($A45=BH$1,0,IF(SUM(IMshareM!BH$2:BH$78)-IMshareM!BH$60&gt;0,IMshareM!BH45/(SUM(IMshareM!BH$2:BH$78)-IMshareM!BH$60),0))</f>
        <v>8.8460103474622795E-5</v>
      </c>
      <c r="BI45" s="8">
        <f>IF($A45=BI$1,0,IF(SUM(IMshareM!BI$2:BI$78)-IMshareM!BI$61&gt;0,IMshareM!BI45/(SUM(IMshareM!BI$2:BI$78)-IMshareM!BI$61),0))</f>
        <v>5.9520188630113217E-5</v>
      </c>
      <c r="BJ45" s="8">
        <f>IF($A45=BJ$1,0,IF(SUM(IMshareM!BJ$2:BJ$78)-IMshareM!BJ$62&gt;0,IMshareM!BJ45/(SUM(IMshareM!BJ$2:BJ$78)-IMshareM!BJ$62),0))</f>
        <v>1.5806388356774323E-4</v>
      </c>
      <c r="BK45" s="8">
        <f>IF($A45=BK$1,0,IF(SUM(IMshareM!BK$2:BK$78)-IMshareM!BK$63&gt;0,IMshareM!BK45/(SUM(IMshareM!BK$2:BK$78)-IMshareM!BK$63),0))</f>
        <v>9.0631020893172723E-3</v>
      </c>
      <c r="BL45" s="8">
        <f>IF($A45=BL$1,0,IF(SUM(IMshareM!BL$2:BL$78)-IMshareM!BL$64&gt;0,IMshareM!BL45/(SUM(IMshareM!BL$2:BL$78)-IMshareM!BL$64),0))</f>
        <v>0</v>
      </c>
      <c r="BM45" s="8">
        <f>IF($A45=BM$1,0,IF(SUM(IMshareM!BM$2:BM$78)-IMshareM!BM$65&gt;0,IMshareM!BM45/(SUM(IMshareM!BM$2:BM$78)-IMshareM!BM$65),0))</f>
        <v>0</v>
      </c>
      <c r="BN45" s="8">
        <f>IF($A45=BN$1,0,IF(SUM(IMshareM!BN$2:BN$78)-IMshareM!BN$66&gt;0,IMshareM!BN45/(SUM(IMshareM!BN$2:BN$78)-IMshareM!BN$66),0))</f>
        <v>2.4356541270717288E-6</v>
      </c>
      <c r="BO45" s="8">
        <f>IF($A45=BO$1,0,IF(SUM(IMshareM!BO$2:BO$78)-IMshareM!BO$67&gt;0,IMshareM!BO45/(SUM(IMshareM!BO$2:BO$78)-IMshareM!BO$67),0))</f>
        <v>4.976730764722069E-3</v>
      </c>
      <c r="BP45" s="8">
        <f>IF($A45=BP$1,0,IF(SUM(IMshareM!BP$2:BP$78)-IMshareM!BP$68&gt;0,IMshareM!BP45/(SUM(IMshareM!BP$2:BP$78)-IMshareM!BP$68),0))</f>
        <v>5.4636579902068657E-4</v>
      </c>
      <c r="BQ45" s="8">
        <f>IF($A45=BQ$1,0,IF(SUM(IMshareM!BQ$2:BQ$78)-IMshareM!BQ$69&gt;0,IMshareM!BQ45/(SUM(IMshareM!BQ$2:BQ$78)-IMshareM!BQ$69),0))</f>
        <v>2.99327138902646E-3</v>
      </c>
      <c r="BR45" s="8">
        <f>IF($A45=BR$1,0,IF(SUM(IMshareM!BR$2:BR$78)-IMshareM!BR$70&gt;0,IMshareM!BR45/(SUM(IMshareM!BR$2:BR$78)-IMshareM!BR$70),0))</f>
        <v>5.4571828128646825E-6</v>
      </c>
      <c r="BS45" s="8">
        <f>IF($A45=BS$1,0,IF(SUM(IMshareM!BS$2:BS$78)-IMshareM!BS$71&gt;0,IMshareM!BS45/(SUM(IMshareM!BS$2:BS$78)-IMshareM!BS$71),0))</f>
        <v>0</v>
      </c>
      <c r="BT45" s="8">
        <f>IF($A45=BT$1,0,IF(SUM(IMshareM!BT$2:BT$78)-IMshareM!BT$72&gt;0,IMshareM!BT45/(SUM(IMshareM!BT$2:BT$78)-IMshareM!BT$72),0))</f>
        <v>4.0456018589153573E-5</v>
      </c>
      <c r="BU45" s="8">
        <f>IF($A45=BU$1,0,IF(SUM(IMshareM!BU$2:BU$78)-IMshareM!BU$73&gt;0,IMshareM!BU45/(SUM(IMshareM!BU$2:BU$78)-IMshareM!BU$73),0))</f>
        <v>6.835291082967738E-7</v>
      </c>
      <c r="BV45" s="8">
        <f>IF($A45=BV$1,0,IF(SUM(IMshareM!BV$2:BV$78)-IMshareM!BV$74&gt;0,IMshareM!BV45/(SUM(IMshareM!BV$2:BV$78)-IMshareM!BV$74),0))</f>
        <v>6.3051236254379052E-4</v>
      </c>
      <c r="BW45" s="8">
        <f>IF($A45=BW$1,0,IF(SUM(IMshareM!BW$2:BW$78)-IMshareM!BW$75&gt;0,IMshareM!BW45/(SUM(IMshareM!BW$2:BW$78)-IMshareM!BW$75),0))</f>
        <v>2.5396213590829267E-5</v>
      </c>
      <c r="BX45" s="8">
        <f>IF($A45=BX$1,0,IF(SUM(IMshareM!BX$2:BX$78)-IMshareM!BX$76&gt;0,IMshareM!BX45/(SUM(IMshareM!BX$2:BX$78)-IMshareM!BX$76),0))</f>
        <v>9.2720588751398145E-5</v>
      </c>
      <c r="BY45" s="8">
        <f>IF($A45=BY$1,0,IF(SUM(IMshareM!BY$2:BY$78)-IMshareM!BY$77&gt;0,IMshareM!BY45/(SUM(IMshareM!BY$2:BY$78)-IMshareM!BY$77),0))</f>
        <v>3.0470543485066458E-5</v>
      </c>
      <c r="BZ45" s="8">
        <f>IF($A45=BZ$1,0,IF(SUM(IMshareM!BZ$2:BZ$78)-IMshareM!BZ$78&gt;0,IMshareM!BZ45/(SUM(IMshareM!BZ$2:BZ$78)-IMshareM!BZ$78),0))</f>
        <v>2.8245808033615534E-4</v>
      </c>
    </row>
    <row r="46" spans="1:78">
      <c r="A46" s="4" t="s">
        <v>159</v>
      </c>
      <c r="B46" s="8">
        <f>IF($A46=B$1,0,IF(SUM(IMshareM!B$2:B$78)-IMshareM!B$2&gt;0,IMshareM!B46/(SUM(IMshareM!B$2:B$78)-IMshareM!B$2),0))</f>
        <v>2.2761225951152631E-4</v>
      </c>
      <c r="C46" s="8">
        <f>IF($A46=C$1,0,IF(SUM(IMshareM!C$2:C$78)-IMshareM!C$3&gt;0,IMshareM!C46/(SUM(IMshareM!C$2:C$78)-IMshareM!C$3),0))</f>
        <v>1.620769487099934E-6</v>
      </c>
      <c r="D46" s="8">
        <f>IF($A46=D$1,0,IF(SUM(IMshareM!D$2:D$78)-IMshareM!D$4&gt;0,IMshareM!D46/(SUM(IMshareM!D$2:D$78)-IMshareM!D$4),0))</f>
        <v>1.438557519989596E-6</v>
      </c>
      <c r="E46" s="8">
        <f>IF($A46=E$1,0,IF(SUM(IMshareM!E$2:E$78)-IMshareM!E$5&gt;0,IMshareM!E46/(SUM(IMshareM!E$2:E$78)-IMshareM!E$5),0))</f>
        <v>1.1070928274826111E-3</v>
      </c>
      <c r="F46" s="8">
        <f>IF($A46=F$1,0,IF(SUM(IMshareM!F$2:F$78)-IMshareM!F$6&gt;0,IMshareM!F46/(SUM(IMshareM!F$2:F$78)-IMshareM!F$6),0))</f>
        <v>1.3784672244651416E-4</v>
      </c>
      <c r="G46" s="8">
        <f>IF($A46=G$1,0,IF(SUM(IMshareM!G$2:G$78)-IMshareM!G$7&gt;0,IMshareM!G46/(SUM(IMshareM!G$2:G$78)-IMshareM!G$7),0))</f>
        <v>7.1376203059891365E-4</v>
      </c>
      <c r="H46" s="8">
        <f>IF($A46=H$1,0,IF(SUM(IMshareM!H$2:H$78)-IMshareM!H$8&gt;0,IMshareM!H46/(SUM(IMshareM!H$2:H$78)-IMshareM!H$8),0))</f>
        <v>0</v>
      </c>
      <c r="I46" s="8">
        <f>IF($A46=I$1,0,IF(SUM(IMshareM!I$2:I$78)-IMshareM!I$9&gt;0,IMshareM!I46/(SUM(IMshareM!I$2:I$78)-IMshareM!I$9),0))</f>
        <v>6.5233210521256093E-4</v>
      </c>
      <c r="J46" s="8">
        <f>IF($A46=J$1,0,IF(SUM(IMshareM!J$2:J$78)-IMshareM!J$10&gt;0,IMshareM!J46/(SUM(IMshareM!J$2:J$78)-IMshareM!J$10),0))</f>
        <v>0</v>
      </c>
      <c r="K46" s="8">
        <f>IF($A46=K$1,0,IF(SUM(IMshareM!K$2:K$78)-IMshareM!K$11&gt;0,IMshareM!K46/(SUM(IMshareM!K$2:K$78)-IMshareM!K$11),0))</f>
        <v>1.8470113466667029E-5</v>
      </c>
      <c r="L46" s="8">
        <f>IF($A46=L$1,0,IF(SUM(IMshareM!L$2:L$78)-IMshareM!L$12&gt;0,IMshareM!L46/(SUM(IMshareM!L$2:L$78)-IMshareM!L$12),0))</f>
        <v>1.0226134017426122E-3</v>
      </c>
      <c r="M46" s="8">
        <f>IF($A46=M$1,0,IF(SUM(IMshareM!M$2:M$78)-IMshareM!M$13&gt;0,IMshareM!M46/(SUM(IMshareM!M$2:M$78)-IMshareM!M$13),0))</f>
        <v>2.4445875944085383E-5</v>
      </c>
      <c r="N46" s="8">
        <f>IF($A46=N$1,0,IF(SUM(IMshareM!N$2:N$78)-IMshareM!N$14&gt;0,IMshareM!N46/(SUM(IMshareM!N$2:N$78)-IMshareM!N$14),0))</f>
        <v>6.5360451022437482E-6</v>
      </c>
      <c r="O46" s="8">
        <f>IF($A46=O$1,0,IF(SUM(IMshareM!O$2:O$78)-IMshareM!O$15&gt;0,IMshareM!O46/(SUM(IMshareM!O$2:O$78)-IMshareM!O$15),0))</f>
        <v>4.6109857609740482E-4</v>
      </c>
      <c r="P46" s="8">
        <f>IF($A46=P$1,0,IF(SUM(IMshareM!P$2:P$78)-IMshareM!P$16&gt;0,IMshareM!P46/(SUM(IMshareM!P$2:P$78)-IMshareM!P$16),0))</f>
        <v>9.3776320650394197E-4</v>
      </c>
      <c r="Q46" s="8">
        <f>IF($A46=Q$1,0,IF(SUM(IMshareM!Q$2:Q$78)-IMshareM!Q$17&gt;0,IMshareM!Q46/(SUM(IMshareM!Q$2:Q$78)-IMshareM!Q$17),0))</f>
        <v>4.1710625763939781E-4</v>
      </c>
      <c r="R46" s="8">
        <f>IF($A46=R$1,0,IF(SUM(IMshareM!R$2:R$78)-IMshareM!R$18&gt;0,IMshareM!R46/(SUM(IMshareM!R$2:R$78)-IMshareM!R$18),0))</f>
        <v>0</v>
      </c>
      <c r="S46" s="8">
        <f>IF($A46=S$1,0,IF(SUM(IMshareM!S$2:S$78)-IMshareM!S$19&gt;0,IMshareM!S46/(SUM(IMshareM!S$2:S$78)-IMshareM!S$19),0))</f>
        <v>1.3074101517362478E-4</v>
      </c>
      <c r="T46" s="8">
        <f>IF($A46=T$1,0,IF(SUM(IMshareM!T$2:T$78)-IMshareM!T$20&gt;0,IMshareM!T46/(SUM(IMshareM!T$2:T$78)-IMshareM!T$20),0))</f>
        <v>1.2510857933854573E-5</v>
      </c>
      <c r="U46" s="8">
        <f>IF($A46=U$1,0,IF(SUM(IMshareM!U$2:U$78)-IMshareM!U$21&gt;0,IMshareM!U46/(SUM(IMshareM!U$2:U$78)-IMshareM!U$21),0))</f>
        <v>3.0716644068934154E-5</v>
      </c>
      <c r="V46" s="8">
        <f>IF($A46=V$1,0,IF(SUM(IMshareM!V$2:V$78)-IMshareM!V$22&gt;0,IMshareM!V46/(SUM(IMshareM!V$2:V$78)-IMshareM!V$22),0))</f>
        <v>4.0883362822268898E-4</v>
      </c>
      <c r="W46" s="8">
        <f>IF($A46=W$1,0,IF(SUM(IMshareM!W$2:W$78)-IMshareM!W$23&gt;0,IMshareM!W46/(SUM(IMshareM!W$2:W$78)-IMshareM!W$23),0))</f>
        <v>3.5846287984737981E-5</v>
      </c>
      <c r="X46" s="8">
        <f>IF($A46=X$1,0,IF(SUM(IMshareM!X$2:X$78)-IMshareM!X$24&gt;0,IMshareM!X46/(SUM(IMshareM!X$2:X$78)-IMshareM!X$24),0))</f>
        <v>8.0767888430625421E-5</v>
      </c>
      <c r="Y46" s="8">
        <f>IF($A46=Y$1,0,IF(SUM(IMshareM!Y$2:Y$78)-IMshareM!Y$25&gt;0,IMshareM!Y46/(SUM(IMshareM!Y$2:Y$78)-IMshareM!Y$25),0))</f>
        <v>2.0325910472468555E-6</v>
      </c>
      <c r="Z46" s="8">
        <f>IF($A46=Z$1,0,IF(SUM(IMshareM!Z$2:Z$78)-IMshareM!Z$26&gt;0,IMshareM!Z46/(SUM(IMshareM!Z$2:Z$78)-IMshareM!Z$26),0))</f>
        <v>2.7599312997030615E-4</v>
      </c>
      <c r="AA46" s="8">
        <f>IF($A46=AA$1,0,IF(SUM(IMshareM!AA$2:AA$78)-IMshareM!AA$27&gt;0,IMshareM!AA46/(SUM(IMshareM!AA$2:AA$78)-IMshareM!AA$27),0))</f>
        <v>1.0751802450145965E-3</v>
      </c>
      <c r="AB46" s="8">
        <f>IF($A46=AB$1,0,IF(SUM(IMshareM!AB$2:AB$78)-IMshareM!AB$28&gt;0,IMshareM!AB46/(SUM(IMshareM!AB$2:AB$78)-IMshareM!AB$28),0))</f>
        <v>1.1404991792473381E-4</v>
      </c>
      <c r="AC46" s="8">
        <f>IF($A46=AC$1,0,IF(SUM(IMshareM!AC$2:AC$78)-IMshareM!AC$29&gt;0,IMshareM!AC46/(SUM(IMshareM!AC$2:AC$78)-IMshareM!AC$29),0))</f>
        <v>2.2614912792231538E-4</v>
      </c>
      <c r="AD46" s="8">
        <f>IF($A46=AD$1,0,IF(SUM(IMshareM!AD$2:AD$78)-IMshareM!AD$30&gt;0,IMshareM!AD46/(SUM(IMshareM!AD$2:AD$78)-IMshareM!AD$30),0))</f>
        <v>0</v>
      </c>
      <c r="AE46" s="8">
        <f>IF($A46=AE$1,0,IF(SUM(IMshareM!AE$2:AE$78)-IMshareM!AE$31&gt;0,IMshareM!AE46/(SUM(IMshareM!AE$2:AE$78)-IMshareM!AE$31),0))</f>
        <v>9.9965357671314369E-4</v>
      </c>
      <c r="AF46" s="8">
        <f>IF($A46=AF$1,0,IF(SUM(IMshareM!AF$2:AF$78)-IMshareM!AF$32&gt;0,IMshareM!AF46/(SUM(IMshareM!AF$2:AF$78)-IMshareM!AF$32),0))</f>
        <v>5.3032035600667925E-4</v>
      </c>
      <c r="AG46" s="8">
        <f>IF($A46=AG$1,0,IF(SUM(IMshareM!AG$2:AG$78)-IMshareM!AG$33&gt;0,IMshareM!AG46/(SUM(IMshareM!AG$2:AG$78)-IMshareM!AG$33),0))</f>
        <v>3.0153539980765137E-5</v>
      </c>
      <c r="AH46" s="8">
        <f>IF($A46=AH$1,0,IF(SUM(IMshareM!AH$2:AH$78)-IMshareM!AH$34&gt;0,IMshareM!AH46/(SUM(IMshareM!AH$2:AH$78)-IMshareM!AH$34),0))</f>
        <v>2.238357582073247E-4</v>
      </c>
      <c r="AI46" s="8">
        <f>IF($A46=AI$1,0,IF(SUM(IMshareM!AI$2:AI$78)-IMshareM!AI$35&gt;0,IMshareM!AI46/(SUM(IMshareM!AI$2:AI$78)-IMshareM!AI$35),0))</f>
        <v>2.5090294271845804E-4</v>
      </c>
      <c r="AJ46" s="8">
        <f>IF($A46=AJ$1,0,IF(SUM(IMshareM!AJ$2:AJ$78)-IMshareM!AJ$36&gt;0,IMshareM!AJ46/(SUM(IMshareM!AJ$2:AJ$78)-IMshareM!AJ$36),0))</f>
        <v>1.3029637325238581E-3</v>
      </c>
      <c r="AK46" s="8">
        <f>IF($A46=AK$1,0,IF(SUM(IMshareM!AK$2:AK$78)-IMshareM!AK$37&gt;0,IMshareM!AK46/(SUM(IMshareM!AK$2:AK$78)-IMshareM!AK$37),0))</f>
        <v>4.8464321548881206E-4</v>
      </c>
      <c r="AL46" s="8">
        <f>IF($A46=AL$1,0,IF(SUM(IMshareM!AL$2:AL$78)-IMshareM!AL$38&gt;0,IMshareM!AL46/(SUM(IMshareM!AL$2:AL$78)-IMshareM!AL$38),0))</f>
        <v>1.0732889534807793E-3</v>
      </c>
      <c r="AM46" s="8">
        <f>IF($A46=AM$1,0,IF(SUM(IMshareM!AM$2:AM$78)-IMshareM!AM$39&gt;0,IMshareM!AM46/(SUM(IMshareM!AM$2:AM$78)-IMshareM!AM$39),0))</f>
        <v>0</v>
      </c>
      <c r="AN46" s="8">
        <f>IF($A46=AN$1,0,IF(SUM(IMshareM!AN$2:AN$78)-IMshareM!AN$40&gt;0,IMshareM!AN46/(SUM(IMshareM!AN$2:AN$78)-IMshareM!AN$40),0))</f>
        <v>9.7208404486365609E-7</v>
      </c>
      <c r="AO46" s="8">
        <f>IF($A46=AO$1,0,IF(SUM(IMshareM!AO$2:AO$78)-IMshareM!AO$41&gt;0,IMshareM!AO46/(SUM(IMshareM!AO$2:AO$78)-IMshareM!AO$41),0))</f>
        <v>3.0652429197184424E-4</v>
      </c>
      <c r="AP46" s="8">
        <f>IF($A46=AP$1,0,IF(SUM(IMshareM!AP$2:AP$78)-IMshareM!AP$42&gt;0,IMshareM!AP46/(SUM(IMshareM!AP$2:AP$78)-IMshareM!AP$42),0))</f>
        <v>1.5426354071516627E-4</v>
      </c>
      <c r="AQ46" s="8">
        <f>IF($A46=AQ$1,0,IF(SUM(IMshareM!AQ$2:AQ$78)-IMshareM!AQ$43&gt;0,IMshareM!AQ46/(SUM(IMshareM!AQ$2:AQ$78)-IMshareM!AQ$43),0))</f>
        <v>4.1308208541136032E-7</v>
      </c>
      <c r="AR46" s="8">
        <f>IF($A46=AR$1,0,IF(SUM(IMshareM!AR$2:AR$78)-IMshareM!AR$44&gt;0,IMshareM!AR46/(SUM(IMshareM!AR$2:AR$78)-IMshareM!AR$44),0))</f>
        <v>0</v>
      </c>
      <c r="AS46" s="8">
        <f>IF($A46=AS$1,0,IF(SUM(IMshareM!AS$2:AS$78)-IMshareM!AS$45&gt;0,IMshareM!AS46/(SUM(IMshareM!AS$2:AS$78)-IMshareM!AS$45),0))</f>
        <v>2.2975291128044125E-3</v>
      </c>
      <c r="AT46" s="8">
        <f>IF($A46=AT$1,0,IF(SUM(IMshareM!AT$2:AT$78)-IMshareM!AT$46&gt;0,IMshareM!AT46/(SUM(IMshareM!AT$2:AT$78)-IMshareM!AT$46),0))</f>
        <v>0</v>
      </c>
      <c r="AU46" s="8">
        <f>IF($A46=AU$1,0,IF(SUM(IMshareM!AU$2:AU$78)-IMshareM!AU$47&gt;0,IMshareM!AU46/(SUM(IMshareM!AU$2:AU$78)-IMshareM!AU$47),0))</f>
        <v>8.7808026758485059E-5</v>
      </c>
      <c r="AV46" s="8">
        <f>IF($A46=AV$1,0,IF(SUM(IMshareM!AV$2:AV$78)-IMshareM!AV$48&gt;0,IMshareM!AV46/(SUM(IMshareM!AV$2:AV$78)-IMshareM!AV$48),0))</f>
        <v>4.4622628546430169E-5</v>
      </c>
      <c r="AW46" s="8">
        <f>IF($A46=AW$1,0,IF(SUM(IMshareM!AW$2:AW$78)-IMshareM!AW$49&gt;0,IMshareM!AW46/(SUM(IMshareM!AW$2:AW$78)-IMshareM!AW$49),0))</f>
        <v>1.1764047201435946E-5</v>
      </c>
      <c r="AX46" s="8">
        <f>IF($A46=AX$1,0,IF(SUM(IMshareM!AX$2:AX$78)-IMshareM!AX$50&gt;0,IMshareM!AX46/(SUM(IMshareM!AX$2:AX$78)-IMshareM!AX$50),0))</f>
        <v>0</v>
      </c>
      <c r="AY46" s="8">
        <f>IF($A46=AY$1,0,IF(SUM(IMshareM!AY$2:AY$78)-IMshareM!AY$51&gt;0,IMshareM!AY46/(SUM(IMshareM!AY$2:AY$78)-IMshareM!AY$51),0))</f>
        <v>3.0926584081975071E-4</v>
      </c>
      <c r="AZ46" s="8">
        <f>IF($A46=AZ$1,0,IF(SUM(IMshareM!AZ$2:AZ$78)-IMshareM!AZ$52&gt;0,IMshareM!AZ46/(SUM(IMshareM!AZ$2:AZ$78)-IMshareM!AZ$52),0))</f>
        <v>1.0117865142825164E-5</v>
      </c>
      <c r="BA46" s="8">
        <f>IF($A46=BA$1,0,IF(SUM(IMshareM!BA$2:BA$78)-IMshareM!BA$53&gt;0,IMshareM!BA46/(SUM(IMshareM!BA$2:BA$78)-IMshareM!BA$53),0))</f>
        <v>9.8285303783757932E-4</v>
      </c>
      <c r="BB46" s="8">
        <f>IF($A46=BB$1,0,IF(SUM(IMshareM!BB$2:BB$78)-IMshareM!BB$54&gt;0,IMshareM!BB46/(SUM(IMshareM!BB$2:BB$78)-IMshareM!BB$54),0))</f>
        <v>3.4316449059834566E-4</v>
      </c>
      <c r="BC46" s="8">
        <f>IF($A46=BC$1,0,IF(SUM(IMshareM!BC$2:BC$78)-IMshareM!BC$55&gt;0,IMshareM!BC46/(SUM(IMshareM!BC$2:BC$78)-IMshareM!BC$55),0))</f>
        <v>9.5520246995430151E-6</v>
      </c>
      <c r="BD46" s="8">
        <f>IF($A46=BD$1,0,IF(SUM(IMshareM!BD$2:BD$78)-IMshareM!BD$56&gt;0,IMshareM!BD46/(SUM(IMshareM!BD$2:BD$78)-IMshareM!BD$56),0))</f>
        <v>2.5353002935235287E-4</v>
      </c>
      <c r="BE46" s="8">
        <f>IF($A46=BE$1,0,IF(SUM(IMshareM!BE$2:BE$78)-IMshareM!BE$57&gt;0,IMshareM!BE46/(SUM(IMshareM!BE$2:BE$78)-IMshareM!BE$57),0))</f>
        <v>1.255037297311926E-6</v>
      </c>
      <c r="BF46" s="8">
        <f>IF($A46=BF$1,0,IF(SUM(IMshareM!BF$2:BF$78)-IMshareM!BF$58&gt;0,IMshareM!BF46/(SUM(IMshareM!BF$2:BF$78)-IMshareM!BF$58),0))</f>
        <v>5.8694077876009939E-5</v>
      </c>
      <c r="BG46" s="8">
        <f>IF($A46=BG$1,0,IF(SUM(IMshareM!BG$2:BG$78)-IMshareM!BG$59&gt;0,IMshareM!BG46/(SUM(IMshareM!BG$2:BG$78)-IMshareM!BG$59),0))</f>
        <v>1.9320092115011032E-4</v>
      </c>
      <c r="BH46" s="8">
        <f>IF($A46=BH$1,0,IF(SUM(IMshareM!BH$2:BH$78)-IMshareM!BH$60&gt;0,IMshareM!BH46/(SUM(IMshareM!BH$2:BH$78)-IMshareM!BH$60),0))</f>
        <v>2.824351003304019E-6</v>
      </c>
      <c r="BI46" s="8">
        <f>IF($A46=BI$1,0,IF(SUM(IMshareM!BI$2:BI$78)-IMshareM!BI$61&gt;0,IMshareM!BI46/(SUM(IMshareM!BI$2:BI$78)-IMshareM!BI$61),0))</f>
        <v>4.1779740129786476E-4</v>
      </c>
      <c r="BJ46" s="8">
        <f>IF($A46=BJ$1,0,IF(SUM(IMshareM!BJ$2:BJ$78)-IMshareM!BJ$62&gt;0,IMshareM!BJ46/(SUM(IMshareM!BJ$2:BJ$78)-IMshareM!BJ$62),0))</f>
        <v>2.9445747124529884E-4</v>
      </c>
      <c r="BK46" s="8">
        <f>IF($A46=BK$1,0,IF(SUM(IMshareM!BK$2:BK$78)-IMshareM!BK$63&gt;0,IMshareM!BK46/(SUM(IMshareM!BK$2:BK$78)-IMshareM!BK$63),0))</f>
        <v>1.4219544929054833E-4</v>
      </c>
      <c r="BL46" s="8">
        <f>IF($A46=BL$1,0,IF(SUM(IMshareM!BL$2:BL$78)-IMshareM!BL$64&gt;0,IMshareM!BL46/(SUM(IMshareM!BL$2:BL$78)-IMshareM!BL$64),0))</f>
        <v>5.2968710126121647E-4</v>
      </c>
      <c r="BM46" s="8">
        <f>IF($A46=BM$1,0,IF(SUM(IMshareM!BM$2:BM$78)-IMshareM!BM$65&gt;0,IMshareM!BM46/(SUM(IMshareM!BM$2:BM$78)-IMshareM!BM$65),0))</f>
        <v>3.8296981863746226E-5</v>
      </c>
      <c r="BN46" s="8">
        <f>IF($A46=BN$1,0,IF(SUM(IMshareM!BN$2:BN$78)-IMshareM!BN$66&gt;0,IMshareM!BN46/(SUM(IMshareM!BN$2:BN$78)-IMshareM!BN$66),0))</f>
        <v>0</v>
      </c>
      <c r="BO46" s="8">
        <f>IF($A46=BO$1,0,IF(SUM(IMshareM!BO$2:BO$78)-IMshareM!BO$67&gt;0,IMshareM!BO46/(SUM(IMshareM!BO$2:BO$78)-IMshareM!BO$67),0))</f>
        <v>1.7338375191587425E-6</v>
      </c>
      <c r="BP46" s="8">
        <f>IF($A46=BP$1,0,IF(SUM(IMshareM!BP$2:BP$78)-IMshareM!BP$68&gt;0,IMshareM!BP46/(SUM(IMshareM!BP$2:BP$78)-IMshareM!BP$68),0))</f>
        <v>3.742966745505699E-4</v>
      </c>
      <c r="BQ46" s="8">
        <f>IF($A46=BQ$1,0,IF(SUM(IMshareM!BQ$2:BQ$78)-IMshareM!BQ$69&gt;0,IMshareM!BQ46/(SUM(IMshareM!BQ$2:BQ$78)-IMshareM!BQ$69),0))</f>
        <v>4.9878622093210625E-4</v>
      </c>
      <c r="BR46" s="8">
        <f>IF($A46=BR$1,0,IF(SUM(IMshareM!BR$2:BR$78)-IMshareM!BR$70&gt;0,IMshareM!BR46/(SUM(IMshareM!BR$2:BR$78)-IMshareM!BR$70),0))</f>
        <v>5.3166232968216997E-6</v>
      </c>
      <c r="BS46" s="8">
        <f>IF($A46=BS$1,0,IF(SUM(IMshareM!BS$2:BS$78)-IMshareM!BS$71&gt;0,IMshareM!BS46/(SUM(IMshareM!BS$2:BS$78)-IMshareM!BS$71),0))</f>
        <v>2.8529091226018036E-5</v>
      </c>
      <c r="BT46" s="8">
        <f>IF($A46=BT$1,0,IF(SUM(IMshareM!BT$2:BT$78)-IMshareM!BT$72&gt;0,IMshareM!BT46/(SUM(IMshareM!BT$2:BT$78)-IMshareM!BT$72),0))</f>
        <v>1.156336550681349E-5</v>
      </c>
      <c r="BU46" s="8">
        <f>IF($A46=BU$1,0,IF(SUM(IMshareM!BU$2:BU$78)-IMshareM!BU$73&gt;0,IMshareM!BU46/(SUM(IMshareM!BU$2:BU$78)-IMshareM!BU$73),0))</f>
        <v>1.6596736178442088E-5</v>
      </c>
      <c r="BV46" s="8">
        <f>IF($A46=BV$1,0,IF(SUM(IMshareM!BV$2:BV$78)-IMshareM!BV$74&gt;0,IMshareM!BV46/(SUM(IMshareM!BV$2:BV$78)-IMshareM!BV$74),0))</f>
        <v>1.0928482633066389E-4</v>
      </c>
      <c r="BW46" s="8">
        <f>IF($A46=BW$1,0,IF(SUM(IMshareM!BW$2:BW$78)-IMshareM!BW$75&gt;0,IMshareM!BW46/(SUM(IMshareM!BW$2:BW$78)-IMshareM!BW$75),0))</f>
        <v>4.9841469853222555E-7</v>
      </c>
      <c r="BX46" s="8">
        <f>IF($A46=BX$1,0,IF(SUM(IMshareM!BX$2:BX$78)-IMshareM!BX$76&gt;0,IMshareM!BX46/(SUM(IMshareM!BX$2:BX$78)-IMshareM!BX$76),0))</f>
        <v>9.2424698789163522E-7</v>
      </c>
      <c r="BY46" s="8">
        <f>IF($A46=BY$1,0,IF(SUM(IMshareM!BY$2:BY$78)-IMshareM!BY$77&gt;0,IMshareM!BY46/(SUM(IMshareM!BY$2:BY$78)-IMshareM!BY$77),0))</f>
        <v>7.1181921327604248E-4</v>
      </c>
      <c r="BZ46" s="8">
        <f>IF($A46=BZ$1,0,IF(SUM(IMshareM!BZ$2:BZ$78)-IMshareM!BZ$78&gt;0,IMshareM!BZ46/(SUM(IMshareM!BZ$2:BZ$78)-IMshareM!BZ$78),0))</f>
        <v>2.3893295348589538E-4</v>
      </c>
    </row>
    <row r="47" spans="1:78">
      <c r="A47" s="4" t="s">
        <v>161</v>
      </c>
      <c r="B47" s="8">
        <f>IF($A47=B$1,0,IF(SUM(IMshareM!B$2:B$78)-IMshareM!B$2&gt;0,IMshareM!B47/(SUM(IMshareM!B$2:B$78)-IMshareM!B$2),0))</f>
        <v>0</v>
      </c>
      <c r="C47" s="8">
        <f>IF($A47=C$1,0,IF(SUM(IMshareM!C$2:C$78)-IMshareM!C$3&gt;0,IMshareM!C47/(SUM(IMshareM!C$2:C$78)-IMshareM!C$3),0))</f>
        <v>3.4156044726710162E-6</v>
      </c>
      <c r="D47" s="8">
        <f>IF($A47=D$1,0,IF(SUM(IMshareM!D$2:D$78)-IMshareM!D$4&gt;0,IMshareM!D47/(SUM(IMshareM!D$2:D$78)-IMshareM!D$4),0))</f>
        <v>2.0806527010973228E-4</v>
      </c>
      <c r="E47" s="8">
        <f>IF($A47=E$1,0,IF(SUM(IMshareM!E$2:E$78)-IMshareM!E$5&gt;0,IMshareM!E47/(SUM(IMshareM!E$2:E$78)-IMshareM!E$5),0))</f>
        <v>4.1081347293484974E-5</v>
      </c>
      <c r="F47" s="8">
        <f>IF($A47=F$1,0,IF(SUM(IMshareM!F$2:F$78)-IMshareM!F$6&gt;0,IMshareM!F47/(SUM(IMshareM!F$2:F$78)-IMshareM!F$6),0))</f>
        <v>0</v>
      </c>
      <c r="G47" s="8">
        <f>IF($A47=G$1,0,IF(SUM(IMshareM!G$2:G$78)-IMshareM!G$7&gt;0,IMshareM!G47/(SUM(IMshareM!G$2:G$78)-IMshareM!G$7),0))</f>
        <v>4.1216278614934136E-5</v>
      </c>
      <c r="H47" s="8">
        <f>IF($A47=H$1,0,IF(SUM(IMshareM!H$2:H$78)-IMshareM!H$8&gt;0,IMshareM!H47/(SUM(IMshareM!H$2:H$78)-IMshareM!H$8),0))</f>
        <v>1.5549903651835914E-2</v>
      </c>
      <c r="I47" s="8">
        <f>IF($A47=I$1,0,IF(SUM(IMshareM!I$2:I$78)-IMshareM!I$9&gt;0,IMshareM!I47/(SUM(IMshareM!I$2:I$78)-IMshareM!I$9),0))</f>
        <v>0</v>
      </c>
      <c r="J47" s="8">
        <f>IF($A47=J$1,0,IF(SUM(IMshareM!J$2:J$78)-IMshareM!J$10&gt;0,IMshareM!J47/(SUM(IMshareM!J$2:J$78)-IMshareM!J$10),0))</f>
        <v>0</v>
      </c>
      <c r="K47" s="8">
        <f>IF($A47=K$1,0,IF(SUM(IMshareM!K$2:K$78)-IMshareM!K$11&gt;0,IMshareM!K47/(SUM(IMshareM!K$2:K$78)-IMshareM!K$11),0))</f>
        <v>8.3935833117329212E-6</v>
      </c>
      <c r="L47" s="8">
        <f>IF($A47=L$1,0,IF(SUM(IMshareM!L$2:L$78)-IMshareM!L$12&gt;0,IMshareM!L47/(SUM(IMshareM!L$2:L$78)-IMshareM!L$12),0))</f>
        <v>1.6661441695993051E-7</v>
      </c>
      <c r="M47" s="8">
        <f>IF($A47=M$1,0,IF(SUM(IMshareM!M$2:M$78)-IMshareM!M$13&gt;0,IMshareM!M47/(SUM(IMshareM!M$2:M$78)-IMshareM!M$13),0))</f>
        <v>2.5886026425550466E-7</v>
      </c>
      <c r="N47" s="8">
        <f>IF($A47=N$1,0,IF(SUM(IMshareM!N$2:N$78)-IMshareM!N$14&gt;0,IMshareM!N47/(SUM(IMshareM!N$2:N$78)-IMshareM!N$14),0))</f>
        <v>4.9033610159341717E-7</v>
      </c>
      <c r="O47" s="8">
        <f>IF($A47=O$1,0,IF(SUM(IMshareM!O$2:O$78)-IMshareM!O$15&gt;0,IMshareM!O47/(SUM(IMshareM!O$2:O$78)-IMshareM!O$15),0))</f>
        <v>0</v>
      </c>
      <c r="P47" s="8">
        <f>IF($A47=P$1,0,IF(SUM(IMshareM!P$2:P$78)-IMshareM!P$16&gt;0,IMshareM!P47/(SUM(IMshareM!P$2:P$78)-IMshareM!P$16),0))</f>
        <v>0</v>
      </c>
      <c r="Q47" s="8">
        <f>IF($A47=Q$1,0,IF(SUM(IMshareM!Q$2:Q$78)-IMshareM!Q$17&gt;0,IMshareM!Q47/(SUM(IMshareM!Q$2:Q$78)-IMshareM!Q$17),0))</f>
        <v>0</v>
      </c>
      <c r="R47" s="8">
        <f>IF($A47=R$1,0,IF(SUM(IMshareM!R$2:R$78)-IMshareM!R$18&gt;0,IMshareM!R47/(SUM(IMshareM!R$2:R$78)-IMshareM!R$18),0))</f>
        <v>0</v>
      </c>
      <c r="S47" s="8">
        <f>IF($A47=S$1,0,IF(SUM(IMshareM!S$2:S$78)-IMshareM!S$19&gt;0,IMshareM!S47/(SUM(IMshareM!S$2:S$78)-IMshareM!S$19),0))</f>
        <v>1.6667395054117536E-4</v>
      </c>
      <c r="T47" s="8">
        <f>IF($A47=T$1,0,IF(SUM(IMshareM!T$2:T$78)-IMshareM!T$20&gt;0,IMshareM!T47/(SUM(IMshareM!T$2:T$78)-IMshareM!T$20),0))</f>
        <v>6.6541547020480937E-6</v>
      </c>
      <c r="U47" s="8">
        <f>IF($A47=U$1,0,IF(SUM(IMshareM!U$2:U$78)-IMshareM!U$21&gt;0,IMshareM!U47/(SUM(IMshareM!U$2:U$78)-IMshareM!U$21),0))</f>
        <v>2.4826160617817395E-5</v>
      </c>
      <c r="V47" s="8">
        <f>IF($A47=V$1,0,IF(SUM(IMshareM!V$2:V$78)-IMshareM!V$22&gt;0,IMshareM!V47/(SUM(IMshareM!V$2:V$78)-IMshareM!V$22),0))</f>
        <v>3.4604848013322599E-4</v>
      </c>
      <c r="W47" s="8">
        <f>IF($A47=W$1,0,IF(SUM(IMshareM!W$2:W$78)-IMshareM!W$23&gt;0,IMshareM!W47/(SUM(IMshareM!W$2:W$78)-IMshareM!W$23),0))</f>
        <v>0</v>
      </c>
      <c r="X47" s="8">
        <f>IF($A47=X$1,0,IF(SUM(IMshareM!X$2:X$78)-IMshareM!X$24&gt;0,IMshareM!X47/(SUM(IMshareM!X$2:X$78)-IMshareM!X$24),0))</f>
        <v>4.0233837841335779E-5</v>
      </c>
      <c r="Y47" s="8">
        <f>IF($A47=Y$1,0,IF(SUM(IMshareM!Y$2:Y$78)-IMshareM!Y$25&gt;0,IMshareM!Y47/(SUM(IMshareM!Y$2:Y$78)-IMshareM!Y$25),0))</f>
        <v>9.512555678982678E-3</v>
      </c>
      <c r="Z47" s="8">
        <f>IF($A47=Z$1,0,IF(SUM(IMshareM!Z$2:Z$78)-IMshareM!Z$26&gt;0,IMshareM!Z47/(SUM(IMshareM!Z$2:Z$78)-IMshareM!Z$26),0))</f>
        <v>4.0611700556141961E-5</v>
      </c>
      <c r="AA47" s="8">
        <f>IF($A47=AA$1,0,IF(SUM(IMshareM!AA$2:AA$78)-IMshareM!AA$27&gt;0,IMshareM!AA47/(SUM(IMshareM!AA$2:AA$78)-IMshareM!AA$27),0))</f>
        <v>3.9505450184482952E-4</v>
      </c>
      <c r="AB47" s="8">
        <f>IF($A47=AB$1,0,IF(SUM(IMshareM!AB$2:AB$78)-IMshareM!AB$28&gt;0,IMshareM!AB47/(SUM(IMshareM!AB$2:AB$78)-IMshareM!AB$28),0))</f>
        <v>2.9683983483245143E-5</v>
      </c>
      <c r="AC47" s="8">
        <f>IF($A47=AC$1,0,IF(SUM(IMshareM!AC$2:AC$78)-IMshareM!AC$29&gt;0,IMshareM!AC47/(SUM(IMshareM!AC$2:AC$78)-IMshareM!AC$29),0))</f>
        <v>4.1723999727135511E-6</v>
      </c>
      <c r="AD47" s="8">
        <f>IF($A47=AD$1,0,IF(SUM(IMshareM!AD$2:AD$78)-IMshareM!AD$30&gt;0,IMshareM!AD47/(SUM(IMshareM!AD$2:AD$78)-IMshareM!AD$30),0))</f>
        <v>6.155001719624915E-5</v>
      </c>
      <c r="AE47" s="8">
        <f>IF($A47=AE$1,0,IF(SUM(IMshareM!AE$2:AE$78)-IMshareM!AE$31&gt;0,IMshareM!AE47/(SUM(IMshareM!AE$2:AE$78)-IMshareM!AE$31),0))</f>
        <v>1.20343793974463E-4</v>
      </c>
      <c r="AF47" s="8">
        <f>IF($A47=AF$1,0,IF(SUM(IMshareM!AF$2:AF$78)-IMshareM!AF$32&gt;0,IMshareM!AF47/(SUM(IMshareM!AF$2:AF$78)-IMshareM!AF$32),0))</f>
        <v>1.8849433185947916E-6</v>
      </c>
      <c r="AG47" s="8">
        <f>IF($A47=AG$1,0,IF(SUM(IMshareM!AG$2:AG$78)-IMshareM!AG$33&gt;0,IMshareM!AG47/(SUM(IMshareM!AG$2:AG$78)-IMshareM!AG$33),0))</f>
        <v>0</v>
      </c>
      <c r="AH47" s="8">
        <f>IF($A47=AH$1,0,IF(SUM(IMshareM!AH$2:AH$78)-IMshareM!AH$34&gt;0,IMshareM!AH47/(SUM(IMshareM!AH$2:AH$78)-IMshareM!AH$34),0))</f>
        <v>1.3180389882335764E-6</v>
      </c>
      <c r="AI47" s="8">
        <f>IF($A47=AI$1,0,IF(SUM(IMshareM!AI$2:AI$78)-IMshareM!AI$35&gt;0,IMshareM!AI47/(SUM(IMshareM!AI$2:AI$78)-IMshareM!AI$35),0))</f>
        <v>3.4484375649271853E-6</v>
      </c>
      <c r="AJ47" s="8">
        <f>IF($A47=AJ$1,0,IF(SUM(IMshareM!AJ$2:AJ$78)-IMshareM!AJ$36&gt;0,IMshareM!AJ47/(SUM(IMshareM!AJ$2:AJ$78)-IMshareM!AJ$36),0))</f>
        <v>3.7754107228880106E-3</v>
      </c>
      <c r="AK47" s="8">
        <f>IF($A47=AK$1,0,IF(SUM(IMshareM!AK$2:AK$78)-IMshareM!AK$37&gt;0,IMshareM!AK47/(SUM(IMshareM!AK$2:AK$78)-IMshareM!AK$37),0))</f>
        <v>1.6857155321349984E-5</v>
      </c>
      <c r="AL47" s="8">
        <f>IF($A47=AL$1,0,IF(SUM(IMshareM!AL$2:AL$78)-IMshareM!AL$38&gt;0,IMshareM!AL47/(SUM(IMshareM!AL$2:AL$78)-IMshareM!AL$38),0))</f>
        <v>5.0352310767052925E-4</v>
      </c>
      <c r="AM47" s="8">
        <f>IF($A47=AM$1,0,IF(SUM(IMshareM!AM$2:AM$78)-IMshareM!AM$39&gt;0,IMshareM!AM47/(SUM(IMshareM!AM$2:AM$78)-IMshareM!AM$39),0))</f>
        <v>0</v>
      </c>
      <c r="AN47" s="8">
        <f>IF($A47=AN$1,0,IF(SUM(IMshareM!AN$2:AN$78)-IMshareM!AN$40&gt;0,IMshareM!AN47/(SUM(IMshareM!AN$2:AN$78)-IMshareM!AN$40),0))</f>
        <v>1.7887795577989647E-6</v>
      </c>
      <c r="AO47" s="8">
        <f>IF($A47=AO$1,0,IF(SUM(IMshareM!AO$2:AO$78)-IMshareM!AO$41&gt;0,IMshareM!AO47/(SUM(IMshareM!AO$2:AO$78)-IMshareM!AO$41),0))</f>
        <v>6.1399582876168771E-5</v>
      </c>
      <c r="AP47" s="8">
        <f>IF($A47=AP$1,0,IF(SUM(IMshareM!AP$2:AP$78)-IMshareM!AP$42&gt;0,IMshareM!AP47/(SUM(IMshareM!AP$2:AP$78)-IMshareM!AP$42),0))</f>
        <v>0</v>
      </c>
      <c r="AQ47" s="8">
        <f>IF($A47=AQ$1,0,IF(SUM(IMshareM!AQ$2:AQ$78)-IMshareM!AQ$43&gt;0,IMshareM!AQ47/(SUM(IMshareM!AQ$2:AQ$78)-IMshareM!AQ$43),0))</f>
        <v>1.840442350984386E-7</v>
      </c>
      <c r="AR47" s="8">
        <f>IF($A47=AR$1,0,IF(SUM(IMshareM!AR$2:AR$78)-IMshareM!AR$44&gt;0,IMshareM!AR47/(SUM(IMshareM!AR$2:AR$78)-IMshareM!AR$44),0))</f>
        <v>0</v>
      </c>
      <c r="AS47" s="8">
        <f>IF($A47=AS$1,0,IF(SUM(IMshareM!AS$2:AS$78)-IMshareM!AS$45&gt;0,IMshareM!AS47/(SUM(IMshareM!AS$2:AS$78)-IMshareM!AS$45),0))</f>
        <v>1.7093089353641705E-2</v>
      </c>
      <c r="AT47" s="8">
        <f>IF($A47=AT$1,0,IF(SUM(IMshareM!AT$2:AT$78)-IMshareM!AT$46&gt;0,IMshareM!AT47/(SUM(IMshareM!AT$2:AT$78)-IMshareM!AT$46),0))</f>
        <v>2.0676699623143672E-6</v>
      </c>
      <c r="AU47" s="8">
        <f>IF($A47=AU$1,0,IF(SUM(IMshareM!AU$2:AU$78)-IMshareM!AU$47&gt;0,IMshareM!AU47/(SUM(IMshareM!AU$2:AU$78)-IMshareM!AU$47),0))</f>
        <v>0</v>
      </c>
      <c r="AV47" s="8">
        <f>IF($A47=AV$1,0,IF(SUM(IMshareM!AV$2:AV$78)-IMshareM!AV$48&gt;0,IMshareM!AV47/(SUM(IMshareM!AV$2:AV$78)-IMshareM!AV$48),0))</f>
        <v>0</v>
      </c>
      <c r="AW47" s="8">
        <f>IF($A47=AW$1,0,IF(SUM(IMshareM!AW$2:AW$78)-IMshareM!AW$49&gt;0,IMshareM!AW47/(SUM(IMshareM!AW$2:AW$78)-IMshareM!AW$49),0))</f>
        <v>1.1802270948743527E-5</v>
      </c>
      <c r="AX47" s="8">
        <f>IF($A47=AX$1,0,IF(SUM(IMshareM!AX$2:AX$78)-IMshareM!AX$50&gt;0,IMshareM!AX47/(SUM(IMshareM!AX$2:AX$78)-IMshareM!AX$50),0))</f>
        <v>2.4414089217075665E-6</v>
      </c>
      <c r="AY47" s="8">
        <f>IF($A47=AY$1,0,IF(SUM(IMshareM!AY$2:AY$78)-IMshareM!AY$51&gt;0,IMshareM!AY47/(SUM(IMshareM!AY$2:AY$78)-IMshareM!AY$51),0))</f>
        <v>0</v>
      </c>
      <c r="AZ47" s="8">
        <f>IF($A47=AZ$1,0,IF(SUM(IMshareM!AZ$2:AZ$78)-IMshareM!AZ$52&gt;0,IMshareM!AZ47/(SUM(IMshareM!AZ$2:AZ$78)-IMshareM!AZ$52),0))</f>
        <v>1.4469448015021174E-5</v>
      </c>
      <c r="BA47" s="8">
        <f>IF($A47=BA$1,0,IF(SUM(IMshareM!BA$2:BA$78)-IMshareM!BA$53&gt;0,IMshareM!BA47/(SUM(IMshareM!BA$2:BA$78)-IMshareM!BA$53),0))</f>
        <v>4.6546868014922951E-5</v>
      </c>
      <c r="BB47" s="8">
        <f>IF($A47=BB$1,0,IF(SUM(IMshareM!BB$2:BB$78)-IMshareM!BB$54&gt;0,IMshareM!BB47/(SUM(IMshareM!BB$2:BB$78)-IMshareM!BB$54),0))</f>
        <v>1.5687348974898421E-4</v>
      </c>
      <c r="BC47" s="8">
        <f>IF($A47=BC$1,0,IF(SUM(IMshareM!BC$2:BC$78)-IMshareM!BC$55&gt;0,IMshareM!BC47/(SUM(IMshareM!BC$2:BC$78)-IMshareM!BC$55),0))</f>
        <v>2.5030474974797E-4</v>
      </c>
      <c r="BD47" s="8">
        <f>IF($A47=BD$1,0,IF(SUM(IMshareM!BD$2:BD$78)-IMshareM!BD$56&gt;0,IMshareM!BD47/(SUM(IMshareM!BD$2:BD$78)-IMshareM!BD$56),0))</f>
        <v>2.2500973291928038E-5</v>
      </c>
      <c r="BE47" s="8">
        <f>IF($A47=BE$1,0,IF(SUM(IMshareM!BE$2:BE$78)-IMshareM!BE$57&gt;0,IMshareM!BE47/(SUM(IMshareM!BE$2:BE$78)-IMshareM!BE$57),0))</f>
        <v>1.215665701820848E-4</v>
      </c>
      <c r="BF47" s="8">
        <f>IF($A47=BF$1,0,IF(SUM(IMshareM!BF$2:BF$78)-IMshareM!BF$58&gt;0,IMshareM!BF47/(SUM(IMshareM!BF$2:BF$78)-IMshareM!BF$58),0))</f>
        <v>1.866743312902922E-7</v>
      </c>
      <c r="BG47" s="8">
        <f>IF($A47=BG$1,0,IF(SUM(IMshareM!BG$2:BG$78)-IMshareM!BG$59&gt;0,IMshareM!BG47/(SUM(IMshareM!BG$2:BG$78)-IMshareM!BG$59),0))</f>
        <v>2.1181196715068003E-4</v>
      </c>
      <c r="BH47" s="8">
        <f>IF($A47=BH$1,0,IF(SUM(IMshareM!BH$2:BH$78)-IMshareM!BH$60&gt;0,IMshareM!BH47/(SUM(IMshareM!BH$2:BH$78)-IMshareM!BH$60),0))</f>
        <v>1.614599240648305E-5</v>
      </c>
      <c r="BI47" s="8">
        <f>IF($A47=BI$1,0,IF(SUM(IMshareM!BI$2:BI$78)-IMshareM!BI$61&gt;0,IMshareM!BI47/(SUM(IMshareM!BI$2:BI$78)-IMshareM!BI$61),0))</f>
        <v>3.2073996559902892E-6</v>
      </c>
      <c r="BJ47" s="8">
        <f>IF($A47=BJ$1,0,IF(SUM(IMshareM!BJ$2:BJ$78)-IMshareM!BJ$62&gt;0,IMshareM!BJ47/(SUM(IMshareM!BJ$2:BJ$78)-IMshareM!BJ$62),0))</f>
        <v>1.9638686042925104E-4</v>
      </c>
      <c r="BK47" s="8">
        <f>IF($A47=BK$1,0,IF(SUM(IMshareM!BK$2:BK$78)-IMshareM!BK$63&gt;0,IMshareM!BK47/(SUM(IMshareM!BK$2:BK$78)-IMshareM!BK$63),0))</f>
        <v>3.0880654416236702E-2</v>
      </c>
      <c r="BL47" s="8">
        <f>IF($A47=BL$1,0,IF(SUM(IMshareM!BL$2:BL$78)-IMshareM!BL$64&gt;0,IMshareM!BL47/(SUM(IMshareM!BL$2:BL$78)-IMshareM!BL$64),0))</f>
        <v>1.735926607792735E-6</v>
      </c>
      <c r="BM47" s="8">
        <f>IF($A47=BM$1,0,IF(SUM(IMshareM!BM$2:BM$78)-IMshareM!BM$65&gt;0,IMshareM!BM47/(SUM(IMshareM!BM$2:BM$78)-IMshareM!BM$65),0))</f>
        <v>0</v>
      </c>
      <c r="BN47" s="8">
        <f>IF($A47=BN$1,0,IF(SUM(IMshareM!BN$2:BN$78)-IMshareM!BN$66&gt;0,IMshareM!BN47/(SUM(IMshareM!BN$2:BN$78)-IMshareM!BN$66),0))</f>
        <v>1.448774950848856E-5</v>
      </c>
      <c r="BO47" s="8">
        <f>IF($A47=BO$1,0,IF(SUM(IMshareM!BO$2:BO$78)-IMshareM!BO$67&gt;0,IMshareM!BO47/(SUM(IMshareM!BO$2:BO$78)-IMshareM!BO$67),0))</f>
        <v>2.9240328249301348E-5</v>
      </c>
      <c r="BP47" s="8">
        <f>IF($A47=BP$1,0,IF(SUM(IMshareM!BP$2:BP$78)-IMshareM!BP$68&gt;0,IMshareM!BP47/(SUM(IMshareM!BP$2:BP$78)-IMshareM!BP$68),0))</f>
        <v>2.7074197164039289E-6</v>
      </c>
      <c r="BQ47" s="8">
        <f>IF($A47=BQ$1,0,IF(SUM(IMshareM!BQ$2:BQ$78)-IMshareM!BQ$69&gt;0,IMshareM!BQ47/(SUM(IMshareM!BQ$2:BQ$78)-IMshareM!BQ$69),0))</f>
        <v>2.1192528121453558E-5</v>
      </c>
      <c r="BR47" s="8">
        <f>IF($A47=BR$1,0,IF(SUM(IMshareM!BR$2:BR$78)-IMshareM!BR$70&gt;0,IMshareM!BR47/(SUM(IMshareM!BR$2:BR$78)-IMshareM!BR$70),0))</f>
        <v>9.0624763713372292E-5</v>
      </c>
      <c r="BS47" s="8">
        <f>IF($A47=BS$1,0,IF(SUM(IMshareM!BS$2:BS$78)-IMshareM!BS$71&gt;0,IMshareM!BS47/(SUM(IMshareM!BS$2:BS$78)-IMshareM!BS$71),0))</f>
        <v>0</v>
      </c>
      <c r="BT47" s="8">
        <f>IF($A47=BT$1,0,IF(SUM(IMshareM!BT$2:BT$78)-IMshareM!BT$72&gt;0,IMshareM!BT47/(SUM(IMshareM!BT$2:BT$78)-IMshareM!BT$72),0))</f>
        <v>1.2157750697194211E-3</v>
      </c>
      <c r="BU47" s="8">
        <f>IF($A47=BU$1,0,IF(SUM(IMshareM!BU$2:BU$78)-IMshareM!BU$73&gt;0,IMshareM!BU47/(SUM(IMshareM!BU$2:BU$78)-IMshareM!BU$73),0))</f>
        <v>1.5221170238412726E-7</v>
      </c>
      <c r="BV47" s="8">
        <f>IF($A47=BV$1,0,IF(SUM(IMshareM!BV$2:BV$78)-IMshareM!BV$74&gt;0,IMshareM!BV47/(SUM(IMshareM!BV$2:BV$78)-IMshareM!BV$74),0))</f>
        <v>2.298219875009091E-3</v>
      </c>
      <c r="BW47" s="8">
        <f>IF($A47=BW$1,0,IF(SUM(IMshareM!BW$2:BW$78)-IMshareM!BW$75&gt;0,IMshareM!BW47/(SUM(IMshareM!BW$2:BW$78)-IMshareM!BW$75),0))</f>
        <v>1.4616972494481794E-5</v>
      </c>
      <c r="BX47" s="8">
        <f>IF($A47=BX$1,0,IF(SUM(IMshareM!BX$2:BX$78)-IMshareM!BX$76&gt;0,IMshareM!BX47/(SUM(IMshareM!BX$2:BX$78)-IMshareM!BX$76),0))</f>
        <v>4.7816853938762168E-6</v>
      </c>
      <c r="BY47" s="8">
        <f>IF($A47=BY$1,0,IF(SUM(IMshareM!BY$2:BY$78)-IMshareM!BY$77&gt;0,IMshareM!BY47/(SUM(IMshareM!BY$2:BY$78)-IMshareM!BY$77),0))</f>
        <v>2.1489091008570693E-6</v>
      </c>
      <c r="BZ47" s="8">
        <f>IF($A47=BZ$1,0,IF(SUM(IMshareM!BZ$2:BZ$78)-IMshareM!BZ$78&gt;0,IMshareM!BZ47/(SUM(IMshareM!BZ$2:BZ$78)-IMshareM!BZ$78),0))</f>
        <v>7.7250108241537784E-5</v>
      </c>
    </row>
    <row r="48" spans="1:78">
      <c r="A48" s="4" t="s">
        <v>163</v>
      </c>
      <c r="B48" s="8">
        <f>IF($A48=B$1,0,IF(SUM(IMshareM!B$2:B$78)-IMshareM!B$2&gt;0,IMshareM!B48/(SUM(IMshareM!B$2:B$78)-IMshareM!B$2),0))</f>
        <v>2.267822664532986E-3</v>
      </c>
      <c r="C48" s="8">
        <f>IF($A48=C$1,0,IF(SUM(IMshareM!C$2:C$78)-IMshareM!C$3&gt;0,IMshareM!C48/(SUM(IMshareM!C$2:C$78)-IMshareM!C$3),0))</f>
        <v>2.259004459300781E-6</v>
      </c>
      <c r="D48" s="8">
        <f>IF($A48=D$1,0,IF(SUM(IMshareM!D$2:D$78)-IMshareM!D$4&gt;0,IMshareM!D48/(SUM(IMshareM!D$2:D$78)-IMshareM!D$4),0))</f>
        <v>7.714721277129662E-5</v>
      </c>
      <c r="E48" s="8">
        <f>IF($A48=E$1,0,IF(SUM(IMshareM!E$2:E$78)-IMshareM!E$5&gt;0,IMshareM!E48/(SUM(IMshareM!E$2:E$78)-IMshareM!E$5),0))</f>
        <v>1.0140192430098582E-6</v>
      </c>
      <c r="F48" s="8">
        <f>IF($A48=F$1,0,IF(SUM(IMshareM!F$2:F$78)-IMshareM!F$6&gt;0,IMshareM!F48/(SUM(IMshareM!F$2:F$78)-IMshareM!F$6),0))</f>
        <v>0</v>
      </c>
      <c r="G48" s="8">
        <f>IF($A48=G$1,0,IF(SUM(IMshareM!G$2:G$78)-IMshareM!G$7&gt;0,IMshareM!G48/(SUM(IMshareM!G$2:G$78)-IMshareM!G$7),0))</f>
        <v>3.9347343622775453E-6</v>
      </c>
      <c r="H48" s="8">
        <f>IF($A48=H$1,0,IF(SUM(IMshareM!H$2:H$78)-IMshareM!H$8&gt;0,IMshareM!H48/(SUM(IMshareM!H$2:H$78)-IMshareM!H$8),0))</f>
        <v>0</v>
      </c>
      <c r="I48" s="8">
        <f>IF($A48=I$1,0,IF(SUM(IMshareM!I$2:I$78)-IMshareM!I$9&gt;0,IMshareM!I48/(SUM(IMshareM!I$2:I$78)-IMshareM!I$9),0))</f>
        <v>2.5415776541674249E-4</v>
      </c>
      <c r="J48" s="8">
        <f>IF($A48=J$1,0,IF(SUM(IMshareM!J$2:J$78)-IMshareM!J$10&gt;0,IMshareM!J48/(SUM(IMshareM!J$2:J$78)-IMshareM!J$10),0))</f>
        <v>0</v>
      </c>
      <c r="K48" s="8">
        <f>IF($A48=K$1,0,IF(SUM(IMshareM!K$2:K$78)-IMshareM!K$11&gt;0,IMshareM!K48/(SUM(IMshareM!K$2:K$78)-IMshareM!K$11),0))</f>
        <v>1.158939777251731E-3</v>
      </c>
      <c r="L48" s="8">
        <f>IF($A48=L$1,0,IF(SUM(IMshareM!L$2:L$78)-IMshareM!L$12&gt;0,IMshareM!L48/(SUM(IMshareM!L$2:L$78)-IMshareM!L$12),0))</f>
        <v>3.5172679843297556E-4</v>
      </c>
      <c r="M48" s="8">
        <f>IF($A48=M$1,0,IF(SUM(IMshareM!M$2:M$78)-IMshareM!M$13&gt;0,IMshareM!M48/(SUM(IMshareM!M$2:M$78)-IMshareM!M$13),0))</f>
        <v>2.8904305877722804E-7</v>
      </c>
      <c r="N48" s="8">
        <f>IF($A48=N$1,0,IF(SUM(IMshareM!N$2:N$78)-IMshareM!N$14&gt;0,IMshareM!N48/(SUM(IMshareM!N$2:N$78)-IMshareM!N$14),0))</f>
        <v>3.7712878890949048E-4</v>
      </c>
      <c r="O48" s="8">
        <f>IF($A48=O$1,0,IF(SUM(IMshareM!O$2:O$78)-IMshareM!O$15&gt;0,IMshareM!O48/(SUM(IMshareM!O$2:O$78)-IMshareM!O$15),0))</f>
        <v>1.101759683580374E-4</v>
      </c>
      <c r="P48" s="8">
        <f>IF($A48=P$1,0,IF(SUM(IMshareM!P$2:P$78)-IMshareM!P$16&gt;0,IMshareM!P48/(SUM(IMshareM!P$2:P$78)-IMshareM!P$16),0))</f>
        <v>0</v>
      </c>
      <c r="Q48" s="8">
        <f>IF($A48=Q$1,0,IF(SUM(IMshareM!Q$2:Q$78)-IMshareM!Q$17&gt;0,IMshareM!Q48/(SUM(IMshareM!Q$2:Q$78)-IMshareM!Q$17),0))</f>
        <v>1.3774085308960641E-5</v>
      </c>
      <c r="R48" s="8">
        <f>IF($A48=R$1,0,IF(SUM(IMshareM!R$2:R$78)-IMshareM!R$18&gt;0,IMshareM!R48/(SUM(IMshareM!R$2:R$78)-IMshareM!R$18),0))</f>
        <v>0</v>
      </c>
      <c r="S48" s="8">
        <f>IF($A48=S$1,0,IF(SUM(IMshareM!S$2:S$78)-IMshareM!S$19&gt;0,IMshareM!S48/(SUM(IMshareM!S$2:S$78)-IMshareM!S$19),0))</f>
        <v>6.5191891229323231E-4</v>
      </c>
      <c r="T48" s="8">
        <f>IF($A48=T$1,0,IF(SUM(IMshareM!T$2:T$78)-IMshareM!T$20&gt;0,IMshareM!T48/(SUM(IMshareM!T$2:T$78)-IMshareM!T$20),0))</f>
        <v>2.1688062255561415E-4</v>
      </c>
      <c r="U48" s="8">
        <f>IF($A48=U$1,0,IF(SUM(IMshareM!U$2:U$78)-IMshareM!U$21&gt;0,IMshareM!U48/(SUM(IMshareM!U$2:U$78)-IMshareM!U$21),0))</f>
        <v>3.4951933444127834E-4</v>
      </c>
      <c r="V48" s="8">
        <f>IF($A48=V$1,0,IF(SUM(IMshareM!V$2:V$78)-IMshareM!V$22&gt;0,IMshareM!V48/(SUM(IMshareM!V$2:V$78)-IMshareM!V$22),0))</f>
        <v>1.314327335932128E-4</v>
      </c>
      <c r="W48" s="8">
        <f>IF($A48=W$1,0,IF(SUM(IMshareM!W$2:W$78)-IMshareM!W$23&gt;0,IMshareM!W48/(SUM(IMshareM!W$2:W$78)-IMshareM!W$23),0))</f>
        <v>5.5179983230866897E-5</v>
      </c>
      <c r="X48" s="8">
        <f>IF($A48=X$1,0,IF(SUM(IMshareM!X$2:X$78)-IMshareM!X$24&gt;0,IMshareM!X48/(SUM(IMshareM!X$2:X$78)-IMshareM!X$24),0))</f>
        <v>1.2166757638989105E-2</v>
      </c>
      <c r="Y48" s="8">
        <f>IF($A48=Y$1,0,IF(SUM(IMshareM!Y$2:Y$78)-IMshareM!Y$25&gt;0,IMshareM!Y48/(SUM(IMshareM!Y$2:Y$78)-IMshareM!Y$25),0))</f>
        <v>3.6159928816853734E-6</v>
      </c>
      <c r="Z48" s="8">
        <f>IF($A48=Z$1,0,IF(SUM(IMshareM!Z$2:Z$78)-IMshareM!Z$26&gt;0,IMshareM!Z48/(SUM(IMshareM!Z$2:Z$78)-IMshareM!Z$26),0))</f>
        <v>3.7696505866224255E-5</v>
      </c>
      <c r="AA48" s="8">
        <f>IF($A48=AA$1,0,IF(SUM(IMshareM!AA$2:AA$78)-IMshareM!AA$27&gt;0,IMshareM!AA48/(SUM(IMshareM!AA$2:AA$78)-IMshareM!AA$27),0))</f>
        <v>2.4348097598464739E-2</v>
      </c>
      <c r="AB48" s="8">
        <f>IF($A48=AB$1,0,IF(SUM(IMshareM!AB$2:AB$78)-IMshareM!AB$28&gt;0,IMshareM!AB48/(SUM(IMshareM!AB$2:AB$78)-IMshareM!AB$28),0))</f>
        <v>1.2690374469231562E-3</v>
      </c>
      <c r="AC48" s="8">
        <f>IF($A48=AC$1,0,IF(SUM(IMshareM!AC$2:AC$78)-IMshareM!AC$29&gt;0,IMshareM!AC48/(SUM(IMshareM!AC$2:AC$78)-IMshareM!AC$29),0))</f>
        <v>0</v>
      </c>
      <c r="AD48" s="8">
        <f>IF($A48=AD$1,0,IF(SUM(IMshareM!AD$2:AD$78)-IMshareM!AD$30&gt;0,IMshareM!AD48/(SUM(IMshareM!AD$2:AD$78)-IMshareM!AD$30),0))</f>
        <v>0</v>
      </c>
      <c r="AE48" s="8">
        <f>IF($A48=AE$1,0,IF(SUM(IMshareM!AE$2:AE$78)-IMshareM!AE$31&gt;0,IMshareM!AE48/(SUM(IMshareM!AE$2:AE$78)-IMshareM!AE$31),0))</f>
        <v>0</v>
      </c>
      <c r="AF48" s="8">
        <f>IF($A48=AF$1,0,IF(SUM(IMshareM!AF$2:AF$78)-IMshareM!AF$32&gt;0,IMshareM!AF48/(SUM(IMshareM!AF$2:AF$78)-IMshareM!AF$32),0))</f>
        <v>1.7249676456711278E-7</v>
      </c>
      <c r="AG48" s="8">
        <f>IF($A48=AG$1,0,IF(SUM(IMshareM!AG$2:AG$78)-IMshareM!AG$33&gt;0,IMshareM!AG48/(SUM(IMshareM!AG$2:AG$78)-IMshareM!AG$33),0))</f>
        <v>8.6249591528426204E-6</v>
      </c>
      <c r="AH48" s="8">
        <f>IF($A48=AH$1,0,IF(SUM(IMshareM!AH$2:AH$78)-IMshareM!AH$34&gt;0,IMshareM!AH48/(SUM(IMshareM!AH$2:AH$78)-IMshareM!AH$34),0))</f>
        <v>0</v>
      </c>
      <c r="AI48" s="8">
        <f>IF($A48=AI$1,0,IF(SUM(IMshareM!AI$2:AI$78)-IMshareM!AI$35&gt;0,IMshareM!AI48/(SUM(IMshareM!AI$2:AI$78)-IMshareM!AI$35),0))</f>
        <v>5.4789947723868446E-4</v>
      </c>
      <c r="AJ48" s="8">
        <f>IF($A48=AJ$1,0,IF(SUM(IMshareM!AJ$2:AJ$78)-IMshareM!AJ$36&gt;0,IMshareM!AJ48/(SUM(IMshareM!AJ$2:AJ$78)-IMshareM!AJ$36),0))</f>
        <v>0</v>
      </c>
      <c r="AK48" s="8">
        <f>IF($A48=AK$1,0,IF(SUM(IMshareM!AK$2:AK$78)-IMshareM!AK$37&gt;0,IMshareM!AK48/(SUM(IMshareM!AK$2:AK$78)-IMshareM!AK$37),0))</f>
        <v>0</v>
      </c>
      <c r="AL48" s="8">
        <f>IF($A48=AL$1,0,IF(SUM(IMshareM!AL$2:AL$78)-IMshareM!AL$38&gt;0,IMshareM!AL48/(SUM(IMshareM!AL$2:AL$78)-IMshareM!AL$38),0))</f>
        <v>2.9475944685380777E-4</v>
      </c>
      <c r="AM48" s="8">
        <f>IF($A48=AM$1,0,IF(SUM(IMshareM!AM$2:AM$78)-IMshareM!AM$39&gt;0,IMshareM!AM48/(SUM(IMshareM!AM$2:AM$78)-IMshareM!AM$39),0))</f>
        <v>6.8599819245337484E-3</v>
      </c>
      <c r="AN48" s="8">
        <f>IF($A48=AN$1,0,IF(SUM(IMshareM!AN$2:AN$78)-IMshareM!AN$40&gt;0,IMshareM!AN48/(SUM(IMshareM!AN$2:AN$78)-IMshareM!AN$40),0))</f>
        <v>2.2719304981872087E-5</v>
      </c>
      <c r="AO48" s="8">
        <f>IF($A48=AO$1,0,IF(SUM(IMshareM!AO$2:AO$78)-IMshareM!AO$41&gt;0,IMshareM!AO48/(SUM(IMshareM!AO$2:AO$78)-IMshareM!AO$41),0))</f>
        <v>0</v>
      </c>
      <c r="AP48" s="8">
        <f>IF($A48=AP$1,0,IF(SUM(IMshareM!AP$2:AP$78)-IMshareM!AP$42&gt;0,IMshareM!AP48/(SUM(IMshareM!AP$2:AP$78)-IMshareM!AP$42),0))</f>
        <v>0</v>
      </c>
      <c r="AQ48" s="8">
        <f>IF($A48=AQ$1,0,IF(SUM(IMshareM!AQ$2:AQ$78)-IMshareM!AQ$43&gt;0,IMshareM!AQ48/(SUM(IMshareM!AQ$2:AQ$78)-IMshareM!AQ$43),0))</f>
        <v>2.8067650246787551E-5</v>
      </c>
      <c r="AR48" s="8">
        <f>IF($A48=AR$1,0,IF(SUM(IMshareM!AR$2:AR$78)-IMshareM!AR$44&gt;0,IMshareM!AR48/(SUM(IMshareM!AR$2:AR$78)-IMshareM!AR$44),0))</f>
        <v>0</v>
      </c>
      <c r="AS48" s="8">
        <f>IF($A48=AS$1,0,IF(SUM(IMshareM!AS$2:AS$78)-IMshareM!AS$45&gt;0,IMshareM!AS48/(SUM(IMshareM!AS$2:AS$78)-IMshareM!AS$45),0))</f>
        <v>0</v>
      </c>
      <c r="AT48" s="8">
        <f>IF($A48=AT$1,0,IF(SUM(IMshareM!AT$2:AT$78)-IMshareM!AT$46&gt;0,IMshareM!AT48/(SUM(IMshareM!AT$2:AT$78)-IMshareM!AT$46),0))</f>
        <v>1.8251639599362079E-5</v>
      </c>
      <c r="AU48" s="8">
        <f>IF($A48=AU$1,0,IF(SUM(IMshareM!AU$2:AU$78)-IMshareM!AU$47&gt;0,IMshareM!AU48/(SUM(IMshareM!AU$2:AU$78)-IMshareM!AU$47),0))</f>
        <v>0</v>
      </c>
      <c r="AV48" s="8">
        <f>IF($A48=AV$1,0,IF(SUM(IMshareM!AV$2:AV$78)-IMshareM!AV$48&gt;0,IMshareM!AV48/(SUM(IMshareM!AV$2:AV$78)-IMshareM!AV$48),0))</f>
        <v>0</v>
      </c>
      <c r="AW48" s="8">
        <f>IF($A48=AW$1,0,IF(SUM(IMshareM!AW$2:AW$78)-IMshareM!AW$49&gt;0,IMshareM!AW48/(SUM(IMshareM!AW$2:AW$78)-IMshareM!AW$49),0))</f>
        <v>2.7316005108852083E-5</v>
      </c>
      <c r="AX48" s="8">
        <f>IF($A48=AX$1,0,IF(SUM(IMshareM!AX$2:AX$78)-IMshareM!AX$50&gt;0,IMshareM!AX48/(SUM(IMshareM!AX$2:AX$78)-IMshareM!AX$50),0))</f>
        <v>0</v>
      </c>
      <c r="AY48" s="8">
        <f>IF($A48=AY$1,0,IF(SUM(IMshareM!AY$2:AY$78)-IMshareM!AY$51&gt;0,IMshareM!AY48/(SUM(IMshareM!AY$2:AY$78)-IMshareM!AY$51),0))</f>
        <v>0</v>
      </c>
      <c r="AZ48" s="8">
        <f>IF($A48=AZ$1,0,IF(SUM(IMshareM!AZ$2:AZ$78)-IMshareM!AZ$52&gt;0,IMshareM!AZ48/(SUM(IMshareM!AZ$2:AZ$78)-IMshareM!AZ$52),0))</f>
        <v>6.9496753721655015E-6</v>
      </c>
      <c r="BA48" s="8">
        <f>IF($A48=BA$1,0,IF(SUM(IMshareM!BA$2:BA$78)-IMshareM!BA$53&gt;0,IMshareM!BA48/(SUM(IMshareM!BA$2:BA$78)-IMshareM!BA$53),0))</f>
        <v>1.9628425990468851E-5</v>
      </c>
      <c r="BB48" s="8">
        <f>IF($A48=BB$1,0,IF(SUM(IMshareM!BB$2:BB$78)-IMshareM!BB$54&gt;0,IMshareM!BB48/(SUM(IMshareM!BB$2:BB$78)-IMshareM!BB$54),0))</f>
        <v>3.1948989343716356E-4</v>
      </c>
      <c r="BC48" s="8">
        <f>IF($A48=BC$1,0,IF(SUM(IMshareM!BC$2:BC$78)-IMshareM!BC$55&gt;0,IMshareM!BC48/(SUM(IMshareM!BC$2:BC$78)-IMshareM!BC$55),0))</f>
        <v>3.6356209373429688E-5</v>
      </c>
      <c r="BD48" s="8">
        <f>IF($A48=BD$1,0,IF(SUM(IMshareM!BD$2:BD$78)-IMshareM!BD$56&gt;0,IMshareM!BD48/(SUM(IMshareM!BD$2:BD$78)-IMshareM!BD$56),0))</f>
        <v>3.084084296216611E-5</v>
      </c>
      <c r="BE48" s="8">
        <f>IF($A48=BE$1,0,IF(SUM(IMshareM!BE$2:BE$78)-IMshareM!BE$57&gt;0,IMshareM!BE48/(SUM(IMshareM!BE$2:BE$78)-IMshareM!BE$57),0))</f>
        <v>0</v>
      </c>
      <c r="BF48" s="8">
        <f>IF($A48=BF$1,0,IF(SUM(IMshareM!BF$2:BF$78)-IMshareM!BF$58&gt;0,IMshareM!BF48/(SUM(IMshareM!BF$2:BF$78)-IMshareM!BF$58),0))</f>
        <v>3.2576523605459312E-5</v>
      </c>
      <c r="BG48" s="8">
        <f>IF($A48=BG$1,0,IF(SUM(IMshareM!BG$2:BG$78)-IMshareM!BG$59&gt;0,IMshareM!BG48/(SUM(IMshareM!BG$2:BG$78)-IMshareM!BG$59),0))</f>
        <v>0</v>
      </c>
      <c r="BH48" s="8">
        <f>IF($A48=BH$1,0,IF(SUM(IMshareM!BH$2:BH$78)-IMshareM!BH$60&gt;0,IMshareM!BH48/(SUM(IMshareM!BH$2:BH$78)-IMshareM!BH$60),0))</f>
        <v>2.7571600504482021E-4</v>
      </c>
      <c r="BI48" s="8">
        <f>IF($A48=BI$1,0,IF(SUM(IMshareM!BI$2:BI$78)-IMshareM!BI$61&gt;0,IMshareM!BI48/(SUM(IMshareM!BI$2:BI$78)-IMshareM!BI$61),0))</f>
        <v>6.0134434211301929E-6</v>
      </c>
      <c r="BJ48" s="8">
        <f>IF($A48=BJ$1,0,IF(SUM(IMshareM!BJ$2:BJ$78)-IMshareM!BJ$62&gt;0,IMshareM!BJ48/(SUM(IMshareM!BJ$2:BJ$78)-IMshareM!BJ$62),0))</f>
        <v>4.8627444801347888E-6</v>
      </c>
      <c r="BK48" s="8">
        <f>IF($A48=BK$1,0,IF(SUM(IMshareM!BK$2:BK$78)-IMshareM!BK$63&gt;0,IMshareM!BK48/(SUM(IMshareM!BK$2:BK$78)-IMshareM!BK$63),0))</f>
        <v>0</v>
      </c>
      <c r="BL48" s="8">
        <f>IF($A48=BL$1,0,IF(SUM(IMshareM!BL$2:BL$78)-IMshareM!BL$64&gt;0,IMshareM!BL48/(SUM(IMshareM!BL$2:BL$78)-IMshareM!BL$64),0))</f>
        <v>0</v>
      </c>
      <c r="BM48" s="8">
        <f>IF($A48=BM$1,0,IF(SUM(IMshareM!BM$2:BM$78)-IMshareM!BM$65&gt;0,IMshareM!BM48/(SUM(IMshareM!BM$2:BM$78)-IMshareM!BM$65),0))</f>
        <v>7.6161496375440731E-4</v>
      </c>
      <c r="BN48" s="8">
        <f>IF($A48=BN$1,0,IF(SUM(IMshareM!BN$2:BN$78)-IMshareM!BN$66&gt;0,IMshareM!BN48/(SUM(IMshareM!BN$2:BN$78)-IMshareM!BN$66),0))</f>
        <v>4.9548902230511737E-5</v>
      </c>
      <c r="BO48" s="8">
        <f>IF($A48=BO$1,0,IF(SUM(IMshareM!BO$2:BO$78)-IMshareM!BO$67&gt;0,IMshareM!BO48/(SUM(IMshareM!BO$2:BO$78)-IMshareM!BO$67),0))</f>
        <v>2.4859802713617836E-5</v>
      </c>
      <c r="BP48" s="8">
        <f>IF($A48=BP$1,0,IF(SUM(IMshareM!BP$2:BP$78)-IMshareM!BP$68&gt;0,IMshareM!BP48/(SUM(IMshareM!BP$2:BP$78)-IMshareM!BP$68),0))</f>
        <v>1.7640393083062997E-5</v>
      </c>
      <c r="BQ48" s="8">
        <f>IF($A48=BQ$1,0,IF(SUM(IMshareM!BQ$2:BQ$78)-IMshareM!BQ$69&gt;0,IMshareM!BQ48/(SUM(IMshareM!BQ$2:BQ$78)-IMshareM!BQ$69),0))</f>
        <v>5.540529266389308E-6</v>
      </c>
      <c r="BR48" s="8">
        <f>IF($A48=BR$1,0,IF(SUM(IMshareM!BR$2:BR$78)-IMshareM!BR$70&gt;0,IMshareM!BR48/(SUM(IMshareM!BR$2:BR$78)-IMshareM!BR$70),0))</f>
        <v>9.9953618727949351E-6</v>
      </c>
      <c r="BS48" s="8">
        <f>IF($A48=BS$1,0,IF(SUM(IMshareM!BS$2:BS$78)-IMshareM!BS$71&gt;0,IMshareM!BS48/(SUM(IMshareM!BS$2:BS$78)-IMshareM!BS$71),0))</f>
        <v>1.5021228120093194E-3</v>
      </c>
      <c r="BT48" s="8">
        <f>IF($A48=BT$1,0,IF(SUM(IMshareM!BT$2:BT$78)-IMshareM!BT$72&gt;0,IMshareM!BT48/(SUM(IMshareM!BT$2:BT$78)-IMshareM!BT$72),0))</f>
        <v>5.1865592993745888E-4</v>
      </c>
      <c r="BU48" s="8">
        <f>IF($A48=BU$1,0,IF(SUM(IMshareM!BU$2:BU$78)-IMshareM!BU$73&gt;0,IMshareM!BU48/(SUM(IMshareM!BU$2:BU$78)-IMshareM!BU$73),0))</f>
        <v>2.768296960257084E-5</v>
      </c>
      <c r="BV48" s="8">
        <f>IF($A48=BV$1,0,IF(SUM(IMshareM!BV$2:BV$78)-IMshareM!BV$74&gt;0,IMshareM!BV48/(SUM(IMshareM!BV$2:BV$78)-IMshareM!BV$74),0))</f>
        <v>3.4227163280029162E-5</v>
      </c>
      <c r="BW48" s="8">
        <f>IF($A48=BW$1,0,IF(SUM(IMshareM!BW$2:BW$78)-IMshareM!BW$75&gt;0,IMshareM!BW48/(SUM(IMshareM!BW$2:BW$78)-IMshareM!BW$75),0))</f>
        <v>4.6602338060407845E-4</v>
      </c>
      <c r="BX48" s="8">
        <f>IF($A48=BX$1,0,IF(SUM(IMshareM!BX$2:BX$78)-IMshareM!BX$76&gt;0,IMshareM!BX48/(SUM(IMshareM!BX$2:BX$78)-IMshareM!BX$76),0))</f>
        <v>6.8574881349331527E-4</v>
      </c>
      <c r="BY48" s="8">
        <f>IF($A48=BY$1,0,IF(SUM(IMshareM!BY$2:BY$78)-IMshareM!BY$77&gt;0,IMshareM!BY48/(SUM(IMshareM!BY$2:BY$78)-IMshareM!BY$77),0))</f>
        <v>3.7232354229169867E-5</v>
      </c>
      <c r="BZ48" s="8">
        <f>IF($A48=BZ$1,0,IF(SUM(IMshareM!BZ$2:BZ$78)-IMshareM!BZ$78&gt;0,IMshareM!BZ48/(SUM(IMshareM!BZ$2:BZ$78)-IMshareM!BZ$78),0))</f>
        <v>4.0283919524532311E-4</v>
      </c>
    </row>
    <row r="49" spans="1:78">
      <c r="A49" s="4" t="s">
        <v>165</v>
      </c>
      <c r="B49" s="8">
        <f>IF($A49=B$1,0,IF(SUM(IMshareM!B$2:B$78)-IMshareM!B$2&gt;0,IMshareM!B49/(SUM(IMshareM!B$2:B$78)-IMshareM!B$2),0))</f>
        <v>4.114725908335623E-2</v>
      </c>
      <c r="C49" s="8">
        <f>IF($A49=C$1,0,IF(SUM(IMshareM!C$2:C$78)-IMshareM!C$3&gt;0,IMshareM!C49/(SUM(IMshareM!C$2:C$78)-IMshareM!C$3),0))</f>
        <v>1.6174241200743629E-2</v>
      </c>
      <c r="D49" s="8">
        <f>IF($A49=D$1,0,IF(SUM(IMshareM!D$2:D$78)-IMshareM!D$4&gt;0,IMshareM!D49/(SUM(IMshareM!D$2:D$78)-IMshareM!D$4),0))</f>
        <v>6.3448891170032476E-3</v>
      </c>
      <c r="E49" s="8">
        <f>IF($A49=E$1,0,IF(SUM(IMshareM!E$2:E$78)-IMshareM!E$5&gt;0,IMshareM!E49/(SUM(IMshareM!E$2:E$78)-IMshareM!E$5),0))</f>
        <v>5.1192362743598951E-3</v>
      </c>
      <c r="F49" s="8">
        <f>IF($A49=F$1,0,IF(SUM(IMshareM!F$2:F$78)-IMshareM!F$6&gt;0,IMshareM!F49/(SUM(IMshareM!F$2:F$78)-IMshareM!F$6),0))</f>
        <v>0</v>
      </c>
      <c r="G49" s="8">
        <f>IF($A49=G$1,0,IF(SUM(IMshareM!G$2:G$78)-IMshareM!G$7&gt;0,IMshareM!G49/(SUM(IMshareM!G$2:G$78)-IMshareM!G$7),0))</f>
        <v>3.9929420942261088E-7</v>
      </c>
      <c r="H49" s="8">
        <f>IF($A49=H$1,0,IF(SUM(IMshareM!H$2:H$78)-IMshareM!H$8&gt;0,IMshareM!H49/(SUM(IMshareM!H$2:H$78)-IMshareM!H$8),0))</f>
        <v>0</v>
      </c>
      <c r="I49" s="8">
        <f>IF($A49=I$1,0,IF(SUM(IMshareM!I$2:I$78)-IMshareM!I$9&gt;0,IMshareM!I49/(SUM(IMshareM!I$2:I$78)-IMshareM!I$9),0))</f>
        <v>6.0411302722511738E-2</v>
      </c>
      <c r="J49" s="8">
        <f>IF($A49=J$1,0,IF(SUM(IMshareM!J$2:J$78)-IMshareM!J$10&gt;0,IMshareM!J49/(SUM(IMshareM!J$2:J$78)-IMshareM!J$10),0))</f>
        <v>2.1821878220974929E-3</v>
      </c>
      <c r="K49" s="8">
        <f>IF($A49=K$1,0,IF(SUM(IMshareM!K$2:K$78)-IMshareM!K$11&gt;0,IMshareM!K49/(SUM(IMshareM!K$2:K$78)-IMshareM!K$11),0))</f>
        <v>0.1006221218284607</v>
      </c>
      <c r="L49" s="8">
        <f>IF($A49=L$1,0,IF(SUM(IMshareM!L$2:L$78)-IMshareM!L$12&gt;0,IMshareM!L49/(SUM(IMshareM!L$2:L$78)-IMshareM!L$12),0))</f>
        <v>1.4738739420181914E-3</v>
      </c>
      <c r="M49" s="8">
        <f>IF($A49=M$1,0,IF(SUM(IMshareM!M$2:M$78)-IMshareM!M$13&gt;0,IMshareM!M49/(SUM(IMshareM!M$2:M$78)-IMshareM!M$13),0))</f>
        <v>2.6913672744182634E-3</v>
      </c>
      <c r="N49" s="8">
        <f>IF($A49=N$1,0,IF(SUM(IMshareM!N$2:N$78)-IMshareM!N$14&gt;0,IMshareM!N49/(SUM(IMshareM!N$2:N$78)-IMshareM!N$14),0))</f>
        <v>2.474232349033334E-2</v>
      </c>
      <c r="O49" s="8">
        <f>IF($A49=O$1,0,IF(SUM(IMshareM!O$2:O$78)-IMshareM!O$15&gt;0,IMshareM!O49/(SUM(IMshareM!O$2:O$78)-IMshareM!O$15),0))</f>
        <v>5.4780775001622454E-3</v>
      </c>
      <c r="P49" s="8">
        <f>IF($A49=P$1,0,IF(SUM(IMshareM!P$2:P$78)-IMshareM!P$16&gt;0,IMshareM!P49/(SUM(IMshareM!P$2:P$78)-IMshareM!P$16),0))</f>
        <v>0</v>
      </c>
      <c r="Q49" s="8">
        <f>IF($A49=Q$1,0,IF(SUM(IMshareM!Q$2:Q$78)-IMshareM!Q$17&gt;0,IMshareM!Q49/(SUM(IMshareM!Q$2:Q$78)-IMshareM!Q$17),0))</f>
        <v>3.0908431383251889E-2</v>
      </c>
      <c r="R49" s="8">
        <f>IF($A49=R$1,0,IF(SUM(IMshareM!R$2:R$78)-IMshareM!R$18&gt;0,IMshareM!R49/(SUM(IMshareM!R$2:R$78)-IMshareM!R$18),0))</f>
        <v>8.2195226450074904E-2</v>
      </c>
      <c r="S49" s="8">
        <f>IF($A49=S$1,0,IF(SUM(IMshareM!S$2:S$78)-IMshareM!S$19&gt;0,IMshareM!S49/(SUM(IMshareM!S$2:S$78)-IMshareM!S$19),0))</f>
        <v>5.369925152742381E-5</v>
      </c>
      <c r="T49" s="8">
        <f>IF($A49=T$1,0,IF(SUM(IMshareM!T$2:T$78)-IMshareM!T$20&gt;0,IMshareM!T49/(SUM(IMshareM!T$2:T$78)-IMshareM!T$20),0))</f>
        <v>2.8301725066302284E-3</v>
      </c>
      <c r="U49" s="8">
        <f>IF($A49=U$1,0,IF(SUM(IMshareM!U$2:U$78)-IMshareM!U$21&gt;0,IMshareM!U49/(SUM(IMshareM!U$2:U$78)-IMshareM!U$21),0))</f>
        <v>1.1519902432440651E-2</v>
      </c>
      <c r="V49" s="8">
        <f>IF($A49=V$1,0,IF(SUM(IMshareM!V$2:V$78)-IMshareM!V$22&gt;0,IMshareM!V49/(SUM(IMshareM!V$2:V$78)-IMshareM!V$22),0))</f>
        <v>7.2451116711081077E-3</v>
      </c>
      <c r="W49" s="8">
        <f>IF($A49=W$1,0,IF(SUM(IMshareM!W$2:W$78)-IMshareM!W$23&gt;0,IMshareM!W49/(SUM(IMshareM!W$2:W$78)-IMshareM!W$23),0))</f>
        <v>8.4260334815632471E-3</v>
      </c>
      <c r="X49" s="8">
        <f>IF($A49=X$1,0,IF(SUM(IMshareM!X$2:X$78)-IMshareM!X$24&gt;0,IMshareM!X49/(SUM(IMshareM!X$2:X$78)-IMshareM!X$24),0))</f>
        <v>3.6174285071813054E-3</v>
      </c>
      <c r="Y49" s="8">
        <f>IF($A49=Y$1,0,IF(SUM(IMshareM!Y$2:Y$78)-IMshareM!Y$25&gt;0,IMshareM!Y49/(SUM(IMshareM!Y$2:Y$78)-IMshareM!Y$25),0))</f>
        <v>4.1507508648616562E-3</v>
      </c>
      <c r="Z49" s="8">
        <f>IF($A49=Z$1,0,IF(SUM(IMshareM!Z$2:Z$78)-IMshareM!Z$26&gt;0,IMshareM!Z49/(SUM(IMshareM!Z$2:Z$78)-IMshareM!Z$26),0))</f>
        <v>2.0865123019536895E-3</v>
      </c>
      <c r="AA49" s="8">
        <f>IF($A49=AA$1,0,IF(SUM(IMshareM!AA$2:AA$78)-IMshareM!AA$27&gt;0,IMshareM!AA49/(SUM(IMshareM!AA$2:AA$78)-IMshareM!AA$27),0))</f>
        <v>2.066421052165022E-3</v>
      </c>
      <c r="AB49" s="8">
        <f>IF($A49=AB$1,0,IF(SUM(IMshareM!AB$2:AB$78)-IMshareM!AB$28&gt;0,IMshareM!AB49/(SUM(IMshareM!AB$2:AB$78)-IMshareM!AB$28),0))</f>
        <v>1.1402189142597382E-2</v>
      </c>
      <c r="AC49" s="8">
        <f>IF($A49=AC$1,0,IF(SUM(IMshareM!AC$2:AC$78)-IMshareM!AC$29&gt;0,IMshareM!AC49/(SUM(IMshareM!AC$2:AC$78)-IMshareM!AC$29),0))</f>
        <v>1.1657277222895775E-4</v>
      </c>
      <c r="AD49" s="8">
        <f>IF($A49=AD$1,0,IF(SUM(IMshareM!AD$2:AD$78)-IMshareM!AD$30&gt;0,IMshareM!AD49/(SUM(IMshareM!AD$2:AD$78)-IMshareM!AD$30),0))</f>
        <v>9.8215030838316283E-5</v>
      </c>
      <c r="AE49" s="8">
        <f>IF($A49=AE$1,0,IF(SUM(IMshareM!AE$2:AE$78)-IMshareM!AE$31&gt;0,IMshareM!AE49/(SUM(IMshareM!AE$2:AE$78)-IMshareM!AE$31),0))</f>
        <v>7.390982021279938E-4</v>
      </c>
      <c r="AF49" s="8">
        <f>IF($A49=AF$1,0,IF(SUM(IMshareM!AF$2:AF$78)-IMshareM!AF$32&gt;0,IMshareM!AF49/(SUM(IMshareM!AF$2:AF$78)-IMshareM!AF$32),0))</f>
        <v>1.0873877909669567E-4</v>
      </c>
      <c r="AG49" s="8">
        <f>IF($A49=AG$1,0,IF(SUM(IMshareM!AG$2:AG$78)-IMshareM!AG$33&gt;0,IMshareM!AG49/(SUM(IMshareM!AG$2:AG$78)-IMshareM!AG$33),0))</f>
        <v>5.888935632662155E-3</v>
      </c>
      <c r="AH49" s="8">
        <f>IF($A49=AH$1,0,IF(SUM(IMshareM!AH$2:AH$78)-IMshareM!AH$34&gt;0,IMshareM!AH49/(SUM(IMshareM!AH$2:AH$78)-IMshareM!AH$34),0))</f>
        <v>4.8041200390598436E-4</v>
      </c>
      <c r="AI49" s="8">
        <f>IF($A49=AI$1,0,IF(SUM(IMshareM!AI$2:AI$78)-IMshareM!AI$35&gt;0,IMshareM!AI49/(SUM(IMshareM!AI$2:AI$78)-IMshareM!AI$35),0))</f>
        <v>3.3681818937738675E-3</v>
      </c>
      <c r="AJ49" s="8">
        <f>IF($A49=AJ$1,0,IF(SUM(IMshareM!AJ$2:AJ$78)-IMshareM!AJ$36&gt;0,IMshareM!AJ49/(SUM(IMshareM!AJ$2:AJ$78)-IMshareM!AJ$36),0))</f>
        <v>2.1300201654979238E-3</v>
      </c>
      <c r="AK49" s="8">
        <f>IF($A49=AK$1,0,IF(SUM(IMshareM!AK$2:AK$78)-IMshareM!AK$37&gt;0,IMshareM!AK49/(SUM(IMshareM!AK$2:AK$78)-IMshareM!AK$37),0))</f>
        <v>1.4160010469933984E-3</v>
      </c>
      <c r="AL49" s="8">
        <f>IF($A49=AL$1,0,IF(SUM(IMshareM!AL$2:AL$78)-IMshareM!AL$38&gt;0,IMshareM!AL49/(SUM(IMshareM!AL$2:AL$78)-IMshareM!AL$38),0))</f>
        <v>3.3724034188110856E-3</v>
      </c>
      <c r="AM49" s="8">
        <f>IF($A49=AM$1,0,IF(SUM(IMshareM!AM$2:AM$78)-IMshareM!AM$39&gt;0,IMshareM!AM49/(SUM(IMshareM!AM$2:AM$78)-IMshareM!AM$39),0))</f>
        <v>1.4761692512374689E-2</v>
      </c>
      <c r="AN49" s="8">
        <f>IF($A49=AN$1,0,IF(SUM(IMshareM!AN$2:AN$78)-IMshareM!AN$40&gt;0,IMshareM!AN49/(SUM(IMshareM!AN$2:AN$78)-IMshareM!AN$40),0))</f>
        <v>4.769229158522229E-3</v>
      </c>
      <c r="AO49" s="8">
        <f>IF($A49=AO$1,0,IF(SUM(IMshareM!AO$2:AO$78)-IMshareM!AO$41&gt;0,IMshareM!AO49/(SUM(IMshareM!AO$2:AO$78)-IMshareM!AO$41),0))</f>
        <v>0</v>
      </c>
      <c r="AP49" s="8">
        <f>IF($A49=AP$1,0,IF(SUM(IMshareM!AP$2:AP$78)-IMshareM!AP$42&gt;0,IMshareM!AP49/(SUM(IMshareM!AP$2:AP$78)-IMshareM!AP$42),0))</f>
        <v>8.3560356331879482E-6</v>
      </c>
      <c r="AQ49" s="8">
        <f>IF($A49=AQ$1,0,IF(SUM(IMshareM!AQ$2:AQ$78)-IMshareM!AQ$43&gt;0,IMshareM!AQ49/(SUM(IMshareM!AQ$2:AQ$78)-IMshareM!AQ$43),0))</f>
        <v>5.8406327220190714E-3</v>
      </c>
      <c r="AR49" s="8">
        <f>IF($A49=AR$1,0,IF(SUM(IMshareM!AR$2:AR$78)-IMshareM!AR$44&gt;0,IMshareM!AR49/(SUM(IMshareM!AR$2:AR$78)-IMshareM!AR$44),0))</f>
        <v>0</v>
      </c>
      <c r="AS49" s="8">
        <f>IF($A49=AS$1,0,IF(SUM(IMshareM!AS$2:AS$78)-IMshareM!AS$45&gt;0,IMshareM!AS49/(SUM(IMshareM!AS$2:AS$78)-IMshareM!AS$45),0))</f>
        <v>1.7706397367172936E-3</v>
      </c>
      <c r="AT49" s="8">
        <f>IF($A49=AT$1,0,IF(SUM(IMshareM!AT$2:AT$78)-IMshareM!AT$46&gt;0,IMshareM!AT49/(SUM(IMshareM!AT$2:AT$78)-IMshareM!AT$46),0))</f>
        <v>1.885869421699381E-3</v>
      </c>
      <c r="AU49" s="8">
        <f>IF($A49=AU$1,0,IF(SUM(IMshareM!AU$2:AU$78)-IMshareM!AU$47&gt;0,IMshareM!AU49/(SUM(IMshareM!AU$2:AU$78)-IMshareM!AU$47),0))</f>
        <v>7.9571801062196164E-5</v>
      </c>
      <c r="AV49" s="8">
        <f>IF($A49=AV$1,0,IF(SUM(IMshareM!AV$2:AV$78)-IMshareM!AV$48&gt;0,IMshareM!AV49/(SUM(IMshareM!AV$2:AV$78)-IMshareM!AV$48),0))</f>
        <v>8.9348504217856572E-4</v>
      </c>
      <c r="AW49" s="8">
        <f>IF($A49=AW$1,0,IF(SUM(IMshareM!AW$2:AW$78)-IMshareM!AW$49&gt;0,IMshareM!AW49/(SUM(IMshareM!AW$2:AW$78)-IMshareM!AW$49),0))</f>
        <v>0</v>
      </c>
      <c r="AX49" s="8">
        <f>IF($A49=AX$1,0,IF(SUM(IMshareM!AX$2:AX$78)-IMshareM!AX$50&gt;0,IMshareM!AX49/(SUM(IMshareM!AX$2:AX$78)-IMshareM!AX$50),0))</f>
        <v>1.0279131800623867E-3</v>
      </c>
      <c r="AY49" s="8">
        <f>IF($A49=AY$1,0,IF(SUM(IMshareM!AY$2:AY$78)-IMshareM!AY$51&gt;0,IMshareM!AY49/(SUM(IMshareM!AY$2:AY$78)-IMshareM!AY$51),0))</f>
        <v>2.2865345846264729E-4</v>
      </c>
      <c r="AZ49" s="8">
        <f>IF($A49=AZ$1,0,IF(SUM(IMshareM!AZ$2:AZ$78)-IMshareM!AZ$52&gt;0,IMshareM!AZ49/(SUM(IMshareM!AZ$2:AZ$78)-IMshareM!AZ$52),0))</f>
        <v>1.2441924717616463E-3</v>
      </c>
      <c r="BA49" s="8">
        <f>IF($A49=BA$1,0,IF(SUM(IMshareM!BA$2:BA$78)-IMshareM!BA$53&gt;0,IMshareM!BA49/(SUM(IMshareM!BA$2:BA$78)-IMshareM!BA$53),0))</f>
        <v>5.34138342563961E-4</v>
      </c>
      <c r="BB49" s="8">
        <f>IF($A49=BB$1,0,IF(SUM(IMshareM!BB$2:BB$78)-IMshareM!BB$54&gt;0,IMshareM!BB49/(SUM(IMshareM!BB$2:BB$78)-IMshareM!BB$54),0))</f>
        <v>1.812157298103606E-3</v>
      </c>
      <c r="BC49" s="8">
        <f>IF($A49=BC$1,0,IF(SUM(IMshareM!BC$2:BC$78)-IMshareM!BC$55&gt;0,IMshareM!BC49/(SUM(IMshareM!BC$2:BC$78)-IMshareM!BC$55),0))</f>
        <v>1.4095478189535659E-3</v>
      </c>
      <c r="BD49" s="8">
        <f>IF($A49=BD$1,0,IF(SUM(IMshareM!BD$2:BD$78)-IMshareM!BD$56&gt;0,IMshareM!BD49/(SUM(IMshareM!BD$2:BD$78)-IMshareM!BD$56),0))</f>
        <v>1.2774813876951606E-2</v>
      </c>
      <c r="BE49" s="8">
        <f>IF($A49=BE$1,0,IF(SUM(IMshareM!BE$2:BE$78)-IMshareM!BE$57&gt;0,IMshareM!BE49/(SUM(IMshareM!BE$2:BE$78)-IMshareM!BE$57),0))</f>
        <v>5.3171229955519201E-4</v>
      </c>
      <c r="BF49" s="8">
        <f>IF($A49=BF$1,0,IF(SUM(IMshareM!BF$2:BF$78)-IMshareM!BF$58&gt;0,IMshareM!BF49/(SUM(IMshareM!BF$2:BF$78)-IMshareM!BF$58),0))</f>
        <v>2.8470716847463391E-2</v>
      </c>
      <c r="BG49" s="8">
        <f>IF($A49=BG$1,0,IF(SUM(IMshareM!BG$2:BG$78)-IMshareM!BG$59&gt;0,IMshareM!BG49/(SUM(IMshareM!BG$2:BG$78)-IMshareM!BG$59),0))</f>
        <v>2.4864801183981178E-3</v>
      </c>
      <c r="BH49" s="8">
        <f>IF($A49=BH$1,0,IF(SUM(IMshareM!BH$2:BH$78)-IMshareM!BH$60&gt;0,IMshareM!BH49/(SUM(IMshareM!BH$2:BH$78)-IMshareM!BH$60),0))</f>
        <v>2.2292945681352439E-3</v>
      </c>
      <c r="BI49" s="8">
        <f>IF($A49=BI$1,0,IF(SUM(IMshareM!BI$2:BI$78)-IMshareM!BI$61&gt;0,IMshareM!BI49/(SUM(IMshareM!BI$2:BI$78)-IMshareM!BI$61),0))</f>
        <v>4.1943281785733775E-4</v>
      </c>
      <c r="BJ49" s="8">
        <f>IF($A49=BJ$1,0,IF(SUM(IMshareM!BJ$2:BJ$78)-IMshareM!BJ$62&gt;0,IMshareM!BJ49/(SUM(IMshareM!BJ$2:BJ$78)-IMshareM!BJ$62),0))</f>
        <v>8.3036954541922418E-4</v>
      </c>
      <c r="BK49" s="8">
        <f>IF($A49=BK$1,0,IF(SUM(IMshareM!BK$2:BK$78)-IMshareM!BK$63&gt;0,IMshareM!BK49/(SUM(IMshareM!BK$2:BK$78)-IMshareM!BK$63),0))</f>
        <v>0</v>
      </c>
      <c r="BL49" s="8">
        <f>IF($A49=BL$1,0,IF(SUM(IMshareM!BL$2:BL$78)-IMshareM!BL$64&gt;0,IMshareM!BL49/(SUM(IMshareM!BL$2:BL$78)-IMshareM!BL$64),0))</f>
        <v>0</v>
      </c>
      <c r="BM49" s="8">
        <f>IF($A49=BM$1,0,IF(SUM(IMshareM!BM$2:BM$78)-IMshareM!BM$65&gt;0,IMshareM!BM49/(SUM(IMshareM!BM$2:BM$78)-IMshareM!BM$65),0))</f>
        <v>0</v>
      </c>
      <c r="BN49" s="8">
        <f>IF($A49=BN$1,0,IF(SUM(IMshareM!BN$2:BN$78)-IMshareM!BN$66&gt;0,IMshareM!BN49/(SUM(IMshareM!BN$2:BN$78)-IMshareM!BN$66),0))</f>
        <v>2.6643343868586519E-2</v>
      </c>
      <c r="BO49" s="8">
        <f>IF($A49=BO$1,0,IF(SUM(IMshareM!BO$2:BO$78)-IMshareM!BO$67&gt;0,IMshareM!BO49/(SUM(IMshareM!BO$2:BO$78)-IMshareM!BO$67),0))</f>
        <v>3.0687286430622026E-4</v>
      </c>
      <c r="BP49" s="8">
        <f>IF($A49=BP$1,0,IF(SUM(IMshareM!BP$2:BP$78)-IMshareM!BP$68&gt;0,IMshareM!BP49/(SUM(IMshareM!BP$2:BP$78)-IMshareM!BP$68),0))</f>
        <v>2.1434777603152269E-4</v>
      </c>
      <c r="BQ49" s="8">
        <f>IF($A49=BQ$1,0,IF(SUM(IMshareM!BQ$2:BQ$78)-IMshareM!BQ$69&gt;0,IMshareM!BQ49/(SUM(IMshareM!BQ$2:BQ$78)-IMshareM!BQ$69),0))</f>
        <v>1.8938917031545326E-3</v>
      </c>
      <c r="BR49" s="8">
        <f>IF($A49=BR$1,0,IF(SUM(IMshareM!BR$2:BR$78)-IMshareM!BR$70&gt;0,IMshareM!BR49/(SUM(IMshareM!BR$2:BR$78)-IMshareM!BR$70),0))</f>
        <v>6.7834756506838E-3</v>
      </c>
      <c r="BS49" s="8">
        <f>IF($A49=BS$1,0,IF(SUM(IMshareM!BS$2:BS$78)-IMshareM!BS$71&gt;0,IMshareM!BS49/(SUM(IMshareM!BS$2:BS$78)-IMshareM!BS$71),0))</f>
        <v>4.0569006602484439E-4</v>
      </c>
      <c r="BT49" s="8">
        <f>IF($A49=BT$1,0,IF(SUM(IMshareM!BT$2:BT$78)-IMshareM!BT$72&gt;0,IMshareM!BT49/(SUM(IMshareM!BT$2:BT$78)-IMshareM!BT$72),0))</f>
        <v>4.67580635739933E-2</v>
      </c>
      <c r="BU49" s="8">
        <f>IF($A49=BU$1,0,IF(SUM(IMshareM!BU$2:BU$78)-IMshareM!BU$73&gt;0,IMshareM!BU49/(SUM(IMshareM!BU$2:BU$78)-IMshareM!BU$73),0))</f>
        <v>9.1217236680128811E-3</v>
      </c>
      <c r="BV49" s="8">
        <f>IF($A49=BV$1,0,IF(SUM(IMshareM!BV$2:BV$78)-IMshareM!BV$74&gt;0,IMshareM!BV49/(SUM(IMshareM!BV$2:BV$78)-IMshareM!BV$74),0))</f>
        <v>1.399205872372903E-3</v>
      </c>
      <c r="BW49" s="8">
        <f>IF($A49=BW$1,0,IF(SUM(IMshareM!BW$2:BW$78)-IMshareM!BW$75&gt;0,IMshareM!BW49/(SUM(IMshareM!BW$2:BW$78)-IMshareM!BW$75),0))</f>
        <v>0.31952095851941659</v>
      </c>
      <c r="BX49" s="8">
        <f>IF($A49=BX$1,0,IF(SUM(IMshareM!BX$2:BX$78)-IMshareM!BX$76&gt;0,IMshareM!BX49/(SUM(IMshareM!BX$2:BX$78)-IMshareM!BX$76),0))</f>
        <v>5.2365866687055496E-4</v>
      </c>
      <c r="BY49" s="8">
        <f>IF($A49=BY$1,0,IF(SUM(IMshareM!BY$2:BY$78)-IMshareM!BY$77&gt;0,IMshareM!BY49/(SUM(IMshareM!BY$2:BY$78)-IMshareM!BY$77),0))</f>
        <v>7.9089873093026019E-3</v>
      </c>
      <c r="BZ49" s="8">
        <f>IF($A49=BZ$1,0,IF(SUM(IMshareM!BZ$2:BZ$78)-IMshareM!BZ$78&gt;0,IMshareM!BZ49/(SUM(IMshareM!BZ$2:BZ$78)-IMshareM!BZ$78),0))</f>
        <v>1.7133807412452889E-2</v>
      </c>
    </row>
    <row r="50" spans="1:78">
      <c r="A50" s="4" t="s">
        <v>167</v>
      </c>
      <c r="B50" s="8">
        <f>IF($A50=B$1,0,IF(SUM(IMshareM!B$2:B$78)-IMshareM!B$2&gt;0,IMshareM!B50/(SUM(IMshareM!B$2:B$78)-IMshareM!B$2),0))</f>
        <v>0</v>
      </c>
      <c r="C50" s="8">
        <f>IF($A50=C$1,0,IF(SUM(IMshareM!C$2:C$78)-IMshareM!C$3&gt;0,IMshareM!C50/(SUM(IMshareM!C$2:C$78)-IMshareM!C$3),0))</f>
        <v>9.1954175416935047E-7</v>
      </c>
      <c r="D50" s="8">
        <f>IF($A50=D$1,0,IF(SUM(IMshareM!D$2:D$78)-IMshareM!D$4&gt;0,IMshareM!D50/(SUM(IMshareM!D$2:D$78)-IMshareM!D$4),0))</f>
        <v>1.1055854330377244E-5</v>
      </c>
      <c r="E50" s="8">
        <f>IF($A50=E$1,0,IF(SUM(IMshareM!E$2:E$78)-IMshareM!E$5&gt;0,IMshareM!E50/(SUM(IMshareM!E$2:E$78)-IMshareM!E$5),0))</f>
        <v>0</v>
      </c>
      <c r="F50" s="8">
        <f>IF($A50=F$1,0,IF(SUM(IMshareM!F$2:F$78)-IMshareM!F$6&gt;0,IMshareM!F50/(SUM(IMshareM!F$2:F$78)-IMshareM!F$6),0))</f>
        <v>0</v>
      </c>
      <c r="G50" s="8">
        <f>IF($A50=G$1,0,IF(SUM(IMshareM!G$2:G$78)-IMshareM!G$7&gt;0,IMshareM!G50/(SUM(IMshareM!G$2:G$78)-IMshareM!G$7),0))</f>
        <v>0</v>
      </c>
      <c r="H50" s="8">
        <f>IF($A50=H$1,0,IF(SUM(IMshareM!H$2:H$78)-IMshareM!H$8&gt;0,IMshareM!H50/(SUM(IMshareM!H$2:H$78)-IMshareM!H$8),0))</f>
        <v>0</v>
      </c>
      <c r="I50" s="8">
        <f>IF($A50=I$1,0,IF(SUM(IMshareM!I$2:I$78)-IMshareM!I$9&gt;0,IMshareM!I50/(SUM(IMshareM!I$2:I$78)-IMshareM!I$9),0))</f>
        <v>1.6533011104774009E-7</v>
      </c>
      <c r="J50" s="8">
        <f>IF($A50=J$1,0,IF(SUM(IMshareM!J$2:J$78)-IMshareM!J$10&gt;0,IMshareM!J50/(SUM(IMshareM!J$2:J$78)-IMshareM!J$10),0))</f>
        <v>0</v>
      </c>
      <c r="K50" s="8">
        <f>IF($A50=K$1,0,IF(SUM(IMshareM!K$2:K$78)-IMshareM!K$11&gt;0,IMshareM!K50/(SUM(IMshareM!K$2:K$78)-IMshareM!K$11),0))</f>
        <v>2.2180280061282991E-4</v>
      </c>
      <c r="L50" s="8">
        <f>IF($A50=L$1,0,IF(SUM(IMshareM!L$2:L$78)-IMshareM!L$12&gt;0,IMshareM!L50/(SUM(IMshareM!L$2:L$78)-IMshareM!L$12),0))</f>
        <v>1.4224524104176053E-5</v>
      </c>
      <c r="M50" s="8">
        <f>IF($A50=M$1,0,IF(SUM(IMshareM!M$2:M$78)-IMshareM!M$13&gt;0,IMshareM!M50/(SUM(IMshareM!M$2:M$78)-IMshareM!M$13),0))</f>
        <v>0</v>
      </c>
      <c r="N50" s="8">
        <f>IF($A50=N$1,0,IF(SUM(IMshareM!N$2:N$78)-IMshareM!N$14&gt;0,IMshareM!N50/(SUM(IMshareM!N$2:N$78)-IMshareM!N$14),0))</f>
        <v>2.232983850056597E-5</v>
      </c>
      <c r="O50" s="8">
        <f>IF($A50=O$1,0,IF(SUM(IMshareM!O$2:O$78)-IMshareM!O$15&gt;0,IMshareM!O50/(SUM(IMshareM!O$2:O$78)-IMshareM!O$15),0))</f>
        <v>2.033357131338116E-4</v>
      </c>
      <c r="P50" s="8">
        <f>IF($A50=P$1,0,IF(SUM(IMshareM!P$2:P$78)-IMshareM!P$16&gt;0,IMshareM!P50/(SUM(IMshareM!P$2:P$78)-IMshareM!P$16),0))</f>
        <v>0</v>
      </c>
      <c r="Q50" s="8">
        <f>IF($A50=Q$1,0,IF(SUM(IMshareM!Q$2:Q$78)-IMshareM!Q$17&gt;0,IMshareM!Q50/(SUM(IMshareM!Q$2:Q$78)-IMshareM!Q$17),0))</f>
        <v>1.7246641810131138E-4</v>
      </c>
      <c r="R50" s="8">
        <f>IF($A50=R$1,0,IF(SUM(IMshareM!R$2:R$78)-IMshareM!R$18&gt;0,IMshareM!R50/(SUM(IMshareM!R$2:R$78)-IMshareM!R$18),0))</f>
        <v>0</v>
      </c>
      <c r="S50" s="8">
        <f>IF($A50=S$1,0,IF(SUM(IMshareM!S$2:S$78)-IMshareM!S$19&gt;0,IMshareM!S50/(SUM(IMshareM!S$2:S$78)-IMshareM!S$19),0))</f>
        <v>0</v>
      </c>
      <c r="T50" s="8">
        <f>IF($A50=T$1,0,IF(SUM(IMshareM!T$2:T$78)-IMshareM!T$20&gt;0,IMshareM!T50/(SUM(IMshareM!T$2:T$78)-IMshareM!T$20),0))</f>
        <v>3.8321086664452751E-6</v>
      </c>
      <c r="U50" s="8">
        <f>IF($A50=U$1,0,IF(SUM(IMshareM!U$2:U$78)-IMshareM!U$21&gt;0,IMshareM!U50/(SUM(IMshareM!U$2:U$78)-IMshareM!U$21),0))</f>
        <v>1.7082957351199022E-7</v>
      </c>
      <c r="V50" s="8">
        <f>IF($A50=V$1,0,IF(SUM(IMshareM!V$2:V$78)-IMshareM!V$22&gt;0,IMshareM!V50/(SUM(IMshareM!V$2:V$78)-IMshareM!V$22),0))</f>
        <v>0</v>
      </c>
      <c r="W50" s="8">
        <f>IF($A50=W$1,0,IF(SUM(IMshareM!W$2:W$78)-IMshareM!W$23&gt;0,IMshareM!W50/(SUM(IMshareM!W$2:W$78)-IMshareM!W$23),0))</f>
        <v>3.4087490591013219E-6</v>
      </c>
      <c r="X50" s="8">
        <f>IF($A50=X$1,0,IF(SUM(IMshareM!X$2:X$78)-IMshareM!X$24&gt;0,IMshareM!X50/(SUM(IMshareM!X$2:X$78)-IMshareM!X$24),0))</f>
        <v>5.0252904981782564E-6</v>
      </c>
      <c r="Y50" s="8">
        <f>IF($A50=Y$1,0,IF(SUM(IMshareM!Y$2:Y$78)-IMshareM!Y$25&gt;0,IMshareM!Y50/(SUM(IMshareM!Y$2:Y$78)-IMshareM!Y$25),0))</f>
        <v>0</v>
      </c>
      <c r="Z50" s="8">
        <f>IF($A50=Z$1,0,IF(SUM(IMshareM!Z$2:Z$78)-IMshareM!Z$26&gt;0,IMshareM!Z50/(SUM(IMshareM!Z$2:Z$78)-IMshareM!Z$26),0))</f>
        <v>0</v>
      </c>
      <c r="AA50" s="8">
        <f>IF($A50=AA$1,0,IF(SUM(IMshareM!AA$2:AA$78)-IMshareM!AA$27&gt;0,IMshareM!AA50/(SUM(IMshareM!AA$2:AA$78)-IMshareM!AA$27),0))</f>
        <v>0</v>
      </c>
      <c r="AB50" s="8">
        <f>IF($A50=AB$1,0,IF(SUM(IMshareM!AB$2:AB$78)-IMshareM!AB$28&gt;0,IMshareM!AB50/(SUM(IMshareM!AB$2:AB$78)-IMshareM!AB$28),0))</f>
        <v>3.7619782581854984E-6</v>
      </c>
      <c r="AC50" s="8">
        <f>IF($A50=AC$1,0,IF(SUM(IMshareM!AC$2:AC$78)-IMshareM!AC$29&gt;0,IMshareM!AC50/(SUM(IMshareM!AC$2:AC$78)-IMshareM!AC$29),0))</f>
        <v>0</v>
      </c>
      <c r="AD50" s="8">
        <f>IF($A50=AD$1,0,IF(SUM(IMshareM!AD$2:AD$78)-IMshareM!AD$30&gt;0,IMshareM!AD50/(SUM(IMshareM!AD$2:AD$78)-IMshareM!AD$30),0))</f>
        <v>1.5446841033508801E-3</v>
      </c>
      <c r="AE50" s="8">
        <f>IF($A50=AE$1,0,IF(SUM(IMshareM!AE$2:AE$78)-IMshareM!AE$31&gt;0,IMshareM!AE50/(SUM(IMshareM!AE$2:AE$78)-IMshareM!AE$31),0))</f>
        <v>5.9748078437759497E-6</v>
      </c>
      <c r="AF50" s="8">
        <f>IF($A50=AF$1,0,IF(SUM(IMshareM!AF$2:AF$78)-IMshareM!AF$32&gt;0,IMshareM!AF50/(SUM(IMshareM!AF$2:AF$78)-IMshareM!AF$32),0))</f>
        <v>4.2100031195973295E-5</v>
      </c>
      <c r="AG50" s="8">
        <f>IF($A50=AG$1,0,IF(SUM(IMshareM!AG$2:AG$78)-IMshareM!AG$33&gt;0,IMshareM!AG50/(SUM(IMshareM!AG$2:AG$78)-IMshareM!AG$33),0))</f>
        <v>0</v>
      </c>
      <c r="AH50" s="8">
        <f>IF($A50=AH$1,0,IF(SUM(IMshareM!AH$2:AH$78)-IMshareM!AH$34&gt;0,IMshareM!AH50/(SUM(IMshareM!AH$2:AH$78)-IMshareM!AH$34),0))</f>
        <v>1.1360879850597445E-8</v>
      </c>
      <c r="AI50" s="8">
        <f>IF($A50=AI$1,0,IF(SUM(IMshareM!AI$2:AI$78)-IMshareM!AI$35&gt;0,IMshareM!AI50/(SUM(IMshareM!AI$2:AI$78)-IMshareM!AI$35),0))</f>
        <v>0</v>
      </c>
      <c r="AJ50" s="8">
        <f>IF($A50=AJ$1,0,IF(SUM(IMshareM!AJ$2:AJ$78)-IMshareM!AJ$36&gt;0,IMshareM!AJ50/(SUM(IMshareM!AJ$2:AJ$78)-IMshareM!AJ$36),0))</f>
        <v>2.99528493527751E-6</v>
      </c>
      <c r="AK50" s="8">
        <f>IF($A50=AK$1,0,IF(SUM(IMshareM!AK$2:AK$78)-IMshareM!AK$37&gt;0,IMshareM!AK50/(SUM(IMshareM!AK$2:AK$78)-IMshareM!AK$37),0))</f>
        <v>4.214288830337496E-6</v>
      </c>
      <c r="AL50" s="8">
        <f>IF($A50=AL$1,0,IF(SUM(IMshareM!AL$2:AL$78)-IMshareM!AL$38&gt;0,IMshareM!AL50/(SUM(IMshareM!AL$2:AL$78)-IMshareM!AL$38),0))</f>
        <v>2.4193003832309494E-5</v>
      </c>
      <c r="AM50" s="8">
        <f>IF($A50=AM$1,0,IF(SUM(IMshareM!AM$2:AM$78)-IMshareM!AM$39&gt;0,IMshareM!AM50/(SUM(IMshareM!AM$2:AM$78)-IMshareM!AM$39),0))</f>
        <v>0</v>
      </c>
      <c r="AN50" s="8">
        <f>IF($A50=AN$1,0,IF(SUM(IMshareM!AN$2:AN$78)-IMshareM!AN$40&gt;0,IMshareM!AN50/(SUM(IMshareM!AN$2:AN$78)-IMshareM!AN$40),0))</f>
        <v>0</v>
      </c>
      <c r="AO50" s="8">
        <f>IF($A50=AO$1,0,IF(SUM(IMshareM!AO$2:AO$78)-IMshareM!AO$41&gt;0,IMshareM!AO50/(SUM(IMshareM!AO$2:AO$78)-IMshareM!AO$41),0))</f>
        <v>0</v>
      </c>
      <c r="AP50" s="8">
        <f>IF($A50=AP$1,0,IF(SUM(IMshareM!AP$2:AP$78)-IMshareM!AP$42&gt;0,IMshareM!AP50/(SUM(IMshareM!AP$2:AP$78)-IMshareM!AP$42),0))</f>
        <v>0</v>
      </c>
      <c r="AQ50" s="8">
        <f>IF($A50=AQ$1,0,IF(SUM(IMshareM!AQ$2:AQ$78)-IMshareM!AQ$43&gt;0,IMshareM!AQ50/(SUM(IMshareM!AQ$2:AQ$78)-IMshareM!AQ$43),0))</f>
        <v>1.0332704599506931E-6</v>
      </c>
      <c r="AR50" s="8">
        <f>IF($A50=AR$1,0,IF(SUM(IMshareM!AR$2:AR$78)-IMshareM!AR$44&gt;0,IMshareM!AR50/(SUM(IMshareM!AR$2:AR$78)-IMshareM!AR$44),0))</f>
        <v>0</v>
      </c>
      <c r="AS50" s="8">
        <f>IF($A50=AS$1,0,IF(SUM(IMshareM!AS$2:AS$78)-IMshareM!AS$45&gt;0,IMshareM!AS50/(SUM(IMshareM!AS$2:AS$78)-IMshareM!AS$45),0))</f>
        <v>0</v>
      </c>
      <c r="AT50" s="8">
        <f>IF($A50=AT$1,0,IF(SUM(IMshareM!AT$2:AT$78)-IMshareM!AT$46&gt;0,IMshareM!AT50/(SUM(IMshareM!AT$2:AT$78)-IMshareM!AT$46),0))</f>
        <v>0</v>
      </c>
      <c r="AU50" s="8">
        <f>IF($A50=AU$1,0,IF(SUM(IMshareM!AU$2:AU$78)-IMshareM!AU$47&gt;0,IMshareM!AU50/(SUM(IMshareM!AU$2:AU$78)-IMshareM!AU$47),0))</f>
        <v>0</v>
      </c>
      <c r="AV50" s="8">
        <f>IF($A50=AV$1,0,IF(SUM(IMshareM!AV$2:AV$78)-IMshareM!AV$48&gt;0,IMshareM!AV50/(SUM(IMshareM!AV$2:AV$78)-IMshareM!AV$48),0))</f>
        <v>1.4247161046039042E-5</v>
      </c>
      <c r="AW50" s="8">
        <f>IF($A50=AW$1,0,IF(SUM(IMshareM!AW$2:AW$78)-IMshareM!AW$49&gt;0,IMshareM!AW50/(SUM(IMshareM!AW$2:AW$78)-IMshareM!AW$49),0))</f>
        <v>0</v>
      </c>
      <c r="AX50" s="8">
        <f>IF($A50=AX$1,0,IF(SUM(IMshareM!AX$2:AX$78)-IMshareM!AX$50&gt;0,IMshareM!AX50/(SUM(IMshareM!AX$2:AX$78)-IMshareM!AX$50),0))</f>
        <v>0</v>
      </c>
      <c r="AY50" s="8">
        <f>IF($A50=AY$1,0,IF(SUM(IMshareM!AY$2:AY$78)-IMshareM!AY$51&gt;0,IMshareM!AY50/(SUM(IMshareM!AY$2:AY$78)-IMshareM!AY$51),0))</f>
        <v>0</v>
      </c>
      <c r="AZ50" s="8">
        <f>IF($A50=AZ$1,0,IF(SUM(IMshareM!AZ$2:AZ$78)-IMshareM!AZ$52&gt;0,IMshareM!AZ50/(SUM(IMshareM!AZ$2:AZ$78)-IMshareM!AZ$52),0))</f>
        <v>0</v>
      </c>
      <c r="BA50" s="8">
        <f>IF($A50=BA$1,0,IF(SUM(IMshareM!BA$2:BA$78)-IMshareM!BA$53&gt;0,IMshareM!BA50/(SUM(IMshareM!BA$2:BA$78)-IMshareM!BA$53),0))</f>
        <v>0</v>
      </c>
      <c r="BB50" s="8">
        <f>IF($A50=BB$1,0,IF(SUM(IMshareM!BB$2:BB$78)-IMshareM!BB$54&gt;0,IMshareM!BB50/(SUM(IMshareM!BB$2:BB$78)-IMshareM!BB$54),0))</f>
        <v>1.0071739856021234E-5</v>
      </c>
      <c r="BC50" s="8">
        <f>IF($A50=BC$1,0,IF(SUM(IMshareM!BC$2:BC$78)-IMshareM!BC$55&gt;0,IMshareM!BC50/(SUM(IMshareM!BC$2:BC$78)-IMshareM!BC$55),0))</f>
        <v>5.4333538686397617E-6</v>
      </c>
      <c r="BD50" s="8">
        <f>IF($A50=BD$1,0,IF(SUM(IMshareM!BD$2:BD$78)-IMshareM!BD$56&gt;0,IMshareM!BD50/(SUM(IMshareM!BD$2:BD$78)-IMshareM!BD$56),0))</f>
        <v>2.0383146527796096E-4</v>
      </c>
      <c r="BE50" s="8">
        <f>IF($A50=BE$1,0,IF(SUM(IMshareM!BE$2:BE$78)-IMshareM!BE$57&gt;0,IMshareM!BE50/(SUM(IMshareM!BE$2:BE$78)-IMshareM!BE$57),0))</f>
        <v>1.6372863817991321E-5</v>
      </c>
      <c r="BF50" s="8">
        <f>IF($A50=BF$1,0,IF(SUM(IMshareM!BF$2:BF$78)-IMshareM!BF$58&gt;0,IMshareM!BF50/(SUM(IMshareM!BF$2:BF$78)-IMshareM!BF$58),0))</f>
        <v>1.1060740375415211E-5</v>
      </c>
      <c r="BG50" s="8">
        <f>IF($A50=BG$1,0,IF(SUM(IMshareM!BG$2:BG$78)-IMshareM!BG$59&gt;0,IMshareM!BG50/(SUM(IMshareM!BG$2:BG$78)-IMshareM!BG$59),0))</f>
        <v>0</v>
      </c>
      <c r="BH50" s="8">
        <f>IF($A50=BH$1,0,IF(SUM(IMshareM!BH$2:BH$78)-IMshareM!BH$60&gt;0,IMshareM!BH50/(SUM(IMshareM!BH$2:BH$78)-IMshareM!BH$60),0))</f>
        <v>1.4279060642020571E-6</v>
      </c>
      <c r="BI50" s="8">
        <f>IF($A50=BI$1,0,IF(SUM(IMshareM!BI$2:BI$78)-IMshareM!BI$61&gt;0,IMshareM!BI50/(SUM(IMshareM!BI$2:BI$78)-IMshareM!BI$61),0))</f>
        <v>4.1238110333328006E-7</v>
      </c>
      <c r="BJ50" s="8">
        <f>IF($A50=BJ$1,0,IF(SUM(IMshareM!BJ$2:BJ$78)-IMshareM!BJ$62&gt;0,IMshareM!BJ50/(SUM(IMshareM!BJ$2:BJ$78)-IMshareM!BJ$62),0))</f>
        <v>0</v>
      </c>
      <c r="BK50" s="8">
        <f>IF($A50=BK$1,0,IF(SUM(IMshareM!BK$2:BK$78)-IMshareM!BK$63&gt;0,IMshareM!BK50/(SUM(IMshareM!BK$2:BK$78)-IMshareM!BK$63),0))</f>
        <v>0</v>
      </c>
      <c r="BL50" s="8">
        <f>IF($A50=BL$1,0,IF(SUM(IMshareM!BL$2:BL$78)-IMshareM!BL$64&gt;0,IMshareM!BL50/(SUM(IMshareM!BL$2:BL$78)-IMshareM!BL$64),0))</f>
        <v>0</v>
      </c>
      <c r="BM50" s="8">
        <f>IF($A50=BM$1,0,IF(SUM(IMshareM!BM$2:BM$78)-IMshareM!BM$65&gt;0,IMshareM!BM50/(SUM(IMshareM!BM$2:BM$78)-IMshareM!BM$65),0))</f>
        <v>0</v>
      </c>
      <c r="BN50" s="8">
        <f>IF($A50=BN$1,0,IF(SUM(IMshareM!BN$2:BN$78)-IMshareM!BN$66&gt;0,IMshareM!BN50/(SUM(IMshareM!BN$2:BN$78)-IMshareM!BN$66),0))</f>
        <v>1.2623387620135579E-7</v>
      </c>
      <c r="BO50" s="8">
        <f>IF($A50=BO$1,0,IF(SUM(IMshareM!BO$2:BO$78)-IMshareM!BO$67&gt;0,IMshareM!BO50/(SUM(IMshareM!BO$2:BO$78)-IMshareM!BO$67),0))</f>
        <v>0</v>
      </c>
      <c r="BP50" s="8">
        <f>IF($A50=BP$1,0,IF(SUM(IMshareM!BP$2:BP$78)-IMshareM!BP$68&gt;0,IMshareM!BP50/(SUM(IMshareM!BP$2:BP$78)-IMshareM!BP$68),0))</f>
        <v>0</v>
      </c>
      <c r="BQ50" s="8">
        <f>IF($A50=BQ$1,0,IF(SUM(IMshareM!BQ$2:BQ$78)-IMshareM!BQ$69&gt;0,IMshareM!BQ50/(SUM(IMshareM!BQ$2:BQ$78)-IMshareM!BQ$69),0))</f>
        <v>1.8560775494080486E-5</v>
      </c>
      <c r="BR50" s="8">
        <f>IF($A50=BR$1,0,IF(SUM(IMshareM!BR$2:BR$78)-IMshareM!BR$70&gt;0,IMshareM!BR50/(SUM(IMshareM!BR$2:BR$78)-IMshareM!BR$70),0))</f>
        <v>0</v>
      </c>
      <c r="BS50" s="8">
        <f>IF($A50=BS$1,0,IF(SUM(IMshareM!BS$2:BS$78)-IMshareM!BS$71&gt;0,IMshareM!BS50/(SUM(IMshareM!BS$2:BS$78)-IMshareM!BS$71),0))</f>
        <v>1.0710835186093913E-4</v>
      </c>
      <c r="BT50" s="8">
        <f>IF($A50=BT$1,0,IF(SUM(IMshareM!BT$2:BT$78)-IMshareM!BT$72&gt;0,IMshareM!BT50/(SUM(IMshareM!BT$2:BT$78)-IMshareM!BT$72),0))</f>
        <v>1.7129375732833471E-6</v>
      </c>
      <c r="BU50" s="8">
        <f>IF($A50=BU$1,0,IF(SUM(IMshareM!BU$2:BU$78)-IMshareM!BU$73&gt;0,IMshareM!BU50/(SUM(IMshareM!BU$2:BU$78)-IMshareM!BU$73),0))</f>
        <v>0</v>
      </c>
      <c r="BV50" s="8">
        <f>IF($A50=BV$1,0,IF(SUM(IMshareM!BV$2:BV$78)-IMshareM!BV$74&gt;0,IMshareM!BV50/(SUM(IMshareM!BV$2:BV$78)-IMshareM!BV$74),0))</f>
        <v>2.1271063248153662E-6</v>
      </c>
      <c r="BW50" s="8">
        <f>IF($A50=BW$1,0,IF(SUM(IMshareM!BW$2:BW$78)-IMshareM!BW$75&gt;0,IMshareM!BW50/(SUM(IMshareM!BW$2:BW$78)-IMshareM!BW$75),0))</f>
        <v>1.6608314517467847E-5</v>
      </c>
      <c r="BX50" s="8">
        <f>IF($A50=BX$1,0,IF(SUM(IMshareM!BX$2:BX$78)-IMshareM!BX$76&gt;0,IMshareM!BX50/(SUM(IMshareM!BX$2:BX$78)-IMshareM!BX$76),0))</f>
        <v>0</v>
      </c>
      <c r="BY50" s="8">
        <f>IF($A50=BY$1,0,IF(SUM(IMshareM!BY$2:BY$78)-IMshareM!BY$77&gt;0,IMshareM!BY50/(SUM(IMshareM!BY$2:BY$78)-IMshareM!BY$77),0))</f>
        <v>1.4478103838014743E-5</v>
      </c>
      <c r="BZ50" s="8">
        <f>IF($A50=BZ$1,0,IF(SUM(IMshareM!BZ$2:BZ$78)-IMshareM!BZ$78&gt;0,IMshareM!BZ50/(SUM(IMshareM!BZ$2:BZ$78)-IMshareM!BZ$78),0))</f>
        <v>6.6490242484867562E-5</v>
      </c>
    </row>
    <row r="51" spans="1:78">
      <c r="A51" s="4" t="s">
        <v>169</v>
      </c>
      <c r="B51" s="8">
        <f>IF($A51=B$1,0,IF(SUM(IMshareM!B$2:B$78)-IMshareM!B$2&gt;0,IMshareM!B51/(SUM(IMshareM!B$2:B$78)-IMshareM!B$2),0))</f>
        <v>0</v>
      </c>
      <c r="C51" s="8">
        <f>IF($A51=C$1,0,IF(SUM(IMshareM!C$2:C$78)-IMshareM!C$3&gt;0,IMshareM!C51/(SUM(IMshareM!C$2:C$78)-IMshareM!C$3),0))</f>
        <v>0</v>
      </c>
      <c r="D51" s="8">
        <f>IF($A51=D$1,0,IF(SUM(IMshareM!D$2:D$78)-IMshareM!D$4&gt;0,IMshareM!D51/(SUM(IMshareM!D$2:D$78)-IMshareM!D$4),0))</f>
        <v>1.397420784380189E-8</v>
      </c>
      <c r="E51" s="8">
        <f>IF($A51=E$1,0,IF(SUM(IMshareM!E$2:E$78)-IMshareM!E$5&gt;0,IMshareM!E51/(SUM(IMshareM!E$2:E$78)-IMshareM!E$5),0))</f>
        <v>0</v>
      </c>
      <c r="F51" s="8">
        <f>IF($A51=F$1,0,IF(SUM(IMshareM!F$2:F$78)-IMshareM!F$6&gt;0,IMshareM!F51/(SUM(IMshareM!F$2:F$78)-IMshareM!F$6),0))</f>
        <v>0</v>
      </c>
      <c r="G51" s="8">
        <f>IF($A51=G$1,0,IF(SUM(IMshareM!G$2:G$78)-IMshareM!G$7&gt;0,IMshareM!G51/(SUM(IMshareM!G$2:G$78)-IMshareM!G$7),0))</f>
        <v>0</v>
      </c>
      <c r="H51" s="8">
        <f>IF($A51=H$1,0,IF(SUM(IMshareM!H$2:H$78)-IMshareM!H$8&gt;0,IMshareM!H51/(SUM(IMshareM!H$2:H$78)-IMshareM!H$8),0))</f>
        <v>0</v>
      </c>
      <c r="I51" s="8">
        <f>IF($A51=I$1,0,IF(SUM(IMshareM!I$2:I$78)-IMshareM!I$9&gt;0,IMshareM!I51/(SUM(IMshareM!I$2:I$78)-IMshareM!I$9),0))</f>
        <v>0</v>
      </c>
      <c r="J51" s="8">
        <f>IF($A51=J$1,0,IF(SUM(IMshareM!J$2:J$78)-IMshareM!J$10&gt;0,IMshareM!J51/(SUM(IMshareM!J$2:J$78)-IMshareM!J$10),0))</f>
        <v>0</v>
      </c>
      <c r="K51" s="8">
        <f>IF($A51=K$1,0,IF(SUM(IMshareM!K$2:K$78)-IMshareM!K$11&gt;0,IMshareM!K51/(SUM(IMshareM!K$2:K$78)-IMshareM!K$11),0))</f>
        <v>2.9619201198389192E-7</v>
      </c>
      <c r="L51" s="8">
        <f>IF($A51=L$1,0,IF(SUM(IMshareM!L$2:L$78)-IMshareM!L$12&gt;0,IMshareM!L51/(SUM(IMshareM!L$2:L$78)-IMshareM!L$12),0))</f>
        <v>8.9402804245937425E-7</v>
      </c>
      <c r="M51" s="8">
        <f>IF($A51=M$1,0,IF(SUM(IMshareM!M$2:M$78)-IMshareM!M$13&gt;0,IMshareM!M51/(SUM(IMshareM!M$2:M$78)-IMshareM!M$13),0))</f>
        <v>0</v>
      </c>
      <c r="N51" s="8">
        <f>IF($A51=N$1,0,IF(SUM(IMshareM!N$2:N$78)-IMshareM!N$14&gt;0,IMshareM!N51/(SUM(IMshareM!N$2:N$78)-IMshareM!N$14),0))</f>
        <v>1.0763818527808291E-5</v>
      </c>
      <c r="O51" s="8">
        <f>IF($A51=O$1,0,IF(SUM(IMshareM!O$2:O$78)-IMshareM!O$15&gt;0,IMshareM!O51/(SUM(IMshareM!O$2:O$78)-IMshareM!O$15),0))</f>
        <v>0</v>
      </c>
      <c r="P51" s="8">
        <f>IF($A51=P$1,0,IF(SUM(IMshareM!P$2:P$78)-IMshareM!P$16&gt;0,IMshareM!P51/(SUM(IMshareM!P$2:P$78)-IMshareM!P$16),0))</f>
        <v>0</v>
      </c>
      <c r="Q51" s="8">
        <f>IF($A51=Q$1,0,IF(SUM(IMshareM!Q$2:Q$78)-IMshareM!Q$17&gt;0,IMshareM!Q51/(SUM(IMshareM!Q$2:Q$78)-IMshareM!Q$17),0))</f>
        <v>3.2966800900096338E-6</v>
      </c>
      <c r="R51" s="8">
        <f>IF($A51=R$1,0,IF(SUM(IMshareM!R$2:R$78)-IMshareM!R$18&gt;0,IMshareM!R51/(SUM(IMshareM!R$2:R$78)-IMshareM!R$18),0))</f>
        <v>0</v>
      </c>
      <c r="S51" s="8">
        <f>IF($A51=S$1,0,IF(SUM(IMshareM!S$2:S$78)-IMshareM!S$19&gt;0,IMshareM!S51/(SUM(IMshareM!S$2:S$78)-IMshareM!S$19),0))</f>
        <v>0</v>
      </c>
      <c r="T51" s="8">
        <f>IF($A51=T$1,0,IF(SUM(IMshareM!T$2:T$78)-IMshareM!T$20&gt;0,IMshareM!T51/(SUM(IMshareM!T$2:T$78)-IMshareM!T$20),0))</f>
        <v>3.8052928443875113E-7</v>
      </c>
      <c r="U51" s="8">
        <f>IF($A51=U$1,0,IF(SUM(IMshareM!U$2:U$78)-IMshareM!U$21&gt;0,IMshareM!U51/(SUM(IMshareM!U$2:U$78)-IMshareM!U$21),0))</f>
        <v>4.5714925515835019E-4</v>
      </c>
      <c r="V51" s="8">
        <f>IF($A51=V$1,0,IF(SUM(IMshareM!V$2:V$78)-IMshareM!V$22&gt;0,IMshareM!V51/(SUM(IMshareM!V$2:V$78)-IMshareM!V$22),0))</f>
        <v>0</v>
      </c>
      <c r="W51" s="8">
        <f>IF($A51=W$1,0,IF(SUM(IMshareM!W$2:W$78)-IMshareM!W$23&gt;0,IMshareM!W51/(SUM(IMshareM!W$2:W$78)-IMshareM!W$23),0))</f>
        <v>0</v>
      </c>
      <c r="X51" s="8">
        <f>IF($A51=X$1,0,IF(SUM(IMshareM!X$2:X$78)-IMshareM!X$24&gt;0,IMshareM!X51/(SUM(IMshareM!X$2:X$78)-IMshareM!X$24),0))</f>
        <v>0</v>
      </c>
      <c r="Y51" s="8">
        <f>IF($A51=Y$1,0,IF(SUM(IMshareM!Y$2:Y$78)-IMshareM!Y$25&gt;0,IMshareM!Y51/(SUM(IMshareM!Y$2:Y$78)-IMshareM!Y$25),0))</f>
        <v>0</v>
      </c>
      <c r="Z51" s="8">
        <f>IF($A51=Z$1,0,IF(SUM(IMshareM!Z$2:Z$78)-IMshareM!Z$26&gt;0,IMshareM!Z51/(SUM(IMshareM!Z$2:Z$78)-IMshareM!Z$26),0))</f>
        <v>3.1234167940450943E-7</v>
      </c>
      <c r="AA51" s="8">
        <f>IF($A51=AA$1,0,IF(SUM(IMshareM!AA$2:AA$78)-IMshareM!AA$27&gt;0,IMshareM!AA51/(SUM(IMshareM!AA$2:AA$78)-IMshareM!AA$27),0))</f>
        <v>8.084138522045921E-6</v>
      </c>
      <c r="AB51" s="8">
        <f>IF($A51=AB$1,0,IF(SUM(IMshareM!AB$2:AB$78)-IMshareM!AB$28&gt;0,IMshareM!AB51/(SUM(IMshareM!AB$2:AB$78)-IMshareM!AB$28),0))</f>
        <v>1.0521657428892131E-5</v>
      </c>
      <c r="AC51" s="8">
        <f>IF($A51=AC$1,0,IF(SUM(IMshareM!AC$2:AC$78)-IMshareM!AC$29&gt;0,IMshareM!AC51/(SUM(IMshareM!AC$2:AC$78)-IMshareM!AC$29),0))</f>
        <v>0</v>
      </c>
      <c r="AD51" s="8">
        <f>IF($A51=AD$1,0,IF(SUM(IMshareM!AD$2:AD$78)-IMshareM!AD$30&gt;0,IMshareM!AD51/(SUM(IMshareM!AD$2:AD$78)-IMshareM!AD$30),0))</f>
        <v>1.668906161947635E-4</v>
      </c>
      <c r="AE51" s="8">
        <f>IF($A51=AE$1,0,IF(SUM(IMshareM!AE$2:AE$78)-IMshareM!AE$31&gt;0,IMshareM!AE51/(SUM(IMshareM!AE$2:AE$78)-IMshareM!AE$31),0))</f>
        <v>0</v>
      </c>
      <c r="AF51" s="8">
        <f>IF($A51=AF$1,0,IF(SUM(IMshareM!AF$2:AF$78)-IMshareM!AF$32&gt;0,IMshareM!AF51/(SUM(IMshareM!AF$2:AF$78)-IMshareM!AF$32),0))</f>
        <v>0</v>
      </c>
      <c r="AG51" s="8">
        <f>IF($A51=AG$1,0,IF(SUM(IMshareM!AG$2:AG$78)-IMshareM!AG$33&gt;0,IMshareM!AG51/(SUM(IMshareM!AG$2:AG$78)-IMshareM!AG$33),0))</f>
        <v>1.9613891426740685E-5</v>
      </c>
      <c r="AH51" s="8">
        <f>IF($A51=AH$1,0,IF(SUM(IMshareM!AH$2:AH$78)-IMshareM!AH$34&gt;0,IMshareM!AH51/(SUM(IMshareM!AH$2:AH$78)-IMshareM!AH$34),0))</f>
        <v>2.7361651446141658E-7</v>
      </c>
      <c r="AI51" s="8">
        <f>IF($A51=AI$1,0,IF(SUM(IMshareM!AI$2:AI$78)-IMshareM!AI$35&gt;0,IMshareM!AI51/(SUM(IMshareM!AI$2:AI$78)-IMshareM!AI$35),0))</f>
        <v>0</v>
      </c>
      <c r="AJ51" s="8">
        <f>IF($A51=AJ$1,0,IF(SUM(IMshareM!AJ$2:AJ$78)-IMshareM!AJ$36&gt;0,IMshareM!AJ51/(SUM(IMshareM!AJ$2:AJ$78)-IMshareM!AJ$36),0))</f>
        <v>0</v>
      </c>
      <c r="AK51" s="8">
        <f>IF($A51=AK$1,0,IF(SUM(IMshareM!AK$2:AK$78)-IMshareM!AK$37&gt;0,IMshareM!AK51/(SUM(IMshareM!AK$2:AK$78)-IMshareM!AK$37),0))</f>
        <v>0</v>
      </c>
      <c r="AL51" s="8">
        <f>IF($A51=AL$1,0,IF(SUM(IMshareM!AL$2:AL$78)-IMshareM!AL$38&gt;0,IMshareM!AL51/(SUM(IMshareM!AL$2:AL$78)-IMshareM!AL$38),0))</f>
        <v>0</v>
      </c>
      <c r="AM51" s="8">
        <f>IF($A51=AM$1,0,IF(SUM(IMshareM!AM$2:AM$78)-IMshareM!AM$39&gt;0,IMshareM!AM51/(SUM(IMshareM!AM$2:AM$78)-IMshareM!AM$39),0))</f>
        <v>0</v>
      </c>
      <c r="AN51" s="8">
        <f>IF($A51=AN$1,0,IF(SUM(IMshareM!AN$2:AN$78)-IMshareM!AN$40&gt;0,IMshareM!AN51/(SUM(IMshareM!AN$2:AN$78)-IMshareM!AN$40),0))</f>
        <v>4.6002347202528759E-6</v>
      </c>
      <c r="AO51" s="8">
        <f>IF($A51=AO$1,0,IF(SUM(IMshareM!AO$2:AO$78)-IMshareM!AO$41&gt;0,IMshareM!AO51/(SUM(IMshareM!AO$2:AO$78)-IMshareM!AO$41),0))</f>
        <v>0</v>
      </c>
      <c r="AP51" s="8">
        <f>IF($A51=AP$1,0,IF(SUM(IMshareM!AP$2:AP$78)-IMshareM!AP$42&gt;0,IMshareM!AP51/(SUM(IMshareM!AP$2:AP$78)-IMshareM!AP$42),0))</f>
        <v>2.6511822497443673E-3</v>
      </c>
      <c r="AQ51" s="8">
        <f>IF($A51=AQ$1,0,IF(SUM(IMshareM!AQ$2:AQ$78)-IMshareM!AQ$43&gt;0,IMshareM!AQ51/(SUM(IMshareM!AQ$2:AQ$78)-IMshareM!AQ$43),0))</f>
        <v>0</v>
      </c>
      <c r="AR51" s="8">
        <f>IF($A51=AR$1,0,IF(SUM(IMshareM!AR$2:AR$78)-IMshareM!AR$44&gt;0,IMshareM!AR51/(SUM(IMshareM!AR$2:AR$78)-IMshareM!AR$44),0))</f>
        <v>0</v>
      </c>
      <c r="AS51" s="8">
        <f>IF($A51=AS$1,0,IF(SUM(IMshareM!AS$2:AS$78)-IMshareM!AS$45&gt;0,IMshareM!AS51/(SUM(IMshareM!AS$2:AS$78)-IMshareM!AS$45),0))</f>
        <v>0</v>
      </c>
      <c r="AT51" s="8">
        <f>IF($A51=AT$1,0,IF(SUM(IMshareM!AT$2:AT$78)-IMshareM!AT$46&gt;0,IMshareM!AT51/(SUM(IMshareM!AT$2:AT$78)-IMshareM!AT$46),0))</f>
        <v>0</v>
      </c>
      <c r="AU51" s="8">
        <f>IF($A51=AU$1,0,IF(SUM(IMshareM!AU$2:AU$78)-IMshareM!AU$47&gt;0,IMshareM!AU51/(SUM(IMshareM!AU$2:AU$78)-IMshareM!AU$47),0))</f>
        <v>0</v>
      </c>
      <c r="AV51" s="8">
        <f>IF($A51=AV$1,0,IF(SUM(IMshareM!AV$2:AV$78)-IMshareM!AV$48&gt;0,IMshareM!AV51/(SUM(IMshareM!AV$2:AV$78)-IMshareM!AV$48),0))</f>
        <v>0</v>
      </c>
      <c r="AW51" s="8">
        <f>IF($A51=AW$1,0,IF(SUM(IMshareM!AW$2:AW$78)-IMshareM!AW$49&gt;0,IMshareM!AW51/(SUM(IMshareM!AW$2:AW$78)-IMshareM!AW$49),0))</f>
        <v>0</v>
      </c>
      <c r="AX51" s="8">
        <f>IF($A51=AX$1,0,IF(SUM(IMshareM!AX$2:AX$78)-IMshareM!AX$50&gt;0,IMshareM!AX51/(SUM(IMshareM!AX$2:AX$78)-IMshareM!AX$50),0))</f>
        <v>0</v>
      </c>
      <c r="AY51" s="8">
        <f>IF($A51=AY$1,0,IF(SUM(IMshareM!AY$2:AY$78)-IMshareM!AY$51&gt;0,IMshareM!AY51/(SUM(IMshareM!AY$2:AY$78)-IMshareM!AY$51),0))</f>
        <v>0</v>
      </c>
      <c r="AZ51" s="8">
        <f>IF($A51=AZ$1,0,IF(SUM(IMshareM!AZ$2:AZ$78)-IMshareM!AZ$52&gt;0,IMshareM!AZ51/(SUM(IMshareM!AZ$2:AZ$78)-IMshareM!AZ$52),0))</f>
        <v>7.5816952793543267E-6</v>
      </c>
      <c r="BA51" s="8">
        <f>IF($A51=BA$1,0,IF(SUM(IMshareM!BA$2:BA$78)-IMshareM!BA$53&gt;0,IMshareM!BA51/(SUM(IMshareM!BA$2:BA$78)-IMshareM!BA$53),0))</f>
        <v>0</v>
      </c>
      <c r="BB51" s="8">
        <f>IF($A51=BB$1,0,IF(SUM(IMshareM!BB$2:BB$78)-IMshareM!BB$54&gt;0,IMshareM!BB51/(SUM(IMshareM!BB$2:BB$78)-IMshareM!BB$54),0))</f>
        <v>8.2240978161251265E-6</v>
      </c>
      <c r="BC51" s="8">
        <f>IF($A51=BC$1,0,IF(SUM(IMshareM!BC$2:BC$78)-IMshareM!BC$55&gt;0,IMshareM!BC51/(SUM(IMshareM!BC$2:BC$78)-IMshareM!BC$55),0))</f>
        <v>0</v>
      </c>
      <c r="BD51" s="8">
        <f>IF($A51=BD$1,0,IF(SUM(IMshareM!BD$2:BD$78)-IMshareM!BD$56&gt;0,IMshareM!BD51/(SUM(IMshareM!BD$2:BD$78)-IMshareM!BD$56),0))</f>
        <v>0</v>
      </c>
      <c r="BE51" s="8">
        <f>IF($A51=BE$1,0,IF(SUM(IMshareM!BE$2:BE$78)-IMshareM!BE$57&gt;0,IMshareM!BE51/(SUM(IMshareM!BE$2:BE$78)-IMshareM!BE$57),0))</f>
        <v>0</v>
      </c>
      <c r="BF51" s="8">
        <f>IF($A51=BF$1,0,IF(SUM(IMshareM!BF$2:BF$78)-IMshareM!BF$58&gt;0,IMshareM!BF51/(SUM(IMshareM!BF$2:BF$78)-IMshareM!BF$58),0))</f>
        <v>0</v>
      </c>
      <c r="BG51" s="8">
        <f>IF($A51=BG$1,0,IF(SUM(IMshareM!BG$2:BG$78)-IMshareM!BG$59&gt;0,IMshareM!BG51/(SUM(IMshareM!BG$2:BG$78)-IMshareM!BG$59),0))</f>
        <v>0</v>
      </c>
      <c r="BH51" s="8">
        <f>IF($A51=BH$1,0,IF(SUM(IMshareM!BH$2:BH$78)-IMshareM!BH$60&gt;0,IMshareM!BH51/(SUM(IMshareM!BH$2:BH$78)-IMshareM!BH$60),0))</f>
        <v>0</v>
      </c>
      <c r="BI51" s="8">
        <f>IF($A51=BI$1,0,IF(SUM(IMshareM!BI$2:BI$78)-IMshareM!BI$61&gt;0,IMshareM!BI51/(SUM(IMshareM!BI$2:BI$78)-IMshareM!BI$61),0))</f>
        <v>1.5155851516670797E-6</v>
      </c>
      <c r="BJ51" s="8">
        <f>IF($A51=BJ$1,0,IF(SUM(IMshareM!BJ$2:BJ$78)-IMshareM!BJ$62&gt;0,IMshareM!BJ51/(SUM(IMshareM!BJ$2:BJ$78)-IMshareM!BJ$62),0))</f>
        <v>0</v>
      </c>
      <c r="BK51" s="8">
        <f>IF($A51=BK$1,0,IF(SUM(IMshareM!BK$2:BK$78)-IMshareM!BK$63&gt;0,IMshareM!BK51/(SUM(IMshareM!BK$2:BK$78)-IMshareM!BK$63),0))</f>
        <v>0</v>
      </c>
      <c r="BL51" s="8">
        <f>IF($A51=BL$1,0,IF(SUM(IMshareM!BL$2:BL$78)-IMshareM!BL$64&gt;0,IMshareM!BL51/(SUM(IMshareM!BL$2:BL$78)-IMshareM!BL$64),0))</f>
        <v>0</v>
      </c>
      <c r="BM51" s="8">
        <f>IF($A51=BM$1,0,IF(SUM(IMshareM!BM$2:BM$78)-IMshareM!BM$65&gt;0,IMshareM!BM51/(SUM(IMshareM!BM$2:BM$78)-IMshareM!BM$65),0))</f>
        <v>0</v>
      </c>
      <c r="BN51" s="8">
        <f>IF($A51=BN$1,0,IF(SUM(IMshareM!BN$2:BN$78)-IMshareM!BN$66&gt;0,IMshareM!BN51/(SUM(IMshareM!BN$2:BN$78)-IMshareM!BN$66),0))</f>
        <v>7.4411615569321721E-7</v>
      </c>
      <c r="BO51" s="8">
        <f>IF($A51=BO$1,0,IF(SUM(IMshareM!BO$2:BO$78)-IMshareM!BO$67&gt;0,IMshareM!BO51/(SUM(IMshareM!BO$2:BO$78)-IMshareM!BO$67),0))</f>
        <v>0</v>
      </c>
      <c r="BP51" s="8">
        <f>IF($A51=BP$1,0,IF(SUM(IMshareM!BP$2:BP$78)-IMshareM!BP$68&gt;0,IMshareM!BP51/(SUM(IMshareM!BP$2:BP$78)-IMshareM!BP$68),0))</f>
        <v>0</v>
      </c>
      <c r="BQ51" s="8">
        <f>IF($A51=BQ$1,0,IF(SUM(IMshareM!BQ$2:BQ$78)-IMshareM!BQ$69&gt;0,IMshareM!BQ51/(SUM(IMshareM!BQ$2:BQ$78)-IMshareM!BQ$69),0))</f>
        <v>0</v>
      </c>
      <c r="BR51" s="8">
        <f>IF($A51=BR$1,0,IF(SUM(IMshareM!BR$2:BR$78)-IMshareM!BR$70&gt;0,IMshareM!BR51/(SUM(IMshareM!BR$2:BR$78)-IMshareM!BR$70),0))</f>
        <v>4.260931207422534E-7</v>
      </c>
      <c r="BS51" s="8">
        <f>IF($A51=BS$1,0,IF(SUM(IMshareM!BS$2:BS$78)-IMshareM!BS$71&gt;0,IMshareM!BS51/(SUM(IMshareM!BS$2:BS$78)-IMshareM!BS$71),0))</f>
        <v>0</v>
      </c>
      <c r="BT51" s="8">
        <f>IF($A51=BT$1,0,IF(SUM(IMshareM!BT$2:BT$78)-IMshareM!BT$72&gt;0,IMshareM!BT51/(SUM(IMshareM!BT$2:BT$78)-IMshareM!BT$72),0))</f>
        <v>0</v>
      </c>
      <c r="BU51" s="8">
        <f>IF($A51=BU$1,0,IF(SUM(IMshareM!BU$2:BU$78)-IMshareM!BU$73&gt;0,IMshareM!BU51/(SUM(IMshareM!BU$2:BU$78)-IMshareM!BU$73),0))</f>
        <v>4.7847139372152931E-6</v>
      </c>
      <c r="BV51" s="8">
        <f>IF($A51=BV$1,0,IF(SUM(IMshareM!BV$2:BV$78)-IMshareM!BV$74&gt;0,IMshareM!BV51/(SUM(IMshareM!BV$2:BV$78)-IMshareM!BV$74),0))</f>
        <v>0</v>
      </c>
      <c r="BW51" s="8">
        <f>IF($A51=BW$1,0,IF(SUM(IMshareM!BW$2:BW$78)-IMshareM!BW$75&gt;0,IMshareM!BW51/(SUM(IMshareM!BW$2:BW$78)-IMshareM!BW$75),0))</f>
        <v>1.6153300665011716E-6</v>
      </c>
      <c r="BX51" s="8">
        <f>IF($A51=BX$1,0,IF(SUM(IMshareM!BX$2:BX$78)-IMshareM!BX$76&gt;0,IMshareM!BX51/(SUM(IMshareM!BX$2:BX$78)-IMshareM!BX$76),0))</f>
        <v>0</v>
      </c>
      <c r="BY51" s="8">
        <f>IF($A51=BY$1,0,IF(SUM(IMshareM!BY$2:BY$78)-IMshareM!BY$77&gt;0,IMshareM!BY51/(SUM(IMshareM!BY$2:BY$78)-IMshareM!BY$77),0))</f>
        <v>2.4481887272955654E-6</v>
      </c>
      <c r="BZ51" s="8">
        <f>IF($A51=BZ$1,0,IF(SUM(IMshareM!BZ$2:BZ$78)-IMshareM!BZ$78&gt;0,IMshareM!BZ51/(SUM(IMshareM!BZ$2:BZ$78)-IMshareM!BZ$78),0))</f>
        <v>2.8384797560938659E-6</v>
      </c>
    </row>
    <row r="52" spans="1:78">
      <c r="A52" s="4" t="s">
        <v>171</v>
      </c>
      <c r="B52" s="8">
        <f>IF($A52=B$1,0,IF(SUM(IMshareM!B$2:B$78)-IMshareM!B$2&gt;0,IMshareM!B52/(SUM(IMshareM!B$2:B$78)-IMshareM!B$2),0))</f>
        <v>7.6268749929655181E-5</v>
      </c>
      <c r="C52" s="8">
        <f>IF($A52=C$1,0,IF(SUM(IMshareM!C$2:C$78)-IMshareM!C$3&gt;0,IMshareM!C52/(SUM(IMshareM!C$2:C$78)-IMshareM!C$3),0))</f>
        <v>1.288856931157755E-3</v>
      </c>
      <c r="D52" s="8">
        <f>IF($A52=D$1,0,IF(SUM(IMshareM!D$2:D$78)-IMshareM!D$4&gt;0,IMshareM!D52/(SUM(IMshareM!D$2:D$78)-IMshareM!D$4),0))</f>
        <v>4.2826162561481525E-4</v>
      </c>
      <c r="E52" s="8">
        <f>IF($A52=E$1,0,IF(SUM(IMshareM!E$2:E$78)-IMshareM!E$5&gt;0,IMshareM!E52/(SUM(IMshareM!E$2:E$78)-IMshareM!E$5),0))</f>
        <v>1.1405084325458092E-4</v>
      </c>
      <c r="F52" s="8">
        <f>IF($A52=F$1,0,IF(SUM(IMshareM!F$2:F$78)-IMshareM!F$6&gt;0,IMshareM!F52/(SUM(IMshareM!F$2:F$78)-IMshareM!F$6),0))</f>
        <v>2.2984822095587274E-4</v>
      </c>
      <c r="G52" s="8">
        <f>IF($A52=G$1,0,IF(SUM(IMshareM!G$2:G$78)-IMshareM!G$7&gt;0,IMshareM!G52/(SUM(IMshareM!G$2:G$78)-IMshareM!G$7),0))</f>
        <v>5.9634666257377372E-4</v>
      </c>
      <c r="H52" s="8">
        <f>IF($A52=H$1,0,IF(SUM(IMshareM!H$2:H$78)-IMshareM!H$8&gt;0,IMshareM!H52/(SUM(IMshareM!H$2:H$78)-IMshareM!H$8),0))</f>
        <v>0</v>
      </c>
      <c r="I52" s="8">
        <f>IF($A52=I$1,0,IF(SUM(IMshareM!I$2:I$78)-IMshareM!I$9&gt;0,IMshareM!I52/(SUM(IMshareM!I$2:I$78)-IMshareM!I$9),0))</f>
        <v>1.794815040822577E-3</v>
      </c>
      <c r="J52" s="8">
        <f>IF($A52=J$1,0,IF(SUM(IMshareM!J$2:J$78)-IMshareM!J$10&gt;0,IMshareM!J52/(SUM(IMshareM!J$2:J$78)-IMshareM!J$10),0))</f>
        <v>0.3686353730698676</v>
      </c>
      <c r="K52" s="8">
        <f>IF($A52=K$1,0,IF(SUM(IMshareM!K$2:K$78)-IMshareM!K$11&gt;0,IMshareM!K52/(SUM(IMshareM!K$2:K$78)-IMshareM!K$11),0))</f>
        <v>3.6708602123441758E-3</v>
      </c>
      <c r="L52" s="8">
        <f>IF($A52=L$1,0,IF(SUM(IMshareM!L$2:L$78)-IMshareM!L$12&gt;0,IMshareM!L52/(SUM(IMshareM!L$2:L$78)-IMshareM!L$12),0))</f>
        <v>8.4791765520461605E-4</v>
      </c>
      <c r="M52" s="8">
        <f>IF($A52=M$1,0,IF(SUM(IMshareM!M$2:M$78)-IMshareM!M$13&gt;0,IMshareM!M52/(SUM(IMshareM!M$2:M$78)-IMshareM!M$13),0))</f>
        <v>1.8239221774395085E-5</v>
      </c>
      <c r="N52" s="8">
        <f>IF($A52=N$1,0,IF(SUM(IMshareM!N$2:N$78)-IMshareM!N$14&gt;0,IMshareM!N52/(SUM(IMshareM!N$2:N$78)-IMshareM!N$14),0))</f>
        <v>2.6782558438879218E-3</v>
      </c>
      <c r="O52" s="8">
        <f>IF($A52=O$1,0,IF(SUM(IMshareM!O$2:O$78)-IMshareM!O$15&gt;0,IMshareM!O52/(SUM(IMshareM!O$2:O$78)-IMshareM!O$15),0))</f>
        <v>1.6311519569420101E-2</v>
      </c>
      <c r="P52" s="8">
        <f>IF($A52=P$1,0,IF(SUM(IMshareM!P$2:P$78)-IMshareM!P$16&gt;0,IMshareM!P52/(SUM(IMshareM!P$2:P$78)-IMshareM!P$16),0))</f>
        <v>9.6429245178867478E-4</v>
      </c>
      <c r="Q52" s="8">
        <f>IF($A52=Q$1,0,IF(SUM(IMshareM!Q$2:Q$78)-IMshareM!Q$17&gt;0,IMshareM!Q52/(SUM(IMshareM!Q$2:Q$78)-IMshareM!Q$17),0))</f>
        <v>3.586063876891723E-4</v>
      </c>
      <c r="R52" s="8">
        <f>IF($A52=R$1,0,IF(SUM(IMshareM!R$2:R$78)-IMshareM!R$18&gt;0,IMshareM!R52/(SUM(IMshareM!R$2:R$78)-IMshareM!R$18),0))</f>
        <v>2.7774517774482925E-4</v>
      </c>
      <c r="S52" s="8">
        <f>IF($A52=S$1,0,IF(SUM(IMshareM!S$2:S$78)-IMshareM!S$19&gt;0,IMshareM!S52/(SUM(IMshareM!S$2:S$78)-IMshareM!S$19),0))</f>
        <v>0</v>
      </c>
      <c r="T52" s="8">
        <f>IF($A52=T$1,0,IF(SUM(IMshareM!T$2:T$78)-IMshareM!T$20&gt;0,IMshareM!T52/(SUM(IMshareM!T$2:T$78)-IMshareM!T$20),0))</f>
        <v>2.2943106575060165E-4</v>
      </c>
      <c r="U52" s="8">
        <f>IF($A52=U$1,0,IF(SUM(IMshareM!U$2:U$78)-IMshareM!U$21&gt;0,IMshareM!U52/(SUM(IMshareM!U$2:U$78)-IMshareM!U$21),0))</f>
        <v>1.9170722932039545E-3</v>
      </c>
      <c r="V52" s="8">
        <f>IF($A52=V$1,0,IF(SUM(IMshareM!V$2:V$78)-IMshareM!V$22&gt;0,IMshareM!V52/(SUM(IMshareM!V$2:V$78)-IMshareM!V$22),0))</f>
        <v>6.6310390787847632E-5</v>
      </c>
      <c r="W52" s="8">
        <f>IF($A52=W$1,0,IF(SUM(IMshareM!W$2:W$78)-IMshareM!W$23&gt;0,IMshareM!W52/(SUM(IMshareM!W$2:W$78)-IMshareM!W$23),0))</f>
        <v>2.1844554725795788E-5</v>
      </c>
      <c r="X52" s="8">
        <f>IF($A52=X$1,0,IF(SUM(IMshareM!X$2:X$78)-IMshareM!X$24&gt;0,IMshareM!X52/(SUM(IMshareM!X$2:X$78)-IMshareM!X$24),0))</f>
        <v>8.9444743792106447E-4</v>
      </c>
      <c r="Y52" s="8">
        <f>IF($A52=Y$1,0,IF(SUM(IMshareM!Y$2:Y$78)-IMshareM!Y$25&gt;0,IMshareM!Y52/(SUM(IMshareM!Y$2:Y$78)-IMshareM!Y$25),0))</f>
        <v>3.4468587485009033E-4</v>
      </c>
      <c r="Z52" s="8">
        <f>IF($A52=Z$1,0,IF(SUM(IMshareM!Z$2:Z$78)-IMshareM!Z$26&gt;0,IMshareM!Z52/(SUM(IMshareM!Z$2:Z$78)-IMshareM!Z$26),0))</f>
        <v>7.2151827993780047E-4</v>
      </c>
      <c r="AA52" s="8">
        <f>IF($A52=AA$1,0,IF(SUM(IMshareM!AA$2:AA$78)-IMshareM!AA$27&gt;0,IMshareM!AA52/(SUM(IMshareM!AA$2:AA$78)-IMshareM!AA$27),0))</f>
        <v>2.9813244834887057E-3</v>
      </c>
      <c r="AB52" s="8">
        <f>IF($A52=AB$1,0,IF(SUM(IMshareM!AB$2:AB$78)-IMshareM!AB$28&gt;0,IMshareM!AB52/(SUM(IMshareM!AB$2:AB$78)-IMshareM!AB$28),0))</f>
        <v>1.1940628099800952E-3</v>
      </c>
      <c r="AC52" s="8">
        <f>IF($A52=AC$1,0,IF(SUM(IMshareM!AC$2:AC$78)-IMshareM!AC$29&gt;0,IMshareM!AC52/(SUM(IMshareM!AC$2:AC$78)-IMshareM!AC$29),0))</f>
        <v>6.6771107625869915E-5</v>
      </c>
      <c r="AD52" s="8">
        <f>IF($A52=AD$1,0,IF(SUM(IMshareM!AD$2:AD$78)-IMshareM!AD$30&gt;0,IMshareM!AD52/(SUM(IMshareM!AD$2:AD$78)-IMshareM!AD$30),0))</f>
        <v>4.3809342794357631E-3</v>
      </c>
      <c r="AE52" s="8">
        <f>IF($A52=AE$1,0,IF(SUM(IMshareM!AE$2:AE$78)-IMshareM!AE$31&gt;0,IMshareM!AE52/(SUM(IMshareM!AE$2:AE$78)-IMshareM!AE$31),0))</f>
        <v>2.4602149944959789E-5</v>
      </c>
      <c r="AF52" s="8">
        <f>IF($A52=AF$1,0,IF(SUM(IMshareM!AF$2:AF$78)-IMshareM!AF$32&gt;0,IMshareM!AF52/(SUM(IMshareM!AF$2:AF$78)-IMshareM!AF$32),0))</f>
        <v>5.7929776294290284E-5</v>
      </c>
      <c r="AG52" s="8">
        <f>IF($A52=AG$1,0,IF(SUM(IMshareM!AG$2:AG$78)-IMshareM!AG$33&gt;0,IMshareM!AG52/(SUM(IMshareM!AG$2:AG$78)-IMshareM!AG$33),0))</f>
        <v>1.4099526368908223E-2</v>
      </c>
      <c r="AH52" s="8">
        <f>IF($A52=AH$1,0,IF(SUM(IMshareM!AH$2:AH$78)-IMshareM!AH$34&gt;0,IMshareM!AH52/(SUM(IMshareM!AH$2:AH$78)-IMshareM!AH$34),0))</f>
        <v>1.9663543803093413E-3</v>
      </c>
      <c r="AI52" s="8">
        <f>IF($A52=AI$1,0,IF(SUM(IMshareM!AI$2:AI$78)-IMshareM!AI$35&gt;0,IMshareM!AI52/(SUM(IMshareM!AI$2:AI$78)-IMshareM!AI$35),0))</f>
        <v>4.3176995035022764E-4</v>
      </c>
      <c r="AJ52" s="8">
        <f>IF($A52=AJ$1,0,IF(SUM(IMshareM!AJ$2:AJ$78)-IMshareM!AJ$36&gt;0,IMshareM!AJ52/(SUM(IMshareM!AJ$2:AJ$78)-IMshareM!AJ$36),0))</f>
        <v>2.6599355969269005E-4</v>
      </c>
      <c r="AK52" s="8">
        <f>IF($A52=AK$1,0,IF(SUM(IMshareM!AK$2:AK$78)-IMshareM!AK$37&gt;0,IMshareM!AK52/(SUM(IMshareM!AK$2:AK$78)-IMshareM!AK$37),0))</f>
        <v>4.214288830337496E-6</v>
      </c>
      <c r="AL52" s="8">
        <f>IF($A52=AL$1,0,IF(SUM(IMshareM!AL$2:AL$78)-IMshareM!AL$38&gt;0,IMshareM!AL52/(SUM(IMshareM!AL$2:AL$78)-IMshareM!AL$38),0))</f>
        <v>2.4601166170573255E-4</v>
      </c>
      <c r="AM52" s="8">
        <f>IF($A52=AM$1,0,IF(SUM(IMshareM!AM$2:AM$78)-IMshareM!AM$39&gt;0,IMshareM!AM52/(SUM(IMshareM!AM$2:AM$78)-IMshareM!AM$39),0))</f>
        <v>4.9955739815703848E-5</v>
      </c>
      <c r="AN52" s="8">
        <f>IF($A52=AN$1,0,IF(SUM(IMshareM!AN$2:AN$78)-IMshareM!AN$40&gt;0,IMshareM!AN52/(SUM(IMshareM!AN$2:AN$78)-IMshareM!AN$40),0))</f>
        <v>1.0874705432564628E-2</v>
      </c>
      <c r="AO52" s="8">
        <f>IF($A52=AO$1,0,IF(SUM(IMshareM!AO$2:AO$78)-IMshareM!AO$41&gt;0,IMshareM!AO52/(SUM(IMshareM!AO$2:AO$78)-IMshareM!AO$41),0))</f>
        <v>0</v>
      </c>
      <c r="AP52" s="8">
        <f>IF($A52=AP$1,0,IF(SUM(IMshareM!AP$2:AP$78)-IMshareM!AP$42&gt;0,IMshareM!AP52/(SUM(IMshareM!AP$2:AP$78)-IMshareM!AP$42),0))</f>
        <v>1.2745809623529945E-2</v>
      </c>
      <c r="AQ52" s="8">
        <f>IF($A52=AQ$1,0,IF(SUM(IMshareM!AQ$2:AQ$78)-IMshareM!AQ$43&gt;0,IMshareM!AQ52/(SUM(IMshareM!AQ$2:AQ$78)-IMshareM!AQ$43),0))</f>
        <v>3.0262750812975152E-4</v>
      </c>
      <c r="AR52" s="8">
        <f>IF($A52=AR$1,0,IF(SUM(IMshareM!AR$2:AR$78)-IMshareM!AR$44&gt;0,IMshareM!AR52/(SUM(IMshareM!AR$2:AR$78)-IMshareM!AR$44),0))</f>
        <v>0</v>
      </c>
      <c r="AS52" s="8">
        <f>IF($A52=AS$1,0,IF(SUM(IMshareM!AS$2:AS$78)-IMshareM!AS$45&gt;0,IMshareM!AS52/(SUM(IMshareM!AS$2:AS$78)-IMshareM!AS$45),0))</f>
        <v>1.5513984115631985E-6</v>
      </c>
      <c r="AT52" s="8">
        <f>IF($A52=AT$1,0,IF(SUM(IMshareM!AT$2:AT$78)-IMshareM!AT$46&gt;0,IMshareM!AT52/(SUM(IMshareM!AT$2:AT$78)-IMshareM!AT$46),0))</f>
        <v>2.6010824986792608E-5</v>
      </c>
      <c r="AU52" s="8">
        <f>IF($A52=AU$1,0,IF(SUM(IMshareM!AU$2:AU$78)-IMshareM!AU$47&gt;0,IMshareM!AU52/(SUM(IMshareM!AU$2:AU$78)-IMshareM!AU$47),0))</f>
        <v>0</v>
      </c>
      <c r="AV52" s="8">
        <f>IF($A52=AV$1,0,IF(SUM(IMshareM!AV$2:AV$78)-IMshareM!AV$48&gt;0,IMshareM!AV52/(SUM(IMshareM!AV$2:AV$78)-IMshareM!AV$48),0))</f>
        <v>8.0276609631388355E-5</v>
      </c>
      <c r="AW52" s="8">
        <f>IF($A52=AW$1,0,IF(SUM(IMshareM!AW$2:AW$78)-IMshareM!AW$49&gt;0,IMshareM!AW52/(SUM(IMshareM!AW$2:AW$78)-IMshareM!AW$49),0))</f>
        <v>8.2064583259034533E-3</v>
      </c>
      <c r="AX52" s="8">
        <f>IF($A52=AX$1,0,IF(SUM(IMshareM!AX$2:AX$78)-IMshareM!AX$50&gt;0,IMshareM!AX52/(SUM(IMshareM!AX$2:AX$78)-IMshareM!AX$50),0))</f>
        <v>1.8471268753375706E-3</v>
      </c>
      <c r="AY52" s="8">
        <f>IF($A52=AY$1,0,IF(SUM(IMshareM!AY$2:AY$78)-IMshareM!AY$51&gt;0,IMshareM!AY52/(SUM(IMshareM!AY$2:AY$78)-IMshareM!AY$51),0))</f>
        <v>1.4980817040735904E-4</v>
      </c>
      <c r="AZ52" s="8">
        <f>IF($A52=AZ$1,0,IF(SUM(IMshareM!AZ$2:AZ$78)-IMshareM!AZ$52&gt;0,IMshareM!AZ52/(SUM(IMshareM!AZ$2:AZ$78)-IMshareM!AZ$52),0))</f>
        <v>0</v>
      </c>
      <c r="BA52" s="8">
        <f>IF($A52=BA$1,0,IF(SUM(IMshareM!BA$2:BA$78)-IMshareM!BA$53&gt;0,IMshareM!BA52/(SUM(IMshareM!BA$2:BA$78)-IMshareM!BA$53),0))</f>
        <v>9.1301311960056934E-5</v>
      </c>
      <c r="BB52" s="8">
        <f>IF($A52=BB$1,0,IF(SUM(IMshareM!BB$2:BB$78)-IMshareM!BB$54&gt;0,IMshareM!BB52/(SUM(IMshareM!BB$2:BB$78)-IMshareM!BB$54),0))</f>
        <v>5.2038025341407338E-3</v>
      </c>
      <c r="BC52" s="8">
        <f>IF($A52=BC$1,0,IF(SUM(IMshareM!BC$2:BC$78)-IMshareM!BC$55&gt;0,IMshareM!BC52/(SUM(IMshareM!BC$2:BC$78)-IMshareM!BC$55),0))</f>
        <v>2.9619375214530647E-4</v>
      </c>
      <c r="BD52" s="8">
        <f>IF($A52=BD$1,0,IF(SUM(IMshareM!BD$2:BD$78)-IMshareM!BD$56&gt;0,IMshareM!BD52/(SUM(IMshareM!BD$2:BD$78)-IMshareM!BD$56),0))</f>
        <v>2.7117599999289836E-3</v>
      </c>
      <c r="BE52" s="8">
        <f>IF($A52=BE$1,0,IF(SUM(IMshareM!BE$2:BE$78)-IMshareM!BE$57&gt;0,IMshareM!BE52/(SUM(IMshareM!BE$2:BE$78)-IMshareM!BE$57),0))</f>
        <v>2.1019208716051879E-3</v>
      </c>
      <c r="BF52" s="8">
        <f>IF($A52=BF$1,0,IF(SUM(IMshareM!BF$2:BF$78)-IMshareM!BF$58&gt;0,IMshareM!BF52/(SUM(IMshareM!BF$2:BF$78)-IMshareM!BF$58),0))</f>
        <v>9.9491245022139243E-4</v>
      </c>
      <c r="BG52" s="8">
        <f>IF($A52=BG$1,0,IF(SUM(IMshareM!BG$2:BG$78)-IMshareM!BG$59&gt;0,IMshareM!BG52/(SUM(IMshareM!BG$2:BG$78)-IMshareM!BG$59),0))</f>
        <v>1.3039313040934085E-2</v>
      </c>
      <c r="BH52" s="8">
        <f>IF($A52=BH$1,0,IF(SUM(IMshareM!BH$2:BH$78)-IMshareM!BH$60&gt;0,IMshareM!BH52/(SUM(IMshareM!BH$2:BH$78)-IMshareM!BH$60),0))</f>
        <v>5.2301546386854963E-4</v>
      </c>
      <c r="BI52" s="8">
        <f>IF($A52=BI$1,0,IF(SUM(IMshareM!BI$2:BI$78)-IMshareM!BI$61&gt;0,IMshareM!BI52/(SUM(IMshareM!BI$2:BI$78)-IMshareM!BI$61),0))</f>
        <v>5.9351004836739565E-5</v>
      </c>
      <c r="BJ52" s="8">
        <f>IF($A52=BJ$1,0,IF(SUM(IMshareM!BJ$2:BJ$78)-IMshareM!BJ$62&gt;0,IMshareM!BJ52/(SUM(IMshareM!BJ$2:BJ$78)-IMshareM!BJ$62),0))</f>
        <v>2.6504404439902604E-3</v>
      </c>
      <c r="BK52" s="8">
        <f>IF($A52=BK$1,0,IF(SUM(IMshareM!BK$2:BK$78)-IMshareM!BK$63&gt;0,IMshareM!BK52/(SUM(IMshareM!BK$2:BK$78)-IMshareM!BK$63),0))</f>
        <v>3.1497406281844775E-4</v>
      </c>
      <c r="BL52" s="8">
        <f>IF($A52=BL$1,0,IF(SUM(IMshareM!BL$2:BL$78)-IMshareM!BL$64&gt;0,IMshareM!BL52/(SUM(IMshareM!BL$2:BL$78)-IMshareM!BL$64),0))</f>
        <v>6.4761403748761568E-4</v>
      </c>
      <c r="BM52" s="8">
        <f>IF($A52=BM$1,0,IF(SUM(IMshareM!BM$2:BM$78)-IMshareM!BM$65&gt;0,IMshareM!BM52/(SUM(IMshareM!BM$2:BM$78)-IMshareM!BM$65),0))</f>
        <v>4.8336389628240398E-4</v>
      </c>
      <c r="BN52" s="8">
        <f>IF($A52=BN$1,0,IF(SUM(IMshareM!BN$2:BN$78)-IMshareM!BN$66&gt;0,IMshareM!BN52/(SUM(IMshareM!BN$2:BN$78)-IMshareM!BN$66),0))</f>
        <v>2.9205126685206528E-2</v>
      </c>
      <c r="BO52" s="8">
        <f>IF($A52=BO$1,0,IF(SUM(IMshareM!BO$2:BO$78)-IMshareM!BO$67&gt;0,IMshareM!BO52/(SUM(IMshareM!BO$2:BO$78)-IMshareM!BO$67),0))</f>
        <v>8.1710119942624628E-5</v>
      </c>
      <c r="BP52" s="8">
        <f>IF($A52=BP$1,0,IF(SUM(IMshareM!BP$2:BP$78)-IMshareM!BP$68&gt;0,IMshareM!BP52/(SUM(IMshareM!BP$2:BP$78)-IMshareM!BP$68),0))</f>
        <v>2.739930046470714E-4</v>
      </c>
      <c r="BQ52" s="8">
        <f>IF($A52=BQ$1,0,IF(SUM(IMshareM!BQ$2:BQ$78)-IMshareM!BQ$69&gt;0,IMshareM!BQ52/(SUM(IMshareM!BQ$2:BQ$78)-IMshareM!BQ$69),0))</f>
        <v>6.0654953372607035E-4</v>
      </c>
      <c r="BR52" s="8">
        <f>IF($A52=BR$1,0,IF(SUM(IMshareM!BR$2:BR$78)-IMshareM!BR$70&gt;0,IMshareM!BR52/(SUM(IMshareM!BR$2:BR$78)-IMshareM!BR$70),0))</f>
        <v>4.7944952564523404E-3</v>
      </c>
      <c r="BS52" s="8">
        <f>IF($A52=BS$1,0,IF(SUM(IMshareM!BS$2:BS$78)-IMshareM!BS$71&gt;0,IMshareM!BS52/(SUM(IMshareM!BS$2:BS$78)-IMshareM!BS$71),0))</f>
        <v>1.3298601632761942E-3</v>
      </c>
      <c r="BT52" s="8">
        <f>IF($A52=BT$1,0,IF(SUM(IMshareM!BT$2:BT$78)-IMshareM!BT$72&gt;0,IMshareM!BT52/(SUM(IMshareM!BT$2:BT$78)-IMshareM!BT$72),0))</f>
        <v>1.765926654242834E-4</v>
      </c>
      <c r="BU52" s="8">
        <f>IF($A52=BU$1,0,IF(SUM(IMshareM!BU$2:BU$78)-IMshareM!BU$73&gt;0,IMshareM!BU52/(SUM(IMshareM!BU$2:BU$78)-IMshareM!BU$73),0))</f>
        <v>1.9676467933635628E-3</v>
      </c>
      <c r="BV52" s="8">
        <f>IF($A52=BV$1,0,IF(SUM(IMshareM!BV$2:BV$78)-IMshareM!BV$74&gt;0,IMshareM!BV52/(SUM(IMshareM!BV$2:BV$78)-IMshareM!BV$74),0))</f>
        <v>3.2764361411083198E-4</v>
      </c>
      <c r="BW52" s="8">
        <f>IF($A52=BW$1,0,IF(SUM(IMshareM!BW$2:BW$78)-IMshareM!BW$75&gt;0,IMshareM!BW52/(SUM(IMshareM!BW$2:BW$78)-IMshareM!BW$75),0))</f>
        <v>2.9008229699086E-3</v>
      </c>
      <c r="BX52" s="8">
        <f>IF($A52=BX$1,0,IF(SUM(IMshareM!BX$2:BX$78)-IMshareM!BX$76&gt;0,IMshareM!BX52/(SUM(IMshareM!BX$2:BX$78)-IMshareM!BX$76),0))</f>
        <v>3.4471858117576491E-3</v>
      </c>
      <c r="BY52" s="8">
        <f>IF($A52=BY$1,0,IF(SUM(IMshareM!BY$2:BY$78)-IMshareM!BY$77&gt;0,IMshareM!BY52/(SUM(IMshareM!BY$2:BY$78)-IMshareM!BY$77),0))</f>
        <v>1.6784044360941523E-4</v>
      </c>
      <c r="BZ52" s="8">
        <f>IF($A52=BZ$1,0,IF(SUM(IMshareM!BZ$2:BZ$78)-IMshareM!BZ$78&gt;0,IMshareM!BZ52/(SUM(IMshareM!BZ$2:BZ$78)-IMshareM!BZ$78),0))</f>
        <v>7.3782113381183601E-4</v>
      </c>
    </row>
    <row r="53" spans="1:78">
      <c r="A53" s="4" t="s">
        <v>173</v>
      </c>
      <c r="B53" s="8">
        <f>IF($A53=B$1,0,IF(SUM(IMshareM!B$2:B$78)-IMshareM!B$2&gt;0,IMshareM!B53/(SUM(IMshareM!B$2:B$78)-IMshareM!B$2),0))</f>
        <v>0</v>
      </c>
      <c r="C53" s="8">
        <f>IF($A53=C$1,0,IF(SUM(IMshareM!C$2:C$78)-IMshareM!C$3&gt;0,IMshareM!C53/(SUM(IMshareM!C$2:C$78)-IMshareM!C$3),0))</f>
        <v>0</v>
      </c>
      <c r="D53" s="8">
        <f>IF($A53=D$1,0,IF(SUM(IMshareM!D$2:D$78)-IMshareM!D$4&gt;0,IMshareM!D53/(SUM(IMshareM!D$2:D$78)-IMshareM!D$4),0))</f>
        <v>5.0345631680021102E-6</v>
      </c>
      <c r="E53" s="8">
        <f>IF($A53=E$1,0,IF(SUM(IMshareM!E$2:E$78)-IMshareM!E$5&gt;0,IMshareM!E53/(SUM(IMshareM!E$2:E$78)-IMshareM!E$5),0))</f>
        <v>4.3585956693160056E-7</v>
      </c>
      <c r="F53" s="8">
        <f>IF($A53=F$1,0,IF(SUM(IMshareM!F$2:F$78)-IMshareM!F$6&gt;0,IMshareM!F53/(SUM(IMshareM!F$2:F$78)-IMshareM!F$6),0))</f>
        <v>0</v>
      </c>
      <c r="G53" s="8">
        <f>IF($A53=G$1,0,IF(SUM(IMshareM!G$2:G$78)-IMshareM!G$7&gt;0,IMshareM!G53/(SUM(IMshareM!G$2:G$78)-IMshareM!G$7),0))</f>
        <v>0</v>
      </c>
      <c r="H53" s="8">
        <f>IF($A53=H$1,0,IF(SUM(IMshareM!H$2:H$78)-IMshareM!H$8&gt;0,IMshareM!H53/(SUM(IMshareM!H$2:H$78)-IMshareM!H$8),0))</f>
        <v>0</v>
      </c>
      <c r="I53" s="8">
        <f>IF($A53=I$1,0,IF(SUM(IMshareM!I$2:I$78)-IMshareM!I$9&gt;0,IMshareM!I53/(SUM(IMshareM!I$2:I$78)-IMshareM!I$9),0))</f>
        <v>0</v>
      </c>
      <c r="J53" s="8">
        <f>IF($A53=J$1,0,IF(SUM(IMshareM!J$2:J$78)-IMshareM!J$10&gt;0,IMshareM!J53/(SUM(IMshareM!J$2:J$78)-IMshareM!J$10),0))</f>
        <v>0</v>
      </c>
      <c r="K53" s="8">
        <f>IF($A53=K$1,0,IF(SUM(IMshareM!K$2:K$78)-IMshareM!K$11&gt;0,IMshareM!K53/(SUM(IMshareM!K$2:K$78)-IMshareM!K$11),0))</f>
        <v>0</v>
      </c>
      <c r="L53" s="8">
        <f>IF($A53=L$1,0,IF(SUM(IMshareM!L$2:L$78)-IMshareM!L$12&gt;0,IMshareM!L53/(SUM(IMshareM!L$2:L$78)-IMshareM!L$12),0))</f>
        <v>5.8626545716635591E-6</v>
      </c>
      <c r="M53" s="8">
        <f>IF($A53=M$1,0,IF(SUM(IMshareM!M$2:M$78)-IMshareM!M$13&gt;0,IMshareM!M53/(SUM(IMshareM!M$2:M$78)-IMshareM!M$13),0))</f>
        <v>0</v>
      </c>
      <c r="N53" s="8">
        <f>IF($A53=N$1,0,IF(SUM(IMshareM!N$2:N$78)-IMshareM!N$14&gt;0,IMshareM!N53/(SUM(IMshareM!N$2:N$78)-IMshareM!N$14),0))</f>
        <v>0</v>
      </c>
      <c r="O53" s="8">
        <f>IF($A53=O$1,0,IF(SUM(IMshareM!O$2:O$78)-IMshareM!O$15&gt;0,IMshareM!O53/(SUM(IMshareM!O$2:O$78)-IMshareM!O$15),0))</f>
        <v>0</v>
      </c>
      <c r="P53" s="8">
        <f>IF($A53=P$1,0,IF(SUM(IMshareM!P$2:P$78)-IMshareM!P$16&gt;0,IMshareM!P53/(SUM(IMshareM!P$2:P$78)-IMshareM!P$16),0))</f>
        <v>0</v>
      </c>
      <c r="Q53" s="8">
        <f>IF($A53=Q$1,0,IF(SUM(IMshareM!Q$2:Q$78)-IMshareM!Q$17&gt;0,IMshareM!Q53/(SUM(IMshareM!Q$2:Q$78)-IMshareM!Q$17),0))</f>
        <v>0</v>
      </c>
      <c r="R53" s="8">
        <f>IF($A53=R$1,0,IF(SUM(IMshareM!R$2:R$78)-IMshareM!R$18&gt;0,IMshareM!R53/(SUM(IMshareM!R$2:R$78)-IMshareM!R$18),0))</f>
        <v>0</v>
      </c>
      <c r="S53" s="8">
        <f>IF($A53=S$1,0,IF(SUM(IMshareM!S$2:S$78)-IMshareM!S$19&gt;0,IMshareM!S53/(SUM(IMshareM!S$2:S$78)-IMshareM!S$19),0))</f>
        <v>0</v>
      </c>
      <c r="T53" s="8">
        <f>IF($A53=T$1,0,IF(SUM(IMshareM!T$2:T$78)-IMshareM!T$20&gt;0,IMshareM!T53/(SUM(IMshareM!T$2:T$78)-IMshareM!T$20),0))</f>
        <v>0</v>
      </c>
      <c r="U53" s="8">
        <f>IF($A53=U$1,0,IF(SUM(IMshareM!U$2:U$78)-IMshareM!U$21&gt;0,IMshareM!U53/(SUM(IMshareM!U$2:U$78)-IMshareM!U$21),0))</f>
        <v>4.1328795727412158E-7</v>
      </c>
      <c r="V53" s="8">
        <f>IF($A53=V$1,0,IF(SUM(IMshareM!V$2:V$78)-IMshareM!V$22&gt;0,IMshareM!V53/(SUM(IMshareM!V$2:V$78)-IMshareM!V$22),0))</f>
        <v>3.9884623161108361E-6</v>
      </c>
      <c r="W53" s="8">
        <f>IF($A53=W$1,0,IF(SUM(IMshareM!W$2:W$78)-IMshareM!W$23&gt;0,IMshareM!W53/(SUM(IMshareM!W$2:W$78)-IMshareM!W$23),0))</f>
        <v>0</v>
      </c>
      <c r="X53" s="8">
        <f>IF($A53=X$1,0,IF(SUM(IMshareM!X$2:X$78)-IMshareM!X$24&gt;0,IMshareM!X53/(SUM(IMshareM!X$2:X$78)-IMshareM!X$24),0))</f>
        <v>0</v>
      </c>
      <c r="Y53" s="8">
        <f>IF($A53=Y$1,0,IF(SUM(IMshareM!Y$2:Y$78)-IMshareM!Y$25&gt;0,IMshareM!Y53/(SUM(IMshareM!Y$2:Y$78)-IMshareM!Y$25),0))</f>
        <v>0</v>
      </c>
      <c r="Z53" s="8">
        <f>IF($A53=Z$1,0,IF(SUM(IMshareM!Z$2:Z$78)-IMshareM!Z$26&gt;0,IMshareM!Z53/(SUM(IMshareM!Z$2:Z$78)-IMshareM!Z$26),0))</f>
        <v>0</v>
      </c>
      <c r="AA53" s="8">
        <f>IF($A53=AA$1,0,IF(SUM(IMshareM!AA$2:AA$78)-IMshareM!AA$27&gt;0,IMshareM!AA53/(SUM(IMshareM!AA$2:AA$78)-IMshareM!AA$27),0))</f>
        <v>2.4629325180593897E-4</v>
      </c>
      <c r="AB53" s="8">
        <f>IF($A53=AB$1,0,IF(SUM(IMshareM!AB$2:AB$78)-IMshareM!AB$28&gt;0,IMshareM!AB53/(SUM(IMshareM!AB$2:AB$78)-IMshareM!AB$28),0))</f>
        <v>5.3053044983977157E-5</v>
      </c>
      <c r="AC53" s="8">
        <f>IF($A53=AC$1,0,IF(SUM(IMshareM!AC$2:AC$78)-IMshareM!AC$29&gt;0,IMshareM!AC53/(SUM(IMshareM!AC$2:AC$78)-IMshareM!AC$29),0))</f>
        <v>0</v>
      </c>
      <c r="AD53" s="8">
        <f>IF($A53=AD$1,0,IF(SUM(IMshareM!AD$2:AD$78)-IMshareM!AD$30&gt;0,IMshareM!AD53/(SUM(IMshareM!AD$2:AD$78)-IMshareM!AD$30),0))</f>
        <v>0</v>
      </c>
      <c r="AE53" s="8">
        <f>IF($A53=AE$1,0,IF(SUM(IMshareM!AE$2:AE$78)-IMshareM!AE$31&gt;0,IMshareM!AE53/(SUM(IMshareM!AE$2:AE$78)-IMshareM!AE$31),0))</f>
        <v>0</v>
      </c>
      <c r="AF53" s="8">
        <f>IF($A53=AF$1,0,IF(SUM(IMshareM!AF$2:AF$78)-IMshareM!AF$32&gt;0,IMshareM!AF53/(SUM(IMshareM!AF$2:AF$78)-IMshareM!AF$32),0))</f>
        <v>6.7240018145627889E-7</v>
      </c>
      <c r="AG53" s="8">
        <f>IF($A53=AG$1,0,IF(SUM(IMshareM!AG$2:AG$78)-IMshareM!AG$33&gt;0,IMshareM!AG53/(SUM(IMshareM!AG$2:AG$78)-IMshareM!AG$33),0))</f>
        <v>0</v>
      </c>
      <c r="AH53" s="8">
        <f>IF($A53=AH$1,0,IF(SUM(IMshareM!AH$2:AH$78)-IMshareM!AH$34&gt;0,IMshareM!AH53/(SUM(IMshareM!AH$2:AH$78)-IMshareM!AH$34),0))</f>
        <v>5.4583418765295858E-10</v>
      </c>
      <c r="AI53" s="8">
        <f>IF($A53=AI$1,0,IF(SUM(IMshareM!AI$2:AI$78)-IMshareM!AI$35&gt;0,IMshareM!AI53/(SUM(IMshareM!AI$2:AI$78)-IMshareM!AI$35),0))</f>
        <v>0</v>
      </c>
      <c r="AJ53" s="8">
        <f>IF($A53=AJ$1,0,IF(SUM(IMshareM!AJ$2:AJ$78)-IMshareM!AJ$36&gt;0,IMshareM!AJ53/(SUM(IMshareM!AJ$2:AJ$78)-IMshareM!AJ$36),0))</f>
        <v>0</v>
      </c>
      <c r="AK53" s="8">
        <f>IF($A53=AK$1,0,IF(SUM(IMshareM!AK$2:AK$78)-IMshareM!AK$37&gt;0,IMshareM!AK53/(SUM(IMshareM!AK$2:AK$78)-IMshareM!AK$37),0))</f>
        <v>8.428577660674992E-6</v>
      </c>
      <c r="AL53" s="8">
        <f>IF($A53=AL$1,0,IF(SUM(IMshareM!AL$2:AL$78)-IMshareM!AL$38&gt;0,IMshareM!AL53/(SUM(IMshareM!AL$2:AL$78)-IMshareM!AL$38),0))</f>
        <v>3.5585977639104599E-5</v>
      </c>
      <c r="AM53" s="8">
        <f>IF($A53=AM$1,0,IF(SUM(IMshareM!AM$2:AM$78)-IMshareM!AM$39&gt;0,IMshareM!AM53/(SUM(IMshareM!AM$2:AM$78)-IMshareM!AM$39),0))</f>
        <v>0</v>
      </c>
      <c r="AN53" s="8">
        <f>IF($A53=AN$1,0,IF(SUM(IMshareM!AN$2:AN$78)-IMshareM!AN$40&gt;0,IMshareM!AN53/(SUM(IMshareM!AN$2:AN$78)-IMshareM!AN$40),0))</f>
        <v>0</v>
      </c>
      <c r="AO53" s="8">
        <f>IF($A53=AO$1,0,IF(SUM(IMshareM!AO$2:AO$78)-IMshareM!AO$41&gt;0,IMshareM!AO53/(SUM(IMshareM!AO$2:AO$78)-IMshareM!AO$41),0))</f>
        <v>0</v>
      </c>
      <c r="AP53" s="8">
        <f>IF($A53=AP$1,0,IF(SUM(IMshareM!AP$2:AP$78)-IMshareM!AP$42&gt;0,IMshareM!AP53/(SUM(IMshareM!AP$2:AP$78)-IMshareM!AP$42),0))</f>
        <v>0</v>
      </c>
      <c r="AQ53" s="8">
        <f>IF($A53=AQ$1,0,IF(SUM(IMshareM!AQ$2:AQ$78)-IMshareM!AQ$43&gt;0,IMshareM!AQ53/(SUM(IMshareM!AQ$2:AQ$78)-IMshareM!AQ$43),0))</f>
        <v>0</v>
      </c>
      <c r="AR53" s="8">
        <f>IF($A53=AR$1,0,IF(SUM(IMshareM!AR$2:AR$78)-IMshareM!AR$44&gt;0,IMshareM!AR53/(SUM(IMshareM!AR$2:AR$78)-IMshareM!AR$44),0))</f>
        <v>0</v>
      </c>
      <c r="AS53" s="8">
        <f>IF($A53=AS$1,0,IF(SUM(IMshareM!AS$2:AS$78)-IMshareM!AS$45&gt;0,IMshareM!AS53/(SUM(IMshareM!AS$2:AS$78)-IMshareM!AS$45),0))</f>
        <v>0</v>
      </c>
      <c r="AT53" s="8">
        <f>IF($A53=AT$1,0,IF(SUM(IMshareM!AT$2:AT$78)-IMshareM!AT$46&gt;0,IMshareM!AT53/(SUM(IMshareM!AT$2:AT$78)-IMshareM!AT$46),0))</f>
        <v>0</v>
      </c>
      <c r="AU53" s="8">
        <f>IF($A53=AU$1,0,IF(SUM(IMshareM!AU$2:AU$78)-IMshareM!AU$47&gt;0,IMshareM!AU53/(SUM(IMshareM!AU$2:AU$78)-IMshareM!AU$47),0))</f>
        <v>8.1012546481285657E-7</v>
      </c>
      <c r="AV53" s="8">
        <f>IF($A53=AV$1,0,IF(SUM(IMshareM!AV$2:AV$78)-IMshareM!AV$48&gt;0,IMshareM!AV53/(SUM(IMshareM!AV$2:AV$78)-IMshareM!AV$48),0))</f>
        <v>0</v>
      </c>
      <c r="AW53" s="8">
        <f>IF($A53=AW$1,0,IF(SUM(IMshareM!AW$2:AW$78)-IMshareM!AW$49&gt;0,IMshareM!AW53/(SUM(IMshareM!AW$2:AW$78)-IMshareM!AW$49),0))</f>
        <v>0</v>
      </c>
      <c r="AX53" s="8">
        <f>IF($A53=AX$1,0,IF(SUM(IMshareM!AX$2:AX$78)-IMshareM!AX$50&gt;0,IMshareM!AX53/(SUM(IMshareM!AX$2:AX$78)-IMshareM!AX$50),0))</f>
        <v>0</v>
      </c>
      <c r="AY53" s="8">
        <f>IF($A53=AY$1,0,IF(SUM(IMshareM!AY$2:AY$78)-IMshareM!AY$51&gt;0,IMshareM!AY53/(SUM(IMshareM!AY$2:AY$78)-IMshareM!AY$51),0))</f>
        <v>0</v>
      </c>
      <c r="AZ53" s="8">
        <f>IF($A53=AZ$1,0,IF(SUM(IMshareM!AZ$2:AZ$78)-IMshareM!AZ$52&gt;0,IMshareM!AZ53/(SUM(IMshareM!AZ$2:AZ$78)-IMshareM!AZ$52),0))</f>
        <v>0</v>
      </c>
      <c r="BA53" s="8">
        <f>IF($A53=BA$1,0,IF(SUM(IMshareM!BA$2:BA$78)-IMshareM!BA$53&gt;0,IMshareM!BA53/(SUM(IMshareM!BA$2:BA$78)-IMshareM!BA$53),0))</f>
        <v>0</v>
      </c>
      <c r="BB53" s="8">
        <f>IF($A53=BB$1,0,IF(SUM(IMshareM!BB$2:BB$78)-IMshareM!BB$54&gt;0,IMshareM!BB53/(SUM(IMshareM!BB$2:BB$78)-IMshareM!BB$54),0))</f>
        <v>9.1409044733061431E-5</v>
      </c>
      <c r="BC53" s="8">
        <f>IF($A53=BC$1,0,IF(SUM(IMshareM!BC$2:BC$78)-IMshareM!BC$55&gt;0,IMshareM!BC53/(SUM(IMshareM!BC$2:BC$78)-IMshareM!BC$55),0))</f>
        <v>0</v>
      </c>
      <c r="BD53" s="8">
        <f>IF($A53=BD$1,0,IF(SUM(IMshareM!BD$2:BD$78)-IMshareM!BD$56&gt;0,IMshareM!BD53/(SUM(IMshareM!BD$2:BD$78)-IMshareM!BD$56),0))</f>
        <v>0</v>
      </c>
      <c r="BE53" s="8">
        <f>IF($A53=BE$1,0,IF(SUM(IMshareM!BE$2:BE$78)-IMshareM!BE$57&gt;0,IMshareM!BE53/(SUM(IMshareM!BE$2:BE$78)-IMshareM!BE$57),0))</f>
        <v>0</v>
      </c>
      <c r="BF53" s="8">
        <f>IF($A53=BF$1,0,IF(SUM(IMshareM!BF$2:BF$78)-IMshareM!BF$58&gt;0,IMshareM!BF53/(SUM(IMshareM!BF$2:BF$78)-IMshareM!BF$58),0))</f>
        <v>0</v>
      </c>
      <c r="BG53" s="8">
        <f>IF($A53=BG$1,0,IF(SUM(IMshareM!BG$2:BG$78)-IMshareM!BG$59&gt;0,IMshareM!BG53/(SUM(IMshareM!BG$2:BG$78)-IMshareM!BG$59),0))</f>
        <v>0</v>
      </c>
      <c r="BH53" s="8">
        <f>IF($A53=BH$1,0,IF(SUM(IMshareM!BH$2:BH$78)-IMshareM!BH$60&gt;0,IMshareM!BH53/(SUM(IMshareM!BH$2:BH$78)-IMshareM!BH$60),0))</f>
        <v>0</v>
      </c>
      <c r="BI53" s="8">
        <f>IF($A53=BI$1,0,IF(SUM(IMshareM!BI$2:BI$78)-IMshareM!BI$61&gt;0,IMshareM!BI53/(SUM(IMshareM!BI$2:BI$78)-IMshareM!BI$61),0))</f>
        <v>0</v>
      </c>
      <c r="BJ53" s="8">
        <f>IF($A53=BJ$1,0,IF(SUM(IMshareM!BJ$2:BJ$78)-IMshareM!BJ$62&gt;0,IMshareM!BJ53/(SUM(IMshareM!BJ$2:BJ$78)-IMshareM!BJ$62),0))</f>
        <v>0</v>
      </c>
      <c r="BK53" s="8">
        <f>IF($A53=BK$1,0,IF(SUM(IMshareM!BK$2:BK$78)-IMshareM!BK$63&gt;0,IMshareM!BK53/(SUM(IMshareM!BK$2:BK$78)-IMshareM!BK$63),0))</f>
        <v>0</v>
      </c>
      <c r="BL53" s="8">
        <f>IF($A53=BL$1,0,IF(SUM(IMshareM!BL$2:BL$78)-IMshareM!BL$64&gt;0,IMshareM!BL53/(SUM(IMshareM!BL$2:BL$78)-IMshareM!BL$64),0))</f>
        <v>0</v>
      </c>
      <c r="BM53" s="8">
        <f>IF($A53=BM$1,0,IF(SUM(IMshareM!BM$2:BM$78)-IMshareM!BM$65&gt;0,IMshareM!BM53/(SUM(IMshareM!BM$2:BM$78)-IMshareM!BM$65),0))</f>
        <v>0</v>
      </c>
      <c r="BN53" s="8">
        <f>IF($A53=BN$1,0,IF(SUM(IMshareM!BN$2:BN$78)-IMshareM!BN$66&gt;0,IMshareM!BN53/(SUM(IMshareM!BN$2:BN$78)-IMshareM!BN$66),0))</f>
        <v>0</v>
      </c>
      <c r="BO53" s="8">
        <f>IF($A53=BO$1,0,IF(SUM(IMshareM!BO$2:BO$78)-IMshareM!BO$67&gt;0,IMshareM!BO53/(SUM(IMshareM!BO$2:BO$78)-IMshareM!BO$67),0))</f>
        <v>0</v>
      </c>
      <c r="BP53" s="8">
        <f>IF($A53=BP$1,0,IF(SUM(IMshareM!BP$2:BP$78)-IMshareM!BP$68&gt;0,IMshareM!BP53/(SUM(IMshareM!BP$2:BP$78)-IMshareM!BP$68),0))</f>
        <v>0</v>
      </c>
      <c r="BQ53" s="8">
        <f>IF($A53=BQ$1,0,IF(SUM(IMshareM!BQ$2:BQ$78)-IMshareM!BQ$69&gt;0,IMshareM!BQ53/(SUM(IMshareM!BQ$2:BQ$78)-IMshareM!BQ$69),0))</f>
        <v>1.5236453731373236E-6</v>
      </c>
      <c r="BR53" s="8">
        <f>IF($A53=BR$1,0,IF(SUM(IMshareM!BR$2:BR$78)-IMshareM!BR$70&gt;0,IMshareM!BR53/(SUM(IMshareM!BR$2:BR$78)-IMshareM!BR$70),0))</f>
        <v>0</v>
      </c>
      <c r="BS53" s="8">
        <f>IF($A53=BS$1,0,IF(SUM(IMshareM!BS$2:BS$78)-IMshareM!BS$71&gt;0,IMshareM!BS53/(SUM(IMshareM!BS$2:BS$78)-IMshareM!BS$71),0))</f>
        <v>0</v>
      </c>
      <c r="BT53" s="8">
        <f>IF($A53=BT$1,0,IF(SUM(IMshareM!BT$2:BT$78)-IMshareM!BT$72&gt;0,IMshareM!BT53/(SUM(IMshareM!BT$2:BT$78)-IMshareM!BT$72),0))</f>
        <v>0</v>
      </c>
      <c r="BU53" s="8">
        <f>IF($A53=BU$1,0,IF(SUM(IMshareM!BU$2:BU$78)-IMshareM!BU$73&gt;0,IMshareM!BU53/(SUM(IMshareM!BU$2:BU$78)-IMshareM!BU$73),0))</f>
        <v>0</v>
      </c>
      <c r="BV53" s="8">
        <f>IF($A53=BV$1,0,IF(SUM(IMshareM!BV$2:BV$78)-IMshareM!BV$74&gt;0,IMshareM!BV53/(SUM(IMshareM!BV$2:BV$78)-IMshareM!BV$74),0))</f>
        <v>0</v>
      </c>
      <c r="BW53" s="8">
        <f>IF($A53=BW$1,0,IF(SUM(IMshareM!BW$2:BW$78)-IMshareM!BW$75&gt;0,IMshareM!BW53/(SUM(IMshareM!BW$2:BW$78)-IMshareM!BW$75),0))</f>
        <v>3.3734504611067881E-6</v>
      </c>
      <c r="BX53" s="8">
        <f>IF($A53=BX$1,0,IF(SUM(IMshareM!BX$2:BX$78)-IMshareM!BX$76&gt;0,IMshareM!BX53/(SUM(IMshareM!BX$2:BX$78)-IMshareM!BX$76),0))</f>
        <v>0</v>
      </c>
      <c r="BY53" s="8">
        <f>IF($A53=BY$1,0,IF(SUM(IMshareM!BY$2:BY$78)-IMshareM!BY$77&gt;0,IMshareM!BY53/(SUM(IMshareM!BY$2:BY$78)-IMshareM!BY$77),0))</f>
        <v>3.1400201174388118E-6</v>
      </c>
      <c r="BZ53" s="8">
        <f>IF($A53=BZ$1,0,IF(SUM(IMshareM!BZ$2:BZ$78)-IMshareM!BZ$78&gt;0,IMshareM!BZ53/(SUM(IMshareM!BZ$2:BZ$78)-IMshareM!BZ$78),0))</f>
        <v>3.6187156367791448E-5</v>
      </c>
    </row>
    <row r="54" spans="1:78">
      <c r="A54" s="4" t="s">
        <v>175</v>
      </c>
      <c r="B54" s="8">
        <f>IF($A54=B$1,0,IF(SUM(IMshareM!B$2:B$78)-IMshareM!B$2&gt;0,IMshareM!B54/(SUM(IMshareM!B$2:B$78)-IMshareM!B$2),0))</f>
        <v>6.941297947924566E-4</v>
      </c>
      <c r="C54" s="8">
        <f>IF($A54=C$1,0,IF(SUM(IMshareM!C$2:C$78)-IMshareM!C$3&gt;0,IMshareM!C54/(SUM(IMshareM!C$2:C$78)-IMshareM!C$3),0))</f>
        <v>4.2606480241245328E-3</v>
      </c>
      <c r="D54" s="8">
        <f>IF($A54=D$1,0,IF(SUM(IMshareM!D$2:D$78)-IMshareM!D$4&gt;0,IMshareM!D54/(SUM(IMshareM!D$2:D$78)-IMshareM!D$4),0))</f>
        <v>1.3752447648741261E-3</v>
      </c>
      <c r="E54" s="8">
        <f>IF($A54=E$1,0,IF(SUM(IMshareM!E$2:E$78)-IMshareM!E$5&gt;0,IMshareM!E54/(SUM(IMshareM!E$2:E$78)-IMshareM!E$5),0))</f>
        <v>6.6361679207475557E-2</v>
      </c>
      <c r="F54" s="8">
        <f>IF($A54=F$1,0,IF(SUM(IMshareM!F$2:F$78)-IMshareM!F$6&gt;0,IMshareM!F54/(SUM(IMshareM!F$2:F$78)-IMshareM!F$6),0))</f>
        <v>2.4154386434917844E-3</v>
      </c>
      <c r="G54" s="8">
        <f>IF($A54=G$1,0,IF(SUM(IMshareM!G$2:G$78)-IMshareM!G$7&gt;0,IMshareM!G54/(SUM(IMshareM!G$2:G$78)-IMshareM!G$7),0))</f>
        <v>7.7782029673414323E-3</v>
      </c>
      <c r="H54" s="8">
        <f>IF($A54=H$1,0,IF(SUM(IMshareM!H$2:H$78)-IMshareM!H$8&gt;0,IMshareM!H54/(SUM(IMshareM!H$2:H$78)-IMshareM!H$8),0))</f>
        <v>3.5119560009855013E-3</v>
      </c>
      <c r="I54" s="8">
        <f>IF($A54=I$1,0,IF(SUM(IMshareM!I$2:I$78)-IMshareM!I$9&gt;0,IMshareM!I54/(SUM(IMshareM!I$2:I$78)-IMshareM!I$9),0))</f>
        <v>1.637752515916186E-3</v>
      </c>
      <c r="J54" s="8">
        <f>IF($A54=J$1,0,IF(SUM(IMshareM!J$2:J$78)-IMshareM!J$10&gt;0,IMshareM!J54/(SUM(IMshareM!J$2:J$78)-IMshareM!J$10),0))</f>
        <v>1.0371867723494859E-2</v>
      </c>
      <c r="K54" s="8">
        <f>IF($A54=K$1,0,IF(SUM(IMshareM!K$2:K$78)-IMshareM!K$11&gt;0,IMshareM!K54/(SUM(IMshareM!K$2:K$78)-IMshareM!K$11),0))</f>
        <v>3.361512140114261E-3</v>
      </c>
      <c r="L54" s="8">
        <f>IF($A54=L$1,0,IF(SUM(IMshareM!L$2:L$78)-IMshareM!L$12&gt;0,IMshareM!L54/(SUM(IMshareM!L$2:L$78)-IMshareM!L$12),0))</f>
        <v>7.8911839404234435E-3</v>
      </c>
      <c r="M54" s="8">
        <f>IF($A54=M$1,0,IF(SUM(IMshareM!M$2:M$78)-IMshareM!M$13&gt;0,IMshareM!M54/(SUM(IMshareM!M$2:M$78)-IMshareM!M$13),0))</f>
        <v>4.5801838947133548E-4</v>
      </c>
      <c r="N54" s="8">
        <f>IF($A54=N$1,0,IF(SUM(IMshareM!N$2:N$78)-IMshareM!N$14&gt;0,IMshareM!N54/(SUM(IMshareM!N$2:N$78)-IMshareM!N$14),0))</f>
        <v>3.5226833833657198E-3</v>
      </c>
      <c r="O54" s="8">
        <f>IF($A54=O$1,0,IF(SUM(IMshareM!O$2:O$78)-IMshareM!O$15&gt;0,IMshareM!O54/(SUM(IMshareM!O$2:O$78)-IMshareM!O$15),0))</f>
        <v>1.336626859301151E-2</v>
      </c>
      <c r="P54" s="8">
        <f>IF($A54=P$1,0,IF(SUM(IMshareM!P$2:P$78)-IMshareM!P$16&gt;0,IMshareM!P54/(SUM(IMshareM!P$2:P$78)-IMshareM!P$16),0))</f>
        <v>1.9811428693797262E-3</v>
      </c>
      <c r="Q54" s="8">
        <f>IF($A54=Q$1,0,IF(SUM(IMshareM!Q$2:Q$78)-IMshareM!Q$17&gt;0,IMshareM!Q54/(SUM(IMshareM!Q$2:Q$78)-IMshareM!Q$17),0))</f>
        <v>1.0193890323365053E-3</v>
      </c>
      <c r="R54" s="8">
        <f>IF($A54=R$1,0,IF(SUM(IMshareM!R$2:R$78)-IMshareM!R$18&gt;0,IMshareM!R54/(SUM(IMshareM!R$2:R$78)-IMshareM!R$18),0))</f>
        <v>3.4104601966481437E-3</v>
      </c>
      <c r="S54" s="8">
        <f>IF($A54=S$1,0,IF(SUM(IMshareM!S$2:S$78)-IMshareM!S$19&gt;0,IMshareM!S54/(SUM(IMshareM!S$2:S$78)-IMshareM!S$19),0))</f>
        <v>5.1392182088890138E-3</v>
      </c>
      <c r="T54" s="8">
        <f>IF($A54=T$1,0,IF(SUM(IMshareM!T$2:T$78)-IMshareM!T$20&gt;0,IMshareM!T54/(SUM(IMshareM!T$2:T$78)-IMshareM!T$20),0))</f>
        <v>3.8103591193405667E-3</v>
      </c>
      <c r="U54" s="8">
        <f>IF($A54=U$1,0,IF(SUM(IMshareM!U$2:U$78)-IMshareM!U$21&gt;0,IMshareM!U54/(SUM(IMshareM!U$2:U$78)-IMshareM!U$21),0))</f>
        <v>2.7975776081043548E-2</v>
      </c>
      <c r="V54" s="8">
        <f>IF($A54=V$1,0,IF(SUM(IMshareM!V$2:V$78)-IMshareM!V$22&gt;0,IMshareM!V54/(SUM(IMshareM!V$2:V$78)-IMshareM!V$22),0))</f>
        <v>3.2835223924556137E-2</v>
      </c>
      <c r="W54" s="8">
        <f>IF($A54=W$1,0,IF(SUM(IMshareM!W$2:W$78)-IMshareM!W$23&gt;0,IMshareM!W54/(SUM(IMshareM!W$2:W$78)-IMshareM!W$23),0))</f>
        <v>2.4805305127407959E-3</v>
      </c>
      <c r="X54" s="8">
        <f>IF($A54=X$1,0,IF(SUM(IMshareM!X$2:X$78)-IMshareM!X$24&gt;0,IMshareM!X54/(SUM(IMshareM!X$2:X$78)-IMshareM!X$24),0))</f>
        <v>1.0273604467998534E-2</v>
      </c>
      <c r="Y54" s="8">
        <f>IF($A54=Y$1,0,IF(SUM(IMshareM!Y$2:Y$78)-IMshareM!Y$25&gt;0,IMshareM!Y54/(SUM(IMshareM!Y$2:Y$78)-IMshareM!Y$25),0))</f>
        <v>5.5503826485865182E-3</v>
      </c>
      <c r="Z54" s="8">
        <f>IF($A54=Z$1,0,IF(SUM(IMshareM!Z$2:Z$78)-IMshareM!Z$26&gt;0,IMshareM!Z54/(SUM(IMshareM!Z$2:Z$78)-IMshareM!Z$26),0))</f>
        <v>1.4068690925883887E-2</v>
      </c>
      <c r="AA54" s="8">
        <f>IF($A54=AA$1,0,IF(SUM(IMshareM!AA$2:AA$78)-IMshareM!AA$27&gt;0,IMshareM!AA54/(SUM(IMshareM!AA$2:AA$78)-IMshareM!AA$27),0))</f>
        <v>2.0120517163631231E-2</v>
      </c>
      <c r="AB54" s="8">
        <f>IF($A54=AB$1,0,IF(SUM(IMshareM!AB$2:AB$78)-IMshareM!AB$28&gt;0,IMshareM!AB54/(SUM(IMshareM!AB$2:AB$78)-IMshareM!AB$28),0))</f>
        <v>8.8956952787540861E-3</v>
      </c>
      <c r="AC54" s="8">
        <f>IF($A54=AC$1,0,IF(SUM(IMshareM!AC$2:AC$78)-IMshareM!AC$29&gt;0,IMshareM!AC54/(SUM(IMshareM!AC$2:AC$78)-IMshareM!AC$29),0))</f>
        <v>1.8065980466895292E-2</v>
      </c>
      <c r="AD54" s="8">
        <f>IF($A54=AD$1,0,IF(SUM(IMshareM!AD$2:AD$78)-IMshareM!AD$30&gt;0,IMshareM!AD54/(SUM(IMshareM!AD$2:AD$78)-IMshareM!AD$30),0))</f>
        <v>3.2515023428938881E-3</v>
      </c>
      <c r="AE54" s="8">
        <f>IF($A54=AE$1,0,IF(SUM(IMshareM!AE$2:AE$78)-IMshareM!AE$31&gt;0,IMshareM!AE54/(SUM(IMshareM!AE$2:AE$78)-IMshareM!AE$31),0))</f>
        <v>4.4464850758589962E-2</v>
      </c>
      <c r="AF54" s="8">
        <f>IF($A54=AF$1,0,IF(SUM(IMshareM!AF$2:AF$78)-IMshareM!AF$32&gt;0,IMshareM!AF54/(SUM(IMshareM!AF$2:AF$78)-IMshareM!AF$32),0))</f>
        <v>1.8947464686783207E-2</v>
      </c>
      <c r="AG54" s="8">
        <f>IF($A54=AG$1,0,IF(SUM(IMshareM!AG$2:AG$78)-IMshareM!AG$33&gt;0,IMshareM!AG54/(SUM(IMshareM!AG$2:AG$78)-IMshareM!AG$33),0))</f>
        <v>1.2238681769666943E-3</v>
      </c>
      <c r="AH54" s="8">
        <f>IF($A54=AH$1,0,IF(SUM(IMshareM!AH$2:AH$78)-IMshareM!AH$34&gt;0,IMshareM!AH54/(SUM(IMshareM!AH$2:AH$78)-IMshareM!AH$34),0))</f>
        <v>5.9022153898273264E-3</v>
      </c>
      <c r="AI54" s="8">
        <f>IF($A54=AI$1,0,IF(SUM(IMshareM!AI$2:AI$78)-IMshareM!AI$35&gt;0,IMshareM!AI54/(SUM(IMshareM!AI$2:AI$78)-IMshareM!AI$35),0))</f>
        <v>1.4631884507049503E-2</v>
      </c>
      <c r="AJ54" s="8">
        <f>IF($A54=AJ$1,0,IF(SUM(IMshareM!AJ$2:AJ$78)-IMshareM!AJ$36&gt;0,IMshareM!AJ54/(SUM(IMshareM!AJ$2:AJ$78)-IMshareM!AJ$36),0))</f>
        <v>5.4683700800249632E-2</v>
      </c>
      <c r="AK54" s="8">
        <f>IF($A54=AK$1,0,IF(SUM(IMshareM!AK$2:AK$78)-IMshareM!AK$37&gt;0,IMshareM!AK54/(SUM(IMshareM!AK$2:AK$78)-IMshareM!AK$37),0))</f>
        <v>2.1269515726713338E-2</v>
      </c>
      <c r="AL54" s="8">
        <f>IF($A54=AL$1,0,IF(SUM(IMshareM!AL$2:AL$78)-IMshareM!AL$38&gt;0,IMshareM!AL54/(SUM(IMshareM!AL$2:AL$78)-IMshareM!AL$38),0))</f>
        <v>3.6110845656744196E-2</v>
      </c>
      <c r="AM54" s="8">
        <f>IF($A54=AM$1,0,IF(SUM(IMshareM!AM$2:AM$78)-IMshareM!AM$39&gt;0,IMshareM!AM54/(SUM(IMshareM!AM$2:AM$78)-IMshareM!AM$39),0))</f>
        <v>1.0955542293722731E-2</v>
      </c>
      <c r="AN54" s="8">
        <f>IF($A54=AN$1,0,IF(SUM(IMshareM!AN$2:AN$78)-IMshareM!AN$40&gt;0,IMshareM!AN54/(SUM(IMshareM!AN$2:AN$78)-IMshareM!AN$40),0))</f>
        <v>2.1026288658189236E-3</v>
      </c>
      <c r="AO54" s="8">
        <f>IF($A54=AO$1,0,IF(SUM(IMshareM!AO$2:AO$78)-IMshareM!AO$41&gt;0,IMshareM!AO54/(SUM(IMshareM!AO$2:AO$78)-IMshareM!AO$41),0))</f>
        <v>2.4284244759939077E-3</v>
      </c>
      <c r="AP54" s="8">
        <f>IF($A54=AP$1,0,IF(SUM(IMshareM!AP$2:AP$78)-IMshareM!AP$42&gt;0,IMshareM!AP54/(SUM(IMshareM!AP$2:AP$78)-IMshareM!AP$42),0))</f>
        <v>1.3059278291550254E-4</v>
      </c>
      <c r="AQ54" s="8">
        <f>IF($A54=AQ$1,0,IF(SUM(IMshareM!AQ$2:AQ$78)-IMshareM!AQ$43&gt;0,IMshareM!AQ54/(SUM(IMshareM!AQ$2:AQ$78)-IMshareM!AQ$43),0))</f>
        <v>2.1524086344046848E-3</v>
      </c>
      <c r="AR54" s="8">
        <f>IF($A54=AR$1,0,IF(SUM(IMshareM!AR$2:AR$78)-IMshareM!AR$44&gt;0,IMshareM!AR54/(SUM(IMshareM!AR$2:AR$78)-IMshareM!AR$44),0))</f>
        <v>6.5704056610526454E-5</v>
      </c>
      <c r="AS54" s="8">
        <f>IF($A54=AS$1,0,IF(SUM(IMshareM!AS$2:AS$78)-IMshareM!AS$45&gt;0,IMshareM!AS54/(SUM(IMshareM!AS$2:AS$78)-IMshareM!AS$45),0))</f>
        <v>7.4840895853819436E-2</v>
      </c>
      <c r="AT54" s="8">
        <f>IF($A54=AT$1,0,IF(SUM(IMshareM!AT$2:AT$78)-IMshareM!AT$46&gt;0,IMshareM!AT54/(SUM(IMshareM!AT$2:AT$78)-IMshareM!AT$46),0))</f>
        <v>7.4596247748118516E-3</v>
      </c>
      <c r="AU54" s="8">
        <f>IF($A54=AU$1,0,IF(SUM(IMshareM!AU$2:AU$78)-IMshareM!AU$47&gt;0,IMshareM!AU54/(SUM(IMshareM!AU$2:AU$78)-IMshareM!AU$47),0))</f>
        <v>2.3691018294060111E-2</v>
      </c>
      <c r="AV54" s="8">
        <f>IF($A54=AV$1,0,IF(SUM(IMshareM!AV$2:AV$78)-IMshareM!AV$48&gt;0,IMshareM!AV54/(SUM(IMshareM!AV$2:AV$78)-IMshareM!AV$48),0))</f>
        <v>8.1067469748372458E-4</v>
      </c>
      <c r="AW54" s="8">
        <f>IF($A54=AW$1,0,IF(SUM(IMshareM!AW$2:AW$78)-IMshareM!AW$49&gt;0,IMshareM!AW54/(SUM(IMshareM!AW$2:AW$78)-IMshareM!AW$49),0))</f>
        <v>1.4440830284658107E-4</v>
      </c>
      <c r="AX54" s="8">
        <f>IF($A54=AX$1,0,IF(SUM(IMshareM!AX$2:AX$78)-IMshareM!AX$50&gt;0,IMshareM!AX54/(SUM(IMshareM!AX$2:AX$78)-IMshareM!AX$50),0))</f>
        <v>2.0975337528772067E-3</v>
      </c>
      <c r="AY54" s="8">
        <f>IF($A54=AY$1,0,IF(SUM(IMshareM!AY$2:AY$78)-IMshareM!AY$51&gt;0,IMshareM!AY54/(SUM(IMshareM!AY$2:AY$78)-IMshareM!AY$51),0))</f>
        <v>0</v>
      </c>
      <c r="AZ54" s="8">
        <f>IF($A54=AZ$1,0,IF(SUM(IMshareM!AZ$2:AZ$78)-IMshareM!AZ$52&gt;0,IMshareM!AZ54/(SUM(IMshareM!AZ$2:AZ$78)-IMshareM!AZ$52),0))</f>
        <v>5.258154966994443E-3</v>
      </c>
      <c r="BA54" s="8">
        <f>IF($A54=BA$1,0,IF(SUM(IMshareM!BA$2:BA$78)-IMshareM!BA$53&gt;0,IMshareM!BA54/(SUM(IMshareM!BA$2:BA$78)-IMshareM!BA$53),0))</f>
        <v>2.9732363919552241E-3</v>
      </c>
      <c r="BB54" s="8">
        <f>IF($A54=BB$1,0,IF(SUM(IMshareM!BB$2:BB$78)-IMshareM!BB$54&gt;0,IMshareM!BB54/(SUM(IMshareM!BB$2:BB$78)-IMshareM!BB$54),0))</f>
        <v>0</v>
      </c>
      <c r="BC54" s="8">
        <f>IF($A54=BC$1,0,IF(SUM(IMshareM!BC$2:BC$78)-IMshareM!BC$55&gt;0,IMshareM!BC54/(SUM(IMshareM!BC$2:BC$78)-IMshareM!BC$55),0))</f>
        <v>1.0104356256396821E-2</v>
      </c>
      <c r="BD54" s="8">
        <f>IF($A54=BD$1,0,IF(SUM(IMshareM!BD$2:BD$78)-IMshareM!BD$56&gt;0,IMshareM!BD54/(SUM(IMshareM!BD$2:BD$78)-IMshareM!BD$56),0))</f>
        <v>8.4435457522283458E-3</v>
      </c>
      <c r="BE54" s="8">
        <f>IF($A54=BE$1,0,IF(SUM(IMshareM!BE$2:BE$78)-IMshareM!BE$57&gt;0,IMshareM!BE54/(SUM(IMshareM!BE$2:BE$78)-IMshareM!BE$57),0))</f>
        <v>3.812454709236622E-3</v>
      </c>
      <c r="BF54" s="8">
        <f>IF($A54=BF$1,0,IF(SUM(IMshareM!BF$2:BF$78)-IMshareM!BF$58&gt;0,IMshareM!BF54/(SUM(IMshareM!BF$2:BF$78)-IMshareM!BF$58),0))</f>
        <v>4.6846385595228422E-4</v>
      </c>
      <c r="BG54" s="8">
        <f>IF($A54=BG$1,0,IF(SUM(IMshareM!BG$2:BG$78)-IMshareM!BG$59&gt;0,IMshareM!BG54/(SUM(IMshareM!BG$2:BG$78)-IMshareM!BG$59),0))</f>
        <v>2.6741604964216465E-3</v>
      </c>
      <c r="BH54" s="8">
        <f>IF($A54=BH$1,0,IF(SUM(IMshareM!BH$2:BH$78)-IMshareM!BH$60&gt;0,IMshareM!BH54/(SUM(IMshareM!BH$2:BH$78)-IMshareM!BH$60),0))</f>
        <v>1.049954773560095E-2</v>
      </c>
      <c r="BI54" s="8">
        <f>IF($A54=BI$1,0,IF(SUM(IMshareM!BI$2:BI$78)-IMshareM!BI$61&gt;0,IMshareM!BI54/(SUM(IMshareM!BI$2:BI$78)-IMshareM!BI$61),0))</f>
        <v>4.8587105630909594E-2</v>
      </c>
      <c r="BJ54" s="8">
        <f>IF($A54=BJ$1,0,IF(SUM(IMshareM!BJ$2:BJ$78)-IMshareM!BJ$62&gt;0,IMshareM!BJ54/(SUM(IMshareM!BJ$2:BJ$78)-IMshareM!BJ$62),0))</f>
        <v>1.3293896994331523E-2</v>
      </c>
      <c r="BK54" s="8">
        <f>IF($A54=BK$1,0,IF(SUM(IMshareM!BK$2:BK$78)-IMshareM!BK$63&gt;0,IMshareM!BK54/(SUM(IMshareM!BK$2:BK$78)-IMshareM!BK$63),0))</f>
        <v>4.0673085930809831E-3</v>
      </c>
      <c r="BL54" s="8">
        <f>IF($A54=BL$1,0,IF(SUM(IMshareM!BL$2:BL$78)-IMshareM!BL$64&gt;0,IMshareM!BL54/(SUM(IMshareM!BL$2:BL$78)-IMshareM!BL$64),0))</f>
        <v>7.6310208992597904E-3</v>
      </c>
      <c r="BM54" s="8">
        <f>IF($A54=BM$1,0,IF(SUM(IMshareM!BM$2:BM$78)-IMshareM!BM$65&gt;0,IMshareM!BM54/(SUM(IMshareM!BM$2:BM$78)-IMshareM!BM$65),0))</f>
        <v>9.88580460408513E-2</v>
      </c>
      <c r="BN54" s="8">
        <f>IF($A54=BN$1,0,IF(SUM(IMshareM!BN$2:BN$78)-IMshareM!BN$66&gt;0,IMshareM!BN54/(SUM(IMshareM!BN$2:BN$78)-IMshareM!BN$66),0))</f>
        <v>6.9308800739412346E-3</v>
      </c>
      <c r="BO54" s="8">
        <f>IF($A54=BO$1,0,IF(SUM(IMshareM!BO$2:BO$78)-IMshareM!BO$67&gt;0,IMshareM!BO54/(SUM(IMshareM!BO$2:BO$78)-IMshareM!BO$67),0))</f>
        <v>2.1240351827749486E-3</v>
      </c>
      <c r="BP54" s="8">
        <f>IF($A54=BP$1,0,IF(SUM(IMshareM!BP$2:BP$78)-IMshareM!BP$68&gt;0,IMshareM!BP54/(SUM(IMshareM!BP$2:BP$78)-IMshareM!BP$68),0))</f>
        <v>4.7614715480848464E-3</v>
      </c>
      <c r="BQ54" s="8">
        <f>IF($A54=BQ$1,0,IF(SUM(IMshareM!BQ$2:BQ$78)-IMshareM!BQ$69&gt;0,IMshareM!BQ54/(SUM(IMshareM!BQ$2:BQ$78)-IMshareM!BQ$69),0))</f>
        <v>4.6050254497578491E-2</v>
      </c>
      <c r="BR54" s="8">
        <f>IF($A54=BR$1,0,IF(SUM(IMshareM!BR$2:BR$78)-IMshareM!BR$70&gt;0,IMshareM!BR54/(SUM(IMshareM!BR$2:BR$78)-IMshareM!BR$70),0))</f>
        <v>1.6140337081205786E-2</v>
      </c>
      <c r="BS54" s="8">
        <f>IF($A54=BS$1,0,IF(SUM(IMshareM!BS$2:BS$78)-IMshareM!BS$71&gt;0,IMshareM!BS54/(SUM(IMshareM!BS$2:BS$78)-IMshareM!BS$71),0))</f>
        <v>4.9026998287094638E-3</v>
      </c>
      <c r="BT54" s="8">
        <f>IF($A54=BT$1,0,IF(SUM(IMshareM!BT$2:BT$78)-IMshareM!BT$72&gt;0,IMshareM!BT54/(SUM(IMshareM!BT$2:BT$78)-IMshareM!BT$72),0))</f>
        <v>1.6175373193229739E-3</v>
      </c>
      <c r="BU54" s="8">
        <f>IF($A54=BU$1,0,IF(SUM(IMshareM!BU$2:BU$78)-IMshareM!BU$73&gt;0,IMshareM!BU54/(SUM(IMshareM!BU$2:BU$78)-IMshareM!BU$73),0))</f>
        <v>1.1252768944672803E-2</v>
      </c>
      <c r="BV54" s="8">
        <f>IF($A54=BV$1,0,IF(SUM(IMshareM!BV$2:BV$78)-IMshareM!BV$74&gt;0,IMshareM!BV54/(SUM(IMshareM!BV$2:BV$78)-IMshareM!BV$74),0))</f>
        <v>6.1298999093246861E-3</v>
      </c>
      <c r="BW54" s="8">
        <f>IF($A54=BW$1,0,IF(SUM(IMshareM!BW$2:BW$78)-IMshareM!BW$75&gt;0,IMshareM!BW54/(SUM(IMshareM!BW$2:BW$78)-IMshareM!BW$75),0))</f>
        <v>3.4050404851223271E-3</v>
      </c>
      <c r="BX54" s="8">
        <f>IF($A54=BX$1,0,IF(SUM(IMshareM!BX$2:BX$78)-IMshareM!BX$76&gt;0,IMshareM!BX54/(SUM(IMshareM!BX$2:BX$78)-IMshareM!BX$76),0))</f>
        <v>7.8924075415304836E-4</v>
      </c>
      <c r="BY54" s="8">
        <f>IF($A54=BY$1,0,IF(SUM(IMshareM!BY$2:BY$78)-IMshareM!BY$77&gt;0,IMshareM!BY54/(SUM(IMshareM!BY$2:BY$78)-IMshareM!BY$77),0))</f>
        <v>2.6106644281317496E-3</v>
      </c>
      <c r="BZ54" s="8">
        <f>IF($A54=BZ$1,0,IF(SUM(IMshareM!BZ$2:BZ$78)-IMshareM!BZ$78&gt;0,IMshareM!BZ54/(SUM(IMshareM!BZ$2:BZ$78)-IMshareM!BZ$78),0))</f>
        <v>5.2932153582330391E-3</v>
      </c>
    </row>
    <row r="55" spans="1:78">
      <c r="A55" s="4" t="s">
        <v>177</v>
      </c>
      <c r="B55" s="8">
        <f>IF($A55=B$1,0,IF(SUM(IMshareM!B$2:B$78)-IMshareM!B$2&gt;0,IMshareM!B55/(SUM(IMshareM!B$2:B$78)-IMshareM!B$2),0))</f>
        <v>5.2750790550908165E-4</v>
      </c>
      <c r="C55" s="8">
        <f>IF($A55=C$1,0,IF(SUM(IMshareM!C$2:C$78)-IMshareM!C$3&gt;0,IMshareM!C55/(SUM(IMshareM!C$2:C$78)-IMshareM!C$3),0))</f>
        <v>8.430557157814635E-4</v>
      </c>
      <c r="D55" s="8">
        <f>IF($A55=D$1,0,IF(SUM(IMshareM!D$2:D$78)-IMshareM!D$4&gt;0,IMshareM!D55/(SUM(IMshareM!D$2:D$78)-IMshareM!D$4),0))</f>
        <v>1.1848109492728993E-4</v>
      </c>
      <c r="E55" s="8">
        <f>IF($A55=E$1,0,IF(SUM(IMshareM!E$2:E$78)-IMshareM!E$5&gt;0,IMshareM!E55/(SUM(IMshareM!E$2:E$78)-IMshareM!E$5),0))</f>
        <v>6.6041939163322062E-4</v>
      </c>
      <c r="F55" s="8">
        <f>IF($A55=F$1,0,IF(SUM(IMshareM!F$2:F$78)-IMshareM!F$6&gt;0,IMshareM!F55/(SUM(IMshareM!F$2:F$78)-IMshareM!F$6),0))</f>
        <v>2.4374895785427195E-6</v>
      </c>
      <c r="G55" s="8">
        <f>IF($A55=G$1,0,IF(SUM(IMshareM!G$2:G$78)-IMshareM!G$7&gt;0,IMshareM!G55/(SUM(IMshareM!G$2:G$78)-IMshareM!G$7),0))</f>
        <v>3.4977265973663823E-5</v>
      </c>
      <c r="H55" s="8">
        <f>IF($A55=H$1,0,IF(SUM(IMshareM!H$2:H$78)-IMshareM!H$8&gt;0,IMshareM!H55/(SUM(IMshareM!H$2:H$78)-IMshareM!H$8),0))</f>
        <v>0</v>
      </c>
      <c r="I55" s="8">
        <f>IF($A55=I$1,0,IF(SUM(IMshareM!I$2:I$78)-IMshareM!I$9&gt;0,IMshareM!I55/(SUM(IMshareM!I$2:I$78)-IMshareM!I$9),0))</f>
        <v>1.4856801508321361E-4</v>
      </c>
      <c r="J55" s="8">
        <f>IF($A55=J$1,0,IF(SUM(IMshareM!J$2:J$78)-IMshareM!J$10&gt;0,IMshareM!J55/(SUM(IMshareM!J$2:J$78)-IMshareM!J$10),0))</f>
        <v>3.616627235452384E-3</v>
      </c>
      <c r="K55" s="8">
        <f>IF($A55=K$1,0,IF(SUM(IMshareM!K$2:K$78)-IMshareM!K$11&gt;0,IMshareM!K55/(SUM(IMshareM!K$2:K$78)-IMshareM!K$11),0))</f>
        <v>4.666038883792429E-4</v>
      </c>
      <c r="L55" s="8">
        <f>IF($A55=L$1,0,IF(SUM(IMshareM!L$2:L$78)-IMshareM!L$12&gt;0,IMshareM!L55/(SUM(IMshareM!L$2:L$78)-IMshareM!L$12),0))</f>
        <v>9.4120810632690165E-5</v>
      </c>
      <c r="M55" s="8">
        <f>IF($A55=M$1,0,IF(SUM(IMshareM!M$2:M$78)-IMshareM!M$13&gt;0,IMshareM!M55/(SUM(IMshareM!M$2:M$78)-IMshareM!M$13),0))</f>
        <v>2.3452168465843624E-4</v>
      </c>
      <c r="N55" s="8">
        <f>IF($A55=N$1,0,IF(SUM(IMshareM!N$2:N$78)-IMshareM!N$14&gt;0,IMshareM!N55/(SUM(IMshareM!N$2:N$78)-IMshareM!N$14),0))</f>
        <v>2.4346321587655231E-4</v>
      </c>
      <c r="O55" s="8">
        <f>IF($A55=O$1,0,IF(SUM(IMshareM!O$2:O$78)-IMshareM!O$15&gt;0,IMshareM!O55/(SUM(IMshareM!O$2:O$78)-IMshareM!O$15),0))</f>
        <v>6.0422353429264633E-5</v>
      </c>
      <c r="P55" s="8">
        <f>IF($A55=P$1,0,IF(SUM(IMshareM!P$2:P$78)-IMshareM!P$16&gt;0,IMshareM!P55/(SUM(IMshareM!P$2:P$78)-IMshareM!P$16),0))</f>
        <v>1.091784496815287E-4</v>
      </c>
      <c r="Q55" s="8">
        <f>IF($A55=Q$1,0,IF(SUM(IMshareM!Q$2:Q$78)-IMshareM!Q$17&gt;0,IMshareM!Q55/(SUM(IMshareM!Q$2:Q$78)-IMshareM!Q$17),0))</f>
        <v>8.2466011638989E-5</v>
      </c>
      <c r="R55" s="8">
        <f>IF($A55=R$1,0,IF(SUM(IMshareM!R$2:R$78)-IMshareM!R$18&gt;0,IMshareM!R55/(SUM(IMshareM!R$2:R$78)-IMshareM!R$18),0))</f>
        <v>0</v>
      </c>
      <c r="S55" s="8">
        <f>IF($A55=S$1,0,IF(SUM(IMshareM!S$2:S$78)-IMshareM!S$19&gt;0,IMshareM!S55/(SUM(IMshareM!S$2:S$78)-IMshareM!S$19),0))</f>
        <v>6.0882270980924351E-3</v>
      </c>
      <c r="T55" s="8">
        <f>IF($A55=T$1,0,IF(SUM(IMshareM!T$2:T$78)-IMshareM!T$20&gt;0,IMshareM!T55/(SUM(IMshareM!T$2:T$78)-IMshareM!T$20),0))</f>
        <v>2.8922779505160105E-5</v>
      </c>
      <c r="U55" s="8">
        <f>IF($A55=U$1,0,IF(SUM(IMshareM!U$2:U$78)-IMshareM!U$21&gt;0,IMshareM!U55/(SUM(IMshareM!U$2:U$78)-IMshareM!U$21),0))</f>
        <v>1.4039112167417352E-4</v>
      </c>
      <c r="V55" s="8">
        <f>IF($A55=V$1,0,IF(SUM(IMshareM!V$2:V$78)-IMshareM!V$22&gt;0,IMshareM!V55/(SUM(IMshareM!V$2:V$78)-IMshareM!V$22),0))</f>
        <v>7.7443154824464932E-3</v>
      </c>
      <c r="W55" s="8">
        <f>IF($A55=W$1,0,IF(SUM(IMshareM!W$2:W$78)-IMshareM!W$23&gt;0,IMshareM!W55/(SUM(IMshareM!W$2:W$78)-IMshareM!W$23),0))</f>
        <v>5.6680140500607628E-5</v>
      </c>
      <c r="X55" s="8">
        <f>IF($A55=X$1,0,IF(SUM(IMshareM!X$2:X$78)-IMshareM!X$24&gt;0,IMshareM!X55/(SUM(IMshareM!X$2:X$78)-IMshareM!X$24),0))</f>
        <v>9.8417515993201132E-4</v>
      </c>
      <c r="Y55" s="8">
        <f>IF($A55=Y$1,0,IF(SUM(IMshareM!Y$2:Y$78)-IMshareM!Y$25&gt;0,IMshareM!Y55/(SUM(IMshareM!Y$2:Y$78)-IMshareM!Y$25),0))</f>
        <v>4.731283949986907E-3</v>
      </c>
      <c r="Z55" s="8">
        <f>IF($A55=Z$1,0,IF(SUM(IMshareM!Z$2:Z$78)-IMshareM!Z$26&gt;0,IMshareM!Z55/(SUM(IMshareM!Z$2:Z$78)-IMshareM!Z$26),0))</f>
        <v>1.1146102471048767E-3</v>
      </c>
      <c r="AA55" s="8">
        <f>IF($A55=AA$1,0,IF(SUM(IMshareM!AA$2:AA$78)-IMshareM!AA$27&gt;0,IMshareM!AA55/(SUM(IMshareM!AA$2:AA$78)-IMshareM!AA$27),0))</f>
        <v>6.4885265120754351E-4</v>
      </c>
      <c r="AB55" s="8">
        <f>IF($A55=AB$1,0,IF(SUM(IMshareM!AB$2:AB$78)-IMshareM!AB$28&gt;0,IMshareM!AB55/(SUM(IMshareM!AB$2:AB$78)-IMshareM!AB$28),0))</f>
        <v>6.5404632771687168E-4</v>
      </c>
      <c r="AC55" s="8">
        <f>IF($A55=AC$1,0,IF(SUM(IMshareM!AC$2:AC$78)-IMshareM!AC$29&gt;0,IMshareM!AC55/(SUM(IMshareM!AC$2:AC$78)-IMshareM!AC$29),0))</f>
        <v>4.0421390709944932E-4</v>
      </c>
      <c r="AD55" s="8">
        <f>IF($A55=AD$1,0,IF(SUM(IMshareM!AD$2:AD$78)-IMshareM!AD$30&gt;0,IMshareM!AD55/(SUM(IMshareM!AD$2:AD$78)-IMshareM!AD$30),0))</f>
        <v>2.1346813674674999E-5</v>
      </c>
      <c r="AE55" s="8">
        <f>IF($A55=AE$1,0,IF(SUM(IMshareM!AE$2:AE$78)-IMshareM!AE$31&gt;0,IMshareM!AE55/(SUM(IMshareM!AE$2:AE$78)-IMshareM!AE$31),0))</f>
        <v>8.7471600314391589E-3</v>
      </c>
      <c r="AF55" s="8">
        <f>IF($A55=AF$1,0,IF(SUM(IMshareM!AF$2:AF$78)-IMshareM!AF$32&gt;0,IMshareM!AF55/(SUM(IMshareM!AF$2:AF$78)-IMshareM!AF$32),0))</f>
        <v>5.4755602875713205E-5</v>
      </c>
      <c r="AG55" s="8">
        <f>IF($A55=AG$1,0,IF(SUM(IMshareM!AG$2:AG$78)-IMshareM!AG$33&gt;0,IMshareM!AG55/(SUM(IMshareM!AG$2:AG$78)-IMshareM!AG$33),0))</f>
        <v>4.0892870188066746E-5</v>
      </c>
      <c r="AH55" s="8">
        <f>IF($A55=AH$1,0,IF(SUM(IMshareM!AH$2:AH$78)-IMshareM!AH$34&gt;0,IMshareM!AH55/(SUM(IMshareM!AH$2:AH$78)-IMshareM!AH$34),0))</f>
        <v>2.1956071407940099E-4</v>
      </c>
      <c r="AI55" s="8">
        <f>IF($A55=AI$1,0,IF(SUM(IMshareM!AI$2:AI$78)-IMshareM!AI$35&gt;0,IMshareM!AI55/(SUM(IMshareM!AI$2:AI$78)-IMshareM!AI$35),0))</f>
        <v>2.4269275330394654E-4</v>
      </c>
      <c r="AJ55" s="8">
        <f>IF($A55=AJ$1,0,IF(SUM(IMshareM!AJ$2:AJ$78)-IMshareM!AJ$36&gt;0,IMshareM!AJ55/(SUM(IMshareM!AJ$2:AJ$78)-IMshareM!AJ$36),0))</f>
        <v>4.544421495466737E-2</v>
      </c>
      <c r="AK55" s="8">
        <f>IF($A55=AK$1,0,IF(SUM(IMshareM!AK$2:AK$78)-IMshareM!AK$37&gt;0,IMshareM!AK55/(SUM(IMshareM!AK$2:AK$78)-IMshareM!AK$37),0))</f>
        <v>2.9500021812362481E-4</v>
      </c>
      <c r="AL55" s="8">
        <f>IF($A55=AL$1,0,IF(SUM(IMshareM!AL$2:AL$78)-IMshareM!AL$38&gt;0,IMshareM!AL55/(SUM(IMshareM!AL$2:AL$78)-IMshareM!AL$38),0))</f>
        <v>2.1905373085662986E-3</v>
      </c>
      <c r="AM55" s="8">
        <f>IF($A55=AM$1,0,IF(SUM(IMshareM!AM$2:AM$78)-IMshareM!AM$39&gt;0,IMshareM!AM55/(SUM(IMshareM!AM$2:AM$78)-IMshareM!AM$39),0))</f>
        <v>7.0506029031090944E-6</v>
      </c>
      <c r="AN55" s="8">
        <f>IF($A55=AN$1,0,IF(SUM(IMshareM!AN$2:AN$78)-IMshareM!AN$40&gt;0,IMshareM!AN55/(SUM(IMshareM!AN$2:AN$78)-IMshareM!AN$40),0))</f>
        <v>2.6969011210557553E-5</v>
      </c>
      <c r="AO55" s="8">
        <f>IF($A55=AO$1,0,IF(SUM(IMshareM!AO$2:AO$78)-IMshareM!AO$41&gt;0,IMshareM!AO55/(SUM(IMshareM!AO$2:AO$78)-IMshareM!AO$41),0))</f>
        <v>7.4394063405364353E-6</v>
      </c>
      <c r="AP55" s="8">
        <f>IF($A55=AP$1,0,IF(SUM(IMshareM!AP$2:AP$78)-IMshareM!AP$42&gt;0,IMshareM!AP55/(SUM(IMshareM!AP$2:AP$78)-IMshareM!AP$42),0))</f>
        <v>0</v>
      </c>
      <c r="AQ55" s="8">
        <f>IF($A55=AQ$1,0,IF(SUM(IMshareM!AQ$2:AQ$78)-IMshareM!AQ$43&gt;0,IMshareM!AQ55/(SUM(IMshareM!AQ$2:AQ$78)-IMshareM!AQ$43),0))</f>
        <v>3.693363081987301E-4</v>
      </c>
      <c r="AR55" s="8">
        <f>IF($A55=AR$1,0,IF(SUM(IMshareM!AR$2:AR$78)-IMshareM!AR$44&gt;0,IMshareM!AR55/(SUM(IMshareM!AR$2:AR$78)-IMshareM!AR$44),0))</f>
        <v>0</v>
      </c>
      <c r="AS55" s="8">
        <f>IF($A55=AS$1,0,IF(SUM(IMshareM!AS$2:AS$78)-IMshareM!AS$45&gt;0,IMshareM!AS55/(SUM(IMshareM!AS$2:AS$78)-IMshareM!AS$45),0))</f>
        <v>4.7703087869150384E-3</v>
      </c>
      <c r="AT55" s="8">
        <f>IF($A55=AT$1,0,IF(SUM(IMshareM!AT$2:AT$78)-IMshareM!AT$46&gt;0,IMshareM!AT55/(SUM(IMshareM!AT$2:AT$78)-IMshareM!AT$46),0))</f>
        <v>2.4742213845072459E-3</v>
      </c>
      <c r="AU55" s="8">
        <f>IF($A55=AU$1,0,IF(SUM(IMshareM!AU$2:AU$78)-IMshareM!AU$47&gt;0,IMshareM!AU55/(SUM(IMshareM!AU$2:AU$78)-IMshareM!AU$47),0))</f>
        <v>1.930741312024357E-3</v>
      </c>
      <c r="AV55" s="8">
        <f>IF($A55=AV$1,0,IF(SUM(IMshareM!AV$2:AV$78)-IMshareM!AV$48&gt;0,IMshareM!AV55/(SUM(IMshareM!AV$2:AV$78)-IMshareM!AV$48),0))</f>
        <v>1.1188210771144785E-5</v>
      </c>
      <c r="AW55" s="8">
        <f>IF($A55=AW$1,0,IF(SUM(IMshareM!AW$2:AW$78)-IMshareM!AW$49&gt;0,IMshareM!AW55/(SUM(IMshareM!AW$2:AW$78)-IMshareM!AW$49),0))</f>
        <v>4.7855727726113577E-5</v>
      </c>
      <c r="AX55" s="8">
        <f>IF($A55=AX$1,0,IF(SUM(IMshareM!AX$2:AX$78)-IMshareM!AX$50&gt;0,IMshareM!AX55/(SUM(IMshareM!AX$2:AX$78)-IMshareM!AX$50),0))</f>
        <v>3.3997639145014612E-3</v>
      </c>
      <c r="AY55" s="8">
        <f>IF($A55=AY$1,0,IF(SUM(IMshareM!AY$2:AY$78)-IMshareM!AY$51&gt;0,IMshareM!AY55/(SUM(IMshareM!AY$2:AY$78)-IMshareM!AY$51),0))</f>
        <v>8.606746072266274E-5</v>
      </c>
      <c r="AZ55" s="8">
        <f>IF($A55=AZ$1,0,IF(SUM(IMshareM!AZ$2:AZ$78)-IMshareM!AZ$52&gt;0,IMshareM!AZ55/(SUM(IMshareM!AZ$2:AZ$78)-IMshareM!AZ$52),0))</f>
        <v>2.1945108637170079E-4</v>
      </c>
      <c r="BA55" s="8">
        <f>IF($A55=BA$1,0,IF(SUM(IMshareM!BA$2:BA$78)-IMshareM!BA$53&gt;0,IMshareM!BA55/(SUM(IMshareM!BA$2:BA$78)-IMshareM!BA$53),0))</f>
        <v>9.4662590759110666E-5</v>
      </c>
      <c r="BB55" s="8">
        <f>IF($A55=BB$1,0,IF(SUM(IMshareM!BB$2:BB$78)-IMshareM!BB$54&gt;0,IMshareM!BB55/(SUM(IMshareM!BB$2:BB$78)-IMshareM!BB$54),0))</f>
        <v>2.8229892832780726E-3</v>
      </c>
      <c r="BC55" s="8">
        <f>IF($A55=BC$1,0,IF(SUM(IMshareM!BC$2:BC$78)-IMshareM!BC$55&gt;0,IMshareM!BC55/(SUM(IMshareM!BC$2:BC$78)-IMshareM!BC$55),0))</f>
        <v>0</v>
      </c>
      <c r="BD55" s="8">
        <f>IF($A55=BD$1,0,IF(SUM(IMshareM!BD$2:BD$78)-IMshareM!BD$56&gt;0,IMshareM!BD55/(SUM(IMshareM!BD$2:BD$78)-IMshareM!BD$56),0))</f>
        <v>3.818355128802924E-4</v>
      </c>
      <c r="BE55" s="8">
        <f>IF($A55=BE$1,0,IF(SUM(IMshareM!BE$2:BE$78)-IMshareM!BE$57&gt;0,IMshareM!BE55/(SUM(IMshareM!BE$2:BE$78)-IMshareM!BE$57),0))</f>
        <v>3.0583555035557423E-4</v>
      </c>
      <c r="BF55" s="8">
        <f>IF($A55=BF$1,0,IF(SUM(IMshareM!BF$2:BF$78)-IMshareM!BF$58&gt;0,IMshareM!BF55/(SUM(IMshareM!BF$2:BF$78)-IMshareM!BF$58),0))</f>
        <v>5.1421691848888441E-4</v>
      </c>
      <c r="BG55" s="8">
        <f>IF($A55=BG$1,0,IF(SUM(IMshareM!BG$2:BG$78)-IMshareM!BG$59&gt;0,IMshareM!BG55/(SUM(IMshareM!BG$2:BG$78)-IMshareM!BG$59),0))</f>
        <v>3.9222626853468687E-5</v>
      </c>
      <c r="BH55" s="8">
        <f>IF($A55=BH$1,0,IF(SUM(IMshareM!BH$2:BH$78)-IMshareM!BH$60&gt;0,IMshareM!BH55/(SUM(IMshareM!BH$2:BH$78)-IMshareM!BH$60),0))</f>
        <v>5.3950681362556333E-4</v>
      </c>
      <c r="BI55" s="8">
        <f>IF($A55=BI$1,0,IF(SUM(IMshareM!BI$2:BI$78)-IMshareM!BI$61&gt;0,IMshareM!BI55/(SUM(IMshareM!BI$2:BI$78)-IMshareM!BI$61),0))</f>
        <v>2.289590881497928E-5</v>
      </c>
      <c r="BJ55" s="8">
        <f>IF($A55=BJ$1,0,IF(SUM(IMshareM!BJ$2:BJ$78)-IMshareM!BJ$62&gt;0,IMshareM!BJ55/(SUM(IMshareM!BJ$2:BJ$78)-IMshareM!BJ$62),0))</f>
        <v>1.6183339492848304E-3</v>
      </c>
      <c r="BK55" s="8">
        <f>IF($A55=BK$1,0,IF(SUM(IMshareM!BK$2:BK$78)-IMshareM!BK$63&gt;0,IMshareM!BK55/(SUM(IMshareM!BK$2:BK$78)-IMshareM!BK$63),0))</f>
        <v>9.4811350088720399E-4</v>
      </c>
      <c r="BL55" s="8">
        <f>IF($A55=BL$1,0,IF(SUM(IMshareM!BL$2:BL$78)-IMshareM!BL$64&gt;0,IMshareM!BL55/(SUM(IMshareM!BL$2:BL$78)-IMshareM!BL$64),0))</f>
        <v>5.1675440589857169E-5</v>
      </c>
      <c r="BM55" s="8">
        <f>IF($A55=BM$1,0,IF(SUM(IMshareM!BM$2:BM$78)-IMshareM!BM$65&gt;0,IMshareM!BM55/(SUM(IMshareM!BM$2:BM$78)-IMshareM!BM$65),0))</f>
        <v>5.0244262214296915E-5</v>
      </c>
      <c r="BN55" s="8">
        <f>IF($A55=BN$1,0,IF(SUM(IMshareM!BN$2:BN$78)-IMshareM!BN$66&gt;0,IMshareM!BN55/(SUM(IMshareM!BN$2:BN$78)-IMshareM!BN$66),0))</f>
        <v>2.229157124396463E-3</v>
      </c>
      <c r="BO55" s="8">
        <f>IF($A55=BO$1,0,IF(SUM(IMshareM!BO$2:BO$78)-IMshareM!BO$67&gt;0,IMshareM!BO55/(SUM(IMshareM!BO$2:BO$78)-IMshareM!BO$67),0))</f>
        <v>5.9934247914585514E-6</v>
      </c>
      <c r="BP55" s="8">
        <f>IF($A55=BP$1,0,IF(SUM(IMshareM!BP$2:BP$78)-IMshareM!BP$68&gt;0,IMshareM!BP55/(SUM(IMshareM!BP$2:BP$78)-IMshareM!BP$68),0))</f>
        <v>1.2458191021707605E-4</v>
      </c>
      <c r="BQ55" s="8">
        <f>IF($A55=BQ$1,0,IF(SUM(IMshareM!BQ$2:BQ$78)-IMshareM!BQ$69&gt;0,IMshareM!BQ55/(SUM(IMshareM!BQ$2:BQ$78)-IMshareM!BQ$69),0))</f>
        <v>4.4133092578509912E-3</v>
      </c>
      <c r="BR55" s="8">
        <f>IF($A55=BR$1,0,IF(SUM(IMshareM!BR$2:BR$78)-IMshareM!BR$70&gt;0,IMshareM!BR55/(SUM(IMshareM!BR$2:BR$78)-IMshareM!BR$70),0))</f>
        <v>1.9677341446162348E-5</v>
      </c>
      <c r="BS55" s="8">
        <f>IF($A55=BS$1,0,IF(SUM(IMshareM!BS$2:BS$78)-IMshareM!BS$71&gt;0,IMshareM!BS55/(SUM(IMshareM!BS$2:BS$78)-IMshareM!BS$71),0))</f>
        <v>4.3506833190970244E-5</v>
      </c>
      <c r="BT55" s="8">
        <f>IF($A55=BT$1,0,IF(SUM(IMshareM!BT$2:BT$78)-IMshareM!BT$72&gt;0,IMshareM!BT55/(SUM(IMshareM!BT$2:BT$78)-IMshareM!BT$72),0))</f>
        <v>1.291160913138303E-3</v>
      </c>
      <c r="BU55" s="8">
        <f>IF($A55=BU$1,0,IF(SUM(IMshareM!BU$2:BU$78)-IMshareM!BU$73&gt;0,IMshareM!BU55/(SUM(IMshareM!BU$2:BU$78)-IMshareM!BU$73),0))</f>
        <v>4.2925729792416142E-5</v>
      </c>
      <c r="BV55" s="8">
        <f>IF($A55=BV$1,0,IF(SUM(IMshareM!BV$2:BV$78)-IMshareM!BV$74&gt;0,IMshareM!BV55/(SUM(IMshareM!BV$2:BV$78)-IMshareM!BV$74),0))</f>
        <v>7.1589759995829021E-6</v>
      </c>
      <c r="BW55" s="8">
        <f>IF($A55=BW$1,0,IF(SUM(IMshareM!BW$2:BW$78)-IMshareM!BW$75&gt;0,IMshareM!BW55/(SUM(IMshareM!BW$2:BW$78)-IMshareM!BW$75),0))</f>
        <v>6.8628800301388413E-4</v>
      </c>
      <c r="BX55" s="8">
        <f>IF($A55=BX$1,0,IF(SUM(IMshareM!BX$2:BX$78)-IMshareM!BX$76&gt;0,IMshareM!BX55/(SUM(IMshareM!BX$2:BX$78)-IMshareM!BX$76),0))</f>
        <v>2.9758922074442559E-5</v>
      </c>
      <c r="BY55" s="8">
        <f>IF($A55=BY$1,0,IF(SUM(IMshareM!BY$2:BY$78)-IMshareM!BY$77&gt;0,IMshareM!BY55/(SUM(IMshareM!BY$2:BY$78)-IMshareM!BY$77),0))</f>
        <v>5.1445893881400695E-6</v>
      </c>
      <c r="BZ55" s="8">
        <f>IF($A55=BZ$1,0,IF(SUM(IMshareM!BZ$2:BZ$78)-IMshareM!BZ$78&gt;0,IMshareM!BZ55/(SUM(IMshareM!BZ$2:BZ$78)-IMshareM!BZ$78),0))</f>
        <v>2.481713226680032E-4</v>
      </c>
    </row>
    <row r="56" spans="1:78">
      <c r="A56" s="4" t="s">
        <v>179</v>
      </c>
      <c r="B56" s="8">
        <f>IF($A56=B$1,0,IF(SUM(IMshareM!B$2:B$78)-IMshareM!B$2&gt;0,IMshareM!B56/(SUM(IMshareM!B$2:B$78)-IMshareM!B$2),0))</f>
        <v>2.1843235942348491E-5</v>
      </c>
      <c r="C56" s="8">
        <f>IF($A56=C$1,0,IF(SUM(IMshareM!C$2:C$78)-IMshareM!C$3&gt;0,IMshareM!C56/(SUM(IMshareM!C$2:C$78)-IMshareM!C$3),0))</f>
        <v>1.026423693543245E-3</v>
      </c>
      <c r="D56" s="8">
        <f>IF($A56=D$1,0,IF(SUM(IMshareM!D$2:D$78)-IMshareM!D$4&gt;0,IMshareM!D56/(SUM(IMshareM!D$2:D$78)-IMshareM!D$4),0))</f>
        <v>5.9654724774537039E-5</v>
      </c>
      <c r="E56" s="8">
        <f>IF($A56=E$1,0,IF(SUM(IMshareM!E$2:E$78)-IMshareM!E$5&gt;0,IMshareM!E56/(SUM(IMshareM!E$2:E$78)-IMshareM!E$5),0))</f>
        <v>8.4371957982968932E-6</v>
      </c>
      <c r="F56" s="8">
        <f>IF($A56=F$1,0,IF(SUM(IMshareM!F$2:F$78)-IMshareM!F$6&gt;0,IMshareM!F56/(SUM(IMshareM!F$2:F$78)-IMshareM!F$6),0))</f>
        <v>0</v>
      </c>
      <c r="G56" s="8">
        <f>IF($A56=G$1,0,IF(SUM(IMshareM!G$2:G$78)-IMshareM!G$7&gt;0,IMshareM!G56/(SUM(IMshareM!G$2:G$78)-IMshareM!G$7),0))</f>
        <v>0</v>
      </c>
      <c r="H56" s="8">
        <f>IF($A56=H$1,0,IF(SUM(IMshareM!H$2:H$78)-IMshareM!H$8&gt;0,IMshareM!H56/(SUM(IMshareM!H$2:H$78)-IMshareM!H$8),0))</f>
        <v>0</v>
      </c>
      <c r="I56" s="8">
        <f>IF($A56=I$1,0,IF(SUM(IMshareM!I$2:I$78)-IMshareM!I$9&gt;0,IMshareM!I56/(SUM(IMshareM!I$2:I$78)-IMshareM!I$9),0))</f>
        <v>6.6726800583283459E-4</v>
      </c>
      <c r="J56" s="8">
        <f>IF($A56=J$1,0,IF(SUM(IMshareM!J$2:J$78)-IMshareM!J$10&gt;0,IMshareM!J56/(SUM(IMshareM!J$2:J$78)-IMshareM!J$10),0))</f>
        <v>1.0678334746151409E-4</v>
      </c>
      <c r="K56" s="8">
        <f>IF($A56=K$1,0,IF(SUM(IMshareM!K$2:K$78)-IMshareM!K$11&gt;0,IMshareM!K56/(SUM(IMshareM!K$2:K$78)-IMshareM!K$11),0))</f>
        <v>1.419262036588732E-5</v>
      </c>
      <c r="L56" s="8">
        <f>IF($A56=L$1,0,IF(SUM(IMshareM!L$2:L$78)-IMshareM!L$12&gt;0,IMshareM!L56/(SUM(IMshareM!L$2:L$78)-IMshareM!L$12),0))</f>
        <v>3.3824056412287917E-6</v>
      </c>
      <c r="M56" s="8">
        <f>IF($A56=M$1,0,IF(SUM(IMshareM!M$2:M$78)-IMshareM!M$13&gt;0,IMshareM!M56/(SUM(IMshareM!M$2:M$78)-IMshareM!M$13),0))</f>
        <v>2.4292504863729463E-5</v>
      </c>
      <c r="N56" s="8">
        <f>IF($A56=N$1,0,IF(SUM(IMshareM!N$2:N$78)-IMshareM!N$14&gt;0,IMshareM!N56/(SUM(IMshareM!N$2:N$78)-IMshareM!N$14),0))</f>
        <v>1.255521031786688E-6</v>
      </c>
      <c r="O56" s="8">
        <f>IF($A56=O$1,0,IF(SUM(IMshareM!O$2:O$78)-IMshareM!O$15&gt;0,IMshareM!O56/(SUM(IMshareM!O$2:O$78)-IMshareM!O$15),0))</f>
        <v>5.0059057741456351E-4</v>
      </c>
      <c r="P56" s="8">
        <f>IF($A56=P$1,0,IF(SUM(IMshareM!P$2:P$78)-IMshareM!P$16&gt;0,IMshareM!P56/(SUM(IMshareM!P$2:P$78)-IMshareM!P$16),0))</f>
        <v>0</v>
      </c>
      <c r="Q56" s="8">
        <f>IF($A56=Q$1,0,IF(SUM(IMshareM!Q$2:Q$78)-IMshareM!Q$17&gt;0,IMshareM!Q56/(SUM(IMshareM!Q$2:Q$78)-IMshareM!Q$17),0))</f>
        <v>1.3877677969781991E-6</v>
      </c>
      <c r="R56" s="8">
        <f>IF($A56=R$1,0,IF(SUM(IMshareM!R$2:R$78)-IMshareM!R$18&gt;0,IMshareM!R56/(SUM(IMshareM!R$2:R$78)-IMshareM!R$18),0))</f>
        <v>0</v>
      </c>
      <c r="S56" s="8">
        <f>IF($A56=S$1,0,IF(SUM(IMshareM!S$2:S$78)-IMshareM!S$19&gt;0,IMshareM!S56/(SUM(IMshareM!S$2:S$78)-IMshareM!S$19),0))</f>
        <v>0</v>
      </c>
      <c r="T56" s="8">
        <f>IF($A56=T$1,0,IF(SUM(IMshareM!T$2:T$78)-IMshareM!T$20&gt;0,IMshareM!T56/(SUM(IMshareM!T$2:T$78)-IMshareM!T$20),0))</f>
        <v>0</v>
      </c>
      <c r="U56" s="8">
        <f>IF($A56=U$1,0,IF(SUM(IMshareM!U$2:U$78)-IMshareM!U$21&gt;0,IMshareM!U56/(SUM(IMshareM!U$2:U$78)-IMshareM!U$21),0))</f>
        <v>2.4807487423770377E-5</v>
      </c>
      <c r="V56" s="8">
        <f>IF($A56=V$1,0,IF(SUM(IMshareM!V$2:V$78)-IMshareM!V$22&gt;0,IMshareM!V56/(SUM(IMshareM!V$2:V$78)-IMshareM!V$22),0))</f>
        <v>6.6246840598822309E-5</v>
      </c>
      <c r="W56" s="8">
        <f>IF($A56=W$1,0,IF(SUM(IMshareM!W$2:W$78)-IMshareM!W$23&gt;0,IMshareM!W56/(SUM(IMshareM!W$2:W$78)-IMshareM!W$23),0))</f>
        <v>2.3235510810007011E-5</v>
      </c>
      <c r="X56" s="8">
        <f>IF($A56=X$1,0,IF(SUM(IMshareM!X$2:X$78)-IMshareM!X$24&gt;0,IMshareM!X56/(SUM(IMshareM!X$2:X$78)-IMshareM!X$24),0))</f>
        <v>1.4740404413815713E-5</v>
      </c>
      <c r="Y56" s="8">
        <f>IF($A56=Y$1,0,IF(SUM(IMshareM!Y$2:Y$78)-IMshareM!Y$25&gt;0,IMshareM!Y56/(SUM(IMshareM!Y$2:Y$78)-IMshareM!Y$25),0))</f>
        <v>0</v>
      </c>
      <c r="Z56" s="8">
        <f>IF($A56=Z$1,0,IF(SUM(IMshareM!Z$2:Z$78)-IMshareM!Z$26&gt;0,IMshareM!Z56/(SUM(IMshareM!Z$2:Z$78)-IMshareM!Z$26),0))</f>
        <v>0</v>
      </c>
      <c r="AA56" s="8">
        <f>IF($A56=AA$1,0,IF(SUM(IMshareM!AA$2:AA$78)-IMshareM!AA$27&gt;0,IMshareM!AA56/(SUM(IMshareM!AA$2:AA$78)-IMshareM!AA$27),0))</f>
        <v>1.9025290425920331E-6</v>
      </c>
      <c r="AB56" s="8">
        <f>IF($A56=AB$1,0,IF(SUM(IMshareM!AB$2:AB$78)-IMshareM!AB$28&gt;0,IMshareM!AB56/(SUM(IMshareM!AB$2:AB$78)-IMshareM!AB$28),0))</f>
        <v>3.8780488300506718E-4</v>
      </c>
      <c r="AC56" s="8">
        <f>IF($A56=AC$1,0,IF(SUM(IMshareM!AC$2:AC$78)-IMshareM!AC$29&gt;0,IMshareM!AC56/(SUM(IMshareM!AC$2:AC$78)-IMshareM!AC$29),0))</f>
        <v>4.3746586921783233E-5</v>
      </c>
      <c r="AD56" s="8">
        <f>IF($A56=AD$1,0,IF(SUM(IMshareM!AD$2:AD$78)-IMshareM!AD$30&gt;0,IMshareM!AD56/(SUM(IMshareM!AD$2:AD$78)-IMshareM!AD$30),0))</f>
        <v>1.9820442780549879E-4</v>
      </c>
      <c r="AE56" s="8">
        <f>IF($A56=AE$1,0,IF(SUM(IMshareM!AE$2:AE$78)-IMshareM!AE$31&gt;0,IMshareM!AE56/(SUM(IMshareM!AE$2:AE$78)-IMshareM!AE$31),0))</f>
        <v>0</v>
      </c>
      <c r="AF56" s="8">
        <f>IF($A56=AF$1,0,IF(SUM(IMshareM!AF$2:AF$78)-IMshareM!AF$32&gt;0,IMshareM!AF56/(SUM(IMshareM!AF$2:AF$78)-IMshareM!AF$32),0))</f>
        <v>4.1604144397688725E-6</v>
      </c>
      <c r="AG56" s="8">
        <f>IF($A56=AG$1,0,IF(SUM(IMshareM!AG$2:AG$78)-IMshareM!AG$33&gt;0,IMshareM!AG56/(SUM(IMshareM!AG$2:AG$78)-IMshareM!AG$33),0))</f>
        <v>2.9090718277838298E-5</v>
      </c>
      <c r="AH56" s="8">
        <f>IF($A56=AH$1,0,IF(SUM(IMshareM!AH$2:AH$78)-IMshareM!AH$34&gt;0,IMshareM!AH56/(SUM(IMshareM!AH$2:AH$78)-IMshareM!AH$34),0))</f>
        <v>3.4517421703561748E-5</v>
      </c>
      <c r="AI56" s="8">
        <f>IF($A56=AI$1,0,IF(SUM(IMshareM!AI$2:AI$78)-IMshareM!AI$35&gt;0,IMshareM!AI56/(SUM(IMshareM!AI$2:AI$78)-IMshareM!AI$35),0))</f>
        <v>1.4316231778589582E-5</v>
      </c>
      <c r="AJ56" s="8">
        <f>IF($A56=AJ$1,0,IF(SUM(IMshareM!AJ$2:AJ$78)-IMshareM!AJ$36&gt;0,IMshareM!AJ56/(SUM(IMshareM!AJ$2:AJ$78)-IMshareM!AJ$36),0))</f>
        <v>0</v>
      </c>
      <c r="AK56" s="8">
        <f>IF($A56=AK$1,0,IF(SUM(IMshareM!AK$2:AK$78)-IMshareM!AK$37&gt;0,IMshareM!AK56/(SUM(IMshareM!AK$2:AK$78)-IMshareM!AK$37),0))</f>
        <v>0</v>
      </c>
      <c r="AL56" s="8">
        <f>IF($A56=AL$1,0,IF(SUM(IMshareM!AL$2:AL$78)-IMshareM!AL$38&gt;0,IMshareM!AL56/(SUM(IMshareM!AL$2:AL$78)-IMshareM!AL$38),0))</f>
        <v>9.2080968779757017E-7</v>
      </c>
      <c r="AM56" s="8">
        <f>IF($A56=AM$1,0,IF(SUM(IMshareM!AM$2:AM$78)-IMshareM!AM$39&gt;0,IMshareM!AM56/(SUM(IMshareM!AM$2:AM$78)-IMshareM!AM$39),0))</f>
        <v>0</v>
      </c>
      <c r="AN56" s="8">
        <f>IF($A56=AN$1,0,IF(SUM(IMshareM!AN$2:AN$78)-IMshareM!AN$40&gt;0,IMshareM!AN56/(SUM(IMshareM!AN$2:AN$78)-IMshareM!AN$40),0))</f>
        <v>6.7503838520883981E-6</v>
      </c>
      <c r="AO56" s="8">
        <f>IF($A56=AO$1,0,IF(SUM(IMshareM!AO$2:AO$78)-IMshareM!AO$41&gt;0,IMshareM!AO56/(SUM(IMshareM!AO$2:AO$78)-IMshareM!AO$41),0))</f>
        <v>1.5461667660152638E-4</v>
      </c>
      <c r="AP56" s="8">
        <f>IF($A56=AP$1,0,IF(SUM(IMshareM!AP$2:AP$78)-IMshareM!AP$42&gt;0,IMshareM!AP56/(SUM(IMshareM!AP$2:AP$78)-IMshareM!AP$42),0))</f>
        <v>0</v>
      </c>
      <c r="AQ56" s="8">
        <f>IF($A56=AQ$1,0,IF(SUM(IMshareM!AQ$2:AQ$78)-IMshareM!AQ$43&gt;0,IMshareM!AQ56/(SUM(IMshareM!AQ$2:AQ$78)-IMshareM!AQ$43),0))</f>
        <v>5.4919342389939476E-7</v>
      </c>
      <c r="AR56" s="8">
        <f>IF($A56=AR$1,0,IF(SUM(IMshareM!AR$2:AR$78)-IMshareM!AR$44&gt;0,IMshareM!AR56/(SUM(IMshareM!AR$2:AR$78)-IMshareM!AR$44),0))</f>
        <v>0</v>
      </c>
      <c r="AS56" s="8">
        <f>IF($A56=AS$1,0,IF(SUM(IMshareM!AS$2:AS$78)-IMshareM!AS$45&gt;0,IMshareM!AS56/(SUM(IMshareM!AS$2:AS$78)-IMshareM!AS$45),0))</f>
        <v>3.677388827409065E-7</v>
      </c>
      <c r="AT56" s="8">
        <f>IF($A56=AT$1,0,IF(SUM(IMshareM!AT$2:AT$78)-IMshareM!AT$46&gt;0,IMshareM!AT56/(SUM(IMshareM!AT$2:AT$78)-IMshareM!AT$46),0))</f>
        <v>0</v>
      </c>
      <c r="AU56" s="8">
        <f>IF($A56=AU$1,0,IF(SUM(IMshareM!AU$2:AU$78)-IMshareM!AU$47&gt;0,IMshareM!AU56/(SUM(IMshareM!AU$2:AU$78)-IMshareM!AU$47),0))</f>
        <v>0</v>
      </c>
      <c r="AV56" s="8">
        <f>IF($A56=AV$1,0,IF(SUM(IMshareM!AV$2:AV$78)-IMshareM!AV$48&gt;0,IMshareM!AV56/(SUM(IMshareM!AV$2:AV$78)-IMshareM!AV$48),0))</f>
        <v>0</v>
      </c>
      <c r="AW56" s="8">
        <f>IF($A56=AW$1,0,IF(SUM(IMshareM!AW$2:AW$78)-IMshareM!AW$49&gt;0,IMshareM!AW56/(SUM(IMshareM!AW$2:AW$78)-IMshareM!AW$49),0))</f>
        <v>1.1629691004232986E-5</v>
      </c>
      <c r="AX56" s="8">
        <f>IF($A56=AX$1,0,IF(SUM(IMshareM!AX$2:AX$78)-IMshareM!AX$50&gt;0,IMshareM!AX56/(SUM(IMshareM!AX$2:AX$78)-IMshareM!AX$50),0))</f>
        <v>0</v>
      </c>
      <c r="AY56" s="8">
        <f>IF($A56=AY$1,0,IF(SUM(IMshareM!AY$2:AY$78)-IMshareM!AY$51&gt;0,IMshareM!AY56/(SUM(IMshareM!AY$2:AY$78)-IMshareM!AY$51),0))</f>
        <v>0</v>
      </c>
      <c r="AZ56" s="8">
        <f>IF($A56=AZ$1,0,IF(SUM(IMshareM!AZ$2:AZ$78)-IMshareM!AZ$52&gt;0,IMshareM!AZ56/(SUM(IMshareM!AZ$2:AZ$78)-IMshareM!AZ$52),0))</f>
        <v>9.4381934529507033E-5</v>
      </c>
      <c r="BA56" s="8">
        <f>IF($A56=BA$1,0,IF(SUM(IMshareM!BA$2:BA$78)-IMshareM!BA$53&gt;0,IMshareM!BA56/(SUM(IMshareM!BA$2:BA$78)-IMshareM!BA$53),0))</f>
        <v>0</v>
      </c>
      <c r="BB56" s="8">
        <f>IF($A56=BB$1,0,IF(SUM(IMshareM!BB$2:BB$78)-IMshareM!BB$54&gt;0,IMshareM!BB56/(SUM(IMshareM!BB$2:BB$78)-IMshareM!BB$54),0))</f>
        <v>3.0877118606173374E-5</v>
      </c>
      <c r="BC56" s="8">
        <f>IF($A56=BC$1,0,IF(SUM(IMshareM!BC$2:BC$78)-IMshareM!BC$55&gt;0,IMshareM!BC56/(SUM(IMshareM!BC$2:BC$78)-IMshareM!BC$55),0))</f>
        <v>0</v>
      </c>
      <c r="BD56" s="8">
        <f>IF($A56=BD$1,0,IF(SUM(IMshareM!BD$2:BD$78)-IMshareM!BD$56&gt;0,IMshareM!BD56/(SUM(IMshareM!BD$2:BD$78)-IMshareM!BD$56),0))</f>
        <v>0</v>
      </c>
      <c r="BE56" s="8">
        <f>IF($A56=BE$1,0,IF(SUM(IMshareM!BE$2:BE$78)-IMshareM!BE$57&gt;0,IMshareM!BE56/(SUM(IMshareM!BE$2:BE$78)-IMshareM!BE$57),0))</f>
        <v>1.949506085874209E-4</v>
      </c>
      <c r="BF56" s="8">
        <f>IF($A56=BF$1,0,IF(SUM(IMshareM!BF$2:BF$78)-IMshareM!BF$58&gt;0,IMshareM!BF56/(SUM(IMshareM!BF$2:BF$78)-IMshareM!BF$58),0))</f>
        <v>1.6403161133941201E-4</v>
      </c>
      <c r="BG56" s="8">
        <f>IF($A56=BG$1,0,IF(SUM(IMshareM!BG$2:BG$78)-IMshareM!BG$59&gt;0,IMshareM!BG56/(SUM(IMshareM!BG$2:BG$78)-IMshareM!BG$59),0))</f>
        <v>4.1208720022861269E-5</v>
      </c>
      <c r="BH56" s="8">
        <f>IF($A56=BH$1,0,IF(SUM(IMshareM!BH$2:BH$78)-IMshareM!BH$60&gt;0,IMshareM!BH56/(SUM(IMshareM!BH$2:BH$78)-IMshareM!BH$60),0))</f>
        <v>1.036787077162235E-7</v>
      </c>
      <c r="BI56" s="8">
        <f>IF($A56=BI$1,0,IF(SUM(IMshareM!BI$2:BI$78)-IMshareM!BI$61&gt;0,IMshareM!BI56/(SUM(IMshareM!BI$2:BI$78)-IMshareM!BI$61),0))</f>
        <v>7.8053584202092893E-6</v>
      </c>
      <c r="BJ56" s="8">
        <f>IF($A56=BJ$1,0,IF(SUM(IMshareM!BJ$2:BJ$78)-IMshareM!BJ$62&gt;0,IMshareM!BJ56/(SUM(IMshareM!BJ$2:BJ$78)-IMshareM!BJ$62),0))</f>
        <v>0</v>
      </c>
      <c r="BK56" s="8">
        <f>IF($A56=BK$1,0,IF(SUM(IMshareM!BK$2:BK$78)-IMshareM!BK$63&gt;0,IMshareM!BK56/(SUM(IMshareM!BK$2:BK$78)-IMshareM!BK$63),0))</f>
        <v>0</v>
      </c>
      <c r="BL56" s="8">
        <f>IF($A56=BL$1,0,IF(SUM(IMshareM!BL$2:BL$78)-IMshareM!BL$64&gt;0,IMshareM!BL56/(SUM(IMshareM!BL$2:BL$78)-IMshareM!BL$64),0))</f>
        <v>9.6525299222179113E-6</v>
      </c>
      <c r="BM56" s="8">
        <f>IF($A56=BM$1,0,IF(SUM(IMshareM!BM$2:BM$78)-IMshareM!BM$65&gt;0,IMshareM!BM56/(SUM(IMshareM!BM$2:BM$78)-IMshareM!BM$65),0))</f>
        <v>0</v>
      </c>
      <c r="BN56" s="8">
        <f>IF($A56=BN$1,0,IF(SUM(IMshareM!BN$2:BN$78)-IMshareM!BN$66&gt;0,IMshareM!BN56/(SUM(IMshareM!BN$2:BN$78)-IMshareM!BN$66),0))</f>
        <v>2.919464184677431E-5</v>
      </c>
      <c r="BO56" s="8">
        <f>IF($A56=BO$1,0,IF(SUM(IMshareM!BO$2:BO$78)-IMshareM!BO$67&gt;0,IMshareM!BO56/(SUM(IMshareM!BO$2:BO$78)-IMshareM!BO$67),0))</f>
        <v>1.1977544855730722E-7</v>
      </c>
      <c r="BP56" s="8">
        <f>IF($A56=BP$1,0,IF(SUM(IMshareM!BP$2:BP$78)-IMshareM!BP$68&gt;0,IMshareM!BP56/(SUM(IMshareM!BP$2:BP$78)-IMshareM!BP$68),0))</f>
        <v>3.078855808208556E-7</v>
      </c>
      <c r="BQ56" s="8">
        <f>IF($A56=BQ$1,0,IF(SUM(IMshareM!BQ$2:BQ$78)-IMshareM!BQ$69&gt;0,IMshareM!BQ56/(SUM(IMshareM!BQ$2:BQ$78)-IMshareM!BQ$69),0))</f>
        <v>2.0084422268175697E-5</v>
      </c>
      <c r="BR56" s="8">
        <f>IF($A56=BR$1,0,IF(SUM(IMshareM!BR$2:BR$78)-IMshareM!BR$70&gt;0,IMshareM!BR56/(SUM(IMshareM!BR$2:BR$78)-IMshareM!BR$70),0))</f>
        <v>6.5612653768044621E-4</v>
      </c>
      <c r="BS56" s="8">
        <f>IF($A56=BS$1,0,IF(SUM(IMshareM!BS$2:BS$78)-IMshareM!BS$71&gt;0,IMshareM!BS56/(SUM(IMshareM!BS$2:BS$78)-IMshareM!BS$71),0))</f>
        <v>0</v>
      </c>
      <c r="BT56" s="8">
        <f>IF($A56=BT$1,0,IF(SUM(IMshareM!BT$2:BT$78)-IMshareM!BT$72&gt;0,IMshareM!BT56/(SUM(IMshareM!BT$2:BT$78)-IMshareM!BT$72),0))</f>
        <v>6.6659401156924841E-6</v>
      </c>
      <c r="BU56" s="8">
        <f>IF($A56=BU$1,0,IF(SUM(IMshareM!BU$2:BU$78)-IMshareM!BU$73&gt;0,IMshareM!BU56/(SUM(IMshareM!BU$2:BU$78)-IMshareM!BU$73),0))</f>
        <v>8.4415793978962205E-6</v>
      </c>
      <c r="BV56" s="8">
        <f>IF($A56=BV$1,0,IF(SUM(IMshareM!BV$2:BV$78)-IMshareM!BV$74&gt;0,IMshareM!BV56/(SUM(IMshareM!BV$2:BV$78)-IMshareM!BV$74),0))</f>
        <v>0</v>
      </c>
      <c r="BW56" s="8">
        <f>IF($A56=BW$1,0,IF(SUM(IMshareM!BW$2:BW$78)-IMshareM!BW$75&gt;0,IMshareM!BW56/(SUM(IMshareM!BW$2:BW$78)-IMshareM!BW$75),0))</f>
        <v>3.8192667321257961E-5</v>
      </c>
      <c r="BX56" s="8">
        <f>IF($A56=BX$1,0,IF(SUM(IMshareM!BX$2:BX$78)-IMshareM!BX$76&gt;0,IMshareM!BX56/(SUM(IMshareM!BX$2:BX$78)-IMshareM!BX$76),0))</f>
        <v>1.6056826761779287E-5</v>
      </c>
      <c r="BY56" s="8">
        <f>IF($A56=BY$1,0,IF(SUM(IMshareM!BY$2:BY$78)-IMshareM!BY$77&gt;0,IMshareM!BY56/(SUM(IMshareM!BY$2:BY$78)-IMshareM!BY$77),0))</f>
        <v>4.0467187781358135E-5</v>
      </c>
      <c r="BZ56" s="8">
        <f>IF($A56=BZ$1,0,IF(SUM(IMshareM!BZ$2:BZ$78)-IMshareM!BZ$78&gt;0,IMshareM!BZ56/(SUM(IMshareM!BZ$2:BZ$78)-IMshareM!BZ$78),0))</f>
        <v>3.8379063848222467E-4</v>
      </c>
    </row>
    <row r="57" spans="1:78">
      <c r="A57" s="4" t="s">
        <v>181</v>
      </c>
      <c r="B57" s="8">
        <f>IF($A57=B$1,0,IF(SUM(IMshareM!B$2:B$78)-IMshareM!B$2&gt;0,IMshareM!B57/(SUM(IMshareM!B$2:B$78)-IMshareM!B$2),0))</f>
        <v>5.4851478436636607E-4</v>
      </c>
      <c r="C57" s="8">
        <f>IF($A57=C$1,0,IF(SUM(IMshareM!C$2:C$78)-IMshareM!C$3&gt;0,IMshareM!C57/(SUM(IMshareM!C$2:C$78)-IMshareM!C$3),0))</f>
        <v>4.6866405390750667E-5</v>
      </c>
      <c r="D57" s="8">
        <f>IF($A57=D$1,0,IF(SUM(IMshareM!D$2:D$78)-IMshareM!D$4&gt;0,IMshareM!D57/(SUM(IMshareM!D$2:D$78)-IMshareM!D$4),0))</f>
        <v>0</v>
      </c>
      <c r="E57" s="8">
        <f>IF($A57=E$1,0,IF(SUM(IMshareM!E$2:E$78)-IMshareM!E$5&gt;0,IMshareM!E57/(SUM(IMshareM!E$2:E$78)-IMshareM!E$5),0))</f>
        <v>1.7030162261759824E-7</v>
      </c>
      <c r="F57" s="8">
        <f>IF($A57=F$1,0,IF(SUM(IMshareM!F$2:F$78)-IMshareM!F$6&gt;0,IMshareM!F57/(SUM(IMshareM!F$2:F$78)-IMshareM!F$6),0))</f>
        <v>1.6581429331160135E-3</v>
      </c>
      <c r="G57" s="8">
        <f>IF($A57=G$1,0,IF(SUM(IMshareM!G$2:G$78)-IMshareM!G$7&gt;0,IMshareM!G57/(SUM(IMshareM!G$2:G$78)-IMshareM!G$7),0))</f>
        <v>0</v>
      </c>
      <c r="H57" s="8">
        <f>IF($A57=H$1,0,IF(SUM(IMshareM!H$2:H$78)-IMshareM!H$8&gt;0,IMshareM!H57/(SUM(IMshareM!H$2:H$78)-IMshareM!H$8),0))</f>
        <v>0</v>
      </c>
      <c r="I57" s="8">
        <f>IF($A57=I$1,0,IF(SUM(IMshareM!I$2:I$78)-IMshareM!I$9&gt;0,IMshareM!I57/(SUM(IMshareM!I$2:I$78)-IMshareM!I$9),0))</f>
        <v>0</v>
      </c>
      <c r="J57" s="8">
        <f>IF($A57=J$1,0,IF(SUM(IMshareM!J$2:J$78)-IMshareM!J$10&gt;0,IMshareM!J57/(SUM(IMshareM!J$2:J$78)-IMshareM!J$10),0))</f>
        <v>0</v>
      </c>
      <c r="K57" s="8">
        <f>IF($A57=K$1,0,IF(SUM(IMshareM!K$2:K$78)-IMshareM!K$11&gt;0,IMshareM!K57/(SUM(IMshareM!K$2:K$78)-IMshareM!K$11),0))</f>
        <v>4.3041027231865891E-7</v>
      </c>
      <c r="L57" s="8">
        <f>IF($A57=L$1,0,IF(SUM(IMshareM!L$2:L$78)-IMshareM!L$12&gt;0,IMshareM!L57/(SUM(IMshareM!L$2:L$78)-IMshareM!L$12),0))</f>
        <v>0</v>
      </c>
      <c r="M57" s="8">
        <f>IF($A57=M$1,0,IF(SUM(IMshareM!M$2:M$78)-IMshareM!M$13&gt;0,IMshareM!M57/(SUM(IMshareM!M$2:M$78)-IMshareM!M$13),0))</f>
        <v>3.7109904387539291E-5</v>
      </c>
      <c r="N57" s="8">
        <f>IF($A57=N$1,0,IF(SUM(IMshareM!N$2:N$78)-IMshareM!N$14&gt;0,IMshareM!N57/(SUM(IMshareM!N$2:N$78)-IMshareM!N$14),0))</f>
        <v>7.649436230566596E-8</v>
      </c>
      <c r="O57" s="8">
        <f>IF($A57=O$1,0,IF(SUM(IMshareM!O$2:O$78)-IMshareM!O$15&gt;0,IMshareM!O57/(SUM(IMshareM!O$2:O$78)-IMshareM!O$15),0))</f>
        <v>0</v>
      </c>
      <c r="P57" s="8">
        <f>IF($A57=P$1,0,IF(SUM(IMshareM!P$2:P$78)-IMshareM!P$16&gt;0,IMshareM!P57/(SUM(IMshareM!P$2:P$78)-IMshareM!P$16),0))</f>
        <v>0</v>
      </c>
      <c r="Q57" s="8">
        <f>IF($A57=Q$1,0,IF(SUM(IMshareM!Q$2:Q$78)-IMshareM!Q$17&gt;0,IMshareM!Q57/(SUM(IMshareM!Q$2:Q$78)-IMshareM!Q$17),0))</f>
        <v>0</v>
      </c>
      <c r="R57" s="8">
        <f>IF($A57=R$1,0,IF(SUM(IMshareM!R$2:R$78)-IMshareM!R$18&gt;0,IMshareM!R57/(SUM(IMshareM!R$2:R$78)-IMshareM!R$18),0))</f>
        <v>0</v>
      </c>
      <c r="S57" s="8">
        <f>IF($A57=S$1,0,IF(SUM(IMshareM!S$2:S$78)-IMshareM!S$19&gt;0,IMshareM!S57/(SUM(IMshareM!S$2:S$78)-IMshareM!S$19),0))</f>
        <v>0</v>
      </c>
      <c r="T57" s="8">
        <f>IF($A57=T$1,0,IF(SUM(IMshareM!T$2:T$78)-IMshareM!T$20&gt;0,IMshareM!T57/(SUM(IMshareM!T$2:T$78)-IMshareM!T$20),0))</f>
        <v>5.6824003884310143E-7</v>
      </c>
      <c r="U57" s="8">
        <f>IF($A57=U$1,0,IF(SUM(IMshareM!U$2:U$78)-IMshareM!U$21&gt;0,IMshareM!U57/(SUM(IMshareM!U$2:U$78)-IMshareM!U$21),0))</f>
        <v>2.965811386653691E-6</v>
      </c>
      <c r="V57" s="8">
        <f>IF($A57=V$1,0,IF(SUM(IMshareM!V$2:V$78)-IMshareM!V$22&gt;0,IMshareM!V57/(SUM(IMshareM!V$2:V$78)-IMshareM!V$22),0))</f>
        <v>0</v>
      </c>
      <c r="W57" s="8">
        <f>IF($A57=W$1,0,IF(SUM(IMshareM!W$2:W$78)-IMshareM!W$23&gt;0,IMshareM!W57/(SUM(IMshareM!W$2:W$78)-IMshareM!W$23),0))</f>
        <v>0</v>
      </c>
      <c r="X57" s="8">
        <f>IF($A57=X$1,0,IF(SUM(IMshareM!X$2:X$78)-IMshareM!X$24&gt;0,IMshareM!X57/(SUM(IMshareM!X$2:X$78)-IMshareM!X$24),0))</f>
        <v>1.8528905562936432E-6</v>
      </c>
      <c r="Y57" s="8">
        <f>IF($A57=Y$1,0,IF(SUM(IMshareM!Y$2:Y$78)-IMshareM!Y$25&gt;0,IMshareM!Y57/(SUM(IMshareM!Y$2:Y$78)-IMshareM!Y$25),0))</f>
        <v>0</v>
      </c>
      <c r="Z57" s="8">
        <f>IF($A57=Z$1,0,IF(SUM(IMshareM!Z$2:Z$78)-IMshareM!Z$26&gt;0,IMshareM!Z57/(SUM(IMshareM!Z$2:Z$78)-IMshareM!Z$26),0))</f>
        <v>0</v>
      </c>
      <c r="AA57" s="8">
        <f>IF($A57=AA$1,0,IF(SUM(IMshareM!AA$2:AA$78)-IMshareM!AA$27&gt;0,IMshareM!AA57/(SUM(IMshareM!AA$2:AA$78)-IMshareM!AA$27),0))</f>
        <v>0</v>
      </c>
      <c r="AB57" s="8">
        <f>IF($A57=AB$1,0,IF(SUM(IMshareM!AB$2:AB$78)-IMshareM!AB$28&gt;0,IMshareM!AB57/(SUM(IMshareM!AB$2:AB$78)-IMshareM!AB$28),0))</f>
        <v>2.0959822418430894E-5</v>
      </c>
      <c r="AC57" s="8">
        <f>IF($A57=AC$1,0,IF(SUM(IMshareM!AC$2:AC$78)-IMshareM!AC$29&gt;0,IMshareM!AC57/(SUM(IMshareM!AC$2:AC$78)-IMshareM!AC$29),0))</f>
        <v>0</v>
      </c>
      <c r="AD57" s="8">
        <f>IF($A57=AD$1,0,IF(SUM(IMshareM!AD$2:AD$78)-IMshareM!AD$30&gt;0,IMshareM!AD57/(SUM(IMshareM!AD$2:AD$78)-IMshareM!AD$30),0))</f>
        <v>0</v>
      </c>
      <c r="AE57" s="8">
        <f>IF($A57=AE$1,0,IF(SUM(IMshareM!AE$2:AE$78)-IMshareM!AE$31&gt;0,IMshareM!AE57/(SUM(IMshareM!AE$2:AE$78)-IMshareM!AE$31),0))</f>
        <v>0</v>
      </c>
      <c r="AF57" s="8">
        <f>IF($A57=AF$1,0,IF(SUM(IMshareM!AF$2:AF$78)-IMshareM!AF$32&gt;0,IMshareM!AF57/(SUM(IMshareM!AF$2:AF$78)-IMshareM!AF$32),0))</f>
        <v>0</v>
      </c>
      <c r="AG57" s="8">
        <f>IF($A57=AG$1,0,IF(SUM(IMshareM!AG$2:AG$78)-IMshareM!AG$33&gt;0,IMshareM!AG57/(SUM(IMshareM!AG$2:AG$78)-IMshareM!AG$33),0))</f>
        <v>0</v>
      </c>
      <c r="AH57" s="8">
        <f>IF($A57=AH$1,0,IF(SUM(IMshareM!AH$2:AH$78)-IMshareM!AH$34&gt;0,IMshareM!AH57/(SUM(IMshareM!AH$2:AH$78)-IMshareM!AH$34),0))</f>
        <v>0</v>
      </c>
      <c r="AI57" s="8">
        <f>IF($A57=AI$1,0,IF(SUM(IMshareM!AI$2:AI$78)-IMshareM!AI$35&gt;0,IMshareM!AI57/(SUM(IMshareM!AI$2:AI$78)-IMshareM!AI$35),0))</f>
        <v>2.1542677811152335E-6</v>
      </c>
      <c r="AJ57" s="8">
        <f>IF($A57=AJ$1,0,IF(SUM(IMshareM!AJ$2:AJ$78)-IMshareM!AJ$36&gt;0,IMshareM!AJ57/(SUM(IMshareM!AJ$2:AJ$78)-IMshareM!AJ$36),0))</f>
        <v>0</v>
      </c>
      <c r="AK57" s="8">
        <f>IF($A57=AK$1,0,IF(SUM(IMshareM!AK$2:AK$78)-IMshareM!AK$37&gt;0,IMshareM!AK57/(SUM(IMshareM!AK$2:AK$78)-IMshareM!AK$37),0))</f>
        <v>0</v>
      </c>
      <c r="AL57" s="8">
        <f>IF($A57=AL$1,0,IF(SUM(IMshareM!AL$2:AL$78)-IMshareM!AL$38&gt;0,IMshareM!AL57/(SUM(IMshareM!AL$2:AL$78)-IMshareM!AL$38),0))</f>
        <v>3.1724433537805632E-6</v>
      </c>
      <c r="AM57" s="8">
        <f>IF($A57=AM$1,0,IF(SUM(IMshareM!AM$2:AM$78)-IMshareM!AM$39&gt;0,IMshareM!AM57/(SUM(IMshareM!AM$2:AM$78)-IMshareM!AM$39),0))</f>
        <v>0</v>
      </c>
      <c r="AN57" s="8">
        <f>IF($A57=AN$1,0,IF(SUM(IMshareM!AN$2:AN$78)-IMshareM!AN$40&gt;0,IMshareM!AN57/(SUM(IMshareM!AN$2:AN$78)-IMshareM!AN$40),0))</f>
        <v>0</v>
      </c>
      <c r="AO57" s="8">
        <f>IF($A57=AO$1,0,IF(SUM(IMshareM!AO$2:AO$78)-IMshareM!AO$41&gt;0,IMshareM!AO57/(SUM(IMshareM!AO$2:AO$78)-IMshareM!AO$41),0))</f>
        <v>0</v>
      </c>
      <c r="AP57" s="8">
        <f>IF($A57=AP$1,0,IF(SUM(IMshareM!AP$2:AP$78)-IMshareM!AP$42&gt;0,IMshareM!AP57/(SUM(IMshareM!AP$2:AP$78)-IMshareM!AP$42),0))</f>
        <v>0</v>
      </c>
      <c r="AQ57" s="8">
        <f>IF($A57=AQ$1,0,IF(SUM(IMshareM!AQ$2:AQ$78)-IMshareM!AQ$43&gt;0,IMshareM!AQ57/(SUM(IMshareM!AQ$2:AQ$78)-IMshareM!AQ$43),0))</f>
        <v>0</v>
      </c>
      <c r="AR57" s="8">
        <f>IF($A57=AR$1,0,IF(SUM(IMshareM!AR$2:AR$78)-IMshareM!AR$44&gt;0,IMshareM!AR57/(SUM(IMshareM!AR$2:AR$78)-IMshareM!AR$44),0))</f>
        <v>0</v>
      </c>
      <c r="AS57" s="8">
        <f>IF($A57=AS$1,0,IF(SUM(IMshareM!AS$2:AS$78)-IMshareM!AS$45&gt;0,IMshareM!AS57/(SUM(IMshareM!AS$2:AS$78)-IMshareM!AS$45),0))</f>
        <v>0</v>
      </c>
      <c r="AT57" s="8">
        <f>IF($A57=AT$1,0,IF(SUM(IMshareM!AT$2:AT$78)-IMshareM!AT$46&gt;0,IMshareM!AT57/(SUM(IMshareM!AT$2:AT$78)-IMshareM!AT$46),0))</f>
        <v>0</v>
      </c>
      <c r="AU57" s="8">
        <f>IF($A57=AU$1,0,IF(SUM(IMshareM!AU$2:AU$78)-IMshareM!AU$47&gt;0,IMshareM!AU57/(SUM(IMshareM!AU$2:AU$78)-IMshareM!AU$47),0))</f>
        <v>0</v>
      </c>
      <c r="AV57" s="8">
        <f>IF($A57=AV$1,0,IF(SUM(IMshareM!AV$2:AV$78)-IMshareM!AV$48&gt;0,IMshareM!AV57/(SUM(IMshareM!AV$2:AV$78)-IMshareM!AV$48),0))</f>
        <v>2.0628018946117131E-6</v>
      </c>
      <c r="AW57" s="8">
        <f>IF($A57=AW$1,0,IF(SUM(IMshareM!AW$2:AW$78)-IMshareM!AW$49&gt;0,IMshareM!AW57/(SUM(IMshareM!AW$2:AW$78)-IMshareM!AW$49),0))</f>
        <v>0</v>
      </c>
      <c r="AX57" s="8">
        <f>IF($A57=AX$1,0,IF(SUM(IMshareM!AX$2:AX$78)-IMshareM!AX$50&gt;0,IMshareM!AX57/(SUM(IMshareM!AX$2:AX$78)-IMshareM!AX$50),0))</f>
        <v>0</v>
      </c>
      <c r="AY57" s="8">
        <f>IF($A57=AY$1,0,IF(SUM(IMshareM!AY$2:AY$78)-IMshareM!AY$51&gt;0,IMshareM!AY57/(SUM(IMshareM!AY$2:AY$78)-IMshareM!AY$51),0))</f>
        <v>0</v>
      </c>
      <c r="AZ57" s="8">
        <f>IF($A57=AZ$1,0,IF(SUM(IMshareM!AZ$2:AZ$78)-IMshareM!AZ$52&gt;0,IMshareM!AZ57/(SUM(IMshareM!AZ$2:AZ$78)-IMshareM!AZ$52),0))</f>
        <v>8.3030207157594205E-8</v>
      </c>
      <c r="BA57" s="8">
        <f>IF($A57=BA$1,0,IF(SUM(IMshareM!BA$2:BA$78)-IMshareM!BA$53&gt;0,IMshareM!BA57/(SUM(IMshareM!BA$2:BA$78)-IMshareM!BA$53),0))</f>
        <v>0</v>
      </c>
      <c r="BB57" s="8">
        <f>IF($A57=BB$1,0,IF(SUM(IMshareM!BB$2:BB$78)-IMshareM!BB$54&gt;0,IMshareM!BB57/(SUM(IMshareM!BB$2:BB$78)-IMshareM!BB$54),0))</f>
        <v>8.7987114944499987E-7</v>
      </c>
      <c r="BC57" s="8">
        <f>IF($A57=BC$1,0,IF(SUM(IMshareM!BC$2:BC$78)-IMshareM!BC$55&gt;0,IMshareM!BC57/(SUM(IMshareM!BC$2:BC$78)-IMshareM!BC$55),0))</f>
        <v>9.9244789414812606E-6</v>
      </c>
      <c r="BD57" s="8">
        <f>IF($A57=BD$1,0,IF(SUM(IMshareM!BD$2:BD$78)-IMshareM!BD$56&gt;0,IMshareM!BD57/(SUM(IMshareM!BD$2:BD$78)-IMshareM!BD$56),0))</f>
        <v>0</v>
      </c>
      <c r="BE57" s="8">
        <f>IF($A57=BE$1,0,IF(SUM(IMshareM!BE$2:BE$78)-IMshareM!BE$57&gt;0,IMshareM!BE57/(SUM(IMshareM!BE$2:BE$78)-IMshareM!BE$57),0))</f>
        <v>0</v>
      </c>
      <c r="BF57" s="8">
        <f>IF($A57=BF$1,0,IF(SUM(IMshareM!BF$2:BF$78)-IMshareM!BF$58&gt;0,IMshareM!BF57/(SUM(IMshareM!BF$2:BF$78)-IMshareM!BF$58),0))</f>
        <v>0</v>
      </c>
      <c r="BG57" s="8">
        <f>IF($A57=BG$1,0,IF(SUM(IMshareM!BG$2:BG$78)-IMshareM!BG$59&gt;0,IMshareM!BG57/(SUM(IMshareM!BG$2:BG$78)-IMshareM!BG$59),0))</f>
        <v>5.3179543879910518E-7</v>
      </c>
      <c r="BH57" s="8">
        <f>IF($A57=BH$1,0,IF(SUM(IMshareM!BH$2:BH$78)-IMshareM!BH$60&gt;0,IMshareM!BH57/(SUM(IMshareM!BH$2:BH$78)-IMshareM!BH$60),0))</f>
        <v>0</v>
      </c>
      <c r="BI57" s="8">
        <f>IF($A57=BI$1,0,IF(SUM(IMshareM!BI$2:BI$78)-IMshareM!BI$61&gt;0,IMshareM!BI57/(SUM(IMshareM!BI$2:BI$78)-IMshareM!BI$61),0))</f>
        <v>0</v>
      </c>
      <c r="BJ57" s="8">
        <f>IF($A57=BJ$1,0,IF(SUM(IMshareM!BJ$2:BJ$78)-IMshareM!BJ$62&gt;0,IMshareM!BJ57/(SUM(IMshareM!BJ$2:BJ$78)-IMshareM!BJ$62),0))</f>
        <v>0</v>
      </c>
      <c r="BK57" s="8">
        <f>IF($A57=BK$1,0,IF(SUM(IMshareM!BK$2:BK$78)-IMshareM!BK$63&gt;0,IMshareM!BK57/(SUM(IMshareM!BK$2:BK$78)-IMshareM!BK$63),0))</f>
        <v>0</v>
      </c>
      <c r="BL57" s="8">
        <f>IF($A57=BL$1,0,IF(SUM(IMshareM!BL$2:BL$78)-IMshareM!BL$64&gt;0,IMshareM!BL57/(SUM(IMshareM!BL$2:BL$78)-IMshareM!BL$64),0))</f>
        <v>3.884329311870829E-6</v>
      </c>
      <c r="BM57" s="8">
        <f>IF($A57=BM$1,0,IF(SUM(IMshareM!BM$2:BM$78)-IMshareM!BM$65&gt;0,IMshareM!BM57/(SUM(IMshareM!BM$2:BM$78)-IMshareM!BM$65),0))</f>
        <v>6.3385776014530091E-5</v>
      </c>
      <c r="BN57" s="8">
        <f>IF($A57=BN$1,0,IF(SUM(IMshareM!BN$2:BN$78)-IMshareM!BN$66&gt;0,IMshareM!BN57/(SUM(IMshareM!BN$2:BN$78)-IMshareM!BN$66),0))</f>
        <v>0</v>
      </c>
      <c r="BO57" s="8">
        <f>IF($A57=BO$1,0,IF(SUM(IMshareM!BO$2:BO$78)-IMshareM!BO$67&gt;0,IMshareM!BO57/(SUM(IMshareM!BO$2:BO$78)-IMshareM!BO$67),0))</f>
        <v>2.0466424374739166E-7</v>
      </c>
      <c r="BP57" s="8">
        <f>IF($A57=BP$1,0,IF(SUM(IMshareM!BP$2:BP$78)-IMshareM!BP$68&gt;0,IMshareM!BP57/(SUM(IMshareM!BP$2:BP$78)-IMshareM!BP$68),0))</f>
        <v>3.5023876381144487E-5</v>
      </c>
      <c r="BQ57" s="8">
        <f>IF($A57=BQ$1,0,IF(SUM(IMshareM!BQ$2:BQ$78)-IMshareM!BQ$69&gt;0,IMshareM!BQ57/(SUM(IMshareM!BQ$2:BQ$78)-IMshareM!BQ$69),0))</f>
        <v>1.3851270630052497E-7</v>
      </c>
      <c r="BR57" s="8">
        <f>IF($A57=BR$1,0,IF(SUM(IMshareM!BR$2:BR$78)-IMshareM!BR$70&gt;0,IMshareM!BR57/(SUM(IMshareM!BR$2:BR$78)-IMshareM!BR$70),0))</f>
        <v>1.2740464494748097E-7</v>
      </c>
      <c r="BS57" s="8">
        <f>IF($A57=BS$1,0,IF(SUM(IMshareM!BS$2:BS$78)-IMshareM!BS$71&gt;0,IMshareM!BS57/(SUM(IMshareM!BS$2:BS$78)-IMshareM!BS$71),0))</f>
        <v>0</v>
      </c>
      <c r="BT57" s="8">
        <f>IF($A57=BT$1,0,IF(SUM(IMshareM!BT$2:BT$78)-IMshareM!BT$72&gt;0,IMshareM!BT57/(SUM(IMshareM!BT$2:BT$78)-IMshareM!BT$72),0))</f>
        <v>4.479352491878971E-7</v>
      </c>
      <c r="BU57" s="8">
        <f>IF($A57=BU$1,0,IF(SUM(IMshareM!BU$2:BU$78)-IMshareM!BU$73&gt;0,IMshareM!BU57/(SUM(IMshareM!BU$2:BU$78)-IMshareM!BU$73),0))</f>
        <v>0</v>
      </c>
      <c r="BV57" s="8">
        <f>IF($A57=BV$1,0,IF(SUM(IMshareM!BV$2:BV$78)-IMshareM!BV$74&gt;0,IMshareM!BV57/(SUM(IMshareM!BV$2:BV$78)-IMshareM!BV$74),0))</f>
        <v>0</v>
      </c>
      <c r="BW57" s="8">
        <f>IF($A57=BW$1,0,IF(SUM(IMshareM!BW$2:BW$78)-IMshareM!BW$75&gt;0,IMshareM!BW57/(SUM(IMshareM!BW$2:BW$78)-IMshareM!BW$75),0))</f>
        <v>4.9730280283506614E-4</v>
      </c>
      <c r="BX57" s="8">
        <f>IF($A57=BX$1,0,IF(SUM(IMshareM!BX$2:BX$78)-IMshareM!BX$76&gt;0,IMshareM!BX57/(SUM(IMshareM!BX$2:BX$78)-IMshareM!BX$76),0))</f>
        <v>0</v>
      </c>
      <c r="BY57" s="8">
        <f>IF($A57=BY$1,0,IF(SUM(IMshareM!BY$2:BY$78)-IMshareM!BY$77&gt;0,IMshareM!BY57/(SUM(IMshareM!BY$2:BY$78)-IMshareM!BY$77),0))</f>
        <v>1.2506888370927682E-7</v>
      </c>
      <c r="BZ57" s="8">
        <f>IF($A57=BZ$1,0,IF(SUM(IMshareM!BZ$2:BZ$78)-IMshareM!BZ$78&gt;0,IMshareM!BZ57/(SUM(IMshareM!BZ$2:BZ$78)-IMshareM!BZ$78),0))</f>
        <v>4.7523466355889733E-4</v>
      </c>
    </row>
    <row r="58" spans="1:78">
      <c r="A58" s="4" t="s">
        <v>183</v>
      </c>
      <c r="B58" s="8">
        <f>IF($A58=B$1,0,IF(SUM(IMshareM!B$2:B$78)-IMshareM!B$2&gt;0,IMshareM!B58/(SUM(IMshareM!B$2:B$78)-IMshareM!B$2),0))</f>
        <v>4.5567043840312463E-5</v>
      </c>
      <c r="C58" s="8">
        <f>IF($A58=C$1,0,IF(SUM(IMshareM!C$2:C$78)-IMshareM!C$3&gt;0,IMshareM!C58/(SUM(IMshareM!C$2:C$78)-IMshareM!C$3),0))</f>
        <v>0</v>
      </c>
      <c r="D58" s="8">
        <f>IF($A58=D$1,0,IF(SUM(IMshareM!D$2:D$78)-IMshareM!D$4&gt;0,IMshareM!D58/(SUM(IMshareM!D$2:D$78)-IMshareM!D$4),0))</f>
        <v>0</v>
      </c>
      <c r="E58" s="8">
        <f>IF($A58=E$1,0,IF(SUM(IMshareM!E$2:E$78)-IMshareM!E$5&gt;0,IMshareM!E58/(SUM(IMshareM!E$2:E$78)-IMshareM!E$5),0))</f>
        <v>2.7999450298589175E-6</v>
      </c>
      <c r="F58" s="8">
        <f>IF($A58=F$1,0,IF(SUM(IMshareM!F$2:F$78)-IMshareM!F$6&gt;0,IMshareM!F58/(SUM(IMshareM!F$2:F$78)-IMshareM!F$6),0))</f>
        <v>0</v>
      </c>
      <c r="G58" s="8">
        <f>IF($A58=G$1,0,IF(SUM(IMshareM!G$2:G$78)-IMshareM!G$7&gt;0,IMshareM!G58/(SUM(IMshareM!G$2:G$78)-IMshareM!G$7),0))</f>
        <v>0</v>
      </c>
      <c r="H58" s="8">
        <f>IF($A58=H$1,0,IF(SUM(IMshareM!H$2:H$78)-IMshareM!H$8&gt;0,IMshareM!H58/(SUM(IMshareM!H$2:H$78)-IMshareM!H$8),0))</f>
        <v>0</v>
      </c>
      <c r="I58" s="8">
        <f>IF($A58=I$1,0,IF(SUM(IMshareM!I$2:I$78)-IMshareM!I$9&gt;0,IMshareM!I58/(SUM(IMshareM!I$2:I$78)-IMshareM!I$9),0))</f>
        <v>8.3529526692747117E-7</v>
      </c>
      <c r="J58" s="8">
        <f>IF($A58=J$1,0,IF(SUM(IMshareM!J$2:J$78)-IMshareM!J$10&gt;0,IMshareM!J58/(SUM(IMshareM!J$2:J$78)-IMshareM!J$10),0))</f>
        <v>0</v>
      </c>
      <c r="K58" s="8">
        <f>IF($A58=K$1,0,IF(SUM(IMshareM!K$2:K$78)-IMshareM!K$11&gt;0,IMshareM!K58/(SUM(IMshareM!K$2:K$78)-IMshareM!K$11),0))</f>
        <v>2.9095056480717941E-6</v>
      </c>
      <c r="L58" s="8">
        <f>IF($A58=L$1,0,IF(SUM(IMshareM!L$2:L$78)-IMshareM!L$12&gt;0,IMshareM!L58/(SUM(IMshareM!L$2:L$78)-IMshareM!L$12),0))</f>
        <v>0</v>
      </c>
      <c r="M58" s="8">
        <f>IF($A58=M$1,0,IF(SUM(IMshareM!M$2:M$78)-IMshareM!M$13&gt;0,IMshareM!M58/(SUM(IMshareM!M$2:M$78)-IMshareM!M$13),0))</f>
        <v>1.0647711241892708E-4</v>
      </c>
      <c r="N58" s="8">
        <f>IF($A58=N$1,0,IF(SUM(IMshareM!N$2:N$78)-IMshareM!N$14&gt;0,IMshareM!N58/(SUM(IMshareM!N$2:N$78)-IMshareM!N$14),0))</f>
        <v>2.5233245968268719E-5</v>
      </c>
      <c r="O58" s="8">
        <f>IF($A58=O$1,0,IF(SUM(IMshareM!O$2:O$78)-IMshareM!O$15&gt;0,IMshareM!O58/(SUM(IMshareM!O$2:O$78)-IMshareM!O$15),0))</f>
        <v>0</v>
      </c>
      <c r="P58" s="8">
        <f>IF($A58=P$1,0,IF(SUM(IMshareM!P$2:P$78)-IMshareM!P$16&gt;0,IMshareM!P58/(SUM(IMshareM!P$2:P$78)-IMshareM!P$16),0))</f>
        <v>0</v>
      </c>
      <c r="Q58" s="8">
        <f>IF($A58=Q$1,0,IF(SUM(IMshareM!Q$2:Q$78)-IMshareM!Q$17&gt;0,IMshareM!Q58/(SUM(IMshareM!Q$2:Q$78)-IMshareM!Q$17),0))</f>
        <v>1.0014854471997513E-3</v>
      </c>
      <c r="R58" s="8">
        <f>IF($A58=R$1,0,IF(SUM(IMshareM!R$2:R$78)-IMshareM!R$18&gt;0,IMshareM!R58/(SUM(IMshareM!R$2:R$78)-IMshareM!R$18),0))</f>
        <v>7.7085375278972131E-6</v>
      </c>
      <c r="S58" s="8">
        <f>IF($A58=S$1,0,IF(SUM(IMshareM!S$2:S$78)-IMshareM!S$19&gt;0,IMshareM!S58/(SUM(IMshareM!S$2:S$78)-IMshareM!S$19),0))</f>
        <v>0</v>
      </c>
      <c r="T58" s="8">
        <f>IF($A58=T$1,0,IF(SUM(IMshareM!T$2:T$78)-IMshareM!T$20&gt;0,IMshareM!T58/(SUM(IMshareM!T$2:T$78)-IMshareM!T$20),0))</f>
        <v>0</v>
      </c>
      <c r="U58" s="8">
        <f>IF($A58=U$1,0,IF(SUM(IMshareM!U$2:U$78)-IMshareM!U$21&gt;0,IMshareM!U58/(SUM(IMshareM!U$2:U$78)-IMshareM!U$21),0))</f>
        <v>4.5317247617876556E-6</v>
      </c>
      <c r="V58" s="8">
        <f>IF($A58=V$1,0,IF(SUM(IMshareM!V$2:V$78)-IMshareM!V$22&gt;0,IMshareM!V58/(SUM(IMshareM!V$2:V$78)-IMshareM!V$22),0))</f>
        <v>8.7795554951034837E-7</v>
      </c>
      <c r="W58" s="8">
        <f>IF($A58=W$1,0,IF(SUM(IMshareM!W$2:W$78)-IMshareM!W$23&gt;0,IMshareM!W58/(SUM(IMshareM!W$2:W$78)-IMshareM!W$23),0))</f>
        <v>0</v>
      </c>
      <c r="X58" s="8">
        <f>IF($A58=X$1,0,IF(SUM(IMshareM!X$2:X$78)-IMshareM!X$24&gt;0,IMshareM!X58/(SUM(IMshareM!X$2:X$78)-IMshareM!X$24),0))</f>
        <v>2.4684421976901879E-6</v>
      </c>
      <c r="Y58" s="8">
        <f>IF($A58=Y$1,0,IF(SUM(IMshareM!Y$2:Y$78)-IMshareM!Y$25&gt;0,IMshareM!Y58/(SUM(IMshareM!Y$2:Y$78)-IMshareM!Y$25),0))</f>
        <v>0</v>
      </c>
      <c r="Z58" s="8">
        <f>IF($A58=Z$1,0,IF(SUM(IMshareM!Z$2:Z$78)-IMshareM!Z$26&gt;0,IMshareM!Z58/(SUM(IMshareM!Z$2:Z$78)-IMshareM!Z$26),0))</f>
        <v>0</v>
      </c>
      <c r="AA58" s="8">
        <f>IF($A58=AA$1,0,IF(SUM(IMshareM!AA$2:AA$78)-IMshareM!AA$27&gt;0,IMshareM!AA58/(SUM(IMshareM!AA$2:AA$78)-IMshareM!AA$27),0))</f>
        <v>0</v>
      </c>
      <c r="AB58" s="8">
        <f>IF($A58=AB$1,0,IF(SUM(IMshareM!AB$2:AB$78)-IMshareM!AB$28&gt;0,IMshareM!AB58/(SUM(IMshareM!AB$2:AB$78)-IMshareM!AB$28),0))</f>
        <v>0</v>
      </c>
      <c r="AC58" s="8">
        <f>IF($A58=AC$1,0,IF(SUM(IMshareM!AC$2:AC$78)-IMshareM!AC$29&gt;0,IMshareM!AC58/(SUM(IMshareM!AC$2:AC$78)-IMshareM!AC$29),0))</f>
        <v>0</v>
      </c>
      <c r="AD58" s="8">
        <f>IF($A58=AD$1,0,IF(SUM(IMshareM!AD$2:AD$78)-IMshareM!AD$30&gt;0,IMshareM!AD58/(SUM(IMshareM!AD$2:AD$78)-IMshareM!AD$30),0))</f>
        <v>0</v>
      </c>
      <c r="AE58" s="8">
        <f>IF($A58=AE$1,0,IF(SUM(IMshareM!AE$2:AE$78)-IMshareM!AE$31&gt;0,IMshareM!AE58/(SUM(IMshareM!AE$2:AE$78)-IMshareM!AE$31),0))</f>
        <v>0</v>
      </c>
      <c r="AF58" s="8">
        <f>IF($A58=AF$1,0,IF(SUM(IMshareM!AF$2:AF$78)-IMshareM!AF$32&gt;0,IMshareM!AF58/(SUM(IMshareM!AF$2:AF$78)-IMshareM!AF$32),0))</f>
        <v>0</v>
      </c>
      <c r="AG58" s="8">
        <f>IF($A58=AG$1,0,IF(SUM(IMshareM!AG$2:AG$78)-IMshareM!AG$33&gt;0,IMshareM!AG58/(SUM(IMshareM!AG$2:AG$78)-IMshareM!AG$33),0))</f>
        <v>0</v>
      </c>
      <c r="AH58" s="8">
        <f>IF($A58=AH$1,0,IF(SUM(IMshareM!AH$2:AH$78)-IMshareM!AH$34&gt;0,IMshareM!AH58/(SUM(IMshareM!AH$2:AH$78)-IMshareM!AH$34),0))</f>
        <v>8.2361643334706836E-6</v>
      </c>
      <c r="AI58" s="8">
        <f>IF($A58=AI$1,0,IF(SUM(IMshareM!AI$2:AI$78)-IMshareM!AI$35&gt;0,IMshareM!AI58/(SUM(IMshareM!AI$2:AI$78)-IMshareM!AI$35),0))</f>
        <v>0</v>
      </c>
      <c r="AJ58" s="8">
        <f>IF($A58=AJ$1,0,IF(SUM(IMshareM!AJ$2:AJ$78)-IMshareM!AJ$36&gt;0,IMshareM!AJ58/(SUM(IMshareM!AJ$2:AJ$78)-IMshareM!AJ$36),0))</f>
        <v>0</v>
      </c>
      <c r="AK58" s="8">
        <f>IF($A58=AK$1,0,IF(SUM(IMshareM!AK$2:AK$78)-IMshareM!AK$37&gt;0,IMshareM!AK58/(SUM(IMshareM!AK$2:AK$78)-IMshareM!AK$37),0))</f>
        <v>0</v>
      </c>
      <c r="AL58" s="8">
        <f>IF($A58=AL$1,0,IF(SUM(IMshareM!AL$2:AL$78)-IMshareM!AL$38&gt;0,IMshareM!AL58/(SUM(IMshareM!AL$2:AL$78)-IMshareM!AL$38),0))</f>
        <v>1.7946745712163971E-6</v>
      </c>
      <c r="AM58" s="8">
        <f>IF($A58=AM$1,0,IF(SUM(IMshareM!AM$2:AM$78)-IMshareM!AM$39&gt;0,IMshareM!AM58/(SUM(IMshareM!AM$2:AM$78)-IMshareM!AM$39),0))</f>
        <v>0</v>
      </c>
      <c r="AN58" s="8">
        <f>IF($A58=AN$1,0,IF(SUM(IMshareM!AN$2:AN$78)-IMshareM!AN$40&gt;0,IMshareM!AN58/(SUM(IMshareM!AN$2:AN$78)-IMshareM!AN$40),0))</f>
        <v>1.4255852376993948E-6</v>
      </c>
      <c r="AO58" s="8">
        <f>IF($A58=AO$1,0,IF(SUM(IMshareM!AO$2:AO$78)-IMshareM!AO$41&gt;0,IMshareM!AO58/(SUM(IMshareM!AO$2:AO$78)-IMshareM!AO$41),0))</f>
        <v>0</v>
      </c>
      <c r="AP58" s="8">
        <f>IF($A58=AP$1,0,IF(SUM(IMshareM!AP$2:AP$78)-IMshareM!AP$42&gt;0,IMshareM!AP58/(SUM(IMshareM!AP$2:AP$78)-IMshareM!AP$42),0))</f>
        <v>0</v>
      </c>
      <c r="AQ58" s="8">
        <f>IF($A58=AQ$1,0,IF(SUM(IMshareM!AQ$2:AQ$78)-IMshareM!AQ$43&gt;0,IMshareM!AQ58/(SUM(IMshareM!AQ$2:AQ$78)-IMshareM!AQ$43),0))</f>
        <v>0</v>
      </c>
      <c r="AR58" s="8">
        <f>IF($A58=AR$1,0,IF(SUM(IMshareM!AR$2:AR$78)-IMshareM!AR$44&gt;0,IMshareM!AR58/(SUM(IMshareM!AR$2:AR$78)-IMshareM!AR$44),0))</f>
        <v>0</v>
      </c>
      <c r="AS58" s="8">
        <f>IF($A58=AS$1,0,IF(SUM(IMshareM!AS$2:AS$78)-IMshareM!AS$45&gt;0,IMshareM!AS58/(SUM(IMshareM!AS$2:AS$78)-IMshareM!AS$45),0))</f>
        <v>0</v>
      </c>
      <c r="AT58" s="8">
        <f>IF($A58=AT$1,0,IF(SUM(IMshareM!AT$2:AT$78)-IMshareM!AT$46&gt;0,IMshareM!AT58/(SUM(IMshareM!AT$2:AT$78)-IMshareM!AT$46),0))</f>
        <v>0</v>
      </c>
      <c r="AU58" s="8">
        <f>IF($A58=AU$1,0,IF(SUM(IMshareM!AU$2:AU$78)-IMshareM!AU$47&gt;0,IMshareM!AU58/(SUM(IMshareM!AU$2:AU$78)-IMshareM!AU$47),0))</f>
        <v>0</v>
      </c>
      <c r="AV58" s="8">
        <f>IF($A58=AV$1,0,IF(SUM(IMshareM!AV$2:AV$78)-IMshareM!AV$48&gt;0,IMshareM!AV58/(SUM(IMshareM!AV$2:AV$78)-IMshareM!AV$48),0))</f>
        <v>0</v>
      </c>
      <c r="AW58" s="8">
        <f>IF($A58=AW$1,0,IF(SUM(IMshareM!AW$2:AW$78)-IMshareM!AW$49&gt;0,IMshareM!AW58/(SUM(IMshareM!AW$2:AW$78)-IMshareM!AW$49),0))</f>
        <v>7.3983945432332614E-5</v>
      </c>
      <c r="AX58" s="8">
        <f>IF($A58=AX$1,0,IF(SUM(IMshareM!AX$2:AX$78)-IMshareM!AX$50&gt;0,IMshareM!AX58/(SUM(IMshareM!AX$2:AX$78)-IMshareM!AX$50),0))</f>
        <v>0</v>
      </c>
      <c r="AY58" s="8">
        <f>IF($A58=AY$1,0,IF(SUM(IMshareM!AY$2:AY$78)-IMshareM!AY$51&gt;0,IMshareM!AY58/(SUM(IMshareM!AY$2:AY$78)-IMshareM!AY$51),0))</f>
        <v>0</v>
      </c>
      <c r="AZ58" s="8">
        <f>IF($A58=AZ$1,0,IF(SUM(IMshareM!AZ$2:AZ$78)-IMshareM!AZ$52&gt;0,IMshareM!AZ58/(SUM(IMshareM!AZ$2:AZ$78)-IMshareM!AZ$52),0))</f>
        <v>0</v>
      </c>
      <c r="BA58" s="8">
        <f>IF($A58=BA$1,0,IF(SUM(IMshareM!BA$2:BA$78)-IMshareM!BA$53&gt;0,IMshareM!BA58/(SUM(IMshareM!BA$2:BA$78)-IMshareM!BA$53),0))</f>
        <v>0</v>
      </c>
      <c r="BB58" s="8">
        <f>IF($A58=BB$1,0,IF(SUM(IMshareM!BB$2:BB$78)-IMshareM!BB$54&gt;0,IMshareM!BB58/(SUM(IMshareM!BB$2:BB$78)-IMshareM!BB$54),0))</f>
        <v>2.5925895458388748E-6</v>
      </c>
      <c r="BC58" s="8">
        <f>IF($A58=BC$1,0,IF(SUM(IMshareM!BC$2:BC$78)-IMshareM!BC$55&gt;0,IMshareM!BC58/(SUM(IMshareM!BC$2:BC$78)-IMshareM!BC$55),0))</f>
        <v>0</v>
      </c>
      <c r="BD58" s="8">
        <f>IF($A58=BD$1,0,IF(SUM(IMshareM!BD$2:BD$78)-IMshareM!BD$56&gt;0,IMshareM!BD58/(SUM(IMshareM!BD$2:BD$78)-IMshareM!BD$56),0))</f>
        <v>0</v>
      </c>
      <c r="BE58" s="8">
        <f>IF($A58=BE$1,0,IF(SUM(IMshareM!BE$2:BE$78)-IMshareM!BE$57&gt;0,IMshareM!BE58/(SUM(IMshareM!BE$2:BE$78)-IMshareM!BE$57),0))</f>
        <v>0</v>
      </c>
      <c r="BF58" s="8">
        <f>IF($A58=BF$1,0,IF(SUM(IMshareM!BF$2:BF$78)-IMshareM!BF$58&gt;0,IMshareM!BF58/(SUM(IMshareM!BF$2:BF$78)-IMshareM!BF$58),0))</f>
        <v>0</v>
      </c>
      <c r="BG58" s="8">
        <f>IF($A58=BG$1,0,IF(SUM(IMshareM!BG$2:BG$78)-IMshareM!BG$59&gt;0,IMshareM!BG58/(SUM(IMshareM!BG$2:BG$78)-IMshareM!BG$59),0))</f>
        <v>0</v>
      </c>
      <c r="BH58" s="8">
        <f>IF($A58=BH$1,0,IF(SUM(IMshareM!BH$2:BH$78)-IMshareM!BH$60&gt;0,IMshareM!BH58/(SUM(IMshareM!BH$2:BH$78)-IMshareM!BH$60),0))</f>
        <v>1.308432441634445E-7</v>
      </c>
      <c r="BI58" s="8">
        <f>IF($A58=BI$1,0,IF(SUM(IMshareM!BI$2:BI$78)-IMshareM!BI$61&gt;0,IMshareM!BI58/(SUM(IMshareM!BI$2:BI$78)-IMshareM!BI$61),0))</f>
        <v>0</v>
      </c>
      <c r="BJ58" s="8">
        <f>IF($A58=BJ$1,0,IF(SUM(IMshareM!BJ$2:BJ$78)-IMshareM!BJ$62&gt;0,IMshareM!BJ58/(SUM(IMshareM!BJ$2:BJ$78)-IMshareM!BJ$62),0))</f>
        <v>0</v>
      </c>
      <c r="BK58" s="8">
        <f>IF($A58=BK$1,0,IF(SUM(IMshareM!BK$2:BK$78)-IMshareM!BK$63&gt;0,IMshareM!BK58/(SUM(IMshareM!BK$2:BK$78)-IMshareM!BK$63),0))</f>
        <v>0</v>
      </c>
      <c r="BL58" s="8">
        <f>IF($A58=BL$1,0,IF(SUM(IMshareM!BL$2:BL$78)-IMshareM!BL$64&gt;0,IMshareM!BL58/(SUM(IMshareM!BL$2:BL$78)-IMshareM!BL$64),0))</f>
        <v>0</v>
      </c>
      <c r="BM58" s="8">
        <f>IF($A58=BM$1,0,IF(SUM(IMshareM!BM$2:BM$78)-IMshareM!BM$65&gt;0,IMshareM!BM58/(SUM(IMshareM!BM$2:BM$78)-IMshareM!BM$65),0))</f>
        <v>0</v>
      </c>
      <c r="BN58" s="8">
        <f>IF($A58=BN$1,0,IF(SUM(IMshareM!BN$2:BN$78)-IMshareM!BN$66&gt;0,IMshareM!BN58/(SUM(IMshareM!BN$2:BN$78)-IMshareM!BN$66),0))</f>
        <v>0</v>
      </c>
      <c r="BO58" s="8">
        <f>IF($A58=BO$1,0,IF(SUM(IMshareM!BO$2:BO$78)-IMshareM!BO$67&gt;0,IMshareM!BO58/(SUM(IMshareM!BO$2:BO$78)-IMshareM!BO$67),0))</f>
        <v>0</v>
      </c>
      <c r="BP58" s="8">
        <f>IF($A58=BP$1,0,IF(SUM(IMshareM!BP$2:BP$78)-IMshareM!BP$68&gt;0,IMshareM!BP58/(SUM(IMshareM!BP$2:BP$78)-IMshareM!BP$68),0))</f>
        <v>0</v>
      </c>
      <c r="BQ58" s="8">
        <f>IF($A58=BQ$1,0,IF(SUM(IMshareM!BQ$2:BQ$78)-IMshareM!BQ$69&gt;0,IMshareM!BQ58/(SUM(IMshareM!BQ$2:BQ$78)-IMshareM!BQ$69),0))</f>
        <v>5.5405362711787431E-7</v>
      </c>
      <c r="BR58" s="8">
        <f>IF($A58=BR$1,0,IF(SUM(IMshareM!BR$2:BR$78)-IMshareM!BR$70&gt;0,IMshareM!BR58/(SUM(IMshareM!BR$2:BR$78)-IMshareM!BR$70),0))</f>
        <v>0</v>
      </c>
      <c r="BS58" s="8">
        <f>IF($A58=BS$1,0,IF(SUM(IMshareM!BS$2:BS$78)-IMshareM!BS$71&gt;0,IMshareM!BS58/(SUM(IMshareM!BS$2:BS$78)-IMshareM!BS$71),0))</f>
        <v>0</v>
      </c>
      <c r="BT58" s="8">
        <f>IF($A58=BT$1,0,IF(SUM(IMshareM!BT$2:BT$78)-IMshareM!BT$72&gt;0,IMshareM!BT58/(SUM(IMshareM!BT$2:BT$78)-IMshareM!BT$72),0))</f>
        <v>0</v>
      </c>
      <c r="BU58" s="8">
        <f>IF($A58=BU$1,0,IF(SUM(IMshareM!BU$2:BU$78)-IMshareM!BU$73&gt;0,IMshareM!BU58/(SUM(IMshareM!BU$2:BU$78)-IMshareM!BU$73),0))</f>
        <v>0</v>
      </c>
      <c r="BV58" s="8">
        <f>IF($A58=BV$1,0,IF(SUM(IMshareM!BV$2:BV$78)-IMshareM!BV$74&gt;0,IMshareM!BV58/(SUM(IMshareM!BV$2:BV$78)-IMshareM!BV$74),0))</f>
        <v>0</v>
      </c>
      <c r="BW58" s="8">
        <f>IF($A58=BW$1,0,IF(SUM(IMshareM!BW$2:BW$78)-IMshareM!BW$75&gt;0,IMshareM!BW58/(SUM(IMshareM!BW$2:BW$78)-IMshareM!BW$75),0))</f>
        <v>1.7800246935042335E-4</v>
      </c>
      <c r="BX58" s="8">
        <f>IF($A58=BX$1,0,IF(SUM(IMshareM!BX$2:BX$78)-IMshareM!BX$76&gt;0,IMshareM!BX58/(SUM(IMshareM!BX$2:BX$78)-IMshareM!BX$76),0))</f>
        <v>0</v>
      </c>
      <c r="BY58" s="8">
        <f>IF($A58=BY$1,0,IF(SUM(IMshareM!BY$2:BY$78)-IMshareM!BY$77&gt;0,IMshareM!BY58/(SUM(IMshareM!BY$2:BY$78)-IMshareM!BY$77),0))</f>
        <v>7.2009954245036954E-6</v>
      </c>
      <c r="BZ58" s="8">
        <f>IF($A58=BZ$1,0,IF(SUM(IMshareM!BZ$2:BZ$78)-IMshareM!BZ$78&gt;0,IMshareM!BZ58/(SUM(IMshareM!BZ$2:BZ$78)-IMshareM!BZ$78),0))</f>
        <v>2.1172019813422681E-4</v>
      </c>
    </row>
    <row r="59" spans="1:78">
      <c r="A59" s="4" t="s">
        <v>185</v>
      </c>
      <c r="B59" s="8">
        <f>IF($A59=B$1,0,IF(SUM(IMshareM!B$2:B$78)-IMshareM!B$2&gt;0,IMshareM!B59/(SUM(IMshareM!B$2:B$78)-IMshareM!B$2),0))</f>
        <v>2.2505552489557239E-4</v>
      </c>
      <c r="C59" s="8">
        <f>IF($A59=C$1,0,IF(SUM(IMshareM!C$2:C$78)-IMshareM!C$3&gt;0,IMshareM!C59/(SUM(IMshareM!C$2:C$78)-IMshareM!C$3),0))</f>
        <v>5.7075938302349367E-4</v>
      </c>
      <c r="D59" s="8">
        <f>IF($A59=D$1,0,IF(SUM(IMshareM!D$2:D$78)-IMshareM!D$4&gt;0,IMshareM!D59/(SUM(IMshareM!D$2:D$78)-IMshareM!D$4),0))</f>
        <v>3.6748819528115801E-4</v>
      </c>
      <c r="E59" s="8">
        <f>IF($A59=E$1,0,IF(SUM(IMshareM!E$2:E$78)-IMshareM!E$5&gt;0,IMshareM!E59/(SUM(IMshareM!E$2:E$78)-IMshareM!E$5),0))</f>
        <v>1.5374034278280533E-3</v>
      </c>
      <c r="F59" s="8">
        <f>IF($A59=F$1,0,IF(SUM(IMshareM!F$2:F$78)-IMshareM!F$6&gt;0,IMshareM!F59/(SUM(IMshareM!F$2:F$78)-IMshareM!F$6),0))</f>
        <v>0</v>
      </c>
      <c r="G59" s="8">
        <f>IF($A59=G$1,0,IF(SUM(IMshareM!G$2:G$78)-IMshareM!G$7&gt;0,IMshareM!G59/(SUM(IMshareM!G$2:G$78)-IMshareM!G$7),0))</f>
        <v>1.3965161947795386E-2</v>
      </c>
      <c r="H59" s="8">
        <f>IF($A59=H$1,0,IF(SUM(IMshareM!H$2:H$78)-IMshareM!H$8&gt;0,IMshareM!H59/(SUM(IMshareM!H$2:H$78)-IMshareM!H$8),0))</f>
        <v>0</v>
      </c>
      <c r="I59" s="8">
        <f>IF($A59=I$1,0,IF(SUM(IMshareM!I$2:I$78)-IMshareM!I$9&gt;0,IMshareM!I59/(SUM(IMshareM!I$2:I$78)-IMshareM!I$9),0))</f>
        <v>4.4900470423130971E-3</v>
      </c>
      <c r="J59" s="8">
        <f>IF($A59=J$1,0,IF(SUM(IMshareM!J$2:J$78)-IMshareM!J$10&gt;0,IMshareM!J59/(SUM(IMshareM!J$2:J$78)-IMshareM!J$10),0))</f>
        <v>1.0573936916256699E-3</v>
      </c>
      <c r="K59" s="8">
        <f>IF($A59=K$1,0,IF(SUM(IMshareM!K$2:K$78)-IMshareM!K$11&gt;0,IMshareM!K59/(SUM(IMshareM!K$2:K$78)-IMshareM!K$11),0))</f>
        <v>1.2652092615785711E-3</v>
      </c>
      <c r="L59" s="8">
        <f>IF($A59=L$1,0,IF(SUM(IMshareM!L$2:L$78)-IMshareM!L$12&gt;0,IMshareM!L59/(SUM(IMshareM!L$2:L$78)-IMshareM!L$12),0))</f>
        <v>8.3545273943328748E-4</v>
      </c>
      <c r="M59" s="8">
        <f>IF($A59=M$1,0,IF(SUM(IMshareM!M$2:M$78)-IMshareM!M$13&gt;0,IMshareM!M59/(SUM(IMshareM!M$2:M$78)-IMshareM!M$13),0))</f>
        <v>6.3478586036200532E-6</v>
      </c>
      <c r="N59" s="8">
        <f>IF($A59=N$1,0,IF(SUM(IMshareM!N$2:N$78)-IMshareM!N$14&gt;0,IMshareM!N59/(SUM(IMshareM!N$2:N$78)-IMshareM!N$14),0))</f>
        <v>2.448754731327819E-2</v>
      </c>
      <c r="O59" s="8">
        <f>IF($A59=O$1,0,IF(SUM(IMshareM!O$2:O$78)-IMshareM!O$15&gt;0,IMshareM!O59/(SUM(IMshareM!O$2:O$78)-IMshareM!O$15),0))</f>
        <v>8.786622734067254E-3</v>
      </c>
      <c r="P59" s="8">
        <f>IF($A59=P$1,0,IF(SUM(IMshareM!P$2:P$78)-IMshareM!P$16&gt;0,IMshareM!P59/(SUM(IMshareM!P$2:P$78)-IMshareM!P$16),0))</f>
        <v>0</v>
      </c>
      <c r="Q59" s="8">
        <f>IF($A59=Q$1,0,IF(SUM(IMshareM!Q$2:Q$78)-IMshareM!Q$17&gt;0,IMshareM!Q59/(SUM(IMshareM!Q$2:Q$78)-IMshareM!Q$17),0))</f>
        <v>1.0943857684232023E-4</v>
      </c>
      <c r="R59" s="8">
        <f>IF($A59=R$1,0,IF(SUM(IMshareM!R$2:R$78)-IMshareM!R$18&gt;0,IMshareM!R59/(SUM(IMshareM!R$2:R$78)-IMshareM!R$18),0))</f>
        <v>2.5627567253679678E-5</v>
      </c>
      <c r="S59" s="8">
        <f>IF($A59=S$1,0,IF(SUM(IMshareM!S$2:S$78)-IMshareM!S$19&gt;0,IMshareM!S59/(SUM(IMshareM!S$2:S$78)-IMshareM!S$19),0))</f>
        <v>0</v>
      </c>
      <c r="T59" s="8">
        <f>IF($A59=T$1,0,IF(SUM(IMshareM!T$2:T$78)-IMshareM!T$20&gt;0,IMshareM!T59/(SUM(IMshareM!T$2:T$78)-IMshareM!T$20),0))</f>
        <v>1.0240247355271992E-3</v>
      </c>
      <c r="U59" s="8">
        <f>IF($A59=U$1,0,IF(SUM(IMshareM!U$2:U$78)-IMshareM!U$21&gt;0,IMshareM!U59/(SUM(IMshareM!U$2:U$78)-IMshareM!U$21),0))</f>
        <v>2.6269371217289336E-3</v>
      </c>
      <c r="V59" s="8">
        <f>IF($A59=V$1,0,IF(SUM(IMshareM!V$2:V$78)-IMshareM!V$22&gt;0,IMshareM!V59/(SUM(IMshareM!V$2:V$78)-IMshareM!V$22),0))</f>
        <v>5.2326935978283262E-5</v>
      </c>
      <c r="W59" s="8">
        <f>IF($A59=W$1,0,IF(SUM(IMshareM!W$2:W$78)-IMshareM!W$23&gt;0,IMshareM!W59/(SUM(IMshareM!W$2:W$78)-IMshareM!W$23),0))</f>
        <v>4.4198394282694553E-5</v>
      </c>
      <c r="X59" s="8">
        <f>IF($A59=X$1,0,IF(SUM(IMshareM!X$2:X$78)-IMshareM!X$24&gt;0,IMshareM!X59/(SUM(IMshareM!X$2:X$78)-IMshareM!X$24),0))</f>
        <v>1.2786860341587043E-3</v>
      </c>
      <c r="Y59" s="8">
        <f>IF($A59=Y$1,0,IF(SUM(IMshareM!Y$2:Y$78)-IMshareM!Y$25&gt;0,IMshareM!Y59/(SUM(IMshareM!Y$2:Y$78)-IMshareM!Y$25),0))</f>
        <v>5.6500312725766611E-4</v>
      </c>
      <c r="Z59" s="8">
        <f>IF($A59=Z$1,0,IF(SUM(IMshareM!Z$2:Z$78)-IMshareM!Z$26&gt;0,IMshareM!Z59/(SUM(IMshareM!Z$2:Z$78)-IMshareM!Z$26),0))</f>
        <v>5.8280770661243517E-3</v>
      </c>
      <c r="AA59" s="8">
        <f>IF($A59=AA$1,0,IF(SUM(IMshareM!AA$2:AA$78)-IMshareM!AA$27&gt;0,IMshareM!AA59/(SUM(IMshareM!AA$2:AA$78)-IMshareM!AA$27),0))</f>
        <v>2.4906013215531936E-3</v>
      </c>
      <c r="AB59" s="8">
        <f>IF($A59=AB$1,0,IF(SUM(IMshareM!AB$2:AB$78)-IMshareM!AB$28&gt;0,IMshareM!AB59/(SUM(IMshareM!AB$2:AB$78)-IMshareM!AB$28),0))</f>
        <v>5.1468518554181383E-3</v>
      </c>
      <c r="AC59" s="8">
        <f>IF($A59=AC$1,0,IF(SUM(IMshareM!AC$2:AC$78)-IMshareM!AC$29&gt;0,IMshareM!AC59/(SUM(IMshareM!AC$2:AC$78)-IMshareM!AC$29),0))</f>
        <v>1.3356765553646054E-5</v>
      </c>
      <c r="AD59" s="8">
        <f>IF($A59=AD$1,0,IF(SUM(IMshareM!AD$2:AD$78)-IMshareM!AD$30&gt;0,IMshareM!AD59/(SUM(IMshareM!AD$2:AD$78)-IMshareM!AD$30),0))</f>
        <v>4.3874276755778513E-2</v>
      </c>
      <c r="AE59" s="8">
        <f>IF($A59=AE$1,0,IF(SUM(IMshareM!AE$2:AE$78)-IMshareM!AE$31&gt;0,IMshareM!AE59/(SUM(IMshareM!AE$2:AE$78)-IMshareM!AE$31),0))</f>
        <v>2.522237221247979E-6</v>
      </c>
      <c r="AF59" s="8">
        <f>IF($A59=AF$1,0,IF(SUM(IMshareM!AF$2:AF$78)-IMshareM!AF$32&gt;0,IMshareM!AF59/(SUM(IMshareM!AF$2:AF$78)-IMshareM!AF$32),0))</f>
        <v>1.8847032550589325E-3</v>
      </c>
      <c r="AG59" s="8">
        <f>IF($A59=AG$1,0,IF(SUM(IMshareM!AG$2:AG$78)-IMshareM!AG$33&gt;0,IMshareM!AG59/(SUM(IMshareM!AG$2:AG$78)-IMshareM!AG$33),0))</f>
        <v>1.2558581440232433E-2</v>
      </c>
      <c r="AH59" s="8">
        <f>IF($A59=AH$1,0,IF(SUM(IMshareM!AH$2:AH$78)-IMshareM!AH$34&gt;0,IMshareM!AH59/(SUM(IMshareM!AH$2:AH$78)-IMshareM!AH$34),0))</f>
        <v>6.0149714635791074E-3</v>
      </c>
      <c r="AI59" s="8">
        <f>IF($A59=AI$1,0,IF(SUM(IMshareM!AI$2:AI$78)-IMshareM!AI$35&gt;0,IMshareM!AI59/(SUM(IMshareM!AI$2:AI$78)-IMshareM!AI$35),0))</f>
        <v>7.5588279250782449E-4</v>
      </c>
      <c r="AJ59" s="8">
        <f>IF($A59=AJ$1,0,IF(SUM(IMshareM!AJ$2:AJ$78)-IMshareM!AJ$36&gt;0,IMshareM!AJ59/(SUM(IMshareM!AJ$2:AJ$78)-IMshareM!AJ$36),0))</f>
        <v>6.592685574233705E-5</v>
      </c>
      <c r="AK59" s="8">
        <f>IF($A59=AK$1,0,IF(SUM(IMshareM!AK$2:AK$78)-IMshareM!AK$37&gt;0,IMshareM!AK59/(SUM(IMshareM!AK$2:AK$78)-IMshareM!AK$37),0))</f>
        <v>6.700719240236619E-4</v>
      </c>
      <c r="AL59" s="8">
        <f>IF($A59=AL$1,0,IF(SUM(IMshareM!AL$2:AL$78)-IMshareM!AL$38&gt;0,IMshareM!AL59/(SUM(IMshareM!AL$2:AL$78)-IMshareM!AL$38),0))</f>
        <v>1.8975423887394893E-3</v>
      </c>
      <c r="AM59" s="8">
        <f>IF($A59=AM$1,0,IF(SUM(IMshareM!AM$2:AM$78)-IMshareM!AM$39&gt;0,IMshareM!AM59/(SUM(IMshareM!AM$2:AM$78)-IMshareM!AM$39),0))</f>
        <v>0</v>
      </c>
      <c r="AN59" s="8">
        <f>IF($A59=AN$1,0,IF(SUM(IMshareM!AN$2:AN$78)-IMshareM!AN$40&gt;0,IMshareM!AN59/(SUM(IMshareM!AN$2:AN$78)-IMshareM!AN$40),0))</f>
        <v>4.7247662464083837E-2</v>
      </c>
      <c r="AO59" s="8">
        <f>IF($A59=AO$1,0,IF(SUM(IMshareM!AO$2:AO$78)-IMshareM!AO$41&gt;0,IMshareM!AO59/(SUM(IMshareM!AO$2:AO$78)-IMshareM!AO$41),0))</f>
        <v>0</v>
      </c>
      <c r="AP59" s="8">
        <f>IF($A59=AP$1,0,IF(SUM(IMshareM!AP$2:AP$78)-IMshareM!AP$42&gt;0,IMshareM!AP59/(SUM(IMshareM!AP$2:AP$78)-IMshareM!AP$42),0))</f>
        <v>2.1575835118218701E-4</v>
      </c>
      <c r="AQ59" s="8">
        <f>IF($A59=AQ$1,0,IF(SUM(IMshareM!AQ$2:AQ$78)-IMshareM!AQ$43&gt;0,IMshareM!AQ59/(SUM(IMshareM!AQ$2:AQ$78)-IMshareM!AQ$43),0))</f>
        <v>0.23777246965235349</v>
      </c>
      <c r="AR59" s="8">
        <f>IF($A59=AR$1,0,IF(SUM(IMshareM!AR$2:AR$78)-IMshareM!AR$44&gt;0,IMshareM!AR59/(SUM(IMshareM!AR$2:AR$78)-IMshareM!AR$44),0))</f>
        <v>0</v>
      </c>
      <c r="AS59" s="8">
        <f>IF($A59=AS$1,0,IF(SUM(IMshareM!AS$2:AS$78)-IMshareM!AS$45&gt;0,IMshareM!AS59/(SUM(IMshareM!AS$2:AS$78)-IMshareM!AS$45),0))</f>
        <v>5.9169485020854076E-2</v>
      </c>
      <c r="AT59" s="8">
        <f>IF($A59=AT$1,0,IF(SUM(IMshareM!AT$2:AT$78)-IMshareM!AT$46&gt;0,IMshareM!AT59/(SUM(IMshareM!AT$2:AT$78)-IMshareM!AT$46),0))</f>
        <v>0</v>
      </c>
      <c r="AU59" s="8">
        <f>IF($A59=AU$1,0,IF(SUM(IMshareM!AU$2:AU$78)-IMshareM!AU$47&gt;0,IMshareM!AU59/(SUM(IMshareM!AU$2:AU$78)-IMshareM!AU$47),0))</f>
        <v>1.6333822278549179E-3</v>
      </c>
      <c r="AV59" s="8">
        <f>IF($A59=AV$1,0,IF(SUM(IMshareM!AV$2:AV$78)-IMshareM!AV$48&gt;0,IMshareM!AV59/(SUM(IMshareM!AV$2:AV$78)-IMshareM!AV$48),0))</f>
        <v>4.4102799443486822E-2</v>
      </c>
      <c r="AW59" s="8">
        <f>IF($A59=AW$1,0,IF(SUM(IMshareM!AW$2:AW$78)-IMshareM!AW$49&gt;0,IMshareM!AW59/(SUM(IMshareM!AW$2:AW$78)-IMshareM!AW$49),0))</f>
        <v>3.5027106262233631E-3</v>
      </c>
      <c r="AX59" s="8">
        <f>IF($A59=AX$1,0,IF(SUM(IMshareM!AX$2:AX$78)-IMshareM!AX$50&gt;0,IMshareM!AX59/(SUM(IMshareM!AX$2:AX$78)-IMshareM!AX$50),0))</f>
        <v>3.6619395012934819E-7</v>
      </c>
      <c r="AY59" s="8">
        <f>IF($A59=AY$1,0,IF(SUM(IMshareM!AY$2:AY$78)-IMshareM!AY$51&gt;0,IMshareM!AY59/(SUM(IMshareM!AY$2:AY$78)-IMshareM!AY$51),0))</f>
        <v>8.4054138335715601E-4</v>
      </c>
      <c r="AZ59" s="8">
        <f>IF($A59=AZ$1,0,IF(SUM(IMshareM!AZ$2:AZ$78)-IMshareM!AZ$52&gt;0,IMshareM!AZ59/(SUM(IMshareM!AZ$2:AZ$78)-IMshareM!AZ$52),0))</f>
        <v>6.9866457707909654E-2</v>
      </c>
      <c r="BA59" s="8">
        <f>IF($A59=BA$1,0,IF(SUM(IMshareM!BA$2:BA$78)-IMshareM!BA$53&gt;0,IMshareM!BA59/(SUM(IMshareM!BA$2:BA$78)-IMshareM!BA$53),0))</f>
        <v>0</v>
      </c>
      <c r="BB59" s="8">
        <f>IF($A59=BB$1,0,IF(SUM(IMshareM!BB$2:BB$78)-IMshareM!BB$54&gt;0,IMshareM!BB59/(SUM(IMshareM!BB$2:BB$78)-IMshareM!BB$54),0))</f>
        <v>8.9346722169969268E-3</v>
      </c>
      <c r="BC59" s="8">
        <f>IF($A59=BC$1,0,IF(SUM(IMshareM!BC$2:BC$78)-IMshareM!BC$55&gt;0,IMshareM!BC59/(SUM(IMshareM!BC$2:BC$78)-IMshareM!BC$55),0))</f>
        <v>6.0022377896100832E-4</v>
      </c>
      <c r="BD59" s="8">
        <f>IF($A59=BD$1,0,IF(SUM(IMshareM!BD$2:BD$78)-IMshareM!BD$56&gt;0,IMshareM!BD59/(SUM(IMshareM!BD$2:BD$78)-IMshareM!BD$56),0))</f>
        <v>6.8775694759017276E-4</v>
      </c>
      <c r="BE59" s="8">
        <f>IF($A59=BE$1,0,IF(SUM(IMshareM!BE$2:BE$78)-IMshareM!BE$57&gt;0,IMshareM!BE59/(SUM(IMshareM!BE$2:BE$78)-IMshareM!BE$57),0))</f>
        <v>6.7269333097030343E-6</v>
      </c>
      <c r="BF59" s="8">
        <f>IF($A59=BF$1,0,IF(SUM(IMshareM!BF$2:BF$78)-IMshareM!BF$58&gt;0,IMshareM!BF59/(SUM(IMshareM!BF$2:BF$78)-IMshareM!BF$58),0))</f>
        <v>1.0088932584486079E-4</v>
      </c>
      <c r="BG59" s="8">
        <f>IF($A59=BG$1,0,IF(SUM(IMshareM!BG$2:BG$78)-IMshareM!BG$59&gt;0,IMshareM!BG59/(SUM(IMshareM!BG$2:BG$78)-IMshareM!BG$59),0))</f>
        <v>0</v>
      </c>
      <c r="BH59" s="8">
        <f>IF($A59=BH$1,0,IF(SUM(IMshareM!BH$2:BH$78)-IMshareM!BH$60&gt;0,IMshareM!BH59/(SUM(IMshareM!BH$2:BH$78)-IMshareM!BH$60),0))</f>
        <v>2.2137298915175432E-3</v>
      </c>
      <c r="BI59" s="8">
        <f>IF($A59=BI$1,0,IF(SUM(IMshareM!BI$2:BI$78)-IMshareM!BI$61&gt;0,IMshareM!BI59/(SUM(IMshareM!BI$2:BI$78)-IMshareM!BI$61),0))</f>
        <v>1.9560666833131879E-3</v>
      </c>
      <c r="BJ59" s="8">
        <f>IF($A59=BJ$1,0,IF(SUM(IMshareM!BJ$2:BJ$78)-IMshareM!BJ$62&gt;0,IMshareM!BJ59/(SUM(IMshareM!BJ$2:BJ$78)-IMshareM!BJ$62),0))</f>
        <v>7.3358252140196049E-5</v>
      </c>
      <c r="BK59" s="8">
        <f>IF($A59=BK$1,0,IF(SUM(IMshareM!BK$2:BK$78)-IMshareM!BK$63&gt;0,IMshareM!BK59/(SUM(IMshareM!BK$2:BK$78)-IMshareM!BK$63),0))</f>
        <v>8.4014588038801432E-6</v>
      </c>
      <c r="BL59" s="8">
        <f>IF($A59=BL$1,0,IF(SUM(IMshareM!BL$2:BL$78)-IMshareM!BL$64&gt;0,IMshareM!BL59/(SUM(IMshareM!BL$2:BL$78)-IMshareM!BL$64),0))</f>
        <v>0</v>
      </c>
      <c r="BM59" s="8">
        <f>IF($A59=BM$1,0,IF(SUM(IMshareM!BM$2:BM$78)-IMshareM!BM$65&gt;0,IMshareM!BM59/(SUM(IMshareM!BM$2:BM$78)-IMshareM!BM$65),0))</f>
        <v>3.5724957212347015E-4</v>
      </c>
      <c r="BN59" s="8">
        <f>IF($A59=BN$1,0,IF(SUM(IMshareM!BN$2:BN$78)-IMshareM!BN$66&gt;0,IMshareM!BN59/(SUM(IMshareM!BN$2:BN$78)-IMshareM!BN$66),0))</f>
        <v>4.0786139797386198E-2</v>
      </c>
      <c r="BO59" s="8">
        <f>IF($A59=BO$1,0,IF(SUM(IMshareM!BO$2:BO$78)-IMshareM!BO$67&gt;0,IMshareM!BO59/(SUM(IMshareM!BO$2:BO$78)-IMshareM!BO$67),0))</f>
        <v>7.4903966764931036E-4</v>
      </c>
      <c r="BP59" s="8">
        <f>IF($A59=BP$1,0,IF(SUM(IMshareM!BP$2:BP$78)-IMshareM!BP$68&gt;0,IMshareM!BP59/(SUM(IMshareM!BP$2:BP$78)-IMshareM!BP$68),0))</f>
        <v>1.2385940178852016E-4</v>
      </c>
      <c r="BQ59" s="8">
        <f>IF($A59=BQ$1,0,IF(SUM(IMshareM!BQ$2:BQ$78)-IMshareM!BQ$69&gt;0,IMshareM!BQ59/(SUM(IMshareM!BQ$2:BQ$78)-IMshareM!BQ$69),0))</f>
        <v>2.3441982877521407E-3</v>
      </c>
      <c r="BR59" s="8">
        <f>IF($A59=BR$1,0,IF(SUM(IMshareM!BR$2:BR$78)-IMshareM!BR$70&gt;0,IMshareM!BR59/(SUM(IMshareM!BR$2:BR$78)-IMshareM!BR$70),0))</f>
        <v>7.3104024774463339E-3</v>
      </c>
      <c r="BS59" s="8">
        <f>IF($A59=BS$1,0,IF(SUM(IMshareM!BS$2:BS$78)-IMshareM!BS$71&gt;0,IMshareM!BS59/(SUM(IMshareM!BS$2:BS$78)-IMshareM!BS$71),0))</f>
        <v>6.7735871882593671E-5</v>
      </c>
      <c r="BT59" s="8">
        <f>IF($A59=BT$1,0,IF(SUM(IMshareM!BT$2:BT$78)-IMshareM!BT$72&gt;0,IMshareM!BT59/(SUM(IMshareM!BT$2:BT$78)-IMshareM!BT$72),0))</f>
        <v>8.6571358952810731E-3</v>
      </c>
      <c r="BU59" s="8">
        <f>IF($A59=BU$1,0,IF(SUM(IMshareM!BU$2:BU$78)-IMshareM!BU$73&gt;0,IMshareM!BU59/(SUM(IMshareM!BU$2:BU$78)-IMshareM!BU$73),0))</f>
        <v>3.4637123679641571E-2</v>
      </c>
      <c r="BV59" s="8">
        <f>IF($A59=BV$1,0,IF(SUM(IMshareM!BV$2:BV$78)-IMshareM!BV$74&gt;0,IMshareM!BV59/(SUM(IMshareM!BV$2:BV$78)-IMshareM!BV$74),0))</f>
        <v>2.5790419540035601E-5</v>
      </c>
      <c r="BW59" s="8">
        <f>IF($A59=BW$1,0,IF(SUM(IMshareM!BW$2:BW$78)-IMshareM!BW$75&gt;0,IMshareM!BW59/(SUM(IMshareM!BW$2:BW$78)-IMshareM!BW$75),0))</f>
        <v>4.8285474612460967E-3</v>
      </c>
      <c r="BX59" s="8">
        <f>IF($A59=BX$1,0,IF(SUM(IMshareM!BX$2:BX$78)-IMshareM!BX$76&gt;0,IMshareM!BX59/(SUM(IMshareM!BX$2:BX$78)-IMshareM!BX$76),0))</f>
        <v>2.7399547711459211E-2</v>
      </c>
      <c r="BY59" s="8">
        <f>IF($A59=BY$1,0,IF(SUM(IMshareM!BY$2:BY$78)-IMshareM!BY$77&gt;0,IMshareM!BY59/(SUM(IMshareM!BY$2:BY$78)-IMshareM!BY$77),0))</f>
        <v>4.0369327998924582E-4</v>
      </c>
      <c r="BZ59" s="8">
        <f>IF($A59=BZ$1,0,IF(SUM(IMshareM!BZ$2:BZ$78)-IMshareM!BZ$78&gt;0,IMshareM!BZ59/(SUM(IMshareM!BZ$2:BZ$78)-IMshareM!BZ$78),0))</f>
        <v>3.2785630363595277E-4</v>
      </c>
    </row>
    <row r="60" spans="1:78">
      <c r="A60" s="4" t="s">
        <v>187</v>
      </c>
      <c r="B60" s="8">
        <f>IF($A60=B$1,0,IF(SUM(IMshareM!B$2:B$78)-IMshareM!B$2&gt;0,IMshareM!B60/(SUM(IMshareM!B$2:B$78)-IMshareM!B$2),0))</f>
        <v>2.8196123503731402E-3</v>
      </c>
      <c r="C60" s="8">
        <f>IF($A60=C$1,0,IF(SUM(IMshareM!C$2:C$78)-IMshareM!C$3&gt;0,IMshareM!C60/(SUM(IMshareM!C$2:C$78)-IMshareM!C$3),0))</f>
        <v>9.6375181949332409E-3</v>
      </c>
      <c r="D60" s="8">
        <f>IF($A60=D$1,0,IF(SUM(IMshareM!D$2:D$78)-IMshareM!D$4&gt;0,IMshareM!D60/(SUM(IMshareM!D$2:D$78)-IMshareM!D$4),0))</f>
        <v>4.5972213534523375E-2</v>
      </c>
      <c r="E60" s="8">
        <f>IF($A60=E$1,0,IF(SUM(IMshareM!E$2:E$78)-IMshareM!E$5&gt;0,IMshareM!E60/(SUM(IMshareM!E$2:E$78)-IMshareM!E$5),0))</f>
        <v>2.7851503690129414E-3</v>
      </c>
      <c r="F60" s="8">
        <f>IF($A60=F$1,0,IF(SUM(IMshareM!F$2:F$78)-IMshareM!F$6&gt;0,IMshareM!F60/(SUM(IMshareM!F$2:F$78)-IMshareM!F$6),0))</f>
        <v>4.6983003726368593E-5</v>
      </c>
      <c r="G60" s="8">
        <f>IF($A60=G$1,0,IF(SUM(IMshareM!G$2:G$78)-IMshareM!G$7&gt;0,IMshareM!G60/(SUM(IMshareM!G$2:G$78)-IMshareM!G$7),0))</f>
        <v>2.3009853203362846E-3</v>
      </c>
      <c r="H60" s="8">
        <f>IF($A60=H$1,0,IF(SUM(IMshareM!H$2:H$78)-IMshareM!H$8&gt;0,IMshareM!H60/(SUM(IMshareM!H$2:H$78)-IMshareM!H$8),0))</f>
        <v>0.12954058897906384</v>
      </c>
      <c r="I60" s="8">
        <f>IF($A60=I$1,0,IF(SUM(IMshareM!I$2:I$78)-IMshareM!I$9&gt;0,IMshareM!I60/(SUM(IMshareM!I$2:I$78)-IMshareM!I$9),0))</f>
        <v>1.416651479643926E-2</v>
      </c>
      <c r="J60" s="8">
        <f>IF($A60=J$1,0,IF(SUM(IMshareM!J$2:J$78)-IMshareM!J$10&gt;0,IMshareM!J60/(SUM(IMshareM!J$2:J$78)-IMshareM!J$10),0))</f>
        <v>9.537820437617668E-4</v>
      </c>
      <c r="K60" s="8">
        <f>IF($A60=K$1,0,IF(SUM(IMshareM!K$2:K$78)-IMshareM!K$11&gt;0,IMshareM!K60/(SUM(IMshareM!K$2:K$78)-IMshareM!K$11),0))</f>
        <v>5.1435954822520464E-3</v>
      </c>
      <c r="L60" s="8">
        <f>IF($A60=L$1,0,IF(SUM(IMshareM!L$2:L$78)-IMshareM!L$12&gt;0,IMshareM!L60/(SUM(IMshareM!L$2:L$78)-IMshareM!L$12),0))</f>
        <v>3.0257045338307226E-2</v>
      </c>
      <c r="M60" s="8">
        <f>IF($A60=M$1,0,IF(SUM(IMshareM!M$2:M$78)-IMshareM!M$13&gt;0,IMshareM!M60/(SUM(IMshareM!M$2:M$78)-IMshareM!M$13),0))</f>
        <v>2.7127320799180026E-4</v>
      </c>
      <c r="N60" s="8">
        <f>IF($A60=N$1,0,IF(SUM(IMshareM!N$2:N$78)-IMshareM!N$14&gt;0,IMshareM!N60/(SUM(IMshareM!N$2:N$78)-IMshareM!N$14),0))</f>
        <v>7.955951070782492E-3</v>
      </c>
      <c r="O60" s="8">
        <f>IF($A60=O$1,0,IF(SUM(IMshareM!O$2:O$78)-IMshareM!O$15&gt;0,IMshareM!O60/(SUM(IMshareM!O$2:O$78)-IMshareM!O$15),0))</f>
        <v>2.9287016784230601E-3</v>
      </c>
      <c r="P60" s="8">
        <f>IF($A60=P$1,0,IF(SUM(IMshareM!P$2:P$78)-IMshareM!P$16&gt;0,IMshareM!P60/(SUM(IMshareM!P$2:P$78)-IMshareM!P$16),0))</f>
        <v>6.1543355380858371E-5</v>
      </c>
      <c r="Q60" s="8">
        <f>IF($A60=Q$1,0,IF(SUM(IMshareM!Q$2:Q$78)-IMshareM!Q$17&gt;0,IMshareM!Q60/(SUM(IMshareM!Q$2:Q$78)-IMshareM!Q$17),0))</f>
        <v>2.2082685048980637E-3</v>
      </c>
      <c r="R60" s="8">
        <f>IF($A60=R$1,0,IF(SUM(IMshareM!R$2:R$78)-IMshareM!R$18&gt;0,IMshareM!R60/(SUM(IMshareM!R$2:R$78)-IMshareM!R$18),0))</f>
        <v>6.1168542915167644E-3</v>
      </c>
      <c r="S60" s="8">
        <f>IF($A60=S$1,0,IF(SUM(IMshareM!S$2:S$78)-IMshareM!S$19&gt;0,IMshareM!S60/(SUM(IMshareM!S$2:S$78)-IMshareM!S$19),0))</f>
        <v>1.3837815401656946E-5</v>
      </c>
      <c r="T60" s="8">
        <f>IF($A60=T$1,0,IF(SUM(IMshareM!T$2:T$78)-IMshareM!T$20&gt;0,IMshareM!T60/(SUM(IMshareM!T$2:T$78)-IMshareM!T$20),0))</f>
        <v>1.8194498873291734E-2</v>
      </c>
      <c r="U60" s="8">
        <f>IF($A60=U$1,0,IF(SUM(IMshareM!U$2:U$78)-IMshareM!U$21&gt;0,IMshareM!U60/(SUM(IMshareM!U$2:U$78)-IMshareM!U$21),0))</f>
        <v>7.6920780728236743E-2</v>
      </c>
      <c r="V60" s="8">
        <f>IF($A60=V$1,0,IF(SUM(IMshareM!V$2:V$78)-IMshareM!V$22&gt;0,IMshareM!V60/(SUM(IMshareM!V$2:V$78)-IMshareM!V$22),0))</f>
        <v>2.7726573042332881E-2</v>
      </c>
      <c r="W60" s="8">
        <f>IF($A60=W$1,0,IF(SUM(IMshareM!W$2:W$78)-IMshareM!W$23&gt;0,IMshareM!W60/(SUM(IMshareM!W$2:W$78)-IMshareM!W$23),0))</f>
        <v>8.2228463271859127E-3</v>
      </c>
      <c r="X60" s="8">
        <f>IF($A60=X$1,0,IF(SUM(IMshareM!X$2:X$78)-IMshareM!X$24&gt;0,IMshareM!X60/(SUM(IMshareM!X$2:X$78)-IMshareM!X$24),0))</f>
        <v>1.4754323570140513E-2</v>
      </c>
      <c r="Y60" s="8">
        <f>IF($A60=Y$1,0,IF(SUM(IMshareM!Y$2:Y$78)-IMshareM!Y$25&gt;0,IMshareM!Y60/(SUM(IMshareM!Y$2:Y$78)-IMshareM!Y$25),0))</f>
        <v>1.3903251669053901E-2</v>
      </c>
      <c r="Z60" s="8">
        <f>IF($A60=Z$1,0,IF(SUM(IMshareM!Z$2:Z$78)-IMshareM!Z$26&gt;0,IMshareM!Z60/(SUM(IMshareM!Z$2:Z$78)-IMshareM!Z$26),0))</f>
        <v>1.2302340426662227E-2</v>
      </c>
      <c r="AA60" s="8">
        <f>IF($A60=AA$1,0,IF(SUM(IMshareM!AA$2:AA$78)-IMshareM!AA$27&gt;0,IMshareM!AA60/(SUM(IMshareM!AA$2:AA$78)-IMshareM!AA$27),0))</f>
        <v>3.0569739092724518E-2</v>
      </c>
      <c r="AB60" s="8">
        <f>IF($A60=AB$1,0,IF(SUM(IMshareM!AB$2:AB$78)-IMshareM!AB$28&gt;0,IMshareM!AB60/(SUM(IMshareM!AB$2:AB$78)-IMshareM!AB$28),0))</f>
        <v>2.1659921245564623E-2</v>
      </c>
      <c r="AC60" s="8">
        <f>IF($A60=AC$1,0,IF(SUM(IMshareM!AC$2:AC$78)-IMshareM!AC$29&gt;0,IMshareM!AC60/(SUM(IMshareM!AC$2:AC$78)-IMshareM!AC$29),0))</f>
        <v>4.5047411615870255E-3</v>
      </c>
      <c r="AD60" s="8">
        <f>IF($A60=AD$1,0,IF(SUM(IMshareM!AD$2:AD$78)-IMshareM!AD$30&gt;0,IMshareM!AD60/(SUM(IMshareM!AD$2:AD$78)-IMshareM!AD$30),0))</f>
        <v>5.23277370851588E-5</v>
      </c>
      <c r="AE60" s="8">
        <f>IF($A60=AE$1,0,IF(SUM(IMshareM!AE$2:AE$78)-IMshareM!AE$31&gt;0,IMshareM!AE60/(SUM(IMshareM!AE$2:AE$78)-IMshareM!AE$31),0))</f>
        <v>3.060753474652448E-2</v>
      </c>
      <c r="AF60" s="8">
        <f>IF($A60=AF$1,0,IF(SUM(IMshareM!AF$2:AF$78)-IMshareM!AF$32&gt;0,IMshareM!AF60/(SUM(IMshareM!AF$2:AF$78)-IMshareM!AF$32),0))</f>
        <v>0.10959314521552237</v>
      </c>
      <c r="AG60" s="8">
        <f>IF($A60=AG$1,0,IF(SUM(IMshareM!AG$2:AG$78)-IMshareM!AG$33&gt;0,IMshareM!AG60/(SUM(IMshareM!AG$2:AG$78)-IMshareM!AG$33),0))</f>
        <v>4.8530371358735519E-4</v>
      </c>
      <c r="AH60" s="8">
        <f>IF($A60=AH$1,0,IF(SUM(IMshareM!AH$2:AH$78)-IMshareM!AH$34&gt;0,IMshareM!AH60/(SUM(IMshareM!AH$2:AH$78)-IMshareM!AH$34),0))</f>
        <v>3.9154262574193183E-4</v>
      </c>
      <c r="AI60" s="8">
        <f>IF($A60=AI$1,0,IF(SUM(IMshareM!AI$2:AI$78)-IMshareM!AI$35&gt;0,IMshareM!AI60/(SUM(IMshareM!AI$2:AI$78)-IMshareM!AI$35),0))</f>
        <v>9.9282574306754755E-3</v>
      </c>
      <c r="AJ60" s="8">
        <f>IF($A60=AJ$1,0,IF(SUM(IMshareM!AJ$2:AJ$78)-IMshareM!AJ$36&gt;0,IMshareM!AJ60/(SUM(IMshareM!AJ$2:AJ$78)-IMshareM!AJ$36),0))</f>
        <v>1.3550079087350831E-2</v>
      </c>
      <c r="AK60" s="8">
        <f>IF($A60=AK$1,0,IF(SUM(IMshareM!AK$2:AK$78)-IMshareM!AK$37&gt;0,IMshareM!AK60/(SUM(IMshareM!AK$2:AK$78)-IMshareM!AK$37),0))</f>
        <v>8.6814349904952418E-4</v>
      </c>
      <c r="AL60" s="8">
        <f>IF($A60=AL$1,0,IF(SUM(IMshareM!AL$2:AL$78)-IMshareM!AL$38&gt;0,IMshareM!AL60/(SUM(IMshareM!AL$2:AL$78)-IMshareM!AL$38),0))</f>
        <v>2.7930186007837313E-2</v>
      </c>
      <c r="AM60" s="8">
        <f>IF($A60=AM$1,0,IF(SUM(IMshareM!AM$2:AM$78)-IMshareM!AM$39&gt;0,IMshareM!AM60/(SUM(IMshareM!AM$2:AM$78)-IMshareM!AM$39),0))</f>
        <v>1.260736084974586E-2</v>
      </c>
      <c r="AN60" s="8">
        <f>IF($A60=AN$1,0,IF(SUM(IMshareM!AN$2:AN$78)-IMshareM!AN$40&gt;0,IMshareM!AN60/(SUM(IMshareM!AN$2:AN$78)-IMshareM!AN$40),0))</f>
        <v>3.4786049518429783E-3</v>
      </c>
      <c r="AO60" s="8">
        <f>IF($A60=AO$1,0,IF(SUM(IMshareM!AO$2:AO$78)-IMshareM!AO$41&gt;0,IMshareM!AO60/(SUM(IMshareM!AO$2:AO$78)-IMshareM!AO$41),0))</f>
        <v>8.7245974691748471E-3</v>
      </c>
      <c r="AP60" s="8">
        <f>IF($A60=AP$1,0,IF(SUM(IMshareM!AP$2:AP$78)-IMshareM!AP$42&gt;0,IMshareM!AP60/(SUM(IMshareM!AP$2:AP$78)-IMshareM!AP$42),0))</f>
        <v>0</v>
      </c>
      <c r="AQ60" s="8">
        <f>IF($A60=AQ$1,0,IF(SUM(IMshareM!AQ$2:AQ$78)-IMshareM!AQ$43&gt;0,IMshareM!AQ60/(SUM(IMshareM!AQ$2:AQ$78)-IMshareM!AQ$43),0))</f>
        <v>5.5816006355536209E-3</v>
      </c>
      <c r="AR60" s="8">
        <f>IF($A60=AR$1,0,IF(SUM(IMshareM!AR$2:AR$78)-IMshareM!AR$44&gt;0,IMshareM!AR60/(SUM(IMshareM!AR$2:AR$78)-IMshareM!AR$44),0))</f>
        <v>0</v>
      </c>
      <c r="AS60" s="8">
        <f>IF($A60=AS$1,0,IF(SUM(IMshareM!AS$2:AS$78)-IMshareM!AS$45&gt;0,IMshareM!AS60/(SUM(IMshareM!AS$2:AS$78)-IMshareM!AS$45),0))</f>
        <v>8.0339741334804551E-2</v>
      </c>
      <c r="AT60" s="8">
        <f>IF($A60=AT$1,0,IF(SUM(IMshareM!AT$2:AT$78)-IMshareM!AT$46&gt;0,IMshareM!AT60/(SUM(IMshareM!AT$2:AT$78)-IMshareM!AT$46),0))</f>
        <v>2.2306389888389621E-4</v>
      </c>
      <c r="AU60" s="8">
        <f>IF($A60=AU$1,0,IF(SUM(IMshareM!AU$2:AU$78)-IMshareM!AU$47&gt;0,IMshareM!AU60/(SUM(IMshareM!AU$2:AU$78)-IMshareM!AU$47),0))</f>
        <v>0.1492909190910065</v>
      </c>
      <c r="AV60" s="8">
        <f>IF($A60=AV$1,0,IF(SUM(IMshareM!AV$2:AV$78)-IMshareM!AV$48&gt;0,IMshareM!AV60/(SUM(IMshareM!AV$2:AV$78)-IMshareM!AV$48),0))</f>
        <v>2.2589524599365189E-2</v>
      </c>
      <c r="AW60" s="8">
        <f>IF($A60=AW$1,0,IF(SUM(IMshareM!AW$2:AW$78)-IMshareM!AW$49&gt;0,IMshareM!AW60/(SUM(IMshareM!AW$2:AW$78)-IMshareM!AW$49),0))</f>
        <v>3.0203908392652562E-3</v>
      </c>
      <c r="AX60" s="8">
        <f>IF($A60=AX$1,0,IF(SUM(IMshareM!AX$2:AX$78)-IMshareM!AX$50&gt;0,IMshareM!AX60/(SUM(IMshareM!AX$2:AX$78)-IMshareM!AX$50),0))</f>
        <v>3.8167324699774726E-5</v>
      </c>
      <c r="AY60" s="8">
        <f>IF($A60=AY$1,0,IF(SUM(IMshareM!AY$2:AY$78)-IMshareM!AY$51&gt;0,IMshareM!AY60/(SUM(IMshareM!AY$2:AY$78)-IMshareM!AY$51),0))</f>
        <v>4.4533469120867466E-5</v>
      </c>
      <c r="AZ60" s="8">
        <f>IF($A60=AZ$1,0,IF(SUM(IMshareM!AZ$2:AZ$78)-IMshareM!AZ$52&gt;0,IMshareM!AZ60/(SUM(IMshareM!AZ$2:AZ$78)-IMshareM!AZ$52),0))</f>
        <v>7.8265243403518854E-4</v>
      </c>
      <c r="BA60" s="8">
        <f>IF($A60=BA$1,0,IF(SUM(IMshareM!BA$2:BA$78)-IMshareM!BA$53&gt;0,IMshareM!BA60/(SUM(IMshareM!BA$2:BA$78)-IMshareM!BA$53),0))</f>
        <v>1.818846857491428E-3</v>
      </c>
      <c r="BB60" s="8">
        <f>IF($A60=BB$1,0,IF(SUM(IMshareM!BB$2:BB$78)-IMshareM!BB$54&gt;0,IMshareM!BB60/(SUM(IMshareM!BB$2:BB$78)-IMshareM!BB$54),0))</f>
        <v>1.8862257422528804E-2</v>
      </c>
      <c r="BC60" s="8">
        <f>IF($A60=BC$1,0,IF(SUM(IMshareM!BC$2:BC$78)-IMshareM!BC$55&gt;0,IMshareM!BC60/(SUM(IMshareM!BC$2:BC$78)-IMshareM!BC$55),0))</f>
        <v>2.010503726226728E-2</v>
      </c>
      <c r="BD60" s="8">
        <f>IF($A60=BD$1,0,IF(SUM(IMshareM!BD$2:BD$78)-IMshareM!BD$56&gt;0,IMshareM!BD60/(SUM(IMshareM!BD$2:BD$78)-IMshareM!BD$56),0))</f>
        <v>3.275123994053514E-3</v>
      </c>
      <c r="BE60" s="8">
        <f>IF($A60=BE$1,0,IF(SUM(IMshareM!BE$2:BE$78)-IMshareM!BE$57&gt;0,IMshareM!BE60/(SUM(IMshareM!BE$2:BE$78)-IMshareM!BE$57),0))</f>
        <v>1.027394630740057E-3</v>
      </c>
      <c r="BF60" s="8">
        <f>IF($A60=BF$1,0,IF(SUM(IMshareM!BF$2:BF$78)-IMshareM!BF$58&gt;0,IMshareM!BF60/(SUM(IMshareM!BF$2:BF$78)-IMshareM!BF$58),0))</f>
        <v>2.7878805528943649E-2</v>
      </c>
      <c r="BG60" s="8">
        <f>IF($A60=BG$1,0,IF(SUM(IMshareM!BG$2:BG$78)-IMshareM!BG$59&gt;0,IMshareM!BG60/(SUM(IMshareM!BG$2:BG$78)-IMshareM!BG$59),0))</f>
        <v>1.4700887992353633E-3</v>
      </c>
      <c r="BH60" s="8">
        <f>IF($A60=BH$1,0,IF(SUM(IMshareM!BH$2:BH$78)-IMshareM!BH$60&gt;0,IMshareM!BH60/(SUM(IMshareM!BH$2:BH$78)-IMshareM!BH$60),0))</f>
        <v>0</v>
      </c>
      <c r="BI60" s="8">
        <f>IF($A60=BI$1,0,IF(SUM(IMshareM!BI$2:BI$78)-IMshareM!BI$61&gt;0,IMshareM!BI60/(SUM(IMshareM!BI$2:BI$78)-IMshareM!BI$61),0))</f>
        <v>7.7820594418092299E-3</v>
      </c>
      <c r="BJ60" s="8">
        <f>IF($A60=BJ$1,0,IF(SUM(IMshareM!BJ$2:BJ$78)-IMshareM!BJ$62&gt;0,IMshareM!BJ60/(SUM(IMshareM!BJ$2:BJ$78)-IMshareM!BJ$62),0))</f>
        <v>3.0811050543568069E-2</v>
      </c>
      <c r="BK60" s="8">
        <f>IF($A60=BK$1,0,IF(SUM(IMshareM!BK$2:BK$78)-IMshareM!BK$63&gt;0,IMshareM!BK60/(SUM(IMshareM!BK$2:BK$78)-IMshareM!BK$63),0))</f>
        <v>2.6146842087077952E-2</v>
      </c>
      <c r="BL60" s="8">
        <f>IF($A60=BL$1,0,IF(SUM(IMshareM!BL$2:BL$78)-IMshareM!BL$64&gt;0,IMshareM!BL60/(SUM(IMshareM!BL$2:BL$78)-IMshareM!BL$64),0))</f>
        <v>6.551497994780899E-4</v>
      </c>
      <c r="BM60" s="8">
        <f>IF($A60=BM$1,0,IF(SUM(IMshareM!BM$2:BM$78)-IMshareM!BM$65&gt;0,IMshareM!BM60/(SUM(IMshareM!BM$2:BM$78)-IMshareM!BM$65),0))</f>
        <v>1.6353638925418166E-3</v>
      </c>
      <c r="BN60" s="8">
        <f>IF($A60=BN$1,0,IF(SUM(IMshareM!BN$2:BN$78)-IMshareM!BN$66&gt;0,IMshareM!BN60/(SUM(IMshareM!BN$2:BN$78)-IMshareM!BN$66),0))</f>
        <v>2.80425738265768E-3</v>
      </c>
      <c r="BO60" s="8">
        <f>IF($A60=BO$1,0,IF(SUM(IMshareM!BO$2:BO$78)-IMshareM!BO$67&gt;0,IMshareM!BO60/(SUM(IMshareM!BO$2:BO$78)-IMshareM!BO$67),0))</f>
        <v>5.1668441865376717E-2</v>
      </c>
      <c r="BP60" s="8">
        <f>IF($A60=BP$1,0,IF(SUM(IMshareM!BP$2:BP$78)-IMshareM!BP$68&gt;0,IMshareM!BP60/(SUM(IMshareM!BP$2:BP$78)-IMshareM!BP$68),0))</f>
        <v>8.4734813371511366E-3</v>
      </c>
      <c r="BQ60" s="8">
        <f>IF($A60=BQ$1,0,IF(SUM(IMshareM!BQ$2:BQ$78)-IMshareM!BQ$69&gt;0,IMshareM!BQ60/(SUM(IMshareM!BQ$2:BQ$78)-IMshareM!BQ$69),0))</f>
        <v>1.0309679911060889E-2</v>
      </c>
      <c r="BR60" s="8">
        <f>IF($A60=BR$1,0,IF(SUM(IMshareM!BR$2:BR$78)-IMshareM!BR$70&gt;0,IMshareM!BR60/(SUM(IMshareM!BR$2:BR$78)-IMshareM!BR$70),0))</f>
        <v>1.3105252909674948E-3</v>
      </c>
      <c r="BS60" s="8">
        <f>IF($A60=BS$1,0,IF(SUM(IMshareM!BS$2:BS$78)-IMshareM!BS$71&gt;0,IMshareM!BS60/(SUM(IMshareM!BS$2:BS$78)-IMshareM!BS$71),0))</f>
        <v>1.8615498060952314E-2</v>
      </c>
      <c r="BT60" s="8">
        <f>IF($A60=BT$1,0,IF(SUM(IMshareM!BT$2:BT$78)-IMshareM!BT$72&gt;0,IMshareM!BT60/(SUM(IMshareM!BT$2:BT$78)-IMshareM!BT$72),0))</f>
        <v>2.3262494381087791E-2</v>
      </c>
      <c r="BU60" s="8">
        <f>IF($A60=BU$1,0,IF(SUM(IMshareM!BU$2:BU$78)-IMshareM!BU$73&gt;0,IMshareM!BU60/(SUM(IMshareM!BU$2:BU$78)-IMshareM!BU$73),0))</f>
        <v>1.7483357511581846E-3</v>
      </c>
      <c r="BV60" s="8">
        <f>IF($A60=BV$1,0,IF(SUM(IMshareM!BV$2:BV$78)-IMshareM!BV$74&gt;0,IMshareM!BV60/(SUM(IMshareM!BV$2:BV$78)-IMshareM!BV$74),0))</f>
        <v>3.7485055675199497E-2</v>
      </c>
      <c r="BW60" s="8">
        <f>IF($A60=BW$1,0,IF(SUM(IMshareM!BW$2:BW$78)-IMshareM!BW$75&gt;0,IMshareM!BW60/(SUM(IMshareM!BW$2:BW$78)-IMshareM!BW$75),0))</f>
        <v>4.8922550380664023E-3</v>
      </c>
      <c r="BX60" s="8">
        <f>IF($A60=BX$1,0,IF(SUM(IMshareM!BX$2:BX$78)-IMshareM!BX$76&gt;0,IMshareM!BX60/(SUM(IMshareM!BX$2:BX$78)-IMshareM!BX$76),0))</f>
        <v>4.0972359286440881E-3</v>
      </c>
      <c r="BY60" s="8">
        <f>IF($A60=BY$1,0,IF(SUM(IMshareM!BY$2:BY$78)-IMshareM!BY$77&gt;0,IMshareM!BY60/(SUM(IMshareM!BY$2:BY$78)-IMshareM!BY$77),0))</f>
        <v>4.8583085698207769E-3</v>
      </c>
      <c r="BZ60" s="8">
        <f>IF($A60=BZ$1,0,IF(SUM(IMshareM!BZ$2:BZ$78)-IMshareM!BZ$78&gt;0,IMshareM!BZ60/(SUM(IMshareM!BZ$2:BZ$78)-IMshareM!BZ$78),0))</f>
        <v>5.6175865874443665E-3</v>
      </c>
    </row>
    <row r="61" spans="1:78">
      <c r="A61" s="4" t="s">
        <v>189</v>
      </c>
      <c r="B61" s="8">
        <f>IF($A61=B$1,0,IF(SUM(IMshareM!B$2:B$78)-IMshareM!B$2&gt;0,IMshareM!B61/(SUM(IMshareM!B$2:B$78)-IMshareM!B$2),0))</f>
        <v>1.2185332218761309E-3</v>
      </c>
      <c r="C61" s="8">
        <f>IF($A61=C$1,0,IF(SUM(IMshareM!C$2:C$78)-IMshareM!C$3&gt;0,IMshareM!C61/(SUM(IMshareM!C$2:C$78)-IMshareM!C$3),0))</f>
        <v>3.4870812270995611E-4</v>
      </c>
      <c r="D61" s="8">
        <f>IF($A61=D$1,0,IF(SUM(IMshareM!D$2:D$78)-IMshareM!D$4&gt;0,IMshareM!D61/(SUM(IMshareM!D$2:D$78)-IMshareM!D$4),0))</f>
        <v>1.0135752358474534E-3</v>
      </c>
      <c r="E61" s="8">
        <f>IF($A61=E$1,0,IF(SUM(IMshareM!E$2:E$78)-IMshareM!E$5&gt;0,IMshareM!E61/(SUM(IMshareM!E$2:E$78)-IMshareM!E$5),0))</f>
        <v>6.8037891400397482E-3</v>
      </c>
      <c r="F61" s="8">
        <f>IF($A61=F$1,0,IF(SUM(IMshareM!F$2:F$78)-IMshareM!F$6&gt;0,IMshareM!F61/(SUM(IMshareM!F$2:F$78)-IMshareM!F$6),0))</f>
        <v>3.1918040414045064E-5</v>
      </c>
      <c r="G61" s="8">
        <f>IF($A61=G$1,0,IF(SUM(IMshareM!G$2:G$78)-IMshareM!G$7&gt;0,IMshareM!G61/(SUM(IMshareM!G$2:G$78)-IMshareM!G$7),0))</f>
        <v>6.0291037481042675E-7</v>
      </c>
      <c r="H61" s="8">
        <f>IF($A61=H$1,0,IF(SUM(IMshareM!H$2:H$78)-IMshareM!H$8&gt;0,IMshareM!H61/(SUM(IMshareM!H$2:H$78)-IMshareM!H$8),0))</f>
        <v>0</v>
      </c>
      <c r="I61" s="8">
        <f>IF($A61=I$1,0,IF(SUM(IMshareM!I$2:I$78)-IMshareM!I$9&gt;0,IMshareM!I61/(SUM(IMshareM!I$2:I$78)-IMshareM!I$9),0))</f>
        <v>3.2219975082457631E-3</v>
      </c>
      <c r="J61" s="8">
        <f>IF($A61=J$1,0,IF(SUM(IMshareM!J$2:J$78)-IMshareM!J$10&gt;0,IMshareM!J61/(SUM(IMshareM!J$2:J$78)-IMshareM!J$10),0))</f>
        <v>0</v>
      </c>
      <c r="K61" s="8">
        <f>IF($A61=K$1,0,IF(SUM(IMshareM!K$2:K$78)-IMshareM!K$11&gt;0,IMshareM!K61/(SUM(IMshareM!K$2:K$78)-IMshareM!K$11),0))</f>
        <v>3.1829432795376278E-4</v>
      </c>
      <c r="L61" s="8">
        <f>IF($A61=L$1,0,IF(SUM(IMshareM!L$2:L$78)-IMshareM!L$12&gt;0,IMshareM!L61/(SUM(IMshareM!L$2:L$78)-IMshareM!L$12),0))</f>
        <v>6.2426305104974758E-3</v>
      </c>
      <c r="M61" s="8">
        <f>IF($A61=M$1,0,IF(SUM(IMshareM!M$2:M$78)-IMshareM!M$13&gt;0,IMshareM!M61/(SUM(IMshareM!M$2:M$78)-IMshareM!M$13),0))</f>
        <v>5.8306252957968725E-4</v>
      </c>
      <c r="N61" s="8">
        <f>IF($A61=N$1,0,IF(SUM(IMshareM!N$2:N$78)-IMshareM!N$14&gt;0,IMshareM!N61/(SUM(IMshareM!N$2:N$78)-IMshareM!N$14),0))</f>
        <v>5.5403925520161081E-4</v>
      </c>
      <c r="O61" s="8">
        <f>IF($A61=O$1,0,IF(SUM(IMshareM!O$2:O$78)-IMshareM!O$15&gt;0,IMshareM!O61/(SUM(IMshareM!O$2:O$78)-IMshareM!O$15),0))</f>
        <v>8.664261458297488E-3</v>
      </c>
      <c r="P61" s="8">
        <f>IF($A61=P$1,0,IF(SUM(IMshareM!P$2:P$78)-IMshareM!P$16&gt;0,IMshareM!P61/(SUM(IMshareM!P$2:P$78)-IMshareM!P$16),0))</f>
        <v>7.7556052996389689E-4</v>
      </c>
      <c r="Q61" s="8">
        <f>IF($A61=Q$1,0,IF(SUM(IMshareM!Q$2:Q$78)-IMshareM!Q$17&gt;0,IMshareM!Q61/(SUM(IMshareM!Q$2:Q$78)-IMshareM!Q$17),0))</f>
        <v>7.6945623999038641E-5</v>
      </c>
      <c r="R61" s="8">
        <f>IF($A61=R$1,0,IF(SUM(IMshareM!R$2:R$78)-IMshareM!R$18&gt;0,IMshareM!R61/(SUM(IMshareM!R$2:R$78)-IMshareM!R$18),0))</f>
        <v>7.9061203384098687E-4</v>
      </c>
      <c r="S61" s="8">
        <f>IF($A61=S$1,0,IF(SUM(IMshareM!S$2:S$78)-IMshareM!S$19&gt;0,IMshareM!S61/(SUM(IMshareM!S$2:S$78)-IMshareM!S$19),0))</f>
        <v>7.5470069146651962E-3</v>
      </c>
      <c r="T61" s="8">
        <f>IF($A61=T$1,0,IF(SUM(IMshareM!T$2:T$78)-IMshareM!T$20&gt;0,IMshareM!T61/(SUM(IMshareM!T$2:T$78)-IMshareM!T$20),0))</f>
        <v>8.9433895075217474E-4</v>
      </c>
      <c r="U61" s="8">
        <f>IF($A61=U$1,0,IF(SUM(IMshareM!U$2:U$78)-IMshareM!U$21&gt;0,IMshareM!U61/(SUM(IMshareM!U$2:U$78)-IMshareM!U$21),0))</f>
        <v>2.95696073238368E-3</v>
      </c>
      <c r="V61" s="8">
        <f>IF($A61=V$1,0,IF(SUM(IMshareM!V$2:V$78)-IMshareM!V$22&gt;0,IMshareM!V61/(SUM(IMshareM!V$2:V$78)-IMshareM!V$22),0))</f>
        <v>7.0364597310904872E-5</v>
      </c>
      <c r="W61" s="8">
        <f>IF($A61=W$1,0,IF(SUM(IMshareM!W$2:W$78)-IMshareM!W$23&gt;0,IMshareM!W61/(SUM(IMshareM!W$2:W$78)-IMshareM!W$23),0))</f>
        <v>7.6653578102811755E-4</v>
      </c>
      <c r="X61" s="8">
        <f>IF($A61=X$1,0,IF(SUM(IMshareM!X$2:X$78)-IMshareM!X$24&gt;0,IMshareM!X61/(SUM(IMshareM!X$2:X$78)-IMshareM!X$24),0))</f>
        <v>1.6092381221533374E-2</v>
      </c>
      <c r="Y61" s="8">
        <f>IF($A61=Y$1,0,IF(SUM(IMshareM!Y$2:Y$78)-IMshareM!Y$25&gt;0,IMshareM!Y61/(SUM(IMshareM!Y$2:Y$78)-IMshareM!Y$25),0))</f>
        <v>2.0411623188457804E-4</v>
      </c>
      <c r="Z61" s="8">
        <f>IF($A61=Z$1,0,IF(SUM(IMshareM!Z$2:Z$78)-IMshareM!Z$26&gt;0,IMshareM!Z61/(SUM(IMshareM!Z$2:Z$78)-IMshareM!Z$26),0))</f>
        <v>1.3924406648274379E-3</v>
      </c>
      <c r="AA61" s="8">
        <f>IF($A61=AA$1,0,IF(SUM(IMshareM!AA$2:AA$78)-IMshareM!AA$27&gt;0,IMshareM!AA61/(SUM(IMshareM!AA$2:AA$78)-IMshareM!AA$27),0))</f>
        <v>7.8014069535766797E-3</v>
      </c>
      <c r="AB61" s="8">
        <f>IF($A61=AB$1,0,IF(SUM(IMshareM!AB$2:AB$78)-IMshareM!AB$28&gt;0,IMshareM!AB61/(SUM(IMshareM!AB$2:AB$78)-IMshareM!AB$28),0))</f>
        <v>3.3198390170507035E-3</v>
      </c>
      <c r="AC61" s="8">
        <f>IF($A61=AC$1,0,IF(SUM(IMshareM!AC$2:AC$78)-IMshareM!AC$29&gt;0,IMshareM!AC61/(SUM(IMshareM!AC$2:AC$78)-IMshareM!AC$29),0))</f>
        <v>8.171627642247388E-2</v>
      </c>
      <c r="AD61" s="8">
        <f>IF($A61=AD$1,0,IF(SUM(IMshareM!AD$2:AD$78)-IMshareM!AD$30&gt;0,IMshareM!AD61/(SUM(IMshareM!AD$2:AD$78)-IMshareM!AD$30),0))</f>
        <v>2.4732520045589722E-4</v>
      </c>
      <c r="AE61" s="8">
        <f>IF($A61=AE$1,0,IF(SUM(IMshareM!AE$2:AE$78)-IMshareM!AE$31&gt;0,IMshareM!AE61/(SUM(IMshareM!AE$2:AE$78)-IMshareM!AE$31),0))</f>
        <v>1.1161933407801511E-4</v>
      </c>
      <c r="AF61" s="8">
        <f>IF($A61=AF$1,0,IF(SUM(IMshareM!AF$2:AF$78)-IMshareM!AF$32&gt;0,IMshareM!AF61/(SUM(IMshareM!AF$2:AF$78)-IMshareM!AF$32),0))</f>
        <v>6.3571269386971394E-5</v>
      </c>
      <c r="AG61" s="8">
        <f>IF($A61=AG$1,0,IF(SUM(IMshareM!AG$2:AG$78)-IMshareM!AG$33&gt;0,IMshareM!AG61/(SUM(IMshareM!AG$2:AG$78)-IMshareM!AG$33),0))</f>
        <v>1.1700926194704233E-3</v>
      </c>
      <c r="AH61" s="8">
        <f>IF($A61=AH$1,0,IF(SUM(IMshareM!AH$2:AH$78)-IMshareM!AH$34&gt;0,IMshareM!AH61/(SUM(IMshareM!AH$2:AH$78)-IMshareM!AH$34),0))</f>
        <v>1.5262544431075193E-3</v>
      </c>
      <c r="AI61" s="8">
        <f>IF($A61=AI$1,0,IF(SUM(IMshareM!AI$2:AI$78)-IMshareM!AI$35&gt;0,IMshareM!AI61/(SUM(IMshareM!AI$2:AI$78)-IMshareM!AI$35),0))</f>
        <v>3.9580652460993847E-5</v>
      </c>
      <c r="AJ61" s="8">
        <f>IF($A61=AJ$1,0,IF(SUM(IMshareM!AJ$2:AJ$78)-IMshareM!AJ$36&gt;0,IMshareM!AJ61/(SUM(IMshareM!AJ$2:AJ$78)-IMshareM!AJ$36),0))</f>
        <v>1.490667239324634E-4</v>
      </c>
      <c r="AK61" s="8">
        <f>IF($A61=AK$1,0,IF(SUM(IMshareM!AK$2:AK$78)-IMshareM!AK$37&gt;0,IMshareM!AK61/(SUM(IMshareM!AK$2:AK$78)-IMshareM!AK$37),0))</f>
        <v>9.2714354267424914E-4</v>
      </c>
      <c r="AL61" s="8">
        <f>IF($A61=AL$1,0,IF(SUM(IMshareM!AL$2:AL$78)-IMshareM!AL$38&gt;0,IMshareM!AL61/(SUM(IMshareM!AL$2:AL$78)-IMshareM!AL$38),0))</f>
        <v>3.5664224970090603E-3</v>
      </c>
      <c r="AM61" s="8">
        <f>IF($A61=AM$1,0,IF(SUM(IMshareM!AM$2:AM$78)-IMshareM!AM$39&gt;0,IMshareM!AM61/(SUM(IMshareM!AM$2:AM$78)-IMshareM!AM$39),0))</f>
        <v>4.5076680580373477E-5</v>
      </c>
      <c r="AN61" s="8">
        <f>IF($A61=AN$1,0,IF(SUM(IMshareM!AN$2:AN$78)-IMshareM!AN$40&gt;0,IMshareM!AN61/(SUM(IMshareM!AN$2:AN$78)-IMshareM!AN$40),0))</f>
        <v>5.7960065917948353E-5</v>
      </c>
      <c r="AO61" s="8">
        <f>IF($A61=AO$1,0,IF(SUM(IMshareM!AO$2:AO$78)-IMshareM!AO$41&gt;0,IMshareM!AO61/(SUM(IMshareM!AO$2:AO$78)-IMshareM!AO$41),0))</f>
        <v>6.232836864564468E-3</v>
      </c>
      <c r="AP61" s="8">
        <f>IF($A61=AP$1,0,IF(SUM(IMshareM!AP$2:AP$78)-IMshareM!AP$42&gt;0,IMshareM!AP61/(SUM(IMshareM!AP$2:AP$78)-IMshareM!AP$42),0))</f>
        <v>0</v>
      </c>
      <c r="AQ61" s="8">
        <f>IF($A61=AQ$1,0,IF(SUM(IMshareM!AQ$2:AQ$78)-IMshareM!AQ$43&gt;0,IMshareM!AQ61/(SUM(IMshareM!AQ$2:AQ$78)-IMshareM!AQ$43),0))</f>
        <v>1.74705007610753E-4</v>
      </c>
      <c r="AR61" s="8">
        <f>IF($A61=AR$1,0,IF(SUM(IMshareM!AR$2:AR$78)-IMshareM!AR$44&gt;0,IMshareM!AR61/(SUM(IMshareM!AR$2:AR$78)-IMshareM!AR$44),0))</f>
        <v>0</v>
      </c>
      <c r="AS61" s="8">
        <f>IF($A61=AS$1,0,IF(SUM(IMshareM!AS$2:AS$78)-IMshareM!AS$45&gt;0,IMshareM!AS61/(SUM(IMshareM!AS$2:AS$78)-IMshareM!AS$45),0))</f>
        <v>2.0040619925370835E-4</v>
      </c>
      <c r="AT61" s="8">
        <f>IF($A61=AT$1,0,IF(SUM(IMshareM!AT$2:AT$78)-IMshareM!AT$46&gt;0,IMshareM!AT61/(SUM(IMshareM!AT$2:AT$78)-IMshareM!AT$46),0))</f>
        <v>1.431190271177601E-5</v>
      </c>
      <c r="AU61" s="8">
        <f>IF($A61=AU$1,0,IF(SUM(IMshareM!AU$2:AU$78)-IMshareM!AU$47&gt;0,IMshareM!AU61/(SUM(IMshareM!AU$2:AU$78)-IMshareM!AU$47),0))</f>
        <v>4.6941973187438923E-5</v>
      </c>
      <c r="AV61" s="8">
        <f>IF($A61=AV$1,0,IF(SUM(IMshareM!AV$2:AV$78)-IMshareM!AV$48&gt;0,IMshareM!AV61/(SUM(IMshareM!AV$2:AV$78)-IMshareM!AV$48),0))</f>
        <v>2.4686826747791256E-3</v>
      </c>
      <c r="AW61" s="8">
        <f>IF($A61=AW$1,0,IF(SUM(IMshareM!AW$2:AW$78)-IMshareM!AW$49&gt;0,IMshareM!AW61/(SUM(IMshareM!AW$2:AW$78)-IMshareM!AW$49),0))</f>
        <v>1.9374099331063245E-4</v>
      </c>
      <c r="AX61" s="8">
        <f>IF($A61=AX$1,0,IF(SUM(IMshareM!AX$2:AX$78)-IMshareM!AX$50&gt;0,IMshareM!AX61/(SUM(IMshareM!AX$2:AX$78)-IMshareM!AX$50),0))</f>
        <v>1.2735991425391337E-5</v>
      </c>
      <c r="AY61" s="8">
        <f>IF($A61=AY$1,0,IF(SUM(IMshareM!AY$2:AY$78)-IMshareM!AY$51&gt;0,IMshareM!AY61/(SUM(IMshareM!AY$2:AY$78)-IMshareM!AY$51),0))</f>
        <v>0</v>
      </c>
      <c r="AZ61" s="8">
        <f>IF($A61=AZ$1,0,IF(SUM(IMshareM!AZ$2:AZ$78)-IMshareM!AZ$52&gt;0,IMshareM!AZ61/(SUM(IMshareM!AZ$2:AZ$78)-IMshareM!AZ$52),0))</f>
        <v>1.6972993117739886E-4</v>
      </c>
      <c r="BA61" s="8">
        <f>IF($A61=BA$1,0,IF(SUM(IMshareM!BA$2:BA$78)-IMshareM!BA$53&gt;0,IMshareM!BA61/(SUM(IMshareM!BA$2:BA$78)-IMshareM!BA$53),0))</f>
        <v>2.556625455978626E-5</v>
      </c>
      <c r="BB61" s="8">
        <f>IF($A61=BB$1,0,IF(SUM(IMshareM!BB$2:BB$78)-IMshareM!BB$54&gt;0,IMshareM!BB61/(SUM(IMshareM!BB$2:BB$78)-IMshareM!BB$54),0))</f>
        <v>7.5944517087647657E-4</v>
      </c>
      <c r="BC61" s="8">
        <f>IF($A61=BC$1,0,IF(SUM(IMshareM!BC$2:BC$78)-IMshareM!BC$55&gt;0,IMshareM!BC61/(SUM(IMshareM!BC$2:BC$78)-IMshareM!BC$55),0))</f>
        <v>5.6167577511692538E-4</v>
      </c>
      <c r="BD61" s="8">
        <f>IF($A61=BD$1,0,IF(SUM(IMshareM!BD$2:BD$78)-IMshareM!BD$56&gt;0,IMshareM!BD61/(SUM(IMshareM!BD$2:BD$78)-IMshareM!BD$56),0))</f>
        <v>7.3443009839338703E-5</v>
      </c>
      <c r="BE61" s="8">
        <f>IF($A61=BE$1,0,IF(SUM(IMshareM!BE$2:BE$78)-IMshareM!BE$57&gt;0,IMshareM!BE61/(SUM(IMshareM!BE$2:BE$78)-IMshareM!BE$57),0))</f>
        <v>7.110683063061698E-4</v>
      </c>
      <c r="BF61" s="8">
        <f>IF($A61=BF$1,0,IF(SUM(IMshareM!BF$2:BF$78)-IMshareM!BF$58&gt;0,IMshareM!BF61/(SUM(IMshareM!BF$2:BF$78)-IMshareM!BF$58),0))</f>
        <v>1.007283200147951E-4</v>
      </c>
      <c r="BG61" s="8">
        <f>IF($A61=BG$1,0,IF(SUM(IMshareM!BG$2:BG$78)-IMshareM!BG$59&gt;0,IMshareM!BG61/(SUM(IMshareM!BG$2:BG$78)-IMshareM!BG$59),0))</f>
        <v>3.6910944639913395E-5</v>
      </c>
      <c r="BH61" s="8">
        <f>IF($A61=BH$1,0,IF(SUM(IMshareM!BH$2:BH$78)-IMshareM!BH$60&gt;0,IMshareM!BH61/(SUM(IMshareM!BH$2:BH$78)-IMshareM!BH$60),0))</f>
        <v>4.6994197587582961E-4</v>
      </c>
      <c r="BI61" s="8">
        <f>IF($A61=BI$1,0,IF(SUM(IMshareM!BI$2:BI$78)-IMshareM!BI$61&gt;0,IMshareM!BI61/(SUM(IMshareM!BI$2:BI$78)-IMshareM!BI$61),0))</f>
        <v>0</v>
      </c>
      <c r="BJ61" s="8">
        <f>IF($A61=BJ$1,0,IF(SUM(IMshareM!BJ$2:BJ$78)-IMshareM!BJ$62&gt;0,IMshareM!BJ61/(SUM(IMshareM!BJ$2:BJ$78)-IMshareM!BJ$62),0))</f>
        <v>8.1122840202418585E-4</v>
      </c>
      <c r="BK61" s="8">
        <f>IF($A61=BK$1,0,IF(SUM(IMshareM!BK$2:BK$78)-IMshareM!BK$63&gt;0,IMshareM!BK61/(SUM(IMshareM!BK$2:BK$78)-IMshareM!BK$63),0))</f>
        <v>2.1237135448244743E-4</v>
      </c>
      <c r="BL61" s="8">
        <f>IF($A61=BL$1,0,IF(SUM(IMshareM!BL$2:BL$78)-IMshareM!BL$64&gt;0,IMshareM!BL61/(SUM(IMshareM!BL$2:BL$78)-IMshareM!BL$64),0))</f>
        <v>2.0163953447416979E-5</v>
      </c>
      <c r="BM61" s="8">
        <f>IF($A61=BM$1,0,IF(SUM(IMshareM!BM$2:BM$78)-IMshareM!BM$65&gt;0,IMshareM!BM61/(SUM(IMshareM!BM$2:BM$78)-IMshareM!BM$65),0))</f>
        <v>4.908693244241605E-4</v>
      </c>
      <c r="BN61" s="8">
        <f>IF($A61=BN$1,0,IF(SUM(IMshareM!BN$2:BN$78)-IMshareM!BN$66&gt;0,IMshareM!BN61/(SUM(IMshareM!BN$2:BN$78)-IMshareM!BN$66),0))</f>
        <v>9.7803837707623642E-4</v>
      </c>
      <c r="BO61" s="8">
        <f>IF($A61=BO$1,0,IF(SUM(IMshareM!BO$2:BO$78)-IMshareM!BO$67&gt;0,IMshareM!BO61/(SUM(IMshareM!BO$2:BO$78)-IMshareM!BO$67),0))</f>
        <v>1.5893156704927243E-4</v>
      </c>
      <c r="BP61" s="8">
        <f>IF($A61=BP$1,0,IF(SUM(IMshareM!BP$2:BP$78)-IMshareM!BP$68&gt;0,IMshareM!BP61/(SUM(IMshareM!BP$2:BP$78)-IMshareM!BP$68),0))</f>
        <v>1.1243179714576683E-3</v>
      </c>
      <c r="BQ61" s="8">
        <f>IF($A61=BQ$1,0,IF(SUM(IMshareM!BQ$2:BQ$78)-IMshareM!BQ$69&gt;0,IMshareM!BQ61/(SUM(IMshareM!BQ$2:BQ$78)-IMshareM!BQ$69),0))</f>
        <v>7.5783370793527614E-3</v>
      </c>
      <c r="BR61" s="8">
        <f>IF($A61=BR$1,0,IF(SUM(IMshareM!BR$2:BR$78)-IMshareM!BR$70&gt;0,IMshareM!BR61/(SUM(IMshareM!BR$2:BR$78)-IMshareM!BR$70),0))</f>
        <v>4.2856427712018329E-4</v>
      </c>
      <c r="BS61" s="8">
        <f>IF($A61=BS$1,0,IF(SUM(IMshareM!BS$2:BS$78)-IMshareM!BS$71&gt;0,IMshareM!BS61/(SUM(IMshareM!BS$2:BS$78)-IMshareM!BS$71),0))</f>
        <v>1.5364587631124723E-2</v>
      </c>
      <c r="BT61" s="8">
        <f>IF($A61=BT$1,0,IF(SUM(IMshareM!BT$2:BT$78)-IMshareM!BT$72&gt;0,IMshareM!BT61/(SUM(IMshareM!BT$2:BT$78)-IMshareM!BT$72),0))</f>
        <v>1.06392087269612E-4</v>
      </c>
      <c r="BU61" s="8">
        <f>IF($A61=BU$1,0,IF(SUM(IMshareM!BU$2:BU$78)-IMshareM!BU$73&gt;0,IMshareM!BU61/(SUM(IMshareM!BU$2:BU$78)-IMshareM!BU$73),0))</f>
        <v>6.6883389411235506E-5</v>
      </c>
      <c r="BV61" s="8">
        <f>IF($A61=BV$1,0,IF(SUM(IMshareM!BV$2:BV$78)-IMshareM!BV$74&gt;0,IMshareM!BV61/(SUM(IMshareM!BV$2:BV$78)-IMshareM!BV$74),0))</f>
        <v>1.8309130436627321E-4</v>
      </c>
      <c r="BW61" s="8">
        <f>IF($A61=BW$1,0,IF(SUM(IMshareM!BW$2:BW$78)-IMshareM!BW$75&gt;0,IMshareM!BW61/(SUM(IMshareM!BW$2:BW$78)-IMshareM!BW$75),0))</f>
        <v>2.7802960402299162E-4</v>
      </c>
      <c r="BX61" s="8">
        <f>IF($A61=BX$1,0,IF(SUM(IMshareM!BX$2:BX$78)-IMshareM!BX$76&gt;0,IMshareM!BX61/(SUM(IMshareM!BX$2:BX$78)-IMshareM!BX$76),0))</f>
        <v>7.5547003889426907E-5</v>
      </c>
      <c r="BY61" s="8">
        <f>IF($A61=BY$1,0,IF(SUM(IMshareM!BY$2:BY$78)-IMshareM!BY$77&gt;0,IMshareM!BY61/(SUM(IMshareM!BY$2:BY$78)-IMshareM!BY$77),0))</f>
        <v>3.7408909483943119E-2</v>
      </c>
      <c r="BZ61" s="8">
        <f>IF($A61=BZ$1,0,IF(SUM(IMshareM!BZ$2:BZ$78)-IMshareM!BZ$78&gt;0,IMshareM!BZ61/(SUM(IMshareM!BZ$2:BZ$78)-IMshareM!BZ$78),0))</f>
        <v>5.4217201753065632E-3</v>
      </c>
    </row>
    <row r="62" spans="1:78">
      <c r="A62" s="4" t="s">
        <v>191</v>
      </c>
      <c r="B62" s="8">
        <f>IF($A62=B$1,0,IF(SUM(IMshareM!B$2:B$78)-IMshareM!B$2&gt;0,IMshareM!B62/(SUM(IMshareM!B$2:B$78)-IMshareM!B$2),0))</f>
        <v>3.5225913427107912E-4</v>
      </c>
      <c r="C62" s="8">
        <f>IF($A62=C$1,0,IF(SUM(IMshareM!C$2:C$78)-IMshareM!C$3&gt;0,IMshareM!C62/(SUM(IMshareM!C$2:C$78)-IMshareM!C$3),0))</f>
        <v>2.304365888767026E-4</v>
      </c>
      <c r="D62" s="8">
        <f>IF($A62=D$1,0,IF(SUM(IMshareM!D$2:D$78)-IMshareM!D$4&gt;0,IMshareM!D62/(SUM(IMshareM!D$2:D$78)-IMshareM!D$4),0))</f>
        <v>2.6223832960876593E-2</v>
      </c>
      <c r="E62" s="8">
        <f>IF($A62=E$1,0,IF(SUM(IMshareM!E$2:E$78)-IMshareM!E$5&gt;0,IMshareM!E62/(SUM(IMshareM!E$2:E$78)-IMshareM!E$5),0))</f>
        <v>1.4157394659168683E-3</v>
      </c>
      <c r="F62" s="8">
        <f>IF($A62=F$1,0,IF(SUM(IMshareM!F$2:F$78)-IMshareM!F$6&gt;0,IMshareM!F62/(SUM(IMshareM!F$2:F$78)-IMshareM!F$6),0))</f>
        <v>4.969512425474015E-6</v>
      </c>
      <c r="G62" s="8">
        <f>IF($A62=G$1,0,IF(SUM(IMshareM!G$2:G$78)-IMshareM!G$7&gt;0,IMshareM!G62/(SUM(IMshareM!G$2:G$78)-IMshareM!G$7),0))</f>
        <v>2.8383275967827455E-3</v>
      </c>
      <c r="H62" s="8">
        <f>IF($A62=H$1,0,IF(SUM(IMshareM!H$2:H$78)-IMshareM!H$8&gt;0,IMshareM!H62/(SUM(IMshareM!H$2:H$78)-IMshareM!H$8),0))</f>
        <v>0</v>
      </c>
      <c r="I62" s="8">
        <f>IF($A62=I$1,0,IF(SUM(IMshareM!I$2:I$78)-IMshareM!I$9&gt;0,IMshareM!I62/(SUM(IMshareM!I$2:I$78)-IMshareM!I$9),0))</f>
        <v>4.732687890582475E-4</v>
      </c>
      <c r="J62" s="8">
        <f>IF($A62=J$1,0,IF(SUM(IMshareM!J$2:J$78)-IMshareM!J$10&gt;0,IMshareM!J62/(SUM(IMshareM!J$2:J$78)-IMshareM!J$10),0))</f>
        <v>2.4581400840253131E-5</v>
      </c>
      <c r="K62" s="8">
        <f>IF($A62=K$1,0,IF(SUM(IMshareM!K$2:K$78)-IMshareM!K$11&gt;0,IMshareM!K62/(SUM(IMshareM!K$2:K$78)-IMshareM!K$11),0))</f>
        <v>3.7829334095809301E-4</v>
      </c>
      <c r="L62" s="8">
        <f>IF($A62=L$1,0,IF(SUM(IMshareM!L$2:L$78)-IMshareM!L$12&gt;0,IMshareM!L62/(SUM(IMshareM!L$2:L$78)-IMshareM!L$12),0))</f>
        <v>2.6156206114437692E-3</v>
      </c>
      <c r="M62" s="8">
        <f>IF($A62=M$1,0,IF(SUM(IMshareM!M$2:M$78)-IMshareM!M$13&gt;0,IMshareM!M62/(SUM(IMshareM!M$2:M$78)-IMshareM!M$13),0))</f>
        <v>3.5723469451891883E-4</v>
      </c>
      <c r="N62" s="8">
        <f>IF($A62=N$1,0,IF(SUM(IMshareM!N$2:N$78)-IMshareM!N$14&gt;0,IMshareM!N62/(SUM(IMshareM!N$2:N$78)-IMshareM!N$14),0))</f>
        <v>3.8577101096150179E-3</v>
      </c>
      <c r="O62" s="8">
        <f>IF($A62=O$1,0,IF(SUM(IMshareM!O$2:O$78)-IMshareM!O$15&gt;0,IMshareM!O62/(SUM(IMshareM!O$2:O$78)-IMshareM!O$15),0))</f>
        <v>3.9596021152263681E-4</v>
      </c>
      <c r="P62" s="8">
        <f>IF($A62=P$1,0,IF(SUM(IMshareM!P$2:P$78)-IMshareM!P$16&gt;0,IMshareM!P62/(SUM(IMshareM!P$2:P$78)-IMshareM!P$16),0))</f>
        <v>3.3424142583755581E-3</v>
      </c>
      <c r="Q62" s="8">
        <f>IF($A62=Q$1,0,IF(SUM(IMshareM!Q$2:Q$78)-IMshareM!Q$17&gt;0,IMshareM!Q62/(SUM(IMshareM!Q$2:Q$78)-IMshareM!Q$17),0))</f>
        <v>2.3675144194684511E-3</v>
      </c>
      <c r="R62" s="8">
        <f>IF($A62=R$1,0,IF(SUM(IMshareM!R$2:R$78)-IMshareM!R$18&gt;0,IMshareM!R62/(SUM(IMshareM!R$2:R$78)-IMshareM!R$18),0))</f>
        <v>8.9485349057098426E-5</v>
      </c>
      <c r="S62" s="8">
        <f>IF($A62=S$1,0,IF(SUM(IMshareM!S$2:S$78)-IMshareM!S$19&gt;0,IMshareM!S62/(SUM(IMshareM!S$2:S$78)-IMshareM!S$19),0))</f>
        <v>1.4090922252804128E-3</v>
      </c>
      <c r="T62" s="8">
        <f>IF($A62=T$1,0,IF(SUM(IMshareM!T$2:T$78)-IMshareM!T$20&gt;0,IMshareM!T62/(SUM(IMshareM!T$2:T$78)-IMshareM!T$20),0))</f>
        <v>1.0022394978402762E-2</v>
      </c>
      <c r="U62" s="8">
        <f>IF($A62=U$1,0,IF(SUM(IMshareM!U$2:U$78)-IMshareM!U$21&gt;0,IMshareM!U62/(SUM(IMshareM!U$2:U$78)-IMshareM!U$21),0))</f>
        <v>1.8860242457886544E-2</v>
      </c>
      <c r="V62" s="8">
        <f>IF($A62=V$1,0,IF(SUM(IMshareM!V$2:V$78)-IMshareM!V$22&gt;0,IMshareM!V62/(SUM(IMshareM!V$2:V$78)-IMshareM!V$22),0))</f>
        <v>1.805149873551385E-2</v>
      </c>
      <c r="W62" s="8">
        <f>IF($A62=W$1,0,IF(SUM(IMshareM!W$2:W$78)-IMshareM!W$23&gt;0,IMshareM!W62/(SUM(IMshareM!W$2:W$78)-IMshareM!W$23),0))</f>
        <v>3.4430878958349588E-3</v>
      </c>
      <c r="X62" s="8">
        <f>IF($A62=X$1,0,IF(SUM(IMshareM!X$2:X$78)-IMshareM!X$24&gt;0,IMshareM!X62/(SUM(IMshareM!X$2:X$78)-IMshareM!X$24),0))</f>
        <v>1.2068099724759305E-2</v>
      </c>
      <c r="Y62" s="8">
        <f>IF($A62=Y$1,0,IF(SUM(IMshareM!Y$2:Y$78)-IMshareM!Y$25&gt;0,IMshareM!Y62/(SUM(IMshareM!Y$2:Y$78)-IMshareM!Y$25),0))</f>
        <v>5.5035758706228795E-3</v>
      </c>
      <c r="Z62" s="8">
        <f>IF($A62=Z$1,0,IF(SUM(IMshareM!Z$2:Z$78)-IMshareM!Z$26&gt;0,IMshareM!Z62/(SUM(IMshareM!Z$2:Z$78)-IMshareM!Z$26),0))</f>
        <v>9.074708263239608E-3</v>
      </c>
      <c r="AA62" s="8">
        <f>IF($A62=AA$1,0,IF(SUM(IMshareM!AA$2:AA$78)-IMshareM!AA$27&gt;0,IMshareM!AA62/(SUM(IMshareM!AA$2:AA$78)-IMshareM!AA$27),0))</f>
        <v>1.3157991916804192E-3</v>
      </c>
      <c r="AB62" s="8">
        <f>IF($A62=AB$1,0,IF(SUM(IMshareM!AB$2:AB$78)-IMshareM!AB$28&gt;0,IMshareM!AB62/(SUM(IMshareM!AB$2:AB$78)-IMshareM!AB$28),0))</f>
        <v>1.9283622655398014E-2</v>
      </c>
      <c r="AC62" s="8">
        <f>IF($A62=AC$1,0,IF(SUM(IMshareM!AC$2:AC$78)-IMshareM!AC$29&gt;0,IMshareM!AC62/(SUM(IMshareM!AC$2:AC$78)-IMshareM!AC$29),0))</f>
        <v>7.2770208224853859E-4</v>
      </c>
      <c r="AD62" s="8">
        <f>IF($A62=AD$1,0,IF(SUM(IMshareM!AD$2:AD$78)-IMshareM!AD$30&gt;0,IMshareM!AD62/(SUM(IMshareM!AD$2:AD$78)-IMshareM!AD$30),0))</f>
        <v>3.4483803479606179E-4</v>
      </c>
      <c r="AE62" s="8">
        <f>IF($A62=AE$1,0,IF(SUM(IMshareM!AE$2:AE$78)-IMshareM!AE$31&gt;0,IMshareM!AE62/(SUM(IMshareM!AE$2:AE$78)-IMshareM!AE$31),0))</f>
        <v>1.428268511720628E-3</v>
      </c>
      <c r="AF62" s="8">
        <f>IF($A62=AF$1,0,IF(SUM(IMshareM!AF$2:AF$78)-IMshareM!AF$32&gt;0,IMshareM!AF62/(SUM(IMshareM!AF$2:AF$78)-IMshareM!AF$32),0))</f>
        <v>1.8699260107405155E-3</v>
      </c>
      <c r="AG62" s="8">
        <f>IF($A62=AG$1,0,IF(SUM(IMshareM!AG$2:AG$78)-IMshareM!AG$33&gt;0,IMshareM!AG62/(SUM(IMshareM!AG$2:AG$78)-IMshareM!AG$33),0))</f>
        <v>3.7615192469676932E-4</v>
      </c>
      <c r="AH62" s="8">
        <f>IF($A62=AH$1,0,IF(SUM(IMshareM!AH$2:AH$78)-IMshareM!AH$34&gt;0,IMshareM!AH62/(SUM(IMshareM!AH$2:AH$78)-IMshareM!AH$34),0))</f>
        <v>1.4440046679249153E-3</v>
      </c>
      <c r="AI62" s="8">
        <f>IF($A62=AI$1,0,IF(SUM(IMshareM!AI$2:AI$78)-IMshareM!AI$35&gt;0,IMshareM!AI62/(SUM(IMshareM!AI$2:AI$78)-IMshareM!AI$35),0))</f>
        <v>2.6840732165754058E-4</v>
      </c>
      <c r="AJ62" s="8">
        <f>IF($A62=AJ$1,0,IF(SUM(IMshareM!AJ$2:AJ$78)-IMshareM!AJ$36&gt;0,IMshareM!AJ62/(SUM(IMshareM!AJ$2:AJ$78)-IMshareM!AJ$36),0))</f>
        <v>9.8192015854797754E-4</v>
      </c>
      <c r="AK62" s="8">
        <f>IF($A62=AK$1,0,IF(SUM(IMshareM!AK$2:AK$78)-IMshareM!AK$37&gt;0,IMshareM!AK62/(SUM(IMshareM!AK$2:AK$78)-IMshareM!AK$37),0))</f>
        <v>1.3460438524097965E-2</v>
      </c>
      <c r="AL62" s="8">
        <f>IF($A62=AL$1,0,IF(SUM(IMshareM!AL$2:AL$78)-IMshareM!AL$38&gt;0,IMshareM!AL62/(SUM(IMshareM!AL$2:AL$78)-IMshareM!AL$38),0))</f>
        <v>1.0985495450347561E-2</v>
      </c>
      <c r="AM62" s="8">
        <f>IF($A62=AM$1,0,IF(SUM(IMshareM!AM$2:AM$78)-IMshareM!AM$39&gt;0,IMshareM!AM62/(SUM(IMshareM!AM$2:AM$78)-IMshareM!AM$39),0))</f>
        <v>8.6184613627452846E-5</v>
      </c>
      <c r="AN62" s="8">
        <f>IF($A62=AN$1,0,IF(SUM(IMshareM!AN$2:AN$78)-IMshareM!AN$40&gt;0,IMshareM!AN62/(SUM(IMshareM!AN$2:AN$78)-IMshareM!AN$40),0))</f>
        <v>1.5502393435951766E-4</v>
      </c>
      <c r="AO62" s="8">
        <f>IF($A62=AO$1,0,IF(SUM(IMshareM!AO$2:AO$78)-IMshareM!AO$41&gt;0,IMshareM!AO62/(SUM(IMshareM!AO$2:AO$78)-IMshareM!AO$41),0))</f>
        <v>8.9465884131056956E-6</v>
      </c>
      <c r="AP62" s="8">
        <f>IF($A62=AP$1,0,IF(SUM(IMshareM!AP$2:AP$78)-IMshareM!AP$42&gt;0,IMshareM!AP62/(SUM(IMshareM!AP$2:AP$78)-IMshareM!AP$42),0))</f>
        <v>0</v>
      </c>
      <c r="AQ62" s="8">
        <f>IF($A62=AQ$1,0,IF(SUM(IMshareM!AQ$2:AQ$78)-IMshareM!AQ$43&gt;0,IMshareM!AQ62/(SUM(IMshareM!AQ$2:AQ$78)-IMshareM!AQ$43),0))</f>
        <v>3.9165714328978354E-3</v>
      </c>
      <c r="AR62" s="8">
        <f>IF($A62=AR$1,0,IF(SUM(IMshareM!AR$2:AR$78)-IMshareM!AR$44&gt;0,IMshareM!AR62/(SUM(IMshareM!AR$2:AR$78)-IMshareM!AR$44),0))</f>
        <v>0</v>
      </c>
      <c r="AS62" s="8">
        <f>IF($A62=AS$1,0,IF(SUM(IMshareM!AS$2:AS$78)-IMshareM!AS$45&gt;0,IMshareM!AS62/(SUM(IMshareM!AS$2:AS$78)-IMshareM!AS$45),0))</f>
        <v>1.0614794342156349E-2</v>
      </c>
      <c r="AT62" s="8">
        <f>IF($A62=AT$1,0,IF(SUM(IMshareM!AT$2:AT$78)-IMshareM!AT$46&gt;0,IMshareM!AT62/(SUM(IMshareM!AT$2:AT$78)-IMshareM!AT$46),0))</f>
        <v>4.9343826943045173E-5</v>
      </c>
      <c r="AU62" s="8">
        <f>IF($A62=AU$1,0,IF(SUM(IMshareM!AU$2:AU$78)-IMshareM!AU$47&gt;0,IMshareM!AU62/(SUM(IMshareM!AU$2:AU$78)-IMshareM!AU$47),0))</f>
        <v>1.500513522590346E-2</v>
      </c>
      <c r="AV62" s="8">
        <f>IF($A62=AV$1,0,IF(SUM(IMshareM!AV$2:AV$78)-IMshareM!AV$48&gt;0,IMshareM!AV62/(SUM(IMshareM!AV$2:AV$78)-IMshareM!AV$48),0))</f>
        <v>2.9375049286715707E-3</v>
      </c>
      <c r="AW62" s="8">
        <f>IF($A62=AW$1,0,IF(SUM(IMshareM!AW$2:AW$78)-IMshareM!AW$49&gt;0,IMshareM!AW62/(SUM(IMshareM!AW$2:AW$78)-IMshareM!AW$49),0))</f>
        <v>3.2039750729564114E-4</v>
      </c>
      <c r="AX62" s="8">
        <f>IF($A62=AX$1,0,IF(SUM(IMshareM!AX$2:AX$78)-IMshareM!AX$50&gt;0,IMshareM!AX62/(SUM(IMshareM!AX$2:AX$78)-IMshareM!AX$50),0))</f>
        <v>2.4190261521020036E-4</v>
      </c>
      <c r="AY62" s="8">
        <f>IF($A62=AY$1,0,IF(SUM(IMshareM!AY$2:AY$78)-IMshareM!AY$51&gt;0,IMshareM!AY62/(SUM(IMshareM!AY$2:AY$78)-IMshareM!AY$51),0))</f>
        <v>0</v>
      </c>
      <c r="AZ62" s="8">
        <f>IF($A62=AZ$1,0,IF(SUM(IMshareM!AZ$2:AZ$78)-IMshareM!AZ$52&gt;0,IMshareM!AZ62/(SUM(IMshareM!AZ$2:AZ$78)-IMshareM!AZ$52),0))</f>
        <v>6.2963554226030461E-4</v>
      </c>
      <c r="BA62" s="8">
        <f>IF($A62=BA$1,0,IF(SUM(IMshareM!BA$2:BA$78)-IMshareM!BA$53&gt;0,IMshareM!BA62/(SUM(IMshareM!BA$2:BA$78)-IMshareM!BA$53),0))</f>
        <v>1.2215757332168244E-5</v>
      </c>
      <c r="BB62" s="8">
        <f>IF($A62=BB$1,0,IF(SUM(IMshareM!BB$2:BB$78)-IMshareM!BB$54&gt;0,IMshareM!BB62/(SUM(IMshareM!BB$2:BB$78)-IMshareM!BB$54),0))</f>
        <v>6.3407532720793263E-3</v>
      </c>
      <c r="BC62" s="8">
        <f>IF($A62=BC$1,0,IF(SUM(IMshareM!BC$2:BC$78)-IMshareM!BC$55&gt;0,IMshareM!BC62/(SUM(IMshareM!BC$2:BC$78)-IMshareM!BC$55),0))</f>
        <v>2.2399519746364571E-2</v>
      </c>
      <c r="BD62" s="8">
        <f>IF($A62=BD$1,0,IF(SUM(IMshareM!BD$2:BD$78)-IMshareM!BD$56&gt;0,IMshareM!BD62/(SUM(IMshareM!BD$2:BD$78)-IMshareM!BD$56),0))</f>
        <v>4.7577650426633023E-3</v>
      </c>
      <c r="BE62" s="8">
        <f>IF($A62=BE$1,0,IF(SUM(IMshareM!BE$2:BE$78)-IMshareM!BE$57&gt;0,IMshareM!BE62/(SUM(IMshareM!BE$2:BE$78)-IMshareM!BE$57),0))</f>
        <v>9.8679801430248481E-5</v>
      </c>
      <c r="BF62" s="8">
        <f>IF($A62=BF$1,0,IF(SUM(IMshareM!BF$2:BF$78)-IMshareM!BF$58&gt;0,IMshareM!BF62/(SUM(IMshareM!BF$2:BF$78)-IMshareM!BF$58),0))</f>
        <v>1.336270218237839E-4</v>
      </c>
      <c r="BG62" s="8">
        <f>IF($A62=BG$1,0,IF(SUM(IMshareM!BG$2:BG$78)-IMshareM!BG$59&gt;0,IMshareM!BG62/(SUM(IMshareM!BG$2:BG$78)-IMshareM!BG$59),0))</f>
        <v>1.3953299370395563E-5</v>
      </c>
      <c r="BH62" s="8">
        <f>IF($A62=BH$1,0,IF(SUM(IMshareM!BH$2:BH$78)-IMshareM!BH$60&gt;0,IMshareM!BH62/(SUM(IMshareM!BH$2:BH$78)-IMshareM!BH$60),0))</f>
        <v>2.9415201699606069E-2</v>
      </c>
      <c r="BI62" s="8">
        <f>IF($A62=BI$1,0,IF(SUM(IMshareM!BI$2:BI$78)-IMshareM!BI$61&gt;0,IMshareM!BI62/(SUM(IMshareM!BI$2:BI$78)-IMshareM!BI$61),0))</f>
        <v>5.7471224383348644E-3</v>
      </c>
      <c r="BJ62" s="8">
        <f>IF($A62=BJ$1,0,IF(SUM(IMshareM!BJ$2:BJ$78)-IMshareM!BJ$62&gt;0,IMshareM!BJ62/(SUM(IMshareM!BJ$2:BJ$78)-IMshareM!BJ$62),0))</f>
        <v>0</v>
      </c>
      <c r="BK62" s="8">
        <f>IF($A62=BK$1,0,IF(SUM(IMshareM!BK$2:BK$78)-IMshareM!BK$63&gt;0,IMshareM!BK62/(SUM(IMshareM!BK$2:BK$78)-IMshareM!BK$63),0))</f>
        <v>1.0244557075809412E-3</v>
      </c>
      <c r="BL62" s="8">
        <f>IF($A62=BL$1,0,IF(SUM(IMshareM!BL$2:BL$78)-IMshareM!BL$64&gt;0,IMshareM!BL62/(SUM(IMshareM!BL$2:BL$78)-IMshareM!BL$64),0))</f>
        <v>7.4638655578905299E-3</v>
      </c>
      <c r="BM62" s="8">
        <f>IF($A62=BM$1,0,IF(SUM(IMshareM!BM$2:BM$78)-IMshareM!BM$65&gt;0,IMshareM!BM62/(SUM(IMshareM!BM$2:BM$78)-IMshareM!BM$65),0))</f>
        <v>2.3270270314538735E-3</v>
      </c>
      <c r="BN62" s="8">
        <f>IF($A62=BN$1,0,IF(SUM(IMshareM!BN$2:BN$78)-IMshareM!BN$66&gt;0,IMshareM!BN62/(SUM(IMshareM!BN$2:BN$78)-IMshareM!BN$66),0))</f>
        <v>1.0721904596524071E-3</v>
      </c>
      <c r="BO62" s="8">
        <f>IF($A62=BO$1,0,IF(SUM(IMshareM!BO$2:BO$78)-IMshareM!BO$67&gt;0,IMshareM!BO62/(SUM(IMshareM!BO$2:BO$78)-IMshareM!BO$67),0))</f>
        <v>6.3999364831644435E-3</v>
      </c>
      <c r="BP62" s="8">
        <f>IF($A62=BP$1,0,IF(SUM(IMshareM!BP$2:BP$78)-IMshareM!BP$68&gt;0,IMshareM!BP62/(SUM(IMshareM!BP$2:BP$78)-IMshareM!BP$68),0))</f>
        <v>5.5908853120135021E-3</v>
      </c>
      <c r="BQ62" s="8">
        <f>IF($A62=BQ$1,0,IF(SUM(IMshareM!BQ$2:BQ$78)-IMshareM!BQ$69&gt;0,IMshareM!BQ62/(SUM(IMshareM!BQ$2:BQ$78)-IMshareM!BQ$69),0))</f>
        <v>8.7000173921946311E-4</v>
      </c>
      <c r="BR62" s="8">
        <f>IF($A62=BR$1,0,IF(SUM(IMshareM!BR$2:BR$78)-IMshareM!BR$70&gt;0,IMshareM!BR62/(SUM(IMshareM!BR$2:BR$78)-IMshareM!BR$70),0))</f>
        <v>1.5222299481880966E-3</v>
      </c>
      <c r="BS62" s="8">
        <f>IF($A62=BS$1,0,IF(SUM(IMshareM!BS$2:BS$78)-IMshareM!BS$71&gt;0,IMshareM!BS62/(SUM(IMshareM!BS$2:BS$78)-IMshareM!BS$71),0))</f>
        <v>4.763927982061913E-3</v>
      </c>
      <c r="BT62" s="8">
        <f>IF($A62=BT$1,0,IF(SUM(IMshareM!BT$2:BT$78)-IMshareM!BT$72&gt;0,IMshareM!BT62/(SUM(IMshareM!BT$2:BT$78)-IMshareM!BT$72),0))</f>
        <v>1.679208049019499E-2</v>
      </c>
      <c r="BU62" s="8">
        <f>IF($A62=BU$1,0,IF(SUM(IMshareM!BU$2:BU$78)-IMshareM!BU$73&gt;0,IMshareM!BU62/(SUM(IMshareM!BU$2:BU$78)-IMshareM!BU$73),0))</f>
        <v>1.5348006978736894E-3</v>
      </c>
      <c r="BV62" s="8">
        <f>IF($A62=BV$1,0,IF(SUM(IMshareM!BV$2:BV$78)-IMshareM!BV$74&gt;0,IMshareM!BV62/(SUM(IMshareM!BV$2:BV$78)-IMshareM!BV$74),0))</f>
        <v>2.564376141358465E-3</v>
      </c>
      <c r="BW62" s="8">
        <f>IF($A62=BW$1,0,IF(SUM(IMshareM!BW$2:BW$78)-IMshareM!BW$75&gt;0,IMshareM!BW62/(SUM(IMshareM!BW$2:BW$78)-IMshareM!BW$75),0))</f>
        <v>4.2510670783104856E-3</v>
      </c>
      <c r="BX62" s="8">
        <f>IF($A62=BX$1,0,IF(SUM(IMshareM!BX$2:BX$78)-IMshareM!BX$76&gt;0,IMshareM!BX62/(SUM(IMshareM!BX$2:BX$78)-IMshareM!BX$76),0))</f>
        <v>7.7097087829104203E-5</v>
      </c>
      <c r="BY62" s="8">
        <f>IF($A62=BY$1,0,IF(SUM(IMshareM!BY$2:BY$78)-IMshareM!BY$77&gt;0,IMshareM!BY62/(SUM(IMshareM!BY$2:BY$78)-IMshareM!BY$77),0))</f>
        <v>3.4253124944326648E-3</v>
      </c>
      <c r="BZ62" s="8">
        <f>IF($A62=BZ$1,0,IF(SUM(IMshareM!BZ$2:BZ$78)-IMshareM!BZ$78&gt;0,IMshareM!BZ62/(SUM(IMshareM!BZ$2:BZ$78)-IMshareM!BZ$78),0))</f>
        <v>3.8909558082411591E-3</v>
      </c>
    </row>
    <row r="63" spans="1:78">
      <c r="A63" s="4" t="s">
        <v>193</v>
      </c>
      <c r="B63" s="8">
        <f>IF($A63=B$1,0,IF(SUM(IMshareM!B$2:B$78)-IMshareM!B$2&gt;0,IMshareM!B63/(SUM(IMshareM!B$2:B$78)-IMshareM!B$2),0))</f>
        <v>4.9132575147673441E-3</v>
      </c>
      <c r="C63" s="8">
        <f>IF($A63=C$1,0,IF(SUM(IMshareM!C$2:C$78)-IMshareM!C$3&gt;0,IMshareM!C63/(SUM(IMshareM!C$2:C$78)-IMshareM!C$3),0))</f>
        <v>1.134875823472239E-4</v>
      </c>
      <c r="D63" s="8">
        <f>IF($A63=D$1,0,IF(SUM(IMshareM!D$2:D$78)-IMshareM!D$4&gt;0,IMshareM!D63/(SUM(IMshareM!D$2:D$78)-IMshareM!D$4),0))</f>
        <v>1.2517935481139763E-4</v>
      </c>
      <c r="E63" s="8">
        <f>IF($A63=E$1,0,IF(SUM(IMshareM!E$2:E$78)-IMshareM!E$5&gt;0,IMshareM!E63/(SUM(IMshareM!E$2:E$78)-IMshareM!E$5),0))</f>
        <v>6.4746497794267721E-7</v>
      </c>
      <c r="F63" s="8">
        <f>IF($A63=F$1,0,IF(SUM(IMshareM!F$2:F$78)-IMshareM!F$6&gt;0,IMshareM!F63/(SUM(IMshareM!F$2:F$78)-IMshareM!F$6),0))</f>
        <v>0</v>
      </c>
      <c r="G63" s="8">
        <f>IF($A63=G$1,0,IF(SUM(IMshareM!G$2:G$78)-IMshareM!G$7&gt;0,IMshareM!G63/(SUM(IMshareM!G$2:G$78)-IMshareM!G$7),0))</f>
        <v>1.3171074701656008E-3</v>
      </c>
      <c r="H63" s="8">
        <f>IF($A63=H$1,0,IF(SUM(IMshareM!H$2:H$78)-IMshareM!H$8&gt;0,IMshareM!H63/(SUM(IMshareM!H$2:H$78)-IMshareM!H$8),0))</f>
        <v>0</v>
      </c>
      <c r="I63" s="8">
        <f>IF($A63=I$1,0,IF(SUM(IMshareM!I$2:I$78)-IMshareM!I$9&gt;0,IMshareM!I63/(SUM(IMshareM!I$2:I$78)-IMshareM!I$9),0))</f>
        <v>5.5304651087806811E-4</v>
      </c>
      <c r="J63" s="8">
        <f>IF($A63=J$1,0,IF(SUM(IMshareM!J$2:J$78)-IMshareM!J$10&gt;0,IMshareM!J63/(SUM(IMshareM!J$2:J$78)-IMshareM!J$10),0))</f>
        <v>0</v>
      </c>
      <c r="K63" s="8">
        <f>IF($A63=K$1,0,IF(SUM(IMshareM!K$2:K$78)-IMshareM!K$11&gt;0,IMshareM!K63/(SUM(IMshareM!K$2:K$78)-IMshareM!K$11),0))</f>
        <v>3.7849580681524869E-4</v>
      </c>
      <c r="L63" s="8">
        <f>IF($A63=L$1,0,IF(SUM(IMshareM!L$2:L$78)-IMshareM!L$12&gt;0,IMshareM!L63/(SUM(IMshareM!L$2:L$78)-IMshareM!L$12),0))</f>
        <v>1.0989769436593071E-5</v>
      </c>
      <c r="M63" s="8">
        <f>IF($A63=M$1,0,IF(SUM(IMshareM!M$2:M$78)-IMshareM!M$13&gt;0,IMshareM!M63/(SUM(IMshareM!M$2:M$78)-IMshareM!M$13),0))</f>
        <v>9.5113848282741548E-7</v>
      </c>
      <c r="N63" s="8">
        <f>IF($A63=N$1,0,IF(SUM(IMshareM!N$2:N$78)-IMshareM!N$14&gt;0,IMshareM!N63/(SUM(IMshareM!N$2:N$78)-IMshareM!N$14),0))</f>
        <v>2.1567500994584701E-4</v>
      </c>
      <c r="O63" s="8">
        <f>IF($A63=O$1,0,IF(SUM(IMshareM!O$2:O$78)-IMshareM!O$15&gt;0,IMshareM!O63/(SUM(IMshareM!O$2:O$78)-IMshareM!O$15),0))</f>
        <v>0</v>
      </c>
      <c r="P63" s="8">
        <f>IF($A63=P$1,0,IF(SUM(IMshareM!P$2:P$78)-IMshareM!P$16&gt;0,IMshareM!P63/(SUM(IMshareM!P$2:P$78)-IMshareM!P$16),0))</f>
        <v>0</v>
      </c>
      <c r="Q63" s="8">
        <f>IF($A63=Q$1,0,IF(SUM(IMshareM!Q$2:Q$78)-IMshareM!Q$17&gt;0,IMshareM!Q63/(SUM(IMshareM!Q$2:Q$78)-IMshareM!Q$17),0))</f>
        <v>4.9533932565324082E-2</v>
      </c>
      <c r="R63" s="8">
        <f>IF($A63=R$1,0,IF(SUM(IMshareM!R$2:R$78)-IMshareM!R$18&gt;0,IMshareM!R63/(SUM(IMshareM!R$2:R$78)-IMshareM!R$18),0))</f>
        <v>0</v>
      </c>
      <c r="S63" s="8">
        <f>IF($A63=S$1,0,IF(SUM(IMshareM!S$2:S$78)-IMshareM!S$19&gt;0,IMshareM!S63/(SUM(IMshareM!S$2:S$78)-IMshareM!S$19),0))</f>
        <v>2.9307360953491416E-4</v>
      </c>
      <c r="T63" s="8">
        <f>IF($A63=T$1,0,IF(SUM(IMshareM!T$2:T$78)-IMshareM!T$20&gt;0,IMshareM!T63/(SUM(IMshareM!T$2:T$78)-IMshareM!T$20),0))</f>
        <v>3.8142952989354749E-5</v>
      </c>
      <c r="U63" s="8">
        <f>IF($A63=U$1,0,IF(SUM(IMshareM!U$2:U$78)-IMshareM!U$21&gt;0,IMshareM!U63/(SUM(IMshareM!U$2:U$78)-IMshareM!U$21),0))</f>
        <v>2.0234069132813996E-4</v>
      </c>
      <c r="V63" s="8">
        <f>IF($A63=V$1,0,IF(SUM(IMshareM!V$2:V$78)-IMshareM!V$22&gt;0,IMshareM!V63/(SUM(IMshareM!V$2:V$78)-IMshareM!V$22),0))</f>
        <v>8.640938969463526E-6</v>
      </c>
      <c r="W63" s="8">
        <f>IF($A63=W$1,0,IF(SUM(IMshareM!W$2:W$78)-IMshareM!W$23&gt;0,IMshareM!W63/(SUM(IMshareM!W$2:W$78)-IMshareM!W$23),0))</f>
        <v>8.1547866136586432E-4</v>
      </c>
      <c r="X63" s="8">
        <f>IF($A63=X$1,0,IF(SUM(IMshareM!X$2:X$78)-IMshareM!X$24&gt;0,IMshareM!X63/(SUM(IMshareM!X$2:X$78)-IMshareM!X$24),0))</f>
        <v>5.6272654268389394E-7</v>
      </c>
      <c r="Y63" s="8">
        <f>IF($A63=Y$1,0,IF(SUM(IMshareM!Y$2:Y$78)-IMshareM!Y$25&gt;0,IMshareM!Y63/(SUM(IMshareM!Y$2:Y$78)-IMshareM!Y$25),0))</f>
        <v>2.4629273273788954E-3</v>
      </c>
      <c r="Z63" s="8">
        <f>IF($A63=Z$1,0,IF(SUM(IMshareM!Z$2:Z$78)-IMshareM!Z$26&gt;0,IMshareM!Z63/(SUM(IMshareM!Z$2:Z$78)-IMshareM!Z$26),0))</f>
        <v>1.2062880104363366E-5</v>
      </c>
      <c r="AA63" s="8">
        <f>IF($A63=AA$1,0,IF(SUM(IMshareM!AA$2:AA$78)-IMshareM!AA$27&gt;0,IMshareM!AA63/(SUM(IMshareM!AA$2:AA$78)-IMshareM!AA$27),0))</f>
        <v>1.1742964364619825E-4</v>
      </c>
      <c r="AB63" s="8">
        <f>IF($A63=AB$1,0,IF(SUM(IMshareM!AB$2:AB$78)-IMshareM!AB$28&gt;0,IMshareM!AB63/(SUM(IMshareM!AB$2:AB$78)-IMshareM!AB$28),0))</f>
        <v>5.6952304537124237E-5</v>
      </c>
      <c r="AC63" s="8">
        <f>IF($A63=AC$1,0,IF(SUM(IMshareM!AC$2:AC$78)-IMshareM!AC$29&gt;0,IMshareM!AC63/(SUM(IMshareM!AC$2:AC$78)-IMshareM!AC$29),0))</f>
        <v>0</v>
      </c>
      <c r="AD63" s="8">
        <f>IF($A63=AD$1,0,IF(SUM(IMshareM!AD$2:AD$78)-IMshareM!AD$30&gt;0,IMshareM!AD63/(SUM(IMshareM!AD$2:AD$78)-IMshareM!AD$30),0))</f>
        <v>0</v>
      </c>
      <c r="AE63" s="8">
        <f>IF($A63=AE$1,0,IF(SUM(IMshareM!AE$2:AE$78)-IMshareM!AE$31&gt;0,IMshareM!AE63/(SUM(IMshareM!AE$2:AE$78)-IMshareM!AE$31),0))</f>
        <v>1.202135472982838E-3</v>
      </c>
      <c r="AF63" s="8">
        <f>IF($A63=AF$1,0,IF(SUM(IMshareM!AF$2:AF$78)-IMshareM!AF$32&gt;0,IMshareM!AF63/(SUM(IMshareM!AF$2:AF$78)-IMshareM!AF$32),0))</f>
        <v>1.3199048851197967E-5</v>
      </c>
      <c r="AG63" s="8">
        <f>IF($A63=AG$1,0,IF(SUM(IMshareM!AG$2:AG$78)-IMshareM!AG$33&gt;0,IMshareM!AG63/(SUM(IMshareM!AG$2:AG$78)-IMshareM!AG$33),0))</f>
        <v>1.7742359028041343E-4</v>
      </c>
      <c r="AH63" s="8">
        <f>IF($A63=AH$1,0,IF(SUM(IMshareM!AH$2:AH$78)-IMshareM!AH$34&gt;0,IMshareM!AH63/(SUM(IMshareM!AH$2:AH$78)-IMshareM!AH$34),0))</f>
        <v>8.7510970258037333E-4</v>
      </c>
      <c r="AI63" s="8">
        <f>IF($A63=AI$1,0,IF(SUM(IMshareM!AI$2:AI$78)-IMshareM!AI$35&gt;0,IMshareM!AI63/(SUM(IMshareM!AI$2:AI$78)-IMshareM!AI$35),0))</f>
        <v>4.9033738289230671E-7</v>
      </c>
      <c r="AJ63" s="8">
        <f>IF($A63=AJ$1,0,IF(SUM(IMshareM!AJ$2:AJ$78)-IMshareM!AJ$36&gt;0,IMshareM!AJ63/(SUM(IMshareM!AJ$2:AJ$78)-IMshareM!AJ$36),0))</f>
        <v>1.7845666784557799E-3</v>
      </c>
      <c r="AK63" s="8">
        <f>IF($A63=AK$1,0,IF(SUM(IMshareM!AK$2:AK$78)-IMshareM!AK$37&gt;0,IMshareM!AK63/(SUM(IMshareM!AK$2:AK$78)-IMshareM!AK$37),0))</f>
        <v>7.5857198946074935E-5</v>
      </c>
      <c r="AL63" s="8">
        <f>IF($A63=AL$1,0,IF(SUM(IMshareM!AL$2:AL$78)-IMshareM!AL$38&gt;0,IMshareM!AL63/(SUM(IMshareM!AL$2:AL$78)-IMshareM!AL$38),0))</f>
        <v>3.3851125730824833E-4</v>
      </c>
      <c r="AM63" s="8">
        <f>IF($A63=AM$1,0,IF(SUM(IMshareM!AM$2:AM$78)-IMshareM!AM$39&gt;0,IMshareM!AM63/(SUM(IMshareM!AM$2:AM$78)-IMshareM!AM$39),0))</f>
        <v>0</v>
      </c>
      <c r="AN63" s="8">
        <f>IF($A63=AN$1,0,IF(SUM(IMshareM!AN$2:AN$78)-IMshareM!AN$40&gt;0,IMshareM!AN63/(SUM(IMshareM!AN$2:AN$78)-IMshareM!AN$40),0))</f>
        <v>6.6961779645483417E-6</v>
      </c>
      <c r="AO63" s="8">
        <f>IF($A63=AO$1,0,IF(SUM(IMshareM!AO$2:AO$78)-IMshareM!AO$41&gt;0,IMshareM!AO63/(SUM(IMshareM!AO$2:AO$78)-IMshareM!AO$41),0))</f>
        <v>0.25247684067669957</v>
      </c>
      <c r="AP63" s="8">
        <f>IF($A63=AP$1,0,IF(SUM(IMshareM!AP$2:AP$78)-IMshareM!AP$42&gt;0,IMshareM!AP63/(SUM(IMshareM!AP$2:AP$78)-IMshareM!AP$42),0))</f>
        <v>0</v>
      </c>
      <c r="AQ63" s="8">
        <f>IF($A63=AQ$1,0,IF(SUM(IMshareM!AQ$2:AQ$78)-IMshareM!AQ$43&gt;0,IMshareM!AQ63/(SUM(IMshareM!AQ$2:AQ$78)-IMshareM!AQ$43),0))</f>
        <v>5.5168050815748181E-7</v>
      </c>
      <c r="AR63" s="8">
        <f>IF($A63=AR$1,0,IF(SUM(IMshareM!AR$2:AR$78)-IMshareM!AR$44&gt;0,IMshareM!AR63/(SUM(IMshareM!AR$2:AR$78)-IMshareM!AR$44),0))</f>
        <v>0</v>
      </c>
      <c r="AS63" s="8">
        <f>IF($A63=AS$1,0,IF(SUM(IMshareM!AS$2:AS$78)-IMshareM!AS$45&gt;0,IMshareM!AS63/(SUM(IMshareM!AS$2:AS$78)-IMshareM!AS$45),0))</f>
        <v>4.911612452608232E-4</v>
      </c>
      <c r="AT63" s="8">
        <f>IF($A63=AT$1,0,IF(SUM(IMshareM!AT$2:AT$78)-IMshareM!AT$46&gt;0,IMshareM!AT63/(SUM(IMshareM!AT$2:AT$78)-IMshareM!AT$46),0))</f>
        <v>0</v>
      </c>
      <c r="AU63" s="8">
        <f>IF($A63=AU$1,0,IF(SUM(IMshareM!AU$2:AU$78)-IMshareM!AU$47&gt;0,IMshareM!AU63/(SUM(IMshareM!AU$2:AU$78)-IMshareM!AU$47),0))</f>
        <v>1.9388920204406392E-2</v>
      </c>
      <c r="AV63" s="8">
        <f>IF($A63=AV$1,0,IF(SUM(IMshareM!AV$2:AV$78)-IMshareM!AV$48&gt;0,IMshareM!AV63/(SUM(IMshareM!AV$2:AV$78)-IMshareM!AV$48),0))</f>
        <v>8.6841155064538404E-7</v>
      </c>
      <c r="AW63" s="8">
        <f>IF($A63=AW$1,0,IF(SUM(IMshareM!AW$2:AW$78)-IMshareM!AW$49&gt;0,IMshareM!AW63/(SUM(IMshareM!AW$2:AW$78)-IMshareM!AW$49),0))</f>
        <v>0</v>
      </c>
      <c r="AX63" s="8">
        <f>IF($A63=AX$1,0,IF(SUM(IMshareM!AX$2:AX$78)-IMshareM!AX$50&gt;0,IMshareM!AX63/(SUM(IMshareM!AX$2:AX$78)-IMshareM!AX$50),0))</f>
        <v>0</v>
      </c>
      <c r="AY63" s="8">
        <f>IF($A63=AY$1,0,IF(SUM(IMshareM!AY$2:AY$78)-IMshareM!AY$51&gt;0,IMshareM!AY63/(SUM(IMshareM!AY$2:AY$78)-IMshareM!AY$51),0))</f>
        <v>0</v>
      </c>
      <c r="AZ63" s="8">
        <f>IF($A63=AZ$1,0,IF(SUM(IMshareM!AZ$2:AZ$78)-IMshareM!AZ$52&gt;0,IMshareM!AZ63/(SUM(IMshareM!AZ$2:AZ$78)-IMshareM!AZ$52),0))</f>
        <v>0</v>
      </c>
      <c r="BA63" s="8">
        <f>IF($A63=BA$1,0,IF(SUM(IMshareM!BA$2:BA$78)-IMshareM!BA$53&gt;0,IMshareM!BA63/(SUM(IMshareM!BA$2:BA$78)-IMshareM!BA$53),0))</f>
        <v>2.1565536234648551E-4</v>
      </c>
      <c r="BB63" s="8">
        <f>IF($A63=BB$1,0,IF(SUM(IMshareM!BB$2:BB$78)-IMshareM!BB$54&gt;0,IMshareM!BB63/(SUM(IMshareM!BB$2:BB$78)-IMshareM!BB$54),0))</f>
        <v>7.928221244711653E-5</v>
      </c>
      <c r="BC63" s="8">
        <f>IF($A63=BC$1,0,IF(SUM(IMshareM!BC$2:BC$78)-IMshareM!BC$55&gt;0,IMshareM!BC63/(SUM(IMshareM!BC$2:BC$78)-IMshareM!BC$55),0))</f>
        <v>4.9967734895186222E-6</v>
      </c>
      <c r="BD63" s="8">
        <f>IF($A63=BD$1,0,IF(SUM(IMshareM!BD$2:BD$78)-IMshareM!BD$56&gt;0,IMshareM!BD63/(SUM(IMshareM!BD$2:BD$78)-IMshareM!BD$56),0))</f>
        <v>0</v>
      </c>
      <c r="BE63" s="8">
        <f>IF($A63=BE$1,0,IF(SUM(IMshareM!BE$2:BE$78)-IMshareM!BE$57&gt;0,IMshareM!BE63/(SUM(IMshareM!BE$2:BE$78)-IMshareM!BE$57),0))</f>
        <v>2.8594409823616138E-5</v>
      </c>
      <c r="BF63" s="8">
        <f>IF($A63=BF$1,0,IF(SUM(IMshareM!BF$2:BF$78)-IMshareM!BF$58&gt;0,IMshareM!BF63/(SUM(IMshareM!BF$2:BF$78)-IMshareM!BF$58),0))</f>
        <v>4.6589276938213678E-5</v>
      </c>
      <c r="BG63" s="8">
        <f>IF($A63=BG$1,0,IF(SUM(IMshareM!BG$2:BG$78)-IMshareM!BG$59&gt;0,IMshareM!BG63/(SUM(IMshareM!BG$2:BG$78)-IMshareM!BG$59),0))</f>
        <v>0</v>
      </c>
      <c r="BH63" s="8">
        <f>IF($A63=BH$1,0,IF(SUM(IMshareM!BH$2:BH$78)-IMshareM!BH$60&gt;0,IMshareM!BH63/(SUM(IMshareM!BH$2:BH$78)-IMshareM!BH$60),0))</f>
        <v>3.2670805360194069E-4</v>
      </c>
      <c r="BI63" s="8">
        <f>IF($A63=BI$1,0,IF(SUM(IMshareM!BI$2:BI$78)-IMshareM!BI$61&gt;0,IMshareM!BI63/(SUM(IMshareM!BI$2:BI$78)-IMshareM!BI$61),0))</f>
        <v>2.9296606967217774E-5</v>
      </c>
      <c r="BJ63" s="8">
        <f>IF($A63=BJ$1,0,IF(SUM(IMshareM!BJ$2:BJ$78)-IMshareM!BJ$62&gt;0,IMshareM!BJ63/(SUM(IMshareM!BJ$2:BJ$78)-IMshareM!BJ$62),0))</f>
        <v>3.9330908420201184E-2</v>
      </c>
      <c r="BK63" s="8">
        <f>IF($A63=BK$1,0,IF(SUM(IMshareM!BK$2:BK$78)-IMshareM!BK$63&gt;0,IMshareM!BK63/(SUM(IMshareM!BK$2:BK$78)-IMshareM!BK$63),0))</f>
        <v>0</v>
      </c>
      <c r="BL63" s="8">
        <f>IF($A63=BL$1,0,IF(SUM(IMshareM!BL$2:BL$78)-IMshareM!BL$64&gt;0,IMshareM!BL63/(SUM(IMshareM!BL$2:BL$78)-IMshareM!BL$64),0))</f>
        <v>0</v>
      </c>
      <c r="BM63" s="8">
        <f>IF($A63=BM$1,0,IF(SUM(IMshareM!BM$2:BM$78)-IMshareM!BM$65&gt;0,IMshareM!BM63/(SUM(IMshareM!BM$2:BM$78)-IMshareM!BM$65),0))</f>
        <v>2.6768957729044546E-6</v>
      </c>
      <c r="BN63" s="8">
        <f>IF($A63=BN$1,0,IF(SUM(IMshareM!BN$2:BN$78)-IMshareM!BN$66&gt;0,IMshareM!BN63/(SUM(IMshareM!BN$2:BN$78)-IMshareM!BN$66),0))</f>
        <v>0</v>
      </c>
      <c r="BO63" s="8">
        <f>IF($A63=BO$1,0,IF(SUM(IMshareM!BO$2:BO$78)-IMshareM!BO$67&gt;0,IMshareM!BO63/(SUM(IMshareM!BO$2:BO$78)-IMshareM!BO$67),0))</f>
        <v>4.7118270501803315E-5</v>
      </c>
      <c r="BP63" s="8">
        <f>IF($A63=BP$1,0,IF(SUM(IMshareM!BP$2:BP$78)-IMshareM!BP$68&gt;0,IMshareM!BP63/(SUM(IMshareM!BP$2:BP$78)-IMshareM!BP$68),0))</f>
        <v>2.270757913063071E-6</v>
      </c>
      <c r="BQ63" s="8">
        <f>IF($A63=BQ$1,0,IF(SUM(IMshareM!BQ$2:BQ$78)-IMshareM!BQ$69&gt;0,IMshareM!BQ63/(SUM(IMshareM!BQ$2:BQ$78)-IMshareM!BQ$69),0))</f>
        <v>4.4047212921387072E-5</v>
      </c>
      <c r="BR63" s="8">
        <f>IF($A63=BR$1,0,IF(SUM(IMshareM!BR$2:BR$78)-IMshareM!BR$70&gt;0,IMshareM!BR63/(SUM(IMshareM!BR$2:BR$78)-IMshareM!BR$70),0))</f>
        <v>6.4724408282063254E-5</v>
      </c>
      <c r="BS63" s="8">
        <f>IF($A63=BS$1,0,IF(SUM(IMshareM!BS$2:BS$78)-IMshareM!BS$71&gt;0,IMshareM!BS63/(SUM(IMshareM!BS$2:BS$78)-IMshareM!BS$71),0))</f>
        <v>2.4169628081516494E-4</v>
      </c>
      <c r="BT63" s="8">
        <f>IF($A63=BT$1,0,IF(SUM(IMshareM!BT$2:BT$78)-IMshareM!BT$72&gt;0,IMshareM!BT63/(SUM(IMshareM!BT$2:BT$78)-IMshareM!BT$72),0))</f>
        <v>4.2727572893660262E-3</v>
      </c>
      <c r="BU63" s="8">
        <f>IF($A63=BU$1,0,IF(SUM(IMshareM!BU$2:BU$78)-IMshareM!BU$73&gt;0,IMshareM!BU63/(SUM(IMshareM!BU$2:BU$78)-IMshareM!BU$73),0))</f>
        <v>1.3670582165935474E-6</v>
      </c>
      <c r="BV63" s="8">
        <f>IF($A63=BV$1,0,IF(SUM(IMshareM!BV$2:BV$78)-IMshareM!BV$74&gt;0,IMshareM!BV63/(SUM(IMshareM!BV$2:BV$78)-IMshareM!BV$74),0))</f>
        <v>1.1837540257339289E-2</v>
      </c>
      <c r="BW63" s="8">
        <f>IF($A63=BW$1,0,IF(SUM(IMshareM!BW$2:BW$78)-IMshareM!BW$75&gt;0,IMshareM!BW63/(SUM(IMshareM!BW$2:BW$78)-IMshareM!BW$75),0))</f>
        <v>4.6484537970364296E-4</v>
      </c>
      <c r="BX63" s="8">
        <f>IF($A63=BX$1,0,IF(SUM(IMshareM!BX$2:BX$78)-IMshareM!BX$76&gt;0,IMshareM!BX63/(SUM(IMshareM!BX$2:BX$78)-IMshareM!BX$76),0))</f>
        <v>2.4958644259607149E-4</v>
      </c>
      <c r="BY63" s="8">
        <f>IF($A63=BY$1,0,IF(SUM(IMshareM!BY$2:BY$78)-IMshareM!BY$77&gt;0,IMshareM!BY63/(SUM(IMshareM!BY$2:BY$78)-IMshareM!BY$77),0))</f>
        <v>8.8585732438326738E-5</v>
      </c>
      <c r="BZ63" s="8">
        <f>IF($A63=BZ$1,0,IF(SUM(IMshareM!BZ$2:BZ$78)-IMshareM!BZ$78&gt;0,IMshareM!BZ63/(SUM(IMshareM!BZ$2:BZ$78)-IMshareM!BZ$78),0))</f>
        <v>1.1936013034691852E-2</v>
      </c>
    </row>
    <row r="64" spans="1:78">
      <c r="A64" s="4" t="s">
        <v>195</v>
      </c>
      <c r="B64" s="8">
        <f>IF($A64=B$1,0,IF(SUM(IMshareM!B$2:B$78)-IMshareM!B$2&gt;0,IMshareM!B64/(SUM(IMshareM!B$2:B$78)-IMshareM!B$2),0))</f>
        <v>0</v>
      </c>
      <c r="C64" s="8">
        <f>IF($A64=C$1,0,IF(SUM(IMshareM!C$2:C$78)-IMshareM!C$3&gt;0,IMshareM!C64/(SUM(IMshareM!C$2:C$78)-IMshareM!C$3),0))</f>
        <v>1.1539370904042949E-6</v>
      </c>
      <c r="D64" s="8">
        <f>IF($A64=D$1,0,IF(SUM(IMshareM!D$2:D$78)-IMshareM!D$4&gt;0,IMshareM!D64/(SUM(IMshareM!D$2:D$78)-IMshareM!D$4),0))</f>
        <v>1.1968829765916492E-5</v>
      </c>
      <c r="E64" s="8">
        <f>IF($A64=E$1,0,IF(SUM(IMshareM!E$2:E$78)-IMshareM!E$5&gt;0,IMshareM!E64/(SUM(IMshareM!E$2:E$78)-IMshareM!E$5),0))</f>
        <v>7.2314772996394161E-5</v>
      </c>
      <c r="F64" s="8">
        <f>IF($A64=F$1,0,IF(SUM(IMshareM!F$2:F$78)-IMshareM!F$6&gt;0,IMshareM!F64/(SUM(IMshareM!F$2:F$78)-IMshareM!F$6),0))</f>
        <v>0</v>
      </c>
      <c r="G64" s="8">
        <f>IF($A64=G$1,0,IF(SUM(IMshareM!G$2:G$78)-IMshareM!G$7&gt;0,IMshareM!G64/(SUM(IMshareM!G$2:G$78)-IMshareM!G$7),0))</f>
        <v>6.3668390901377322E-5</v>
      </c>
      <c r="H64" s="8">
        <f>IF($A64=H$1,0,IF(SUM(IMshareM!H$2:H$78)-IMshareM!H$8&gt;0,IMshareM!H64/(SUM(IMshareM!H$2:H$78)-IMshareM!H$8),0))</f>
        <v>0</v>
      </c>
      <c r="I64" s="8">
        <f>IF($A64=I$1,0,IF(SUM(IMshareM!I$2:I$78)-IMshareM!I$9&gt;0,IMshareM!I64/(SUM(IMshareM!I$2:I$78)-IMshareM!I$9),0))</f>
        <v>9.4227357407600885E-7</v>
      </c>
      <c r="J64" s="8">
        <f>IF($A64=J$1,0,IF(SUM(IMshareM!J$2:J$78)-IMshareM!J$10&gt;0,IMshareM!J64/(SUM(IMshareM!J$2:J$78)-IMshareM!J$10),0))</f>
        <v>0</v>
      </c>
      <c r="K64" s="8">
        <f>IF($A64=K$1,0,IF(SUM(IMshareM!K$2:K$78)-IMshareM!K$11&gt;0,IMshareM!K64/(SUM(IMshareM!K$2:K$78)-IMshareM!K$11),0))</f>
        <v>0</v>
      </c>
      <c r="L64" s="8">
        <f>IF($A64=L$1,0,IF(SUM(IMshareM!L$2:L$78)-IMshareM!L$12&gt;0,IMshareM!L64/(SUM(IMshareM!L$2:L$78)-IMshareM!L$12),0))</f>
        <v>1.0962000151508073E-4</v>
      </c>
      <c r="M64" s="8">
        <f>IF($A64=M$1,0,IF(SUM(IMshareM!M$2:M$78)-IMshareM!M$13&gt;0,IMshareM!M64/(SUM(IMshareM!M$2:M$78)-IMshareM!M$13),0))</f>
        <v>7.0634385260981327E-4</v>
      </c>
      <c r="N64" s="8">
        <f>IF($A64=N$1,0,IF(SUM(IMshareM!N$2:N$78)-IMshareM!N$14&gt;0,IMshareM!N64/(SUM(IMshareM!N$2:N$78)-IMshareM!N$14),0))</f>
        <v>7.3043670252129613E-7</v>
      </c>
      <c r="O64" s="8">
        <f>IF($A64=O$1,0,IF(SUM(IMshareM!O$2:O$78)-IMshareM!O$15&gt;0,IMshareM!O64/(SUM(IMshareM!O$2:O$78)-IMshareM!O$15),0))</f>
        <v>4.1738389338345463E-6</v>
      </c>
      <c r="P64" s="8">
        <f>IF($A64=P$1,0,IF(SUM(IMshareM!P$2:P$78)-IMshareM!P$16&gt;0,IMshareM!P64/(SUM(IMshareM!P$2:P$78)-IMshareM!P$16),0))</f>
        <v>0</v>
      </c>
      <c r="Q64" s="8">
        <f>IF($A64=Q$1,0,IF(SUM(IMshareM!Q$2:Q$78)-IMshareM!Q$17&gt;0,IMshareM!Q64/(SUM(IMshareM!Q$2:Q$78)-IMshareM!Q$17),0))</f>
        <v>0</v>
      </c>
      <c r="R64" s="8">
        <f>IF($A64=R$1,0,IF(SUM(IMshareM!R$2:R$78)-IMshareM!R$18&gt;0,IMshareM!R64/(SUM(IMshareM!R$2:R$78)-IMshareM!R$18),0))</f>
        <v>0</v>
      </c>
      <c r="S64" s="8">
        <f>IF($A64=S$1,0,IF(SUM(IMshareM!S$2:S$78)-IMshareM!S$19&gt;0,IMshareM!S64/(SUM(IMshareM!S$2:S$78)-IMshareM!S$19),0))</f>
        <v>0</v>
      </c>
      <c r="T64" s="8">
        <f>IF($A64=T$1,0,IF(SUM(IMshareM!T$2:T$78)-IMshareM!T$20&gt;0,IMshareM!T64/(SUM(IMshareM!T$2:T$78)-IMshareM!T$20),0))</f>
        <v>0</v>
      </c>
      <c r="U64" s="8">
        <f>IF($A64=U$1,0,IF(SUM(IMshareM!U$2:U$78)-IMshareM!U$21&gt;0,IMshareM!U64/(SUM(IMshareM!U$2:U$78)-IMshareM!U$21),0))</f>
        <v>2.9636668460056756E-5</v>
      </c>
      <c r="V64" s="8">
        <f>IF($A64=V$1,0,IF(SUM(IMshareM!V$2:V$78)-IMshareM!V$22&gt;0,IMshareM!V64/(SUM(IMshareM!V$2:V$78)-IMshareM!V$22),0))</f>
        <v>4.5538879394118489E-5</v>
      </c>
      <c r="W64" s="8">
        <f>IF($A64=W$1,0,IF(SUM(IMshareM!W$2:W$78)-IMshareM!W$23&gt;0,IMshareM!W64/(SUM(IMshareM!W$2:W$78)-IMshareM!W$23),0))</f>
        <v>6.3896453092669283E-3</v>
      </c>
      <c r="X64" s="8">
        <f>IF($A64=X$1,0,IF(SUM(IMshareM!X$2:X$78)-IMshareM!X$24&gt;0,IMshareM!X64/(SUM(IMshareM!X$2:X$78)-IMshareM!X$24),0))</f>
        <v>1.0060502058491316E-6</v>
      </c>
      <c r="Y64" s="8">
        <f>IF($A64=Y$1,0,IF(SUM(IMshareM!Y$2:Y$78)-IMshareM!Y$25&gt;0,IMshareM!Y64/(SUM(IMshareM!Y$2:Y$78)-IMshareM!Y$25),0))</f>
        <v>0</v>
      </c>
      <c r="Z64" s="8">
        <f>IF($A64=Z$1,0,IF(SUM(IMshareM!Z$2:Z$78)-IMshareM!Z$26&gt;0,IMshareM!Z64/(SUM(IMshareM!Z$2:Z$78)-IMshareM!Z$26),0))</f>
        <v>2.1756252326251108E-6</v>
      </c>
      <c r="AA64" s="8">
        <f>IF($A64=AA$1,0,IF(SUM(IMshareM!AA$2:AA$78)-IMshareM!AA$27&gt;0,IMshareM!AA64/(SUM(IMshareM!AA$2:AA$78)-IMshareM!AA$27),0))</f>
        <v>3.0596684986935767E-5</v>
      </c>
      <c r="AB64" s="8">
        <f>IF($A64=AB$1,0,IF(SUM(IMshareM!AB$2:AB$78)-IMshareM!AB$28&gt;0,IMshareM!AB64/(SUM(IMshareM!AB$2:AB$78)-IMshareM!AB$28),0))</f>
        <v>9.5217627897624694E-4</v>
      </c>
      <c r="AC64" s="8">
        <f>IF($A64=AC$1,0,IF(SUM(IMshareM!AC$2:AC$78)-IMshareM!AC$29&gt;0,IMshareM!AC64/(SUM(IMshareM!AC$2:AC$78)-IMshareM!AC$29),0))</f>
        <v>0</v>
      </c>
      <c r="AD64" s="8">
        <f>IF($A64=AD$1,0,IF(SUM(IMshareM!AD$2:AD$78)-IMshareM!AD$30&gt;0,IMshareM!AD64/(SUM(IMshareM!AD$2:AD$78)-IMshareM!AD$30),0))</f>
        <v>0</v>
      </c>
      <c r="AE64" s="8">
        <f>IF($A64=AE$1,0,IF(SUM(IMshareM!AE$2:AE$78)-IMshareM!AE$31&gt;0,IMshareM!AE64/(SUM(IMshareM!AE$2:AE$78)-IMshareM!AE$31),0))</f>
        <v>0</v>
      </c>
      <c r="AF64" s="8">
        <f>IF($A64=AF$1,0,IF(SUM(IMshareM!AF$2:AF$78)-IMshareM!AF$32&gt;0,IMshareM!AF64/(SUM(IMshareM!AF$2:AF$78)-IMshareM!AF$32),0))</f>
        <v>0</v>
      </c>
      <c r="AG64" s="8">
        <f>IF($A64=AG$1,0,IF(SUM(IMshareM!AG$2:AG$78)-IMshareM!AG$33&gt;0,IMshareM!AG64/(SUM(IMshareM!AG$2:AG$78)-IMshareM!AG$33),0))</f>
        <v>0</v>
      </c>
      <c r="AH64" s="8">
        <f>IF($A64=AH$1,0,IF(SUM(IMshareM!AH$2:AH$78)-IMshareM!AH$34&gt;0,IMshareM!AH64/(SUM(IMshareM!AH$2:AH$78)-IMshareM!AH$34),0))</f>
        <v>1.4461774456072764E-3</v>
      </c>
      <c r="AI64" s="8">
        <f>IF($A64=AI$1,0,IF(SUM(IMshareM!AI$2:AI$78)-IMshareM!AI$35&gt;0,IMshareM!AI64/(SUM(IMshareM!AI$2:AI$78)-IMshareM!AI$35),0))</f>
        <v>6.430650657978798E-4</v>
      </c>
      <c r="AJ64" s="8">
        <f>IF($A64=AJ$1,0,IF(SUM(IMshareM!AJ$2:AJ$78)-IMshareM!AJ$36&gt;0,IMshareM!AJ64/(SUM(IMshareM!AJ$2:AJ$78)-IMshareM!AJ$36),0))</f>
        <v>0</v>
      </c>
      <c r="AK64" s="8">
        <f>IF($A64=AK$1,0,IF(SUM(IMshareM!AK$2:AK$78)-IMshareM!AK$37&gt;0,IMshareM!AK64/(SUM(IMshareM!AK$2:AK$78)-IMshareM!AK$37),0))</f>
        <v>0</v>
      </c>
      <c r="AL64" s="8">
        <f>IF($A64=AL$1,0,IF(SUM(IMshareM!AL$2:AL$78)-IMshareM!AL$38&gt;0,IMshareM!AL64/(SUM(IMshareM!AL$2:AL$78)-IMshareM!AL$38),0))</f>
        <v>1.3226927055181494E-4</v>
      </c>
      <c r="AM64" s="8">
        <f>IF($A64=AM$1,0,IF(SUM(IMshareM!AM$2:AM$78)-IMshareM!AM$39&gt;0,IMshareM!AM64/(SUM(IMshareM!AM$2:AM$78)-IMshareM!AM$39),0))</f>
        <v>1.0653801603620269E-3</v>
      </c>
      <c r="AN64" s="8">
        <f>IF($A64=AN$1,0,IF(SUM(IMshareM!AN$2:AN$78)-IMshareM!AN$40&gt;0,IMshareM!AN64/(SUM(IMshareM!AN$2:AN$78)-IMshareM!AN$40),0))</f>
        <v>7.7694456041888627E-7</v>
      </c>
      <c r="AO64" s="8">
        <f>IF($A64=AO$1,0,IF(SUM(IMshareM!AO$2:AO$78)-IMshareM!AO$41&gt;0,IMshareM!AO64/(SUM(IMshareM!AO$2:AO$78)-IMshareM!AO$41),0))</f>
        <v>0</v>
      </c>
      <c r="AP64" s="8">
        <f>IF($A64=AP$1,0,IF(SUM(IMshareM!AP$2:AP$78)-IMshareM!AP$42&gt;0,IMshareM!AP64/(SUM(IMshareM!AP$2:AP$78)-IMshareM!AP$42),0))</f>
        <v>0</v>
      </c>
      <c r="AQ64" s="8">
        <f>IF($A64=AQ$1,0,IF(SUM(IMshareM!AQ$2:AQ$78)-IMshareM!AQ$43&gt;0,IMshareM!AQ64/(SUM(IMshareM!AQ$2:AQ$78)-IMshareM!AQ$43),0))</f>
        <v>1.0280701928656021E-6</v>
      </c>
      <c r="AR64" s="8">
        <f>IF($A64=AR$1,0,IF(SUM(IMshareM!AR$2:AR$78)-IMshareM!AR$44&gt;0,IMshareM!AR64/(SUM(IMshareM!AR$2:AR$78)-IMshareM!AR$44),0))</f>
        <v>0</v>
      </c>
      <c r="AS64" s="8">
        <f>IF($A64=AS$1,0,IF(SUM(IMshareM!AS$2:AS$78)-IMshareM!AS$45&gt;0,IMshareM!AS64/(SUM(IMshareM!AS$2:AS$78)-IMshareM!AS$45),0))</f>
        <v>0</v>
      </c>
      <c r="AT64" s="8">
        <f>IF($A64=AT$1,0,IF(SUM(IMshareM!AT$2:AT$78)-IMshareM!AT$46&gt;0,IMshareM!AT64/(SUM(IMshareM!AT$2:AT$78)-IMshareM!AT$46),0))</f>
        <v>0</v>
      </c>
      <c r="AU64" s="8">
        <f>IF($A64=AU$1,0,IF(SUM(IMshareM!AU$2:AU$78)-IMshareM!AU$47&gt;0,IMshareM!AU64/(SUM(IMshareM!AU$2:AU$78)-IMshareM!AU$47),0))</f>
        <v>0</v>
      </c>
      <c r="AV64" s="8">
        <f>IF($A64=AV$1,0,IF(SUM(IMshareM!AV$2:AV$78)-IMshareM!AV$48&gt;0,IMshareM!AV64/(SUM(IMshareM!AV$2:AV$78)-IMshareM!AV$48),0))</f>
        <v>2.7404442167345816E-5</v>
      </c>
      <c r="AW64" s="8">
        <f>IF($A64=AW$1,0,IF(SUM(IMshareM!AW$2:AW$78)-IMshareM!AW$49&gt;0,IMshareM!AW64/(SUM(IMshareM!AW$2:AW$78)-IMshareM!AW$49),0))</f>
        <v>0</v>
      </c>
      <c r="AX64" s="8">
        <f>IF($A64=AX$1,0,IF(SUM(IMshareM!AX$2:AX$78)-IMshareM!AX$50&gt;0,IMshareM!AX64/(SUM(IMshareM!AX$2:AX$78)-IMshareM!AX$50),0))</f>
        <v>0</v>
      </c>
      <c r="AY64" s="8">
        <f>IF($A64=AY$1,0,IF(SUM(IMshareM!AY$2:AY$78)-IMshareM!AY$51&gt;0,IMshareM!AY64/(SUM(IMshareM!AY$2:AY$78)-IMshareM!AY$51),0))</f>
        <v>0</v>
      </c>
      <c r="AZ64" s="8">
        <f>IF($A64=AZ$1,0,IF(SUM(IMshareM!AZ$2:AZ$78)-IMshareM!AZ$52&gt;0,IMshareM!AZ64/(SUM(IMshareM!AZ$2:AZ$78)-IMshareM!AZ$52),0))</f>
        <v>0</v>
      </c>
      <c r="BA64" s="8">
        <f>IF($A64=BA$1,0,IF(SUM(IMshareM!BA$2:BA$78)-IMshareM!BA$53&gt;0,IMshareM!BA64/(SUM(IMshareM!BA$2:BA$78)-IMshareM!BA$53),0))</f>
        <v>0</v>
      </c>
      <c r="BB64" s="8">
        <f>IF($A64=BB$1,0,IF(SUM(IMshareM!BB$2:BB$78)-IMshareM!BB$54&gt;0,IMshareM!BB64/(SUM(IMshareM!BB$2:BB$78)-IMshareM!BB$54),0))</f>
        <v>6.4752774508639521E-4</v>
      </c>
      <c r="BC64" s="8">
        <f>IF($A64=BC$1,0,IF(SUM(IMshareM!BC$2:BC$78)-IMshareM!BC$55&gt;0,IMshareM!BC64/(SUM(IMshareM!BC$2:BC$78)-IMshareM!BC$55),0))</f>
        <v>0</v>
      </c>
      <c r="BD64" s="8">
        <f>IF($A64=BD$1,0,IF(SUM(IMshareM!BD$2:BD$78)-IMshareM!BD$56&gt;0,IMshareM!BD64/(SUM(IMshareM!BD$2:BD$78)-IMshareM!BD$56),0))</f>
        <v>0</v>
      </c>
      <c r="BE64" s="8">
        <f>IF($A64=BE$1,0,IF(SUM(IMshareM!BE$2:BE$78)-IMshareM!BE$57&gt;0,IMshareM!BE64/(SUM(IMshareM!BE$2:BE$78)-IMshareM!BE$57),0))</f>
        <v>0</v>
      </c>
      <c r="BF64" s="8">
        <f>IF($A64=BF$1,0,IF(SUM(IMshareM!BF$2:BF$78)-IMshareM!BF$58&gt;0,IMshareM!BF64/(SUM(IMshareM!BF$2:BF$78)-IMshareM!BF$58),0))</f>
        <v>0</v>
      </c>
      <c r="BG64" s="8">
        <f>IF($A64=BG$1,0,IF(SUM(IMshareM!BG$2:BG$78)-IMshareM!BG$59&gt;0,IMshareM!BG64/(SUM(IMshareM!BG$2:BG$78)-IMshareM!BG$59),0))</f>
        <v>0</v>
      </c>
      <c r="BH64" s="8">
        <f>IF($A64=BH$1,0,IF(SUM(IMshareM!BH$2:BH$78)-IMshareM!BH$60&gt;0,IMshareM!BH64/(SUM(IMshareM!BH$2:BH$78)-IMshareM!BH$60),0))</f>
        <v>0</v>
      </c>
      <c r="BI64" s="8">
        <f>IF($A64=BI$1,0,IF(SUM(IMshareM!BI$2:BI$78)-IMshareM!BI$61&gt;0,IMshareM!BI64/(SUM(IMshareM!BI$2:BI$78)-IMshareM!BI$61),0))</f>
        <v>0</v>
      </c>
      <c r="BJ64" s="8">
        <f>IF($A64=BJ$1,0,IF(SUM(IMshareM!BJ$2:BJ$78)-IMshareM!BJ$62&gt;0,IMshareM!BJ64/(SUM(IMshareM!BJ$2:BJ$78)-IMshareM!BJ$62),0))</f>
        <v>0</v>
      </c>
      <c r="BK64" s="8">
        <f>IF($A64=BK$1,0,IF(SUM(IMshareM!BK$2:BK$78)-IMshareM!BK$63&gt;0,IMshareM!BK64/(SUM(IMshareM!BK$2:BK$78)-IMshareM!BK$63),0))</f>
        <v>0</v>
      </c>
      <c r="BL64" s="8">
        <f>IF($A64=BL$1,0,IF(SUM(IMshareM!BL$2:BL$78)-IMshareM!BL$64&gt;0,IMshareM!BL64/(SUM(IMshareM!BL$2:BL$78)-IMshareM!BL$64),0))</f>
        <v>0</v>
      </c>
      <c r="BM64" s="8">
        <f>IF($A64=BM$1,0,IF(SUM(IMshareM!BM$2:BM$78)-IMshareM!BM$65&gt;0,IMshareM!BM64/(SUM(IMshareM!BM$2:BM$78)-IMshareM!BM$65),0))</f>
        <v>1.8383595630634943E-4</v>
      </c>
      <c r="BN64" s="8">
        <f>IF($A64=BN$1,0,IF(SUM(IMshareM!BN$2:BN$78)-IMshareM!BN$66&gt;0,IMshareM!BN64/(SUM(IMshareM!BN$2:BN$78)-IMshareM!BN$66),0))</f>
        <v>2.4569156878303299E-6</v>
      </c>
      <c r="BO64" s="8">
        <f>IF($A64=BO$1,0,IF(SUM(IMshareM!BO$2:BO$78)-IMshareM!BO$67&gt;0,IMshareM!BO64/(SUM(IMshareM!BO$2:BO$78)-IMshareM!BO$67),0))</f>
        <v>0</v>
      </c>
      <c r="BP64" s="8">
        <f>IF($A64=BP$1,0,IF(SUM(IMshareM!BP$2:BP$78)-IMshareM!BP$68&gt;0,IMshareM!BP64/(SUM(IMshareM!BP$2:BP$78)-IMshareM!BP$68),0))</f>
        <v>0</v>
      </c>
      <c r="BQ64" s="8">
        <f>IF($A64=BQ$1,0,IF(SUM(IMshareM!BQ$2:BQ$78)-IMshareM!BQ$69&gt;0,IMshareM!BQ64/(SUM(IMshareM!BQ$2:BQ$78)-IMshareM!BQ$69),0))</f>
        <v>0</v>
      </c>
      <c r="BR64" s="8">
        <f>IF($A64=BR$1,0,IF(SUM(IMshareM!BR$2:BR$78)-IMshareM!BR$70&gt;0,IMshareM!BR64/(SUM(IMshareM!BR$2:BR$78)-IMshareM!BR$70),0))</f>
        <v>7.7778581905334423E-7</v>
      </c>
      <c r="BS64" s="8">
        <f>IF($A64=BS$1,0,IF(SUM(IMshareM!BS$2:BS$78)-IMshareM!BS$71&gt;0,IMshareM!BS64/(SUM(IMshareM!BS$2:BS$78)-IMshareM!BS$71),0))</f>
        <v>0</v>
      </c>
      <c r="BT64" s="8">
        <f>IF($A64=BT$1,0,IF(SUM(IMshareM!BT$2:BT$78)-IMshareM!BT$72&gt;0,IMshareM!BT64/(SUM(IMshareM!BT$2:BT$78)-IMshareM!BT$72),0))</f>
        <v>6.6863543499193624E-4</v>
      </c>
      <c r="BU64" s="8">
        <f>IF($A64=BU$1,0,IF(SUM(IMshareM!BU$2:BU$78)-IMshareM!BU$73&gt;0,IMshareM!BU64/(SUM(IMshareM!BU$2:BU$78)-IMshareM!BU$73),0))</f>
        <v>0</v>
      </c>
      <c r="BV64" s="8">
        <f>IF($A64=BV$1,0,IF(SUM(IMshareM!BV$2:BV$78)-IMshareM!BV$74&gt;0,IMshareM!BV64/(SUM(IMshareM!BV$2:BV$78)-IMshareM!BV$74),0))</f>
        <v>0</v>
      </c>
      <c r="BW64" s="8">
        <f>IF($A64=BW$1,0,IF(SUM(IMshareM!BW$2:BW$78)-IMshareM!BW$75&gt;0,IMshareM!BW64/(SUM(IMshareM!BW$2:BW$78)-IMshareM!BW$75),0))</f>
        <v>3.098905358108351E-5</v>
      </c>
      <c r="BX64" s="8">
        <f>IF($A64=BX$1,0,IF(SUM(IMshareM!BX$2:BX$78)-IMshareM!BX$76&gt;0,IMshareM!BX64/(SUM(IMshareM!BX$2:BX$78)-IMshareM!BX$76),0))</f>
        <v>0</v>
      </c>
      <c r="BY64" s="8">
        <f>IF($A64=BY$1,0,IF(SUM(IMshareM!BY$2:BY$78)-IMshareM!BY$77&gt;0,IMshareM!BY64/(SUM(IMshareM!BY$2:BY$78)-IMshareM!BY$77),0))</f>
        <v>1.9418140356181954E-4</v>
      </c>
      <c r="BZ64" s="8">
        <f>IF($A64=BZ$1,0,IF(SUM(IMshareM!BZ$2:BZ$78)-IMshareM!BZ$78&gt;0,IMshareM!BZ64/(SUM(IMshareM!BZ$2:BZ$78)-IMshareM!BZ$78),0))</f>
        <v>7.7486108856181226E-3</v>
      </c>
    </row>
    <row r="65" spans="1:78">
      <c r="A65" s="4" t="s">
        <v>197</v>
      </c>
      <c r="B65" s="8">
        <f>IF($A65=B$1,0,IF(SUM(IMshareM!B$2:B$78)-IMshareM!B$2&gt;0,IMshareM!B65/(SUM(IMshareM!B$2:B$78)-IMshareM!B$2),0))</f>
        <v>0</v>
      </c>
      <c r="C65" s="8">
        <f>IF($A65=C$1,0,IF(SUM(IMshareM!C$2:C$78)-IMshareM!C$3&gt;0,IMshareM!C65/(SUM(IMshareM!C$2:C$78)-IMshareM!C$3),0))</f>
        <v>0</v>
      </c>
      <c r="D65" s="8">
        <f>IF($A65=D$1,0,IF(SUM(IMshareM!D$2:D$78)-IMshareM!D$4&gt;0,IMshareM!D65/(SUM(IMshareM!D$2:D$78)-IMshareM!D$4),0))</f>
        <v>0</v>
      </c>
      <c r="E65" s="8">
        <f>IF($A65=E$1,0,IF(SUM(IMshareM!E$2:E$78)-IMshareM!E$5&gt;0,IMshareM!E65/(SUM(IMshareM!E$2:E$78)-IMshareM!E$5),0))</f>
        <v>0</v>
      </c>
      <c r="F65" s="8">
        <f>IF($A65=F$1,0,IF(SUM(IMshareM!F$2:F$78)-IMshareM!F$6&gt;0,IMshareM!F65/(SUM(IMshareM!F$2:F$78)-IMshareM!F$6),0))</f>
        <v>0</v>
      </c>
      <c r="G65" s="8">
        <f>IF($A65=G$1,0,IF(SUM(IMshareM!G$2:G$78)-IMshareM!G$7&gt;0,IMshareM!G65/(SUM(IMshareM!G$2:G$78)-IMshareM!G$7),0))</f>
        <v>0</v>
      </c>
      <c r="H65" s="8">
        <f>IF($A65=H$1,0,IF(SUM(IMshareM!H$2:H$78)-IMshareM!H$8&gt;0,IMshareM!H65/(SUM(IMshareM!H$2:H$78)-IMshareM!H$8),0))</f>
        <v>0</v>
      </c>
      <c r="I65" s="8">
        <f>IF($A65=I$1,0,IF(SUM(IMshareM!I$2:I$78)-IMshareM!I$9&gt;0,IMshareM!I65/(SUM(IMshareM!I$2:I$78)-IMshareM!I$9),0))</f>
        <v>0</v>
      </c>
      <c r="J65" s="8">
        <f>IF($A65=J$1,0,IF(SUM(IMshareM!J$2:J$78)-IMshareM!J$10&gt;0,IMshareM!J65/(SUM(IMshareM!J$2:J$78)-IMshareM!J$10),0))</f>
        <v>0</v>
      </c>
      <c r="K65" s="8">
        <f>IF($A65=K$1,0,IF(SUM(IMshareM!K$2:K$78)-IMshareM!K$11&gt;0,IMshareM!K65/(SUM(IMshareM!K$2:K$78)-IMshareM!K$11),0))</f>
        <v>9.4180949309297894E-8</v>
      </c>
      <c r="L65" s="8">
        <f>IF($A65=L$1,0,IF(SUM(IMshareM!L$2:L$78)-IMshareM!L$12&gt;0,IMshareM!L65/(SUM(IMshareM!L$2:L$78)-IMshareM!L$12),0))</f>
        <v>0</v>
      </c>
      <c r="M65" s="8">
        <f>IF($A65=M$1,0,IF(SUM(IMshareM!M$2:M$78)-IMshareM!M$13&gt;0,IMshareM!M65/(SUM(IMshareM!M$2:M$78)-IMshareM!M$13),0))</f>
        <v>0</v>
      </c>
      <c r="N65" s="8">
        <f>IF($A65=N$1,0,IF(SUM(IMshareM!N$2:N$78)-IMshareM!N$14&gt;0,IMshareM!N65/(SUM(IMshareM!N$2:N$78)-IMshareM!N$14),0))</f>
        <v>0</v>
      </c>
      <c r="O65" s="8">
        <f>IF($A65=O$1,0,IF(SUM(IMshareM!O$2:O$78)-IMshareM!O$15&gt;0,IMshareM!O65/(SUM(IMshareM!O$2:O$78)-IMshareM!O$15),0))</f>
        <v>2.2686551748117079E-4</v>
      </c>
      <c r="P65" s="8">
        <f>IF($A65=P$1,0,IF(SUM(IMshareM!P$2:P$78)-IMshareM!P$16&gt;0,IMshareM!P65/(SUM(IMshareM!P$2:P$78)-IMshareM!P$16),0))</f>
        <v>0</v>
      </c>
      <c r="Q65" s="8">
        <f>IF($A65=Q$1,0,IF(SUM(IMshareM!Q$2:Q$78)-IMshareM!Q$17&gt;0,IMshareM!Q65/(SUM(IMshareM!Q$2:Q$78)-IMshareM!Q$17),0))</f>
        <v>0</v>
      </c>
      <c r="R65" s="8">
        <f>IF($A65=R$1,0,IF(SUM(IMshareM!R$2:R$78)-IMshareM!R$18&gt;0,IMshareM!R65/(SUM(IMshareM!R$2:R$78)-IMshareM!R$18),0))</f>
        <v>0</v>
      </c>
      <c r="S65" s="8">
        <f>IF($A65=S$1,0,IF(SUM(IMshareM!S$2:S$78)-IMshareM!S$19&gt;0,IMshareM!S65/(SUM(IMshareM!S$2:S$78)-IMshareM!S$19),0))</f>
        <v>0</v>
      </c>
      <c r="T65" s="8">
        <f>IF($A65=T$1,0,IF(SUM(IMshareM!T$2:T$78)-IMshareM!T$20&gt;0,IMshareM!T65/(SUM(IMshareM!T$2:T$78)-IMshareM!T$20),0))</f>
        <v>0</v>
      </c>
      <c r="U65" s="8">
        <f>IF($A65=U$1,0,IF(SUM(IMshareM!U$2:U$78)-IMshareM!U$21&gt;0,IMshareM!U65/(SUM(IMshareM!U$2:U$78)-IMshareM!U$21),0))</f>
        <v>2.1444866195882325E-7</v>
      </c>
      <c r="V65" s="8">
        <f>IF($A65=V$1,0,IF(SUM(IMshareM!V$2:V$78)-IMshareM!V$22&gt;0,IMshareM!V65/(SUM(IMshareM!V$2:V$78)-IMshareM!V$22),0))</f>
        <v>0</v>
      </c>
      <c r="W65" s="8">
        <f>IF($A65=W$1,0,IF(SUM(IMshareM!W$2:W$78)-IMshareM!W$23&gt;0,IMshareM!W65/(SUM(IMshareM!W$2:W$78)-IMshareM!W$23),0))</f>
        <v>0</v>
      </c>
      <c r="X65" s="8">
        <f>IF($A65=X$1,0,IF(SUM(IMshareM!X$2:X$78)-IMshareM!X$24&gt;0,IMshareM!X65/(SUM(IMshareM!X$2:X$78)-IMshareM!X$24),0))</f>
        <v>0</v>
      </c>
      <c r="Y65" s="8">
        <f>IF($A65=Y$1,0,IF(SUM(IMshareM!Y$2:Y$78)-IMshareM!Y$25&gt;0,IMshareM!Y65/(SUM(IMshareM!Y$2:Y$78)-IMshareM!Y$25),0))</f>
        <v>0</v>
      </c>
      <c r="Z65" s="8">
        <f>IF($A65=Z$1,0,IF(SUM(IMshareM!Z$2:Z$78)-IMshareM!Z$26&gt;0,IMshareM!Z65/(SUM(IMshareM!Z$2:Z$78)-IMshareM!Z$26),0))</f>
        <v>1.2457801494061348E-6</v>
      </c>
      <c r="AA65" s="8">
        <f>IF($A65=AA$1,0,IF(SUM(IMshareM!AA$2:AA$78)-IMshareM!AA$27&gt;0,IMshareM!AA65/(SUM(IMshareM!AA$2:AA$78)-IMshareM!AA$27),0))</f>
        <v>1.8365526993400075E-5</v>
      </c>
      <c r="AB65" s="8">
        <f>IF($A65=AB$1,0,IF(SUM(IMshareM!AB$2:AB$78)-IMshareM!AB$28&gt;0,IMshareM!AB65/(SUM(IMshareM!AB$2:AB$78)-IMshareM!AB$28),0))</f>
        <v>7.4019272512429975E-7</v>
      </c>
      <c r="AC65" s="8">
        <f>IF($A65=AC$1,0,IF(SUM(IMshareM!AC$2:AC$78)-IMshareM!AC$29&gt;0,IMshareM!AC65/(SUM(IMshareM!AC$2:AC$78)-IMshareM!AC$29),0))</f>
        <v>2.2778006036329969E-5</v>
      </c>
      <c r="AD65" s="8">
        <f>IF($A65=AD$1,0,IF(SUM(IMshareM!AD$2:AD$78)-IMshareM!AD$30&gt;0,IMshareM!AD65/(SUM(IMshareM!AD$2:AD$78)-IMshareM!AD$30),0))</f>
        <v>0</v>
      </c>
      <c r="AE65" s="8">
        <f>IF($A65=AE$1,0,IF(SUM(IMshareM!AE$2:AE$78)-IMshareM!AE$31&gt;0,IMshareM!AE65/(SUM(IMshareM!AE$2:AE$78)-IMshareM!AE$31),0))</f>
        <v>0</v>
      </c>
      <c r="AF65" s="8">
        <f>IF($A65=AF$1,0,IF(SUM(IMshareM!AF$2:AF$78)-IMshareM!AF$32&gt;0,IMshareM!AF65/(SUM(IMshareM!AF$2:AF$78)-IMshareM!AF$32),0))</f>
        <v>0</v>
      </c>
      <c r="AG65" s="8">
        <f>IF($A65=AG$1,0,IF(SUM(IMshareM!AG$2:AG$78)-IMshareM!AG$33&gt;0,IMshareM!AG65/(SUM(IMshareM!AG$2:AG$78)-IMshareM!AG$33),0))</f>
        <v>0</v>
      </c>
      <c r="AH65" s="8">
        <f>IF($A65=AH$1,0,IF(SUM(IMshareM!AH$2:AH$78)-IMshareM!AH$34&gt;0,IMshareM!AH65/(SUM(IMshareM!AH$2:AH$78)-IMshareM!AH$34),0))</f>
        <v>0</v>
      </c>
      <c r="AI65" s="8">
        <f>IF($A65=AI$1,0,IF(SUM(IMshareM!AI$2:AI$78)-IMshareM!AI$35&gt;0,IMshareM!AI65/(SUM(IMshareM!AI$2:AI$78)-IMshareM!AI$35),0))</f>
        <v>0</v>
      </c>
      <c r="AJ65" s="8">
        <f>IF($A65=AJ$1,0,IF(SUM(IMshareM!AJ$2:AJ$78)-IMshareM!AJ$36&gt;0,IMshareM!AJ65/(SUM(IMshareM!AJ$2:AJ$78)-IMshareM!AJ$36),0))</f>
        <v>0</v>
      </c>
      <c r="AK65" s="8">
        <f>IF($A65=AK$1,0,IF(SUM(IMshareM!AK$2:AK$78)-IMshareM!AK$37&gt;0,IMshareM!AK65/(SUM(IMshareM!AK$2:AK$78)-IMshareM!AK$37),0))</f>
        <v>0</v>
      </c>
      <c r="AL65" s="8">
        <f>IF($A65=AL$1,0,IF(SUM(IMshareM!AL$2:AL$78)-IMshareM!AL$38&gt;0,IMshareM!AL65/(SUM(IMshareM!AL$2:AL$78)-IMshareM!AL$38),0))</f>
        <v>0</v>
      </c>
      <c r="AM65" s="8">
        <f>IF($A65=AM$1,0,IF(SUM(IMshareM!AM$2:AM$78)-IMshareM!AM$39&gt;0,IMshareM!AM65/(SUM(IMshareM!AM$2:AM$78)-IMshareM!AM$39),0))</f>
        <v>0</v>
      </c>
      <c r="AN65" s="8">
        <f>IF($A65=AN$1,0,IF(SUM(IMshareM!AN$2:AN$78)-IMshareM!AN$40&gt;0,IMshareM!AN65/(SUM(IMshareM!AN$2:AN$78)-IMshareM!AN$40),0))</f>
        <v>0</v>
      </c>
      <c r="AO65" s="8">
        <f>IF($A65=AO$1,0,IF(SUM(IMshareM!AO$2:AO$78)-IMshareM!AO$41&gt;0,IMshareM!AO65/(SUM(IMshareM!AO$2:AO$78)-IMshareM!AO$41),0))</f>
        <v>0</v>
      </c>
      <c r="AP65" s="8">
        <f>IF($A65=AP$1,0,IF(SUM(IMshareM!AP$2:AP$78)-IMshareM!AP$42&gt;0,IMshareM!AP65/(SUM(IMshareM!AP$2:AP$78)-IMshareM!AP$42),0))</f>
        <v>0</v>
      </c>
      <c r="AQ65" s="8">
        <f>IF($A65=AQ$1,0,IF(SUM(IMshareM!AQ$2:AQ$78)-IMshareM!AQ$43&gt;0,IMshareM!AQ65/(SUM(IMshareM!AQ$2:AQ$78)-IMshareM!AQ$43),0))</f>
        <v>0</v>
      </c>
      <c r="AR65" s="8">
        <f>IF($A65=AR$1,0,IF(SUM(IMshareM!AR$2:AR$78)-IMshareM!AR$44&gt;0,IMshareM!AR65/(SUM(IMshareM!AR$2:AR$78)-IMshareM!AR$44),0))</f>
        <v>0</v>
      </c>
      <c r="AS65" s="8">
        <f>IF($A65=AS$1,0,IF(SUM(IMshareM!AS$2:AS$78)-IMshareM!AS$45&gt;0,IMshareM!AS65/(SUM(IMshareM!AS$2:AS$78)-IMshareM!AS$45),0))</f>
        <v>0</v>
      </c>
      <c r="AT65" s="8">
        <f>IF($A65=AT$1,0,IF(SUM(IMshareM!AT$2:AT$78)-IMshareM!AT$46&gt;0,IMshareM!AT65/(SUM(IMshareM!AT$2:AT$78)-IMshareM!AT$46),0))</f>
        <v>0</v>
      </c>
      <c r="AU65" s="8">
        <f>IF($A65=AU$1,0,IF(SUM(IMshareM!AU$2:AU$78)-IMshareM!AU$47&gt;0,IMshareM!AU65/(SUM(IMshareM!AU$2:AU$78)-IMshareM!AU$47),0))</f>
        <v>0</v>
      </c>
      <c r="AV65" s="8">
        <f>IF($A65=AV$1,0,IF(SUM(IMshareM!AV$2:AV$78)-IMshareM!AV$48&gt;0,IMshareM!AV65/(SUM(IMshareM!AV$2:AV$78)-IMshareM!AV$48),0))</f>
        <v>1.3479187707985193E-4</v>
      </c>
      <c r="AW65" s="8">
        <f>IF($A65=AW$1,0,IF(SUM(IMshareM!AW$2:AW$78)-IMshareM!AW$49&gt;0,IMshareM!AW65/(SUM(IMshareM!AW$2:AW$78)-IMshareM!AW$49),0))</f>
        <v>0</v>
      </c>
      <c r="AX65" s="8">
        <f>IF($A65=AX$1,0,IF(SUM(IMshareM!AX$2:AX$78)-IMshareM!AX$50&gt;0,IMshareM!AX65/(SUM(IMshareM!AX$2:AX$78)-IMshareM!AX$50),0))</f>
        <v>0</v>
      </c>
      <c r="AY65" s="8">
        <f>IF($A65=AY$1,0,IF(SUM(IMshareM!AY$2:AY$78)-IMshareM!AY$51&gt;0,IMshareM!AY65/(SUM(IMshareM!AY$2:AY$78)-IMshareM!AY$51),0))</f>
        <v>0</v>
      </c>
      <c r="AZ65" s="8">
        <f>IF($A65=AZ$1,0,IF(SUM(IMshareM!AZ$2:AZ$78)-IMshareM!AZ$52&gt;0,IMshareM!AZ65/(SUM(IMshareM!AZ$2:AZ$78)-IMshareM!AZ$52),0))</f>
        <v>0</v>
      </c>
      <c r="BA65" s="8">
        <f>IF($A65=BA$1,0,IF(SUM(IMshareM!BA$2:BA$78)-IMshareM!BA$53&gt;0,IMshareM!BA65/(SUM(IMshareM!BA$2:BA$78)-IMshareM!BA$53),0))</f>
        <v>0</v>
      </c>
      <c r="BB65" s="8">
        <f>IF($A65=BB$1,0,IF(SUM(IMshareM!BB$2:BB$78)-IMshareM!BB$54&gt;0,IMshareM!BB65/(SUM(IMshareM!BB$2:BB$78)-IMshareM!BB$54),0))</f>
        <v>3.1800953090069767E-6</v>
      </c>
      <c r="BC65" s="8">
        <f>IF($A65=BC$1,0,IF(SUM(IMshareM!BC$2:BC$78)-IMshareM!BC$55&gt;0,IMshareM!BC65/(SUM(IMshareM!BC$2:BC$78)-IMshareM!BC$55),0))</f>
        <v>0</v>
      </c>
      <c r="BD65" s="8">
        <f>IF($A65=BD$1,0,IF(SUM(IMshareM!BD$2:BD$78)-IMshareM!BD$56&gt;0,IMshareM!BD65/(SUM(IMshareM!BD$2:BD$78)-IMshareM!BD$56),0))</f>
        <v>0</v>
      </c>
      <c r="BE65" s="8">
        <f>IF($A65=BE$1,0,IF(SUM(IMshareM!BE$2:BE$78)-IMshareM!BE$57&gt;0,IMshareM!BE65/(SUM(IMshareM!BE$2:BE$78)-IMshareM!BE$57),0))</f>
        <v>0</v>
      </c>
      <c r="BF65" s="8">
        <f>IF($A65=BF$1,0,IF(SUM(IMshareM!BF$2:BF$78)-IMshareM!BF$58&gt;0,IMshareM!BF65/(SUM(IMshareM!BF$2:BF$78)-IMshareM!BF$58),0))</f>
        <v>0</v>
      </c>
      <c r="BG65" s="8">
        <f>IF($A65=BG$1,0,IF(SUM(IMshareM!BG$2:BG$78)-IMshareM!BG$59&gt;0,IMshareM!BG65/(SUM(IMshareM!BG$2:BG$78)-IMshareM!BG$59),0))</f>
        <v>0</v>
      </c>
      <c r="BH65" s="8">
        <f>IF($A65=BH$1,0,IF(SUM(IMshareM!BH$2:BH$78)-IMshareM!BH$60&gt;0,IMshareM!BH65/(SUM(IMshareM!BH$2:BH$78)-IMshareM!BH$60),0))</f>
        <v>0</v>
      </c>
      <c r="BI65" s="8">
        <f>IF($A65=BI$1,0,IF(SUM(IMshareM!BI$2:BI$78)-IMshareM!BI$61&gt;0,IMshareM!BI65/(SUM(IMshareM!BI$2:BI$78)-IMshareM!BI$61),0))</f>
        <v>0</v>
      </c>
      <c r="BJ65" s="8">
        <f>IF($A65=BJ$1,0,IF(SUM(IMshareM!BJ$2:BJ$78)-IMshareM!BJ$62&gt;0,IMshareM!BJ65/(SUM(IMshareM!BJ$2:BJ$78)-IMshareM!BJ$62),0))</f>
        <v>0</v>
      </c>
      <c r="BK65" s="8">
        <f>IF($A65=BK$1,0,IF(SUM(IMshareM!BK$2:BK$78)-IMshareM!BK$63&gt;0,IMshareM!BK65/(SUM(IMshareM!BK$2:BK$78)-IMshareM!BK$63),0))</f>
        <v>0</v>
      </c>
      <c r="BL65" s="8">
        <f>IF($A65=BL$1,0,IF(SUM(IMshareM!BL$2:BL$78)-IMshareM!BL$64&gt;0,IMshareM!BL65/(SUM(IMshareM!BL$2:BL$78)-IMshareM!BL$64),0))</f>
        <v>0</v>
      </c>
      <c r="BM65" s="8">
        <f>IF($A65=BM$1,0,IF(SUM(IMshareM!BM$2:BM$78)-IMshareM!BM$65&gt;0,IMshareM!BM65/(SUM(IMshareM!BM$2:BM$78)-IMshareM!BM$65),0))</f>
        <v>0</v>
      </c>
      <c r="BN65" s="8">
        <f>IF($A65=BN$1,0,IF(SUM(IMshareM!BN$2:BN$78)-IMshareM!BN$66&gt;0,IMshareM!BN65/(SUM(IMshareM!BN$2:BN$78)-IMshareM!BN$66),0))</f>
        <v>0</v>
      </c>
      <c r="BO65" s="8">
        <f>IF($A65=BO$1,0,IF(SUM(IMshareM!BO$2:BO$78)-IMshareM!BO$67&gt;0,IMshareM!BO65/(SUM(IMshareM!BO$2:BO$78)-IMshareM!BO$67),0))</f>
        <v>0</v>
      </c>
      <c r="BP65" s="8">
        <f>IF($A65=BP$1,0,IF(SUM(IMshareM!BP$2:BP$78)-IMshareM!BP$68&gt;0,IMshareM!BP65/(SUM(IMshareM!BP$2:BP$78)-IMshareM!BP$68),0))</f>
        <v>0</v>
      </c>
      <c r="BQ65" s="8">
        <f>IF($A65=BQ$1,0,IF(SUM(IMshareM!BQ$2:BQ$78)-IMshareM!BQ$69&gt;0,IMshareM!BQ65/(SUM(IMshareM!BQ$2:BQ$78)-IMshareM!BQ$69),0))</f>
        <v>0</v>
      </c>
      <c r="BR65" s="8">
        <f>IF($A65=BR$1,0,IF(SUM(IMshareM!BR$2:BR$78)-IMshareM!BR$70&gt;0,IMshareM!BR65/(SUM(IMshareM!BR$2:BR$78)-IMshareM!BR$70),0))</f>
        <v>0</v>
      </c>
      <c r="BS65" s="8">
        <f>IF($A65=BS$1,0,IF(SUM(IMshareM!BS$2:BS$78)-IMshareM!BS$71&gt;0,IMshareM!BS65/(SUM(IMshareM!BS$2:BS$78)-IMshareM!BS$71),0))</f>
        <v>0</v>
      </c>
      <c r="BT65" s="8">
        <f>IF($A65=BT$1,0,IF(SUM(IMshareM!BT$2:BT$78)-IMshareM!BT$72&gt;0,IMshareM!BT65/(SUM(IMshareM!BT$2:BT$78)-IMshareM!BT$72),0))</f>
        <v>2.546594842605267E-7</v>
      </c>
      <c r="BU65" s="8">
        <f>IF($A65=BU$1,0,IF(SUM(IMshareM!BU$2:BU$78)-IMshareM!BU$73&gt;0,IMshareM!BU65/(SUM(IMshareM!BU$2:BU$78)-IMshareM!BU$73),0))</f>
        <v>0</v>
      </c>
      <c r="BV65" s="8">
        <f>IF($A65=BV$1,0,IF(SUM(IMshareM!BV$2:BV$78)-IMshareM!BV$74&gt;0,IMshareM!BV65/(SUM(IMshareM!BV$2:BV$78)-IMshareM!BV$74),0))</f>
        <v>0</v>
      </c>
      <c r="BW65" s="8">
        <f>IF($A65=BW$1,0,IF(SUM(IMshareM!BW$2:BW$78)-IMshareM!BW$75&gt;0,IMshareM!BW65/(SUM(IMshareM!BW$2:BW$78)-IMshareM!BW$75),0))</f>
        <v>1.1710735075960943E-5</v>
      </c>
      <c r="BX65" s="8">
        <f>IF($A65=BX$1,0,IF(SUM(IMshareM!BX$2:BX$78)-IMshareM!BX$76&gt;0,IMshareM!BX65/(SUM(IMshareM!BX$2:BX$78)-IMshareM!BX$76),0))</f>
        <v>0</v>
      </c>
      <c r="BY65" s="8">
        <f>IF($A65=BY$1,0,IF(SUM(IMshareM!BY$2:BY$78)-IMshareM!BY$77&gt;0,IMshareM!BY65/(SUM(IMshareM!BY$2:BY$78)-IMshareM!BY$77),0))</f>
        <v>0</v>
      </c>
      <c r="BZ65" s="8">
        <f>IF($A65=BZ$1,0,IF(SUM(IMshareM!BZ$2:BZ$78)-IMshareM!BZ$78&gt;0,IMshareM!BZ65/(SUM(IMshareM!BZ$2:BZ$78)-IMshareM!BZ$78),0))</f>
        <v>1.8189108210252569E-6</v>
      </c>
    </row>
    <row r="66" spans="1:78">
      <c r="A66" s="4" t="s">
        <v>199</v>
      </c>
      <c r="B66" s="8">
        <f>IF($A66=B$1,0,IF(SUM(IMshareM!B$2:B$78)-IMshareM!B$2&gt;0,IMshareM!B66/(SUM(IMshareM!B$2:B$78)-IMshareM!B$2),0))</f>
        <v>4.1953560745257393E-5</v>
      </c>
      <c r="C66" s="8">
        <f>IF($A66=C$1,0,IF(SUM(IMshareM!C$2:C$78)-IMshareM!C$3&gt;0,IMshareM!C66/(SUM(IMshareM!C$2:C$78)-IMshareM!C$3),0))</f>
        <v>2.7440195952730659E-2</v>
      </c>
      <c r="D66" s="8">
        <f>IF($A66=D$1,0,IF(SUM(IMshareM!D$2:D$78)-IMshareM!D$4&gt;0,IMshareM!D66/(SUM(IMshareM!D$2:D$78)-IMshareM!D$4),0))</f>
        <v>7.6342148004431622E-5</v>
      </c>
      <c r="E66" s="8">
        <f>IF($A66=E$1,0,IF(SUM(IMshareM!E$2:E$78)-IMshareM!E$5&gt;0,IMshareM!E66/(SUM(IMshareM!E$2:E$78)-IMshareM!E$5),0))</f>
        <v>3.60747057306591E-5</v>
      </c>
      <c r="F66" s="8">
        <f>IF($A66=F$1,0,IF(SUM(IMshareM!F$2:F$78)-IMshareM!F$6&gt;0,IMshareM!F66/(SUM(IMshareM!F$2:F$78)-IMshareM!F$6),0))</f>
        <v>2.3626926504085804E-2</v>
      </c>
      <c r="G66" s="8">
        <f>IF($A66=G$1,0,IF(SUM(IMshareM!G$2:G$78)-IMshareM!G$7&gt;0,IMshareM!G66/(SUM(IMshareM!G$2:G$78)-IMshareM!G$7),0))</f>
        <v>4.3754308520006731E-4</v>
      </c>
      <c r="H66" s="8">
        <f>IF($A66=H$1,0,IF(SUM(IMshareM!H$2:H$78)-IMshareM!H$8&gt;0,IMshareM!H66/(SUM(IMshareM!H$2:H$78)-IMshareM!H$8),0))</f>
        <v>0</v>
      </c>
      <c r="I66" s="8">
        <f>IF($A66=I$1,0,IF(SUM(IMshareM!I$2:I$78)-IMshareM!I$9&gt;0,IMshareM!I66/(SUM(IMshareM!I$2:I$78)-IMshareM!I$9),0))</f>
        <v>4.3605643894607674E-3</v>
      </c>
      <c r="J66" s="8">
        <f>IF($A66=J$1,0,IF(SUM(IMshareM!J$2:J$78)-IMshareM!J$10&gt;0,IMshareM!J66/(SUM(IMshareM!J$2:J$78)-IMshareM!J$10),0))</f>
        <v>0.13888068332402431</v>
      </c>
      <c r="K66" s="8">
        <f>IF($A66=K$1,0,IF(SUM(IMshareM!K$2:K$78)-IMshareM!K$11&gt;0,IMshareM!K66/(SUM(IMshareM!K$2:K$78)-IMshareM!K$11),0))</f>
        <v>6.8907327865743622E-3</v>
      </c>
      <c r="L66" s="8">
        <f>IF($A66=L$1,0,IF(SUM(IMshareM!L$2:L$78)-IMshareM!L$12&gt;0,IMshareM!L66/(SUM(IMshareM!L$2:L$78)-IMshareM!L$12),0))</f>
        <v>6.7213959665724172E-4</v>
      </c>
      <c r="M66" s="8">
        <f>IF($A66=M$1,0,IF(SUM(IMshareM!M$2:M$78)-IMshareM!M$13&gt;0,IMshareM!M66/(SUM(IMshareM!M$2:M$78)-IMshareM!M$13),0))</f>
        <v>2.3068143925555854E-5</v>
      </c>
      <c r="N66" s="8">
        <f>IF($A66=N$1,0,IF(SUM(IMshareM!N$2:N$78)-IMshareM!N$14&gt;0,IMshareM!N66/(SUM(IMshareM!N$2:N$78)-IMshareM!N$14),0))</f>
        <v>1.150569511906204E-2</v>
      </c>
      <c r="O66" s="8">
        <f>IF($A66=O$1,0,IF(SUM(IMshareM!O$2:O$78)-IMshareM!O$15&gt;0,IMshareM!O66/(SUM(IMshareM!O$2:O$78)-IMshareM!O$15),0))</f>
        <v>1.6297133637705151E-3</v>
      </c>
      <c r="P66" s="8">
        <f>IF($A66=P$1,0,IF(SUM(IMshareM!P$2:P$78)-IMshareM!P$16&gt;0,IMshareM!P66/(SUM(IMshareM!P$2:P$78)-IMshareM!P$16),0))</f>
        <v>2.1860928084370748E-3</v>
      </c>
      <c r="Q66" s="8">
        <f>IF($A66=Q$1,0,IF(SUM(IMshareM!Q$2:Q$78)-IMshareM!Q$17&gt;0,IMshareM!Q66/(SUM(IMshareM!Q$2:Q$78)-IMshareM!Q$17),0))</f>
        <v>1.4599638606166269E-4</v>
      </c>
      <c r="R66" s="8">
        <f>IF($A66=R$1,0,IF(SUM(IMshareM!R$2:R$78)-IMshareM!R$18&gt;0,IMshareM!R66/(SUM(IMshareM!R$2:R$78)-IMshareM!R$18),0))</f>
        <v>7.3278454867928256E-4</v>
      </c>
      <c r="S66" s="8">
        <f>IF($A66=S$1,0,IF(SUM(IMshareM!S$2:S$78)-IMshareM!S$19&gt;0,IMshareM!S66/(SUM(IMshareM!S$2:S$78)-IMshareM!S$19),0))</f>
        <v>1.0533300993528058E-3</v>
      </c>
      <c r="T66" s="8">
        <f>IF($A66=T$1,0,IF(SUM(IMshareM!T$2:T$78)-IMshareM!T$20&gt;0,IMshareM!T66/(SUM(IMshareM!T$2:T$78)-IMshareM!T$20),0))</f>
        <v>8.2468229906931679E-5</v>
      </c>
      <c r="U66" s="8">
        <f>IF($A66=U$1,0,IF(SUM(IMshareM!U$2:U$78)-IMshareM!U$21&gt;0,IMshareM!U66/(SUM(IMshareM!U$2:U$78)-IMshareM!U$21),0))</f>
        <v>2.9906552961638525E-4</v>
      </c>
      <c r="V66" s="8">
        <f>IF($A66=V$1,0,IF(SUM(IMshareM!V$2:V$78)-IMshareM!V$22&gt;0,IMshareM!V66/(SUM(IMshareM!V$2:V$78)-IMshareM!V$22),0))</f>
        <v>4.9334219203247627E-5</v>
      </c>
      <c r="W66" s="8">
        <f>IF($A66=W$1,0,IF(SUM(IMshareM!W$2:W$78)-IMshareM!W$23&gt;0,IMshareM!W66/(SUM(IMshareM!W$2:W$78)-IMshareM!W$23),0))</f>
        <v>3.3081729709850299E-4</v>
      </c>
      <c r="X66" s="8">
        <f>IF($A66=X$1,0,IF(SUM(IMshareM!X$2:X$78)-IMshareM!X$24&gt;0,IMshareM!X66/(SUM(IMshareM!X$2:X$78)-IMshareM!X$24),0))</f>
        <v>1.8496694146445463E-4</v>
      </c>
      <c r="Y66" s="8">
        <f>IF($A66=Y$1,0,IF(SUM(IMshareM!Y$2:Y$78)-IMshareM!Y$25&gt;0,IMshareM!Y66/(SUM(IMshareM!Y$2:Y$78)-IMshareM!Y$25),0))</f>
        <v>7.6170107225145413E-5</v>
      </c>
      <c r="Z66" s="8">
        <f>IF($A66=Z$1,0,IF(SUM(IMshareM!Z$2:Z$78)-IMshareM!Z$26&gt;0,IMshareM!Z66/(SUM(IMshareM!Z$2:Z$78)-IMshareM!Z$26),0))</f>
        <v>9.5303944030106872E-5</v>
      </c>
      <c r="AA66" s="8">
        <f>IF($A66=AA$1,0,IF(SUM(IMshareM!AA$2:AA$78)-IMshareM!AA$27&gt;0,IMshareM!AA66/(SUM(IMshareM!AA$2:AA$78)-IMshareM!AA$27),0))</f>
        <v>1.2964088546503954E-3</v>
      </c>
      <c r="AB66" s="8">
        <f>IF($A66=AB$1,0,IF(SUM(IMshareM!AB$2:AB$78)-IMshareM!AB$28&gt;0,IMshareM!AB66/(SUM(IMshareM!AB$2:AB$78)-IMshareM!AB$28),0))</f>
        <v>1.4463224765861723E-3</v>
      </c>
      <c r="AC66" s="8">
        <f>IF($A66=AC$1,0,IF(SUM(IMshareM!AC$2:AC$78)-IMshareM!AC$29&gt;0,IMshareM!AC66/(SUM(IMshareM!AC$2:AC$78)-IMshareM!AC$29),0))</f>
        <v>5.630194726700495E-5</v>
      </c>
      <c r="AD66" s="8">
        <f>IF($A66=AD$1,0,IF(SUM(IMshareM!AD$2:AD$78)-IMshareM!AD$30&gt;0,IMshareM!AD66/(SUM(IMshareM!AD$2:AD$78)-IMshareM!AD$30),0))</f>
        <v>9.4481888520931319E-3</v>
      </c>
      <c r="AE66" s="8">
        <f>IF($A66=AE$1,0,IF(SUM(IMshareM!AE$2:AE$78)-IMshareM!AE$31&gt;0,IMshareM!AE66/(SUM(IMshareM!AE$2:AE$78)-IMshareM!AE$31),0))</f>
        <v>7.8416768690111336E-5</v>
      </c>
      <c r="AF66" s="8">
        <f>IF($A66=AF$1,0,IF(SUM(IMshareM!AF$2:AF$78)-IMshareM!AF$32&gt;0,IMshareM!AF66/(SUM(IMshareM!AF$2:AF$78)-IMshareM!AF$32),0))</f>
        <v>6.0493010242211966E-4</v>
      </c>
      <c r="AG66" s="8">
        <f>IF($A66=AG$1,0,IF(SUM(IMshareM!AG$2:AG$78)-IMshareM!AG$33&gt;0,IMshareM!AG66/(SUM(IMshareM!AG$2:AG$78)-IMshareM!AG$33),0))</f>
        <v>5.3338351295748647E-2</v>
      </c>
      <c r="AH66" s="8">
        <f>IF($A66=AH$1,0,IF(SUM(IMshareM!AH$2:AH$78)-IMshareM!AH$34&gt;0,IMshareM!AH66/(SUM(IMshareM!AH$2:AH$78)-IMshareM!AH$34),0))</f>
        <v>1.2520773884055475E-2</v>
      </c>
      <c r="AI66" s="8">
        <f>IF($A66=AI$1,0,IF(SUM(IMshareM!AI$2:AI$78)-IMshareM!AI$35&gt;0,IMshareM!AI66/(SUM(IMshareM!AI$2:AI$78)-IMshareM!AI$35),0))</f>
        <v>7.3507159798315356E-4</v>
      </c>
      <c r="AJ66" s="8">
        <f>IF($A66=AJ$1,0,IF(SUM(IMshareM!AJ$2:AJ$78)-IMshareM!AJ$36&gt;0,IMshareM!AJ66/(SUM(IMshareM!AJ$2:AJ$78)-IMshareM!AJ$36),0))</f>
        <v>2.2493622587127439E-3</v>
      </c>
      <c r="AK66" s="8">
        <f>IF($A66=AK$1,0,IF(SUM(IMshareM!AK$2:AK$78)-IMshareM!AK$37&gt;0,IMshareM!AK66/(SUM(IMshareM!AK$2:AK$78)-IMshareM!AK$37),0))</f>
        <v>2.6718591184339727E-3</v>
      </c>
      <c r="AL66" s="8">
        <f>IF($A66=AL$1,0,IF(SUM(IMshareM!AL$2:AL$78)-IMshareM!AL$38&gt;0,IMshareM!AL66/(SUM(IMshareM!AL$2:AL$78)-IMshareM!AL$38),0))</f>
        <v>2.9438776319946365E-5</v>
      </c>
      <c r="AM66" s="8">
        <f>IF($A66=AM$1,0,IF(SUM(IMshareM!AM$2:AM$78)-IMshareM!AM$39&gt;0,IMshareM!AM66/(SUM(IMshareM!AM$2:AM$78)-IMshareM!AM$39),0))</f>
        <v>1.508360427140756E-3</v>
      </c>
      <c r="AN66" s="8">
        <f>IF($A66=AN$1,0,IF(SUM(IMshareM!AN$2:AN$78)-IMshareM!AN$40&gt;0,IMshareM!AN66/(SUM(IMshareM!AN$2:AN$78)-IMshareM!AN$40),0))</f>
        <v>3.5352424180547416E-4</v>
      </c>
      <c r="AO66" s="8">
        <f>IF($A66=AO$1,0,IF(SUM(IMshareM!AO$2:AO$78)-IMshareM!AO$41&gt;0,IMshareM!AO66/(SUM(IMshareM!AO$2:AO$78)-IMshareM!AO$41),0))</f>
        <v>2.7125711886703205E-6</v>
      </c>
      <c r="AP66" s="8">
        <f>IF($A66=AP$1,0,IF(SUM(IMshareM!AP$2:AP$78)-IMshareM!AP$42&gt;0,IMshareM!AP66/(SUM(IMshareM!AP$2:AP$78)-IMshareM!AP$42),0))</f>
        <v>2.7439221660765351E-3</v>
      </c>
      <c r="AQ66" s="8">
        <f>IF($A66=AQ$1,0,IF(SUM(IMshareM!AQ$2:AQ$78)-IMshareM!AQ$43&gt;0,IMshareM!AQ66/(SUM(IMshareM!AQ$2:AQ$78)-IMshareM!AQ$43),0))</f>
        <v>3.7167461959846971E-4</v>
      </c>
      <c r="AR66" s="8">
        <f>IF($A66=AR$1,0,IF(SUM(IMshareM!AR$2:AR$78)-IMshareM!AR$44&gt;0,IMshareM!AR66/(SUM(IMshareM!AR$2:AR$78)-IMshareM!AR$44),0))</f>
        <v>1.455732308240596E-3</v>
      </c>
      <c r="AS66" s="8">
        <f>IF($A66=AS$1,0,IF(SUM(IMshareM!AS$2:AS$78)-IMshareM!AS$45&gt;0,IMshareM!AS66/(SUM(IMshareM!AS$2:AS$78)-IMshareM!AS$45),0))</f>
        <v>1.2879149109789337E-2</v>
      </c>
      <c r="AT66" s="8">
        <f>IF($A66=AT$1,0,IF(SUM(IMshareM!AT$2:AT$78)-IMshareM!AT$46&gt;0,IMshareM!AT66/(SUM(IMshareM!AT$2:AT$78)-IMshareM!AT$46),0))</f>
        <v>1.476840329870463E-7</v>
      </c>
      <c r="AU66" s="8">
        <f>IF($A66=AU$1,0,IF(SUM(IMshareM!AU$2:AU$78)-IMshareM!AU$47&gt;0,IMshareM!AU66/(SUM(IMshareM!AU$2:AU$78)-IMshareM!AU$47),0))</f>
        <v>0</v>
      </c>
      <c r="AV66" s="8">
        <f>IF($A66=AV$1,0,IF(SUM(IMshareM!AV$2:AV$78)-IMshareM!AV$48&gt;0,IMshareM!AV66/(SUM(IMshareM!AV$2:AV$78)-IMshareM!AV$48),0))</f>
        <v>1.9297323451956001E-4</v>
      </c>
      <c r="AW66" s="8">
        <f>IF($A66=AW$1,0,IF(SUM(IMshareM!AW$2:AW$78)-IMshareM!AW$49&gt;0,IMshareM!AW66/(SUM(IMshareM!AW$2:AW$78)-IMshareM!AW$49),0))</f>
        <v>6.7698920852418137E-5</v>
      </c>
      <c r="AX66" s="8">
        <f>IF($A66=AX$1,0,IF(SUM(IMshareM!AX$2:AX$78)-IMshareM!AX$50&gt;0,IMshareM!AX66/(SUM(IMshareM!AX$2:AX$78)-IMshareM!AX$50),0))</f>
        <v>6.156411576314823E-4</v>
      </c>
      <c r="AY66" s="8">
        <f>IF($A66=AY$1,0,IF(SUM(IMshareM!AY$2:AY$78)-IMshareM!AY$51&gt;0,IMshareM!AY66/(SUM(IMshareM!AY$2:AY$78)-IMshareM!AY$51),0))</f>
        <v>4.3053126713349862E-2</v>
      </c>
      <c r="AZ66" s="8">
        <f>IF($A66=AZ$1,0,IF(SUM(IMshareM!AZ$2:AZ$78)-IMshareM!AZ$52&gt;0,IMshareM!AZ66/(SUM(IMshareM!AZ$2:AZ$78)-IMshareM!AZ$52),0))</f>
        <v>0.16742284059291035</v>
      </c>
      <c r="BA66" s="8">
        <f>IF($A66=BA$1,0,IF(SUM(IMshareM!BA$2:BA$78)-IMshareM!BA$53&gt;0,IMshareM!BA66/(SUM(IMshareM!BA$2:BA$78)-IMshareM!BA$53),0))</f>
        <v>7.0276032098642892E-4</v>
      </c>
      <c r="BB66" s="8">
        <f>IF($A66=BB$1,0,IF(SUM(IMshareM!BB$2:BB$78)-IMshareM!BB$54&gt;0,IMshareM!BB66/(SUM(IMshareM!BB$2:BB$78)-IMshareM!BB$54),0))</f>
        <v>3.3474600199689857E-3</v>
      </c>
      <c r="BC66" s="8">
        <f>IF($A66=BC$1,0,IF(SUM(IMshareM!BC$2:BC$78)-IMshareM!BC$55&gt;0,IMshareM!BC66/(SUM(IMshareM!BC$2:BC$78)-IMshareM!BC$55),0))</f>
        <v>2.2213768949656651E-3</v>
      </c>
      <c r="BD66" s="8">
        <f>IF($A66=BD$1,0,IF(SUM(IMshareM!BD$2:BD$78)-IMshareM!BD$56&gt;0,IMshareM!BD66/(SUM(IMshareM!BD$2:BD$78)-IMshareM!BD$56),0))</f>
        <v>2.7970831147468168E-3</v>
      </c>
      <c r="BE66" s="8">
        <f>IF($A66=BE$1,0,IF(SUM(IMshareM!BE$2:BE$78)-IMshareM!BE$57&gt;0,IMshareM!BE66/(SUM(IMshareM!BE$2:BE$78)-IMshareM!BE$57),0))</f>
        <v>5.6259219283539084E-3</v>
      </c>
      <c r="BF66" s="8">
        <f>IF($A66=BF$1,0,IF(SUM(IMshareM!BF$2:BF$78)-IMshareM!BF$58&gt;0,IMshareM!BF66/(SUM(IMshareM!BF$2:BF$78)-IMshareM!BF$58),0))</f>
        <v>1.9336531639661049E-5</v>
      </c>
      <c r="BG66" s="8">
        <f>IF($A66=BG$1,0,IF(SUM(IMshareM!BG$2:BG$78)-IMshareM!BG$59&gt;0,IMshareM!BG66/(SUM(IMshareM!BG$2:BG$78)-IMshareM!BG$59),0))</f>
        <v>8.6714676397919521E-2</v>
      </c>
      <c r="BH66" s="8">
        <f>IF($A66=BH$1,0,IF(SUM(IMshareM!BH$2:BH$78)-IMshareM!BH$60&gt;0,IMshareM!BH66/(SUM(IMshareM!BH$2:BH$78)-IMshareM!BH$60),0))</f>
        <v>5.0966307636584101E-5</v>
      </c>
      <c r="BI66" s="8">
        <f>IF($A66=BI$1,0,IF(SUM(IMshareM!BI$2:BI$78)-IMshareM!BI$61&gt;0,IMshareM!BI66/(SUM(IMshareM!BI$2:BI$78)-IMshareM!BI$61),0))</f>
        <v>1.6731355719299858E-5</v>
      </c>
      <c r="BJ66" s="8">
        <f>IF($A66=BJ$1,0,IF(SUM(IMshareM!BJ$2:BJ$78)-IMshareM!BJ$62&gt;0,IMshareM!BJ66/(SUM(IMshareM!BJ$2:BJ$78)-IMshareM!BJ$62),0))</f>
        <v>9.442856847884898E-5</v>
      </c>
      <c r="BK66" s="8">
        <f>IF($A66=BK$1,0,IF(SUM(IMshareM!BK$2:BK$78)-IMshareM!BK$63&gt;0,IMshareM!BK66/(SUM(IMshareM!BK$2:BK$78)-IMshareM!BK$63),0))</f>
        <v>5.58947207921094E-5</v>
      </c>
      <c r="BL66" s="8">
        <f>IF($A66=BL$1,0,IF(SUM(IMshareM!BL$2:BL$78)-IMshareM!BL$64&gt;0,IMshareM!BL66/(SUM(IMshareM!BL$2:BL$78)-IMshareM!BL$64),0))</f>
        <v>1.025784705118962E-3</v>
      </c>
      <c r="BM66" s="8">
        <f>IF($A66=BM$1,0,IF(SUM(IMshareM!BM$2:BM$78)-IMshareM!BM$65&gt;0,IMshareM!BM66/(SUM(IMshareM!BM$2:BM$78)-IMshareM!BM$65),0))</f>
        <v>7.6232631067780455E-5</v>
      </c>
      <c r="BN66" s="8">
        <f>IF($A66=BN$1,0,IF(SUM(IMshareM!BN$2:BN$78)-IMshareM!BN$66&gt;0,IMshareM!BN66/(SUM(IMshareM!BN$2:BN$78)-IMshareM!BN$66),0))</f>
        <v>0</v>
      </c>
      <c r="BO66" s="8">
        <f>IF($A66=BO$1,0,IF(SUM(IMshareM!BO$2:BO$78)-IMshareM!BO$67&gt;0,IMshareM!BO66/(SUM(IMshareM!BO$2:BO$78)-IMshareM!BO$67),0))</f>
        <v>1.4914952038882123E-5</v>
      </c>
      <c r="BP66" s="8">
        <f>IF($A66=BP$1,0,IF(SUM(IMshareM!BP$2:BP$78)-IMshareM!BP$68&gt;0,IMshareM!BP66/(SUM(IMshareM!BP$2:BP$78)-IMshareM!BP$68),0))</f>
        <v>7.7527510375826285E-7</v>
      </c>
      <c r="BQ66" s="8">
        <f>IF($A66=BQ$1,0,IF(SUM(IMshareM!BQ$2:BQ$78)-IMshareM!BQ$69&gt;0,IMshareM!BQ66/(SUM(IMshareM!BQ$2:BQ$78)-IMshareM!BQ$69),0))</f>
        <v>4.7787071402038004E-5</v>
      </c>
      <c r="BR66" s="8">
        <f>IF($A66=BR$1,0,IF(SUM(IMshareM!BR$2:BR$78)-IMshareM!BR$70&gt;0,IMshareM!BR66/(SUM(IMshareM!BR$2:BR$78)-IMshareM!BR$70),0))</f>
        <v>2.4018977260228235E-3</v>
      </c>
      <c r="BS66" s="8">
        <f>IF($A66=BS$1,0,IF(SUM(IMshareM!BS$2:BS$78)-IMshareM!BS$71&gt;0,IMshareM!BS66/(SUM(IMshareM!BS$2:BS$78)-IMshareM!BS$71),0))</f>
        <v>5.669978000328842E-3</v>
      </c>
      <c r="BT66" s="8">
        <f>IF($A66=BT$1,0,IF(SUM(IMshareM!BT$2:BT$78)-IMshareM!BT$72&gt;0,IMshareM!BT66/(SUM(IMshareM!BT$2:BT$78)-IMshareM!BT$72),0))</f>
        <v>1.7203533901865691E-4</v>
      </c>
      <c r="BU66" s="8">
        <f>IF($A66=BU$1,0,IF(SUM(IMshareM!BU$2:BU$78)-IMshareM!BU$73&gt;0,IMshareM!BU66/(SUM(IMshareM!BU$2:BU$78)-IMshareM!BU$73),0))</f>
        <v>1.8620069879586258E-3</v>
      </c>
      <c r="BV66" s="8">
        <f>IF($A66=BV$1,0,IF(SUM(IMshareM!BV$2:BV$78)-IMshareM!BV$74&gt;0,IMshareM!BV66/(SUM(IMshareM!BV$2:BV$78)-IMshareM!BV$74),0))</f>
        <v>6.3428414072096411E-5</v>
      </c>
      <c r="BW66" s="8">
        <f>IF($A66=BW$1,0,IF(SUM(IMshareM!BW$2:BW$78)-IMshareM!BW$75&gt;0,IMshareM!BW66/(SUM(IMshareM!BW$2:BW$78)-IMshareM!BW$75),0))</f>
        <v>1.4382257320971275E-3</v>
      </c>
      <c r="BX66" s="8">
        <f>IF($A66=BX$1,0,IF(SUM(IMshareM!BX$2:BX$78)-IMshareM!BX$76&gt;0,IMshareM!BX66/(SUM(IMshareM!BX$2:BX$78)-IMshareM!BX$76),0))</f>
        <v>4.3121665264671694E-3</v>
      </c>
      <c r="BY66" s="8">
        <f>IF($A66=BY$1,0,IF(SUM(IMshareM!BY$2:BY$78)-IMshareM!BY$77&gt;0,IMshareM!BY66/(SUM(IMshareM!BY$2:BY$78)-IMshareM!BY$77),0))</f>
        <v>6.6314425077182182E-5</v>
      </c>
      <c r="BZ66" s="8">
        <f>IF($A66=BZ$1,0,IF(SUM(IMshareM!BZ$2:BZ$78)-IMshareM!BZ$78&gt;0,IMshareM!BZ66/(SUM(IMshareM!BZ$2:BZ$78)-IMshareM!BZ$78),0))</f>
        <v>4.8146915908197545E-3</v>
      </c>
    </row>
    <row r="67" spans="1:78">
      <c r="A67" s="4" t="s">
        <v>201</v>
      </c>
      <c r="B67" s="8">
        <f>IF($A67=B$1,0,IF(SUM(IMshareM!B$2:B$78)-IMshareM!B$2&gt;0,IMshareM!B67/(SUM(IMshareM!B$2:B$78)-IMshareM!B$2),0))</f>
        <v>1.969972710858886E-2</v>
      </c>
      <c r="C67" s="8">
        <f>IF($A67=C$1,0,IF(SUM(IMshareM!C$2:C$78)-IMshareM!C$3&gt;0,IMshareM!C67/(SUM(IMshareM!C$2:C$78)-IMshareM!C$3),0))</f>
        <v>4.8402516758517861E-4</v>
      </c>
      <c r="D67" s="8">
        <f>IF($A67=D$1,0,IF(SUM(IMshareM!D$2:D$78)-IMshareM!D$4&gt;0,IMshareM!D67/(SUM(IMshareM!D$2:D$78)-IMshareM!D$4),0))</f>
        <v>5.0563288994578195E-3</v>
      </c>
      <c r="E67" s="8">
        <f>IF($A67=E$1,0,IF(SUM(IMshareM!E$2:E$78)-IMshareM!E$5&gt;0,IMshareM!E67/(SUM(IMshareM!E$2:E$78)-IMshareM!E$5),0))</f>
        <v>1.8232270485428234E-2</v>
      </c>
      <c r="F67" s="8">
        <f>IF($A67=F$1,0,IF(SUM(IMshareM!F$2:F$78)-IMshareM!F$6&gt;0,IMshareM!F67/(SUM(IMshareM!F$2:F$78)-IMshareM!F$6),0))</f>
        <v>1.1556849973682758E-3</v>
      </c>
      <c r="G67" s="8">
        <f>IF($A67=G$1,0,IF(SUM(IMshareM!G$2:G$78)-IMshareM!G$7&gt;0,IMshareM!G67/(SUM(IMshareM!G$2:G$78)-IMshareM!G$7),0))</f>
        <v>2.8662006619413163E-4</v>
      </c>
      <c r="H67" s="8">
        <f>IF($A67=H$1,0,IF(SUM(IMshareM!H$2:H$78)-IMshareM!H$8&gt;0,IMshareM!H67/(SUM(IMshareM!H$2:H$78)-IMshareM!H$8),0))</f>
        <v>3.483337865471055E-5</v>
      </c>
      <c r="I67" s="8">
        <f>IF($A67=I$1,0,IF(SUM(IMshareM!I$2:I$78)-IMshareM!I$9&gt;0,IMshareM!I67/(SUM(IMshareM!I$2:I$78)-IMshareM!I$9),0))</f>
        <v>8.0185860270426705E-4</v>
      </c>
      <c r="J67" s="8">
        <f>IF($A67=J$1,0,IF(SUM(IMshareM!J$2:J$78)-IMshareM!J$10&gt;0,IMshareM!J67/(SUM(IMshareM!J$2:J$78)-IMshareM!J$10),0))</f>
        <v>2.8427132162279491E-4</v>
      </c>
      <c r="K67" s="8">
        <f>IF($A67=K$1,0,IF(SUM(IMshareM!K$2:K$78)-IMshareM!K$11&gt;0,IMshareM!K67/(SUM(IMshareM!K$2:K$78)-IMshareM!K$11),0))</f>
        <v>7.9290402931592521E-4</v>
      </c>
      <c r="L67" s="8">
        <f>IF($A67=L$1,0,IF(SUM(IMshareM!L$2:L$78)-IMshareM!L$12&gt;0,IMshareM!L67/(SUM(IMshareM!L$2:L$78)-IMshareM!L$12),0))</f>
        <v>6.1871953661194554E-3</v>
      </c>
      <c r="M67" s="8">
        <f>IF($A67=M$1,0,IF(SUM(IMshareM!M$2:M$78)-IMshareM!M$13&gt;0,IMshareM!M67/(SUM(IMshareM!M$2:M$78)-IMshareM!M$13),0))</f>
        <v>3.3984915123747741E-5</v>
      </c>
      <c r="N67" s="8">
        <f>IF($A67=N$1,0,IF(SUM(IMshareM!N$2:N$78)-IMshareM!N$14&gt;0,IMshareM!N67/(SUM(IMshareM!N$2:N$78)-IMshareM!N$14),0))</f>
        <v>3.934011667518532E-3</v>
      </c>
      <c r="O67" s="8">
        <f>IF($A67=O$1,0,IF(SUM(IMshareM!O$2:O$78)-IMshareM!O$15&gt;0,IMshareM!O67/(SUM(IMshareM!O$2:O$78)-IMshareM!O$15),0))</f>
        <v>5.9049361529917932E-3</v>
      </c>
      <c r="P67" s="8">
        <f>IF($A67=P$1,0,IF(SUM(IMshareM!P$2:P$78)-IMshareM!P$16&gt;0,IMshareM!P67/(SUM(IMshareM!P$2:P$78)-IMshareM!P$16),0))</f>
        <v>0</v>
      </c>
      <c r="Q67" s="8">
        <f>IF($A67=Q$1,0,IF(SUM(IMshareM!Q$2:Q$78)-IMshareM!Q$17&gt;0,IMshareM!Q67/(SUM(IMshareM!Q$2:Q$78)-IMshareM!Q$17),0))</f>
        <v>1.442463362408134E-3</v>
      </c>
      <c r="R67" s="8">
        <f>IF($A67=R$1,0,IF(SUM(IMshareM!R$2:R$78)-IMshareM!R$18&gt;0,IMshareM!R67/(SUM(IMshareM!R$2:R$78)-IMshareM!R$18),0))</f>
        <v>9.6398338778307861E-4</v>
      </c>
      <c r="S67" s="8">
        <f>IF($A67=S$1,0,IF(SUM(IMshareM!S$2:S$78)-IMshareM!S$19&gt;0,IMshareM!S67/(SUM(IMshareM!S$2:S$78)-IMshareM!S$19),0))</f>
        <v>4.9155292188115079E-5</v>
      </c>
      <c r="T67" s="8">
        <f>IF($A67=T$1,0,IF(SUM(IMshareM!T$2:T$78)-IMshareM!T$20&gt;0,IMshareM!T67/(SUM(IMshareM!T$2:T$78)-IMshareM!T$20),0))</f>
        <v>8.9622084683587139E-3</v>
      </c>
      <c r="U67" s="8">
        <f>IF($A67=U$1,0,IF(SUM(IMshareM!U$2:U$78)-IMshareM!U$21&gt;0,IMshareM!U67/(SUM(IMshareM!U$2:U$78)-IMshareM!U$21),0))</f>
        <v>1.2095783341473324E-2</v>
      </c>
      <c r="V67" s="8">
        <f>IF($A67=V$1,0,IF(SUM(IMshareM!V$2:V$78)-IMshareM!V$22&gt;0,IMshareM!V67/(SUM(IMshareM!V$2:V$78)-IMshareM!V$22),0))</f>
        <v>6.7021807894145261E-2</v>
      </c>
      <c r="W67" s="8">
        <f>IF($A67=W$1,0,IF(SUM(IMshareM!W$2:W$78)-IMshareM!W$23&gt;0,IMshareM!W67/(SUM(IMshareM!W$2:W$78)-IMshareM!W$23),0))</f>
        <v>3.1334164763055148E-4</v>
      </c>
      <c r="X67" s="8">
        <f>IF($A67=X$1,0,IF(SUM(IMshareM!X$2:X$78)-IMshareM!X$24&gt;0,IMshareM!X67/(SUM(IMshareM!X$2:X$78)-IMshareM!X$24),0))</f>
        <v>1.4141355782475183E-2</v>
      </c>
      <c r="Y67" s="8">
        <f>IF($A67=Y$1,0,IF(SUM(IMshareM!Y$2:Y$78)-IMshareM!Y$25&gt;0,IMshareM!Y67/(SUM(IMshareM!Y$2:Y$78)-IMshareM!Y$25),0))</f>
        <v>1.2205283317426913E-3</v>
      </c>
      <c r="Z67" s="8">
        <f>IF($A67=Z$1,0,IF(SUM(IMshareM!Z$2:Z$78)-IMshareM!Z$26&gt;0,IMshareM!Z67/(SUM(IMshareM!Z$2:Z$78)-IMshareM!Z$26),0))</f>
        <v>2.8991627709219247E-3</v>
      </c>
      <c r="AA67" s="8">
        <f>IF($A67=AA$1,0,IF(SUM(IMshareM!AA$2:AA$78)-IMshareM!AA$27&gt;0,IMshareM!AA67/(SUM(IMshareM!AA$2:AA$78)-IMshareM!AA$27),0))</f>
        <v>6.1581059295113851E-3</v>
      </c>
      <c r="AB67" s="8">
        <f>IF($A67=AB$1,0,IF(SUM(IMshareM!AB$2:AB$78)-IMshareM!AB$28&gt;0,IMshareM!AB67/(SUM(IMshareM!AB$2:AB$78)-IMshareM!AB$28),0))</f>
        <v>7.6728380016210995E-3</v>
      </c>
      <c r="AC67" s="8">
        <f>IF($A67=AC$1,0,IF(SUM(IMshareM!AC$2:AC$78)-IMshareM!AC$29&gt;0,IMshareM!AC67/(SUM(IMshareM!AC$2:AC$78)-IMshareM!AC$29),0))</f>
        <v>1.5773701321279395E-6</v>
      </c>
      <c r="AD67" s="8">
        <f>IF($A67=AD$1,0,IF(SUM(IMshareM!AD$2:AD$78)-IMshareM!AD$30&gt;0,IMshareM!AD67/(SUM(IMshareM!AD$2:AD$78)-IMshareM!AD$30),0))</f>
        <v>2.0012808877819709E-5</v>
      </c>
      <c r="AE67" s="8">
        <f>IF($A67=AE$1,0,IF(SUM(IMshareM!AE$2:AE$78)-IMshareM!AE$31&gt;0,IMshareM!AE67/(SUM(IMshareM!AE$2:AE$78)-IMshareM!AE$31),0))</f>
        <v>1.5387921197926909E-3</v>
      </c>
      <c r="AF67" s="8">
        <f>IF($A67=AF$1,0,IF(SUM(IMshareM!AF$2:AF$78)-IMshareM!AF$32&gt;0,IMshareM!AF67/(SUM(IMshareM!AF$2:AF$78)-IMshareM!AF$32),0))</f>
        <v>2.1116390942841085E-2</v>
      </c>
      <c r="AG67" s="8">
        <f>IF($A67=AG$1,0,IF(SUM(IMshareM!AG$2:AG$78)-IMshareM!AG$33&gt;0,IMshareM!AG67/(SUM(IMshareM!AG$2:AG$78)-IMshareM!AG$33),0))</f>
        <v>2.0752720984785924E-4</v>
      </c>
      <c r="AH67" s="8">
        <f>IF($A67=AH$1,0,IF(SUM(IMshareM!AH$2:AH$78)-IMshareM!AH$34&gt;0,IMshareM!AH67/(SUM(IMshareM!AH$2:AH$78)-IMshareM!AH$34),0))</f>
        <v>3.9674438783123996E-3</v>
      </c>
      <c r="AI67" s="8">
        <f>IF($A67=AI$1,0,IF(SUM(IMshareM!AI$2:AI$78)-IMshareM!AI$35&gt;0,IMshareM!AI67/(SUM(IMshareM!AI$2:AI$78)-IMshareM!AI$35),0))</f>
        <v>9.3935729947481041E-5</v>
      </c>
      <c r="AJ67" s="8">
        <f>IF($A67=AJ$1,0,IF(SUM(IMshareM!AJ$2:AJ$78)-IMshareM!AJ$36&gt;0,IMshareM!AJ67/(SUM(IMshareM!AJ$2:AJ$78)-IMshareM!AJ$36),0))</f>
        <v>1.3453619354775031E-2</v>
      </c>
      <c r="AK67" s="8">
        <f>IF($A67=AK$1,0,IF(SUM(IMshareM!AK$2:AK$78)-IMshareM!AK$37&gt;0,IMshareM!AK67/(SUM(IMshareM!AK$2:AK$78)-IMshareM!AK$37),0))</f>
        <v>4.0035743888206215E-4</v>
      </c>
      <c r="AL67" s="8">
        <f>IF($A67=AL$1,0,IF(SUM(IMshareM!AL$2:AL$78)-IMshareM!AL$38&gt;0,IMshareM!AL67/(SUM(IMshareM!AL$2:AL$78)-IMshareM!AL$38),0))</f>
        <v>2.5243204802825846E-3</v>
      </c>
      <c r="AM67" s="8">
        <f>IF($A67=AM$1,0,IF(SUM(IMshareM!AM$2:AM$78)-IMshareM!AM$39&gt;0,IMshareM!AM67/(SUM(IMshareM!AM$2:AM$78)-IMshareM!AM$39),0))</f>
        <v>0</v>
      </c>
      <c r="AN67" s="8">
        <f>IF($A67=AN$1,0,IF(SUM(IMshareM!AN$2:AN$78)-IMshareM!AN$40&gt;0,IMshareM!AN67/(SUM(IMshareM!AN$2:AN$78)-IMshareM!AN$40),0))</f>
        <v>2.0020958509872257E-3</v>
      </c>
      <c r="AO67" s="8">
        <f>IF($A67=AO$1,0,IF(SUM(IMshareM!AO$2:AO$78)-IMshareM!AO$41&gt;0,IMshareM!AO67/(SUM(IMshareM!AO$2:AO$78)-IMshareM!AO$41),0))</f>
        <v>1.1460252689368938E-3</v>
      </c>
      <c r="AP67" s="8">
        <f>IF($A67=AP$1,0,IF(SUM(IMshareM!AP$2:AP$78)-IMshareM!AP$42&gt;0,IMshareM!AP67/(SUM(IMshareM!AP$2:AP$78)-IMshareM!AP$42),0))</f>
        <v>0</v>
      </c>
      <c r="AQ67" s="8">
        <f>IF($A67=AQ$1,0,IF(SUM(IMshareM!AQ$2:AQ$78)-IMshareM!AQ$43&gt;0,IMshareM!AQ67/(SUM(IMshareM!AQ$2:AQ$78)-IMshareM!AQ$43),0))</f>
        <v>2.6685961892135762E-4</v>
      </c>
      <c r="AR67" s="8">
        <f>IF($A67=AR$1,0,IF(SUM(IMshareM!AR$2:AR$78)-IMshareM!AR$44&gt;0,IMshareM!AR67/(SUM(IMshareM!AR$2:AR$78)-IMshareM!AR$44),0))</f>
        <v>0</v>
      </c>
      <c r="AS67" s="8">
        <f>IF($A67=AS$1,0,IF(SUM(IMshareM!AS$2:AS$78)-IMshareM!AS$45&gt;0,IMshareM!AS67/(SUM(IMshareM!AS$2:AS$78)-IMshareM!AS$45),0))</f>
        <v>2.1947001277179867E-3</v>
      </c>
      <c r="AT67" s="8">
        <f>IF($A67=AT$1,0,IF(SUM(IMshareM!AT$2:AT$78)-IMshareM!AT$46&gt;0,IMshareM!AT67/(SUM(IMshareM!AT$2:AT$78)-IMshareM!AT$46),0))</f>
        <v>4.808699327959986E-5</v>
      </c>
      <c r="AU67" s="8">
        <f>IF($A67=AU$1,0,IF(SUM(IMshareM!AU$2:AU$78)-IMshareM!AU$47&gt;0,IMshareM!AU67/(SUM(IMshareM!AU$2:AU$78)-IMshareM!AU$47),0))</f>
        <v>1.447549660945186E-3</v>
      </c>
      <c r="AV67" s="8">
        <f>IF($A67=AV$1,0,IF(SUM(IMshareM!AV$2:AV$78)-IMshareM!AV$48&gt;0,IMshareM!AV67/(SUM(IMshareM!AV$2:AV$78)-IMshareM!AV$48),0))</f>
        <v>2.9974094733881747E-4</v>
      </c>
      <c r="AW67" s="8">
        <f>IF($A67=AW$1,0,IF(SUM(IMshareM!AW$2:AW$78)-IMshareM!AW$49&gt;0,IMshareM!AW67/(SUM(IMshareM!AW$2:AW$78)-IMshareM!AW$49),0))</f>
        <v>5.5013090308000056E-4</v>
      </c>
      <c r="AX67" s="8">
        <f>IF($A67=AX$1,0,IF(SUM(IMshareM!AX$2:AX$78)-IMshareM!AX$50&gt;0,IMshareM!AX67/(SUM(IMshareM!AX$2:AX$78)-IMshareM!AX$50),0))</f>
        <v>1.8074540479803158E-4</v>
      </c>
      <c r="AY67" s="8">
        <f>IF($A67=AY$1,0,IF(SUM(IMshareM!AY$2:AY$78)-IMshareM!AY$51&gt;0,IMshareM!AY67/(SUM(IMshareM!AY$2:AY$78)-IMshareM!AY$51),0))</f>
        <v>4.4965235634817201E-5</v>
      </c>
      <c r="AZ67" s="8">
        <f>IF($A67=AZ$1,0,IF(SUM(IMshareM!AZ$2:AZ$78)-IMshareM!AZ$52&gt;0,IMshareM!AZ67/(SUM(IMshareM!AZ$2:AZ$78)-IMshareM!AZ$52),0))</f>
        <v>5.1216677793323494E-5</v>
      </c>
      <c r="BA67" s="8">
        <f>IF($A67=BA$1,0,IF(SUM(IMshareM!BA$2:BA$78)-IMshareM!BA$53&gt;0,IMshareM!BA67/(SUM(IMshareM!BA$2:BA$78)-IMshareM!BA$53),0))</f>
        <v>6.0893540734906058E-5</v>
      </c>
      <c r="BB67" s="8">
        <f>IF($A67=BB$1,0,IF(SUM(IMshareM!BB$2:BB$78)-IMshareM!BB$54&gt;0,IMshareM!BB67/(SUM(IMshareM!BB$2:BB$78)-IMshareM!BB$54),0))</f>
        <v>4.4406919252147739E-4</v>
      </c>
      <c r="BC67" s="8">
        <f>IF($A67=BC$1,0,IF(SUM(IMshareM!BC$2:BC$78)-IMshareM!BC$55&gt;0,IMshareM!BC67/(SUM(IMshareM!BC$2:BC$78)-IMshareM!BC$55),0))</f>
        <v>5.0861385616577139E-3</v>
      </c>
      <c r="BD67" s="8">
        <f>IF($A67=BD$1,0,IF(SUM(IMshareM!BD$2:BD$78)-IMshareM!BD$56&gt;0,IMshareM!BD67/(SUM(IMshareM!BD$2:BD$78)-IMshareM!BD$56),0))</f>
        <v>6.1648406240943476E-4</v>
      </c>
      <c r="BE67" s="8">
        <f>IF($A67=BE$1,0,IF(SUM(IMshareM!BE$2:BE$78)-IMshareM!BE$57&gt;0,IMshareM!BE67/(SUM(IMshareM!BE$2:BE$78)-IMshareM!BE$57),0))</f>
        <v>1.1328373732074371E-4</v>
      </c>
      <c r="BF67" s="8">
        <f>IF($A67=BF$1,0,IF(SUM(IMshareM!BF$2:BF$78)-IMshareM!BF$58&gt;0,IMshareM!BF67/(SUM(IMshareM!BF$2:BF$78)-IMshareM!BF$58),0))</f>
        <v>2.8400004477535911E-4</v>
      </c>
      <c r="BG67" s="8">
        <f>IF($A67=BG$1,0,IF(SUM(IMshareM!BG$2:BG$78)-IMshareM!BG$59&gt;0,IMshareM!BG67/(SUM(IMshareM!BG$2:BG$78)-IMshareM!BG$59),0))</f>
        <v>1.8489478286791471E-4</v>
      </c>
      <c r="BH67" s="8">
        <f>IF($A67=BH$1,0,IF(SUM(IMshareM!BH$2:BH$78)-IMshareM!BH$60&gt;0,IMshareM!BH67/(SUM(IMshareM!BH$2:BH$78)-IMshareM!BH$60),0))</f>
        <v>3.4553795168917871E-2</v>
      </c>
      <c r="BI67" s="8">
        <f>IF($A67=BI$1,0,IF(SUM(IMshareM!BI$2:BI$78)-IMshareM!BI$61&gt;0,IMshareM!BI67/(SUM(IMshareM!BI$2:BI$78)-IMshareM!BI$61),0))</f>
        <v>1.998131562080371E-2</v>
      </c>
      <c r="BJ67" s="8">
        <f>IF($A67=BJ$1,0,IF(SUM(IMshareM!BJ$2:BJ$78)-IMshareM!BJ$62&gt;0,IMshareM!BJ67/(SUM(IMshareM!BJ$2:BJ$78)-IMshareM!BJ$62),0))</f>
        <v>2.6905598500462417E-2</v>
      </c>
      <c r="BK67" s="8">
        <f>IF($A67=BK$1,0,IF(SUM(IMshareM!BK$2:BK$78)-IMshareM!BK$63&gt;0,IMshareM!BK67/(SUM(IMshareM!BK$2:BK$78)-IMshareM!BK$63),0))</f>
        <v>3.3660793191014424E-3</v>
      </c>
      <c r="BL67" s="8">
        <f>IF($A67=BL$1,0,IF(SUM(IMshareM!BL$2:BL$78)-IMshareM!BL$64&gt;0,IMshareM!BL67/(SUM(IMshareM!BL$2:BL$78)-IMshareM!BL$64),0))</f>
        <v>6.5641352959204836E-5</v>
      </c>
      <c r="BM67" s="8">
        <f>IF($A67=BM$1,0,IF(SUM(IMshareM!BM$2:BM$78)-IMshareM!BM$65&gt;0,IMshareM!BM67/(SUM(IMshareM!BM$2:BM$78)-IMshareM!BM$65),0))</f>
        <v>0</v>
      </c>
      <c r="BN67" s="8">
        <f>IF($A67=BN$1,0,IF(SUM(IMshareM!BN$2:BN$78)-IMshareM!BN$66&gt;0,IMshareM!BN67/(SUM(IMshareM!BN$2:BN$78)-IMshareM!BN$66),0))</f>
        <v>9.8233698249354084E-4</v>
      </c>
      <c r="BO67" s="8">
        <f>IF($A67=BO$1,0,IF(SUM(IMshareM!BO$2:BO$78)-IMshareM!BO$67&gt;0,IMshareM!BO67/(SUM(IMshareM!BO$2:BO$78)-IMshareM!BO$67),0))</f>
        <v>0</v>
      </c>
      <c r="BP67" s="8">
        <f>IF($A67=BP$1,0,IF(SUM(IMshareM!BP$2:BP$78)-IMshareM!BP$68&gt;0,IMshareM!BP67/(SUM(IMshareM!BP$2:BP$78)-IMshareM!BP$68),0))</f>
        <v>2.661477660868955E-2</v>
      </c>
      <c r="BQ67" s="8">
        <f>IF($A67=BQ$1,0,IF(SUM(IMshareM!BQ$2:BQ$78)-IMshareM!BQ$69&gt;0,IMshareM!BQ67/(SUM(IMshareM!BQ$2:BQ$78)-IMshareM!BQ$69),0))</f>
        <v>2.8131626077189092E-2</v>
      </c>
      <c r="BR67" s="8">
        <f>IF($A67=BR$1,0,IF(SUM(IMshareM!BR$2:BR$78)-IMshareM!BR$70&gt;0,IMshareM!BR67/(SUM(IMshareM!BR$2:BR$78)-IMshareM!BR$70),0))</f>
        <v>2.1464784603906034E-4</v>
      </c>
      <c r="BS67" s="8">
        <f>IF($A67=BS$1,0,IF(SUM(IMshareM!BS$2:BS$78)-IMshareM!BS$71&gt;0,IMshareM!BS67/(SUM(IMshareM!BS$2:BS$78)-IMshareM!BS$71),0))</f>
        <v>3.1932231869259741E-3</v>
      </c>
      <c r="BT67" s="8">
        <f>IF($A67=BT$1,0,IF(SUM(IMshareM!BT$2:BT$78)-IMshareM!BT$72&gt;0,IMshareM!BT67/(SUM(IMshareM!BT$2:BT$78)-IMshareM!BT$72),0))</f>
        <v>2.942051657017751E-2</v>
      </c>
      <c r="BU67" s="8">
        <f>IF($A67=BU$1,0,IF(SUM(IMshareM!BU$2:BU$78)-IMshareM!BU$73&gt;0,IMshareM!BU67/(SUM(IMshareM!BU$2:BU$78)-IMshareM!BU$73),0))</f>
        <v>2.0133385002907146E-4</v>
      </c>
      <c r="BV67" s="8">
        <f>IF($A67=BV$1,0,IF(SUM(IMshareM!BV$2:BV$78)-IMshareM!BV$74&gt;0,IMshareM!BV67/(SUM(IMshareM!BV$2:BV$78)-IMshareM!BV$74),0))</f>
        <v>3.5386882039475948E-3</v>
      </c>
      <c r="BW67" s="8">
        <f>IF($A67=BW$1,0,IF(SUM(IMshareM!BW$2:BW$78)-IMshareM!BW$75&gt;0,IMshareM!BW67/(SUM(IMshareM!BW$2:BW$78)-IMshareM!BW$75),0))</f>
        <v>1.5541649143330314E-3</v>
      </c>
      <c r="BX67" s="8">
        <f>IF($A67=BX$1,0,IF(SUM(IMshareM!BX$2:BX$78)-IMshareM!BX$76&gt;0,IMshareM!BX67/(SUM(IMshareM!BX$2:BX$78)-IMshareM!BX$76),0))</f>
        <v>3.7253719201188632E-5</v>
      </c>
      <c r="BY67" s="8">
        <f>IF($A67=BY$1,0,IF(SUM(IMshareM!BY$2:BY$78)-IMshareM!BY$77&gt;0,IMshareM!BY67/(SUM(IMshareM!BY$2:BY$78)-IMshareM!BY$77),0))</f>
        <v>8.3540398258431636E-3</v>
      </c>
      <c r="BZ67" s="8">
        <f>IF($A67=BZ$1,0,IF(SUM(IMshareM!BZ$2:BZ$78)-IMshareM!BZ$78&gt;0,IMshareM!BZ67/(SUM(IMshareM!BZ$2:BZ$78)-IMshareM!BZ$78),0))</f>
        <v>7.314963457499186E-4</v>
      </c>
    </row>
    <row r="68" spans="1:78">
      <c r="A68" s="4" t="s">
        <v>203</v>
      </c>
      <c r="B68" s="8">
        <f>IF($A68=B$1,0,IF(SUM(IMshareM!B$2:B$78)-IMshareM!B$2&gt;0,IMshareM!B68/(SUM(IMshareM!B$2:B$78)-IMshareM!B$2),0))</f>
        <v>2.4495641609730999E-4</v>
      </c>
      <c r="C68" s="8">
        <f>IF($A68=C$1,0,IF(SUM(IMshareM!C$2:C$78)-IMshareM!C$3&gt;0,IMshareM!C68/(SUM(IMshareM!C$2:C$78)-IMshareM!C$3),0))</f>
        <v>7.9828783793818158E-4</v>
      </c>
      <c r="D68" s="8">
        <f>IF($A68=D$1,0,IF(SUM(IMshareM!D$2:D$78)-IMshareM!D$4&gt;0,IMshareM!D68/(SUM(IMshareM!D$2:D$78)-IMshareM!D$4),0))</f>
        <v>1.3754170342343811E-2</v>
      </c>
      <c r="E68" s="8">
        <f>IF($A68=E$1,0,IF(SUM(IMshareM!E$2:E$78)-IMshareM!E$5&gt;0,IMshareM!E68/(SUM(IMshareM!E$2:E$78)-IMshareM!E$5),0))</f>
        <v>2.1508288339948053E-4</v>
      </c>
      <c r="F68" s="8">
        <f>IF($A68=F$1,0,IF(SUM(IMshareM!F$2:F$78)-IMshareM!F$6&gt;0,IMshareM!F68/(SUM(IMshareM!F$2:F$78)-IMshareM!F$6),0))</f>
        <v>2.4216001397885974E-5</v>
      </c>
      <c r="G68" s="8">
        <f>IF($A68=G$1,0,IF(SUM(IMshareM!G$2:G$78)-IMshareM!G$7&gt;0,IMshareM!G68/(SUM(IMshareM!G$2:G$78)-IMshareM!G$7),0))</f>
        <v>1.7561201961484036E-3</v>
      </c>
      <c r="H68" s="8">
        <f>IF($A68=H$1,0,IF(SUM(IMshareM!H$2:H$78)-IMshareM!H$8&gt;0,IMshareM!H68/(SUM(IMshareM!H$2:H$78)-IMshareM!H$8),0))</f>
        <v>6.3046384522289151E-4</v>
      </c>
      <c r="I68" s="8">
        <f>IF($A68=I$1,0,IF(SUM(IMshareM!I$2:I$78)-IMshareM!I$9&gt;0,IMshareM!I68/(SUM(IMshareM!I$2:I$78)-IMshareM!I$9),0))</f>
        <v>1.5972444775315671E-3</v>
      </c>
      <c r="J68" s="8">
        <f>IF($A68=J$1,0,IF(SUM(IMshareM!J$2:J$78)-IMshareM!J$10&gt;0,IMshareM!J68/(SUM(IMshareM!J$2:J$78)-IMshareM!J$10),0))</f>
        <v>1.5594614914202029E-5</v>
      </c>
      <c r="K68" s="8">
        <f>IF($A68=K$1,0,IF(SUM(IMshareM!K$2:K$78)-IMshareM!K$11&gt;0,IMshareM!K68/(SUM(IMshareM!K$2:K$78)-IMshareM!K$11),0))</f>
        <v>3.197043994703152E-3</v>
      </c>
      <c r="L68" s="8">
        <f>IF($A68=L$1,0,IF(SUM(IMshareM!L$2:L$78)-IMshareM!L$12&gt;0,IMshareM!L68/(SUM(IMshareM!L$2:L$78)-IMshareM!L$12),0))</f>
        <v>4.0265048725779008E-3</v>
      </c>
      <c r="M68" s="8">
        <f>IF($A68=M$1,0,IF(SUM(IMshareM!M$2:M$78)-IMshareM!M$13&gt;0,IMshareM!M68/(SUM(IMshareM!M$2:M$78)-IMshareM!M$13),0))</f>
        <v>5.5486486411162694E-5</v>
      </c>
      <c r="N68" s="8">
        <f>IF($A68=N$1,0,IF(SUM(IMshareM!N$2:N$78)-IMshareM!N$14&gt;0,IMshareM!N68/(SUM(IMshareM!N$2:N$78)-IMshareM!N$14),0))</f>
        <v>3.3746076720557868E-3</v>
      </c>
      <c r="O68" s="8">
        <f>IF($A68=O$1,0,IF(SUM(IMshareM!O$2:O$78)-IMshareM!O$15&gt;0,IMshareM!O68/(SUM(IMshareM!O$2:O$78)-IMshareM!O$15),0))</f>
        <v>9.7857805272498499E-5</v>
      </c>
      <c r="P68" s="8">
        <f>IF($A68=P$1,0,IF(SUM(IMshareM!P$2:P$78)-IMshareM!P$16&gt;0,IMshareM!P68/(SUM(IMshareM!P$2:P$78)-IMshareM!P$16),0))</f>
        <v>0</v>
      </c>
      <c r="Q68" s="8">
        <f>IF($A68=Q$1,0,IF(SUM(IMshareM!Q$2:Q$78)-IMshareM!Q$17&gt;0,IMshareM!Q68/(SUM(IMshareM!Q$2:Q$78)-IMshareM!Q$17),0))</f>
        <v>5.2690904697249696E-4</v>
      </c>
      <c r="R68" s="8">
        <f>IF($A68=R$1,0,IF(SUM(IMshareM!R$2:R$78)-IMshareM!R$18&gt;0,IMshareM!R68/(SUM(IMshareM!R$2:R$78)-IMshareM!R$18),0))</f>
        <v>1.7178555301162581E-4</v>
      </c>
      <c r="S68" s="8">
        <f>IF($A68=S$1,0,IF(SUM(IMshareM!S$2:S$78)-IMshareM!S$19&gt;0,IMshareM!S68/(SUM(IMshareM!S$2:S$78)-IMshareM!S$19),0))</f>
        <v>1.6706966412728505E-3</v>
      </c>
      <c r="T68" s="8">
        <f>IF($A68=T$1,0,IF(SUM(IMshareM!T$2:T$78)-IMshareM!T$20&gt;0,IMshareM!T68/(SUM(IMshareM!T$2:T$78)-IMshareM!T$20),0))</f>
        <v>9.2451428453621393E-3</v>
      </c>
      <c r="U68" s="8">
        <f>IF($A68=U$1,0,IF(SUM(IMshareM!U$2:U$78)-IMshareM!U$21&gt;0,IMshareM!U68/(SUM(IMshareM!U$2:U$78)-IMshareM!U$21),0))</f>
        <v>1.0268466594650172E-2</v>
      </c>
      <c r="V68" s="8">
        <f>IF($A68=V$1,0,IF(SUM(IMshareM!V$2:V$78)-IMshareM!V$22&gt;0,IMshareM!V68/(SUM(IMshareM!V$2:V$78)-IMshareM!V$22),0))</f>
        <v>4.2569611826596417E-2</v>
      </c>
      <c r="W68" s="8">
        <f>IF($A68=W$1,0,IF(SUM(IMshareM!W$2:W$78)-IMshareM!W$23&gt;0,IMshareM!W68/(SUM(IMshareM!W$2:W$78)-IMshareM!W$23),0))</f>
        <v>4.9236668541762364E-4</v>
      </c>
      <c r="X68" s="8">
        <f>IF($A68=X$1,0,IF(SUM(IMshareM!X$2:X$78)-IMshareM!X$24&gt;0,IMshareM!X68/(SUM(IMshareM!X$2:X$78)-IMshareM!X$24),0))</f>
        <v>5.4998500912499873E-3</v>
      </c>
      <c r="Y68" s="8">
        <f>IF($A68=Y$1,0,IF(SUM(IMshareM!Y$2:Y$78)-IMshareM!Y$25&gt;0,IMshareM!Y68/(SUM(IMshareM!Y$2:Y$78)-IMshareM!Y$25),0))</f>
        <v>3.7968067231459912E-3</v>
      </c>
      <c r="Z68" s="8">
        <f>IF($A68=Z$1,0,IF(SUM(IMshareM!Z$2:Z$78)-IMshareM!Z$26&gt;0,IMshareM!Z68/(SUM(IMshareM!Z$2:Z$78)-IMshareM!Z$26),0))</f>
        <v>9.7986391171527108E-3</v>
      </c>
      <c r="AA68" s="8">
        <f>IF($A68=AA$1,0,IF(SUM(IMshareM!AA$2:AA$78)-IMshareM!AA$27&gt;0,IMshareM!AA68/(SUM(IMshareM!AA$2:AA$78)-IMshareM!AA$27),0))</f>
        <v>5.9095247039309398E-3</v>
      </c>
      <c r="AB68" s="8">
        <f>IF($A68=AB$1,0,IF(SUM(IMshareM!AB$2:AB$78)-IMshareM!AB$28&gt;0,IMshareM!AB68/(SUM(IMshareM!AB$2:AB$78)-IMshareM!AB$28),0))</f>
        <v>7.6157805279650779E-3</v>
      </c>
      <c r="AC68" s="8">
        <f>IF($A68=AC$1,0,IF(SUM(IMshareM!AC$2:AC$78)-IMshareM!AC$29&gt;0,IMshareM!AC68/(SUM(IMshareM!AC$2:AC$78)-IMshareM!AC$29),0))</f>
        <v>4.7594609976409671E-4</v>
      </c>
      <c r="AD68" s="8">
        <f>IF($A68=AD$1,0,IF(SUM(IMshareM!AD$2:AD$78)-IMshareM!AD$30&gt;0,IMshareM!AD68/(SUM(IMshareM!AD$2:AD$78)-IMshareM!AD$30),0))</f>
        <v>8.732392342242795E-5</v>
      </c>
      <c r="AE68" s="8">
        <f>IF($A68=AE$1,0,IF(SUM(IMshareM!AE$2:AE$78)-IMshareM!AE$31&gt;0,IMshareM!AE68/(SUM(IMshareM!AE$2:AE$78)-IMshareM!AE$31),0))</f>
        <v>8.3514706292067517E-2</v>
      </c>
      <c r="AF68" s="8">
        <f>IF($A68=AF$1,0,IF(SUM(IMshareM!AF$2:AF$78)-IMshareM!AF$32&gt;0,IMshareM!AF68/(SUM(IMshareM!AF$2:AF$78)-IMshareM!AF$32),0))</f>
        <v>7.4356145963531831E-3</v>
      </c>
      <c r="AG68" s="8">
        <f>IF($A68=AG$1,0,IF(SUM(IMshareM!AG$2:AG$78)-IMshareM!AG$33&gt;0,IMshareM!AG68/(SUM(IMshareM!AG$2:AG$78)-IMshareM!AG$33),0))</f>
        <v>1.4973547458325582E-4</v>
      </c>
      <c r="AH68" s="8">
        <f>IF($A68=AH$1,0,IF(SUM(IMshareM!AH$2:AH$78)-IMshareM!AH$34&gt;0,IMshareM!AH68/(SUM(IMshareM!AH$2:AH$78)-IMshareM!AH$34),0))</f>
        <v>3.2861068286385564E-4</v>
      </c>
      <c r="AI68" s="8">
        <f>IF($A68=AI$1,0,IF(SUM(IMshareM!AI$2:AI$78)-IMshareM!AI$35&gt;0,IMshareM!AI68/(SUM(IMshareM!AI$2:AI$78)-IMshareM!AI$35),0))</f>
        <v>1.0256043780416911E-2</v>
      </c>
      <c r="AJ68" s="8">
        <f>IF($A68=AJ$1,0,IF(SUM(IMshareM!AJ$2:AJ$78)-IMshareM!AJ$36&gt;0,IMshareM!AJ68/(SUM(IMshareM!AJ$2:AJ$78)-IMshareM!AJ$36),0))</f>
        <v>1.1530151275410783E-2</v>
      </c>
      <c r="AK68" s="8">
        <f>IF($A68=AK$1,0,IF(SUM(IMshareM!AK$2:AK$78)-IMshareM!AK$37&gt;0,IMshareM!AK68/(SUM(IMshareM!AK$2:AK$78)-IMshareM!AK$37),0))</f>
        <v>2.823573516326123E-4</v>
      </c>
      <c r="AL68" s="8">
        <f>IF($A68=AL$1,0,IF(SUM(IMshareM!AL$2:AL$78)-IMshareM!AL$38&gt;0,IMshareM!AL68/(SUM(IMshareM!AL$2:AL$78)-IMshareM!AL$38),0))</f>
        <v>9.9745584046960264E-3</v>
      </c>
      <c r="AM68" s="8">
        <f>IF($A68=AM$1,0,IF(SUM(IMshareM!AM$2:AM$78)-IMshareM!AM$39&gt;0,IMshareM!AM68/(SUM(IMshareM!AM$2:AM$78)-IMshareM!AM$39),0))</f>
        <v>2.4322316014025041E-4</v>
      </c>
      <c r="AN68" s="8">
        <f>IF($A68=AN$1,0,IF(SUM(IMshareM!AN$2:AN$78)-IMshareM!AN$40&gt;0,IMshareM!AN68/(SUM(IMshareM!AN$2:AN$78)-IMshareM!AN$40),0))</f>
        <v>4.8653354011803177E-4</v>
      </c>
      <c r="AO68" s="8">
        <f>IF($A68=AO$1,0,IF(SUM(IMshareM!AO$2:AO$78)-IMshareM!AO$41&gt;0,IMshareM!AO68/(SUM(IMshareM!AO$2:AO$78)-IMshareM!AO$41),0))</f>
        <v>2.9717752086917952E-4</v>
      </c>
      <c r="AP68" s="8">
        <f>IF($A68=AP$1,0,IF(SUM(IMshareM!AP$2:AP$78)-IMshareM!AP$42&gt;0,IMshareM!AP68/(SUM(IMshareM!AP$2:AP$78)-IMshareM!AP$42),0))</f>
        <v>1.9087646522430539E-6</v>
      </c>
      <c r="AQ68" s="8">
        <f>IF($A68=AQ$1,0,IF(SUM(IMshareM!AQ$2:AQ$78)-IMshareM!AQ$43&gt;0,IMshareM!AQ68/(SUM(IMshareM!AQ$2:AQ$78)-IMshareM!AQ$43),0))</f>
        <v>1.8441571504716921E-4</v>
      </c>
      <c r="AR68" s="8">
        <f>IF($A68=AR$1,0,IF(SUM(IMshareM!AR$2:AR$78)-IMshareM!AR$44&gt;0,IMshareM!AR68/(SUM(IMshareM!AR$2:AR$78)-IMshareM!AR$44),0))</f>
        <v>0</v>
      </c>
      <c r="AS68" s="8">
        <f>IF($A68=AS$1,0,IF(SUM(IMshareM!AS$2:AS$78)-IMshareM!AS$45&gt;0,IMshareM!AS68/(SUM(IMshareM!AS$2:AS$78)-IMshareM!AS$45),0))</f>
        <v>1.1262095218660948E-2</v>
      </c>
      <c r="AT68" s="8">
        <f>IF($A68=AT$1,0,IF(SUM(IMshareM!AT$2:AT$78)-IMshareM!AT$46&gt;0,IMshareM!AT68/(SUM(IMshareM!AT$2:AT$78)-IMshareM!AT$46),0))</f>
        <v>3.7795730317671751E-4</v>
      </c>
      <c r="AU68" s="8">
        <f>IF($A68=AU$1,0,IF(SUM(IMshareM!AU$2:AU$78)-IMshareM!AU$47&gt;0,IMshareM!AU68/(SUM(IMshareM!AU$2:AU$78)-IMshareM!AU$47),0))</f>
        <v>1.2452896899781401E-3</v>
      </c>
      <c r="AV68" s="8">
        <f>IF($A68=AV$1,0,IF(SUM(IMshareM!AV$2:AV$78)-IMshareM!AV$48&gt;0,IMshareM!AV68/(SUM(IMshareM!AV$2:AV$78)-IMshareM!AV$48),0))</f>
        <v>5.6236089946419304E-4</v>
      </c>
      <c r="AW68" s="8">
        <f>IF($A68=AW$1,0,IF(SUM(IMshareM!AW$2:AW$78)-IMshareM!AW$49&gt;0,IMshareM!AW68/(SUM(IMshareM!AW$2:AW$78)-IMshareM!AW$49),0))</f>
        <v>1.8236012425103165E-3</v>
      </c>
      <c r="AX68" s="8">
        <f>IF($A68=AX$1,0,IF(SUM(IMshareM!AX$2:AX$78)-IMshareM!AX$50&gt;0,IMshareM!AX68/(SUM(IMshareM!AX$2:AX$78)-IMshareM!AX$50),0))</f>
        <v>9.2488566946993272E-5</v>
      </c>
      <c r="AY68" s="8">
        <f>IF($A68=AY$1,0,IF(SUM(IMshareM!AY$2:AY$78)-IMshareM!AY$51&gt;0,IMshareM!AY68/(SUM(IMshareM!AY$2:AY$78)-IMshareM!AY$51),0))</f>
        <v>9.4949278001705361E-6</v>
      </c>
      <c r="AZ68" s="8">
        <f>IF($A68=AZ$1,0,IF(SUM(IMshareM!AZ$2:AZ$78)-IMshareM!AZ$52&gt;0,IMshareM!AZ68/(SUM(IMshareM!AZ$2:AZ$78)-IMshareM!AZ$52),0))</f>
        <v>1.2204090502847284E-4</v>
      </c>
      <c r="BA68" s="8">
        <f>IF($A68=BA$1,0,IF(SUM(IMshareM!BA$2:BA$78)-IMshareM!BA$53&gt;0,IMshareM!BA68/(SUM(IMshareM!BA$2:BA$78)-IMshareM!BA$53),0))</f>
        <v>6.1806963715542167E-6</v>
      </c>
      <c r="BB68" s="8">
        <f>IF($A68=BB$1,0,IF(SUM(IMshareM!BB$2:BB$78)-IMshareM!BB$54&gt;0,IMshareM!BB68/(SUM(IMshareM!BB$2:BB$78)-IMshareM!BB$54),0))</f>
        <v>9.3534579619445571E-4</v>
      </c>
      <c r="BC68" s="8">
        <f>IF($A68=BC$1,0,IF(SUM(IMshareM!BC$2:BC$78)-IMshareM!BC$55&gt;0,IMshareM!BC68/(SUM(IMshareM!BC$2:BC$78)-IMshareM!BC$55),0))</f>
        <v>2.612631145605089E-3</v>
      </c>
      <c r="BD68" s="8">
        <f>IF($A68=BD$1,0,IF(SUM(IMshareM!BD$2:BD$78)-IMshareM!BD$56&gt;0,IMshareM!BD68/(SUM(IMshareM!BD$2:BD$78)-IMshareM!BD$56),0))</f>
        <v>3.1362372775380902E-3</v>
      </c>
      <c r="BE68" s="8">
        <f>IF($A68=BE$1,0,IF(SUM(IMshareM!BE$2:BE$78)-IMshareM!BE$57&gt;0,IMshareM!BE68/(SUM(IMshareM!BE$2:BE$78)-IMshareM!BE$57),0))</f>
        <v>8.9328927636418034E-5</v>
      </c>
      <c r="BF68" s="8">
        <f>IF($A68=BF$1,0,IF(SUM(IMshareM!BF$2:BF$78)-IMshareM!BF$58&gt;0,IMshareM!BF68/(SUM(IMshareM!BF$2:BF$78)-IMshareM!BF$58),0))</f>
        <v>5.5272092981022245E-4</v>
      </c>
      <c r="BG68" s="8">
        <f>IF($A68=BG$1,0,IF(SUM(IMshareM!BG$2:BG$78)-IMshareM!BG$59&gt;0,IMshareM!BG68/(SUM(IMshareM!BG$2:BG$78)-IMshareM!BG$59),0))</f>
        <v>2.2386417379814569E-4</v>
      </c>
      <c r="BH68" s="8">
        <f>IF($A68=BH$1,0,IF(SUM(IMshareM!BH$2:BH$78)-IMshareM!BH$60&gt;0,IMshareM!BH68/(SUM(IMshareM!BH$2:BH$78)-IMshareM!BH$60),0))</f>
        <v>2.6528006383889031E-2</v>
      </c>
      <c r="BI68" s="8">
        <f>IF($A68=BI$1,0,IF(SUM(IMshareM!BI$2:BI$78)-IMshareM!BI$61&gt;0,IMshareM!BI68/(SUM(IMshareM!BI$2:BI$78)-IMshareM!BI$61),0))</f>
        <v>4.1314138110045198E-4</v>
      </c>
      <c r="BJ68" s="8">
        <f>IF($A68=BJ$1,0,IF(SUM(IMshareM!BJ$2:BJ$78)-IMshareM!BJ$62&gt;0,IMshareM!BJ68/(SUM(IMshareM!BJ$2:BJ$78)-IMshareM!BJ$62),0))</f>
        <v>3.639633946186676E-2</v>
      </c>
      <c r="BK68" s="8">
        <f>IF($A68=BK$1,0,IF(SUM(IMshareM!BK$2:BK$78)-IMshareM!BK$63&gt;0,IMshareM!BK68/(SUM(IMshareM!BK$2:BK$78)-IMshareM!BK$63),0))</f>
        <v>3.2385592063465373E-3</v>
      </c>
      <c r="BL68" s="8">
        <f>IF($A68=BL$1,0,IF(SUM(IMshareM!BL$2:BL$78)-IMshareM!BL$64&gt;0,IMshareM!BL68/(SUM(IMshareM!BL$2:BL$78)-IMshareM!BL$64),0))</f>
        <v>2.2973072637530141E-5</v>
      </c>
      <c r="BM68" s="8">
        <f>IF($A68=BM$1,0,IF(SUM(IMshareM!BM$2:BM$78)-IMshareM!BM$65&gt;0,IMshareM!BM68/(SUM(IMshareM!BM$2:BM$78)-IMshareM!BM$65),0))</f>
        <v>0</v>
      </c>
      <c r="BN68" s="8">
        <f>IF($A68=BN$1,0,IF(SUM(IMshareM!BN$2:BN$78)-IMshareM!BN$66&gt;0,IMshareM!BN68/(SUM(IMshareM!BN$2:BN$78)-IMshareM!BN$66),0))</f>
        <v>1.6237340938619041E-3</v>
      </c>
      <c r="BO68" s="8">
        <f>IF($A68=BO$1,0,IF(SUM(IMshareM!BO$2:BO$78)-IMshareM!BO$67&gt;0,IMshareM!BO68/(SUM(IMshareM!BO$2:BO$78)-IMshareM!BO$67),0))</f>
        <v>2.7242265178483646E-3</v>
      </c>
      <c r="BP68" s="8">
        <f>IF($A68=BP$1,0,IF(SUM(IMshareM!BP$2:BP$78)-IMshareM!BP$68&gt;0,IMshareM!BP68/(SUM(IMshareM!BP$2:BP$78)-IMshareM!BP$68),0))</f>
        <v>0</v>
      </c>
      <c r="BQ68" s="8">
        <f>IF($A68=BQ$1,0,IF(SUM(IMshareM!BQ$2:BQ$78)-IMshareM!BQ$69&gt;0,IMshareM!BQ68/(SUM(IMshareM!BQ$2:BQ$78)-IMshareM!BQ$69),0))</f>
        <v>1.9764456023927377E-2</v>
      </c>
      <c r="BR68" s="8">
        <f>IF($A68=BR$1,0,IF(SUM(IMshareM!BR$2:BR$78)-IMshareM!BR$70&gt;0,IMshareM!BR68/(SUM(IMshareM!BR$2:BR$78)-IMshareM!BR$70),0))</f>
        <v>2.8812064975617795E-4</v>
      </c>
      <c r="BS68" s="8">
        <f>IF($A68=BS$1,0,IF(SUM(IMshareM!BS$2:BS$78)-IMshareM!BS$71&gt;0,IMshareM!BS68/(SUM(IMshareM!BS$2:BS$78)-IMshareM!BS$71),0))</f>
        <v>2.7831418139523877E-4</v>
      </c>
      <c r="BT68" s="8">
        <f>IF($A68=BT$1,0,IF(SUM(IMshareM!BT$2:BT$78)-IMshareM!BT$72&gt;0,IMshareM!BT68/(SUM(IMshareM!BT$2:BT$78)-IMshareM!BT$72),0))</f>
        <v>6.5453625826888684E-3</v>
      </c>
      <c r="BU68" s="8">
        <f>IF($A68=BU$1,0,IF(SUM(IMshareM!BU$2:BU$78)-IMshareM!BU$73&gt;0,IMshareM!BU68/(SUM(IMshareM!BU$2:BU$78)-IMshareM!BU$73),0))</f>
        <v>7.5649814109261422E-3</v>
      </c>
      <c r="BV68" s="8">
        <f>IF($A68=BV$1,0,IF(SUM(IMshareM!BV$2:BV$78)-IMshareM!BV$74&gt;0,IMshareM!BV68/(SUM(IMshareM!BV$2:BV$78)-IMshareM!BV$74),0))</f>
        <v>7.38995634740935E-3</v>
      </c>
      <c r="BW68" s="8">
        <f>IF($A68=BW$1,0,IF(SUM(IMshareM!BW$2:BW$78)-IMshareM!BW$75&gt;0,IMshareM!BW68/(SUM(IMshareM!BW$2:BW$78)-IMshareM!BW$75),0))</f>
        <v>2.7522431851695777E-3</v>
      </c>
      <c r="BX68" s="8">
        <f>IF($A68=BX$1,0,IF(SUM(IMshareM!BX$2:BX$78)-IMshareM!BX$76&gt;0,IMshareM!BX68/(SUM(IMshareM!BX$2:BX$78)-IMshareM!BX$76),0))</f>
        <v>9.7888524436481677E-5</v>
      </c>
      <c r="BY68" s="8">
        <f>IF($A68=BY$1,0,IF(SUM(IMshareM!BY$2:BY$78)-IMshareM!BY$77&gt;0,IMshareM!BY68/(SUM(IMshareM!BY$2:BY$78)-IMshareM!BY$77),0))</f>
        <v>1.3685663608507652E-3</v>
      </c>
      <c r="BZ68" s="8">
        <f>IF($A68=BZ$1,0,IF(SUM(IMshareM!BZ$2:BZ$78)-IMshareM!BZ$78&gt;0,IMshareM!BZ68/(SUM(IMshareM!BZ$2:BZ$78)-IMshareM!BZ$78),0))</f>
        <v>4.0342071498539215E-3</v>
      </c>
    </row>
    <row r="69" spans="1:78">
      <c r="A69" s="4" t="s">
        <v>205</v>
      </c>
      <c r="B69" s="8">
        <f>IF($A69=B$1,0,IF(SUM(IMshareM!B$2:B$78)-IMshareM!B$2&gt;0,IMshareM!B69/(SUM(IMshareM!B$2:B$78)-IMshareM!B$2),0))</f>
        <v>8.4389175255934008E-4</v>
      </c>
      <c r="C69" s="8">
        <f>IF($A69=C$1,0,IF(SUM(IMshareM!C$2:C$78)-IMshareM!C$3&gt;0,IMshareM!C69/(SUM(IMshareM!C$2:C$78)-IMshareM!C$3),0))</f>
        <v>2.3549269544849371E-3</v>
      </c>
      <c r="D69" s="8">
        <f>IF($A69=D$1,0,IF(SUM(IMshareM!D$2:D$78)-IMshareM!D$4&gt;0,IMshareM!D69/(SUM(IMshareM!D$2:D$78)-IMshareM!D$4),0))</f>
        <v>2.0127726587970108E-3</v>
      </c>
      <c r="E69" s="8">
        <f>IF($A69=E$1,0,IF(SUM(IMshareM!E$2:E$78)-IMshareM!E$5&gt;0,IMshareM!E69/(SUM(IMshareM!E$2:E$78)-IMshareM!E$5),0))</f>
        <v>2.7787029579495203E-2</v>
      </c>
      <c r="F69" s="8">
        <f>IF($A69=F$1,0,IF(SUM(IMshareM!F$2:F$78)-IMshareM!F$6&gt;0,IMshareM!F69/(SUM(IMshareM!F$2:F$78)-IMshareM!F$6),0))</f>
        <v>3.7895483534243384E-6</v>
      </c>
      <c r="G69" s="8">
        <f>IF($A69=G$1,0,IF(SUM(IMshareM!G$2:G$78)-IMshareM!G$7&gt;0,IMshareM!G69/(SUM(IMshareM!G$2:G$78)-IMshareM!G$7),0))</f>
        <v>5.5631800944082894E-3</v>
      </c>
      <c r="H69" s="8">
        <f>IF($A69=H$1,0,IF(SUM(IMshareM!H$2:H$78)-IMshareM!H$8&gt;0,IMshareM!H69/(SUM(IMshareM!H$2:H$78)-IMshareM!H$8),0))</f>
        <v>3.1225817376234982E-4</v>
      </c>
      <c r="I69" s="8">
        <f>IF($A69=I$1,0,IF(SUM(IMshareM!I$2:I$78)-IMshareM!I$9&gt;0,IMshareM!I69/(SUM(IMshareM!I$2:I$78)-IMshareM!I$9),0))</f>
        <v>3.8407481503143341E-3</v>
      </c>
      <c r="J69" s="8">
        <f>IF($A69=J$1,0,IF(SUM(IMshareM!J$2:J$78)-IMshareM!J$10&gt;0,IMshareM!J69/(SUM(IMshareM!J$2:J$78)-IMshareM!J$10),0))</f>
        <v>4.411820107820685E-3</v>
      </c>
      <c r="K69" s="8">
        <f>IF($A69=K$1,0,IF(SUM(IMshareM!K$2:K$78)-IMshareM!K$11&gt;0,IMshareM!K69/(SUM(IMshareM!K$2:K$78)-IMshareM!K$11),0))</f>
        <v>2.8204158760392838E-3</v>
      </c>
      <c r="L69" s="8">
        <f>IF($A69=L$1,0,IF(SUM(IMshareM!L$2:L$78)-IMshareM!L$12&gt;0,IMshareM!L69/(SUM(IMshareM!L$2:L$78)-IMshareM!L$12),0))</f>
        <v>4.4909265883915925E-3</v>
      </c>
      <c r="M69" s="8">
        <f>IF($A69=M$1,0,IF(SUM(IMshareM!M$2:M$78)-IMshareM!M$13&gt;0,IMshareM!M69/(SUM(IMshareM!M$2:M$78)-IMshareM!M$13),0))</f>
        <v>6.4632144225712474E-4</v>
      </c>
      <c r="N69" s="8">
        <f>IF($A69=N$1,0,IF(SUM(IMshareM!N$2:N$78)-IMshareM!N$14&gt;0,IMshareM!N69/(SUM(IMshareM!N$2:N$78)-IMshareM!N$14),0))</f>
        <v>1.2075938148487069E-2</v>
      </c>
      <c r="O69" s="8">
        <f>IF($A69=O$1,0,IF(SUM(IMshareM!O$2:O$78)-IMshareM!O$15&gt;0,IMshareM!O69/(SUM(IMshareM!O$2:O$78)-IMshareM!O$15),0))</f>
        <v>1.132564353620263E-3</v>
      </c>
      <c r="P69" s="8">
        <f>IF($A69=P$1,0,IF(SUM(IMshareM!P$2:P$78)-IMshareM!P$16&gt;0,IMshareM!P69/(SUM(IMshareM!P$2:P$78)-IMshareM!P$16),0))</f>
        <v>1.32791799440897E-3</v>
      </c>
      <c r="Q69" s="8">
        <f>IF($A69=Q$1,0,IF(SUM(IMshareM!Q$2:Q$78)-IMshareM!Q$17&gt;0,IMshareM!Q69/(SUM(IMshareM!Q$2:Q$78)-IMshareM!Q$17),0))</f>
        <v>3.9775217812600242E-4</v>
      </c>
      <c r="R69" s="8">
        <f>IF($A69=R$1,0,IF(SUM(IMshareM!R$2:R$78)-IMshareM!R$18&gt;0,IMshareM!R69/(SUM(IMshareM!R$2:R$78)-IMshareM!R$18),0))</f>
        <v>1.1806765316761752E-3</v>
      </c>
      <c r="S69" s="8">
        <f>IF($A69=S$1,0,IF(SUM(IMshareM!S$2:S$78)-IMshareM!S$19&gt;0,IMshareM!S69/(SUM(IMshareM!S$2:S$78)-IMshareM!S$19),0))</f>
        <v>3.002403873934177E-3</v>
      </c>
      <c r="T69" s="8">
        <f>IF($A69=T$1,0,IF(SUM(IMshareM!T$2:T$78)-IMshareM!T$20&gt;0,IMshareM!T69/(SUM(IMshareM!T$2:T$78)-IMshareM!T$20),0))</f>
        <v>2.0483552991202485E-3</v>
      </c>
      <c r="U69" s="8">
        <f>IF($A69=U$1,0,IF(SUM(IMshareM!U$2:U$78)-IMshareM!U$21&gt;0,IMshareM!U69/(SUM(IMshareM!U$2:U$78)-IMshareM!U$21),0))</f>
        <v>5.0510442587825615E-3</v>
      </c>
      <c r="V69" s="8">
        <f>IF($A69=V$1,0,IF(SUM(IMshareM!V$2:V$78)-IMshareM!V$22&gt;0,IMshareM!V69/(SUM(IMshareM!V$2:V$78)-IMshareM!V$22),0))</f>
        <v>6.46928371931344E-2</v>
      </c>
      <c r="W69" s="8">
        <f>IF($A69=W$1,0,IF(SUM(IMshareM!W$2:W$78)-IMshareM!W$23&gt;0,IMshareM!W69/(SUM(IMshareM!W$2:W$78)-IMshareM!W$23),0))</f>
        <v>8.6263919882619607E-4</v>
      </c>
      <c r="X69" s="8">
        <f>IF($A69=X$1,0,IF(SUM(IMshareM!X$2:X$78)-IMshareM!X$24&gt;0,IMshareM!X69/(SUM(IMshareM!X$2:X$78)-IMshareM!X$24),0))</f>
        <v>5.1649653833755783E-3</v>
      </c>
      <c r="Y69" s="8">
        <f>IF($A69=Y$1,0,IF(SUM(IMshareM!Y$2:Y$78)-IMshareM!Y$25&gt;0,IMshareM!Y69/(SUM(IMshareM!Y$2:Y$78)-IMshareM!Y$25),0))</f>
        <v>3.542983504807002E-2</v>
      </c>
      <c r="Z69" s="8">
        <f>IF($A69=Z$1,0,IF(SUM(IMshareM!Z$2:Z$78)-IMshareM!Z$26&gt;0,IMshareM!Z69/(SUM(IMshareM!Z$2:Z$78)-IMshareM!Z$26),0))</f>
        <v>3.0098838692229412E-2</v>
      </c>
      <c r="AA69" s="8">
        <f>IF($A69=AA$1,0,IF(SUM(IMshareM!AA$2:AA$78)-IMshareM!AA$27&gt;0,IMshareM!AA69/(SUM(IMshareM!AA$2:AA$78)-IMshareM!AA$27),0))</f>
        <v>1.6522516076424294E-3</v>
      </c>
      <c r="AB69" s="8">
        <f>IF($A69=AB$1,0,IF(SUM(IMshareM!AB$2:AB$78)-IMshareM!AB$28&gt;0,IMshareM!AB69/(SUM(IMshareM!AB$2:AB$78)-IMshareM!AB$28),0))</f>
        <v>7.392880508151462E-3</v>
      </c>
      <c r="AC69" s="8">
        <f>IF($A69=AC$1,0,IF(SUM(IMshareM!AC$2:AC$78)-IMshareM!AC$29&gt;0,IMshareM!AC69/(SUM(IMshareM!AC$2:AC$78)-IMshareM!AC$29),0))</f>
        <v>2.7704222905955097E-3</v>
      </c>
      <c r="AD69" s="8">
        <f>IF($A69=AD$1,0,IF(SUM(IMshareM!AD$2:AD$78)-IMshareM!AD$30&gt;0,IMshareM!AD69/(SUM(IMshareM!AD$2:AD$78)-IMshareM!AD$30),0))</f>
        <v>4.4640881257559459E-5</v>
      </c>
      <c r="AE69" s="8">
        <f>IF($A69=AE$1,0,IF(SUM(IMshareM!AE$2:AE$78)-IMshareM!AE$31&gt;0,IMshareM!AE69/(SUM(IMshareM!AE$2:AE$78)-IMshareM!AE$31),0))</f>
        <v>3.7607383931830721E-3</v>
      </c>
      <c r="AF69" s="8">
        <f>IF($A69=AF$1,0,IF(SUM(IMshareM!AF$2:AF$78)-IMshareM!AF$32&gt;0,IMshareM!AF69/(SUM(IMshareM!AF$2:AF$78)-IMshareM!AF$32),0))</f>
        <v>7.3059780641789311E-4</v>
      </c>
      <c r="AG69" s="8">
        <f>IF($A69=AG$1,0,IF(SUM(IMshareM!AG$2:AG$78)-IMshareM!AG$33&gt;0,IMshareM!AG69/(SUM(IMshareM!AG$2:AG$78)-IMshareM!AG$33),0))</f>
        <v>6.744429807394408E-3</v>
      </c>
      <c r="AH69" s="8">
        <f>IF($A69=AH$1,0,IF(SUM(IMshareM!AH$2:AH$78)-IMshareM!AH$34&gt;0,IMshareM!AH69/(SUM(IMshareM!AH$2:AH$78)-IMshareM!AH$34),0))</f>
        <v>2.4927621169130547E-3</v>
      </c>
      <c r="AI69" s="8">
        <f>IF($A69=AI$1,0,IF(SUM(IMshareM!AI$2:AI$78)-IMshareM!AI$35&gt;0,IMshareM!AI69/(SUM(IMshareM!AI$2:AI$78)-IMshareM!AI$35),0))</f>
        <v>2.0518196641280562E-3</v>
      </c>
      <c r="AJ69" s="8">
        <f>IF($A69=AJ$1,0,IF(SUM(IMshareM!AJ$2:AJ$78)-IMshareM!AJ$36&gt;0,IMshareM!AJ69/(SUM(IMshareM!AJ$2:AJ$78)-IMshareM!AJ$36),0))</f>
        <v>4.6514683040704365E-2</v>
      </c>
      <c r="AK69" s="8">
        <f>IF($A69=AK$1,0,IF(SUM(IMshareM!AK$2:AK$78)-IMshareM!AK$37&gt;0,IMshareM!AK69/(SUM(IMshareM!AK$2:AK$78)-IMshareM!AK$37),0))</f>
        <v>6.9451479923961935E-3</v>
      </c>
      <c r="AL69" s="8">
        <f>IF($A69=AL$1,0,IF(SUM(IMshareM!AL$2:AL$78)-IMshareM!AL$38&gt;0,IMshareM!AL69/(SUM(IMshareM!AL$2:AL$78)-IMshareM!AL$38),0))</f>
        <v>1.0179792151759681E-2</v>
      </c>
      <c r="AM69" s="8">
        <f>IF($A69=AM$1,0,IF(SUM(IMshareM!AM$2:AM$78)-IMshareM!AM$39&gt;0,IMshareM!AM69/(SUM(IMshareM!AM$2:AM$78)-IMshareM!AM$39),0))</f>
        <v>1.4658062104918679E-4</v>
      </c>
      <c r="AN69" s="8">
        <f>IF($A69=AN$1,0,IF(SUM(IMshareM!AN$2:AN$78)-IMshareM!AN$40&gt;0,IMshareM!AN69/(SUM(IMshareM!AN$2:AN$78)-IMshareM!AN$40),0))</f>
        <v>1.8445495587401436E-3</v>
      </c>
      <c r="AO69" s="8">
        <f>IF($A69=AO$1,0,IF(SUM(IMshareM!AO$2:AO$78)-IMshareM!AO$41&gt;0,IMshareM!AO69/(SUM(IMshareM!AO$2:AO$78)-IMshareM!AO$41),0))</f>
        <v>4.1385192969820269E-3</v>
      </c>
      <c r="AP69" s="8">
        <f>IF($A69=AP$1,0,IF(SUM(IMshareM!AP$2:AP$78)-IMshareM!AP$42&gt;0,IMshareM!AP69/(SUM(IMshareM!AP$2:AP$78)-IMshareM!AP$42),0))</f>
        <v>0</v>
      </c>
      <c r="AQ69" s="8">
        <f>IF($A69=AQ$1,0,IF(SUM(IMshareM!AQ$2:AQ$78)-IMshareM!AQ$43&gt;0,IMshareM!AQ69/(SUM(IMshareM!AQ$2:AQ$78)-IMshareM!AQ$43),0))</f>
        <v>2.7723324736183853E-4</v>
      </c>
      <c r="AR69" s="8">
        <f>IF($A69=AR$1,0,IF(SUM(IMshareM!AR$2:AR$78)-IMshareM!AR$44&gt;0,IMshareM!AR69/(SUM(IMshareM!AR$2:AR$78)-IMshareM!AR$44),0))</f>
        <v>3.4801389911927438E-2</v>
      </c>
      <c r="AS69" s="8">
        <f>IF($A69=AS$1,0,IF(SUM(IMshareM!AS$2:AS$78)-IMshareM!AS$45&gt;0,IMshareM!AS69/(SUM(IMshareM!AS$2:AS$78)-IMshareM!AS$45),0))</f>
        <v>1.7113349467712705E-2</v>
      </c>
      <c r="AT69" s="8">
        <f>IF($A69=AT$1,0,IF(SUM(IMshareM!AT$2:AT$78)-IMshareM!AT$46&gt;0,IMshareM!AT69/(SUM(IMshareM!AT$2:AT$78)-IMshareM!AT$46),0))</f>
        <v>1.328027293981034E-3</v>
      </c>
      <c r="AU69" s="8">
        <f>IF($A69=AU$1,0,IF(SUM(IMshareM!AU$2:AU$78)-IMshareM!AU$47&gt;0,IMshareM!AU69/(SUM(IMshareM!AU$2:AU$78)-IMshareM!AU$47),0))</f>
        <v>1.1475306726685021E-2</v>
      </c>
      <c r="AV69" s="8">
        <f>IF($A69=AV$1,0,IF(SUM(IMshareM!AV$2:AV$78)-IMshareM!AV$48&gt;0,IMshareM!AV69/(SUM(IMshareM!AV$2:AV$78)-IMshareM!AV$48),0))</f>
        <v>6.4986270095032444E-4</v>
      </c>
      <c r="AW69" s="8">
        <f>IF($A69=AW$1,0,IF(SUM(IMshareM!AW$2:AW$78)-IMshareM!AW$49&gt;0,IMshareM!AW69/(SUM(IMshareM!AW$2:AW$78)-IMshareM!AW$49),0))</f>
        <v>3.5511603818422406E-4</v>
      </c>
      <c r="AX69" s="8">
        <f>IF($A69=AX$1,0,IF(SUM(IMshareM!AX$2:AX$78)-IMshareM!AX$50&gt;0,IMshareM!AX69/(SUM(IMshareM!AX$2:AX$78)-IMshareM!AX$50),0))</f>
        <v>4.9560527694128289E-5</v>
      </c>
      <c r="AY69" s="8">
        <f>IF($A69=AY$1,0,IF(SUM(IMshareM!AY$2:AY$78)-IMshareM!AY$51&gt;0,IMshareM!AY69/(SUM(IMshareM!AY$2:AY$78)-IMshareM!AY$51),0))</f>
        <v>1.6265221442919094E-3</v>
      </c>
      <c r="AZ69" s="8">
        <f>IF($A69=AZ$1,0,IF(SUM(IMshareM!AZ$2:AZ$78)-IMshareM!AZ$52&gt;0,IMshareM!AZ69/(SUM(IMshareM!AZ$2:AZ$78)-IMshareM!AZ$52),0))</f>
        <v>1.4403198444802414E-3</v>
      </c>
      <c r="BA69" s="8">
        <f>IF($A69=BA$1,0,IF(SUM(IMshareM!BA$2:BA$78)-IMshareM!BA$53&gt;0,IMshareM!BA69/(SUM(IMshareM!BA$2:BA$78)-IMshareM!BA$53),0))</f>
        <v>3.7549178646258065E-4</v>
      </c>
      <c r="BB69" s="8">
        <f>IF($A69=BB$1,0,IF(SUM(IMshareM!BB$2:BB$78)-IMshareM!BB$54&gt;0,IMshareM!BB69/(SUM(IMshareM!BB$2:BB$78)-IMshareM!BB$54),0))</f>
        <v>3.8189587907524591E-3</v>
      </c>
      <c r="BC69" s="8">
        <f>IF($A69=BC$1,0,IF(SUM(IMshareM!BC$2:BC$78)-IMshareM!BC$55&gt;0,IMshareM!BC69/(SUM(IMshareM!BC$2:BC$78)-IMshareM!BC$55),0))</f>
        <v>5.930447147210683E-2</v>
      </c>
      <c r="BD69" s="8">
        <f>IF($A69=BD$1,0,IF(SUM(IMshareM!BD$2:BD$78)-IMshareM!BD$56&gt;0,IMshareM!BD69/(SUM(IMshareM!BD$2:BD$78)-IMshareM!BD$56),0))</f>
        <v>1.1872929398084988E-3</v>
      </c>
      <c r="BE69" s="8">
        <f>IF($A69=BE$1,0,IF(SUM(IMshareM!BE$2:BE$78)-IMshareM!BE$57&gt;0,IMshareM!BE69/(SUM(IMshareM!BE$2:BE$78)-IMshareM!BE$57),0))</f>
        <v>3.3020170595499722E-4</v>
      </c>
      <c r="BF69" s="8">
        <f>IF($A69=BF$1,0,IF(SUM(IMshareM!BF$2:BF$78)-IMshareM!BF$58&gt;0,IMshareM!BF69/(SUM(IMshareM!BF$2:BF$78)-IMshareM!BF$58),0))</f>
        <v>2.5162304536524589E-3</v>
      </c>
      <c r="BG69" s="8">
        <f>IF($A69=BG$1,0,IF(SUM(IMshareM!BG$2:BG$78)-IMshareM!BG$59&gt;0,IMshareM!BG69/(SUM(IMshareM!BG$2:BG$78)-IMshareM!BG$59),0))</f>
        <v>1.3887168617870073E-3</v>
      </c>
      <c r="BH69" s="8">
        <f>IF($A69=BH$1,0,IF(SUM(IMshareM!BH$2:BH$78)-IMshareM!BH$60&gt;0,IMshareM!BH69/(SUM(IMshareM!BH$2:BH$78)-IMshareM!BH$60),0))</f>
        <v>1.337621787492085E-2</v>
      </c>
      <c r="BI69" s="8">
        <f>IF($A69=BI$1,0,IF(SUM(IMshareM!BI$2:BI$78)-IMshareM!BI$61&gt;0,IMshareM!BI69/(SUM(IMshareM!BI$2:BI$78)-IMshareM!BI$61),0))</f>
        <v>5.5827449347213565E-4</v>
      </c>
      <c r="BJ69" s="8">
        <f>IF($A69=BJ$1,0,IF(SUM(IMshareM!BJ$2:BJ$78)-IMshareM!BJ$62&gt;0,IMshareM!BJ69/(SUM(IMshareM!BJ$2:BJ$78)-IMshareM!BJ$62),0))</f>
        <v>6.2987594237094253E-3</v>
      </c>
      <c r="BK69" s="8">
        <f>IF($A69=BK$1,0,IF(SUM(IMshareM!BK$2:BK$78)-IMshareM!BK$63&gt;0,IMshareM!BK69/(SUM(IMshareM!BK$2:BK$78)-IMshareM!BK$63),0))</f>
        <v>1.1224146721007101E-3</v>
      </c>
      <c r="BL69" s="8">
        <f>IF($A69=BL$1,0,IF(SUM(IMshareM!BL$2:BL$78)-IMshareM!BL$64&gt;0,IMshareM!BL69/(SUM(IMshareM!BL$2:BL$78)-IMshareM!BL$64),0))</f>
        <v>1.710345322603761E-2</v>
      </c>
      <c r="BM69" s="8">
        <f>IF($A69=BM$1,0,IF(SUM(IMshareM!BM$2:BM$78)-IMshareM!BM$65&gt;0,IMshareM!BM69/(SUM(IMshareM!BM$2:BM$78)-IMshareM!BM$65),0))</f>
        <v>3.3414948673339126E-5</v>
      </c>
      <c r="BN69" s="8">
        <f>IF($A69=BN$1,0,IF(SUM(IMshareM!BN$2:BN$78)-IMshareM!BN$66&gt;0,IMshareM!BN69/(SUM(IMshareM!BN$2:BN$78)-IMshareM!BN$66),0))</f>
        <v>1.428007363232525E-3</v>
      </c>
      <c r="BO69" s="8">
        <f>IF($A69=BO$1,0,IF(SUM(IMshareM!BO$2:BO$78)-IMshareM!BO$67&gt;0,IMshareM!BO69/(SUM(IMshareM!BO$2:BO$78)-IMshareM!BO$67),0))</f>
        <v>1.7004510194934994E-3</v>
      </c>
      <c r="BP69" s="8">
        <f>IF($A69=BP$1,0,IF(SUM(IMshareM!BP$2:BP$78)-IMshareM!BP$68&gt;0,IMshareM!BP69/(SUM(IMshareM!BP$2:BP$78)-IMshareM!BP$68),0))</f>
        <v>1.3914729102752024E-3</v>
      </c>
      <c r="BQ69" s="8">
        <f>IF($A69=BQ$1,0,IF(SUM(IMshareM!BQ$2:BQ$78)-IMshareM!BQ$69&gt;0,IMshareM!BQ69/(SUM(IMshareM!BQ$2:BQ$78)-IMshareM!BQ$69),0))</f>
        <v>0</v>
      </c>
      <c r="BR69" s="8">
        <f>IF($A69=BR$1,0,IF(SUM(IMshareM!BR$2:BR$78)-IMshareM!BR$70&gt;0,IMshareM!BR69/(SUM(IMshareM!BR$2:BR$78)-IMshareM!BR$70),0))</f>
        <v>1.1560496339851258E-3</v>
      </c>
      <c r="BS69" s="8">
        <f>IF($A69=BS$1,0,IF(SUM(IMshareM!BS$2:BS$78)-IMshareM!BS$71&gt;0,IMshareM!BS69/(SUM(IMshareM!BS$2:BS$78)-IMshareM!BS$71),0))</f>
        <v>3.2406192215953927E-4</v>
      </c>
      <c r="BT69" s="8">
        <f>IF($A69=BT$1,0,IF(SUM(IMshareM!BT$2:BT$78)-IMshareM!BT$72&gt;0,IMshareM!BT69/(SUM(IMshareM!BT$2:BT$78)-IMshareM!BT$72),0))</f>
        <v>1.7943614179593381E-3</v>
      </c>
      <c r="BU69" s="8">
        <f>IF($A69=BU$1,0,IF(SUM(IMshareM!BU$2:BU$78)-IMshareM!BU$73&gt;0,IMshareM!BU69/(SUM(IMshareM!BU$2:BU$78)-IMshareM!BU$73),0))</f>
        <v>1.1036909851703544E-2</v>
      </c>
      <c r="BV69" s="8">
        <f>IF($A69=BV$1,0,IF(SUM(IMshareM!BV$2:BV$78)-IMshareM!BV$74&gt;0,IMshareM!BV69/(SUM(IMshareM!BV$2:BV$78)-IMshareM!BV$74),0))</f>
        <v>3.9800158412933388E-3</v>
      </c>
      <c r="BW69" s="8">
        <f>IF($A69=BW$1,0,IF(SUM(IMshareM!BW$2:BW$78)-IMshareM!BW$75&gt;0,IMshareM!BW69/(SUM(IMshareM!BW$2:BW$78)-IMshareM!BW$75),0))</f>
        <v>2.535741462449993E-3</v>
      </c>
      <c r="BX69" s="8">
        <f>IF($A69=BX$1,0,IF(SUM(IMshareM!BX$2:BX$78)-IMshareM!BX$76&gt;0,IMshareM!BX69/(SUM(IMshareM!BX$2:BX$78)-IMshareM!BX$76),0))</f>
        <v>1.6207774213510204E-4</v>
      </c>
      <c r="BY69" s="8">
        <f>IF($A69=BY$1,0,IF(SUM(IMshareM!BY$2:BY$78)-IMshareM!BY$77&gt;0,IMshareM!BY69/(SUM(IMshareM!BY$2:BY$78)-IMshareM!BY$77),0))</f>
        <v>1.8624972880113924E-3</v>
      </c>
      <c r="BZ69" s="8">
        <f>IF($A69=BZ$1,0,IF(SUM(IMshareM!BZ$2:BZ$78)-IMshareM!BZ$78&gt;0,IMshareM!BZ69/(SUM(IMshareM!BZ$2:BZ$78)-IMshareM!BZ$78),0))</f>
        <v>2.4392951680489946E-3</v>
      </c>
    </row>
    <row r="70" spans="1:78">
      <c r="A70" s="4" t="s">
        <v>207</v>
      </c>
      <c r="B70" s="8">
        <f>IF($A70=B$1,0,IF(SUM(IMshareM!B$2:B$78)-IMshareM!B$2&gt;0,IMshareM!B70/(SUM(IMshareM!B$2:B$78)-IMshareM!B$2),0))</f>
        <v>5.6917951677512967E-3</v>
      </c>
      <c r="C70" s="8">
        <f>IF($A70=C$1,0,IF(SUM(IMshareM!C$2:C$78)-IMshareM!C$3&gt;0,IMshareM!C70/(SUM(IMshareM!C$2:C$78)-IMshareM!C$3),0))</f>
        <v>2.4809302052413499E-2</v>
      </c>
      <c r="D70" s="8">
        <f>IF($A70=D$1,0,IF(SUM(IMshareM!D$2:D$78)-IMshareM!D$4&gt;0,IMshareM!D70/(SUM(IMshareM!D$2:D$78)-IMshareM!D$4),0))</f>
        <v>3.6461426352960135E-3</v>
      </c>
      <c r="E70" s="8">
        <f>IF($A70=E$1,0,IF(SUM(IMshareM!E$2:E$78)-IMshareM!E$5&gt;0,IMshareM!E70/(SUM(IMshareM!E$2:E$78)-IMshareM!E$5),0))</f>
        <v>5.8327736933367854E-4</v>
      </c>
      <c r="F70" s="8">
        <f>IF($A70=F$1,0,IF(SUM(IMshareM!F$2:F$78)-IMshareM!F$6&gt;0,IMshareM!F70/(SUM(IMshareM!F$2:F$78)-IMshareM!F$6),0))</f>
        <v>9.0890823980797602E-3</v>
      </c>
      <c r="G70" s="8">
        <f>IF($A70=G$1,0,IF(SUM(IMshareM!G$2:G$78)-IMshareM!G$7&gt;0,IMshareM!G70/(SUM(IMshareM!G$2:G$78)-IMshareM!G$7),0))</f>
        <v>4.6506265998627816E-3</v>
      </c>
      <c r="H70" s="8">
        <f>IF($A70=H$1,0,IF(SUM(IMshareM!H$2:H$78)-IMshareM!H$8&gt;0,IMshareM!H70/(SUM(IMshareM!H$2:H$78)-IMshareM!H$8),0))</f>
        <v>0</v>
      </c>
      <c r="I70" s="8">
        <f>IF($A70=I$1,0,IF(SUM(IMshareM!I$2:I$78)-IMshareM!I$9&gt;0,IMshareM!I70/(SUM(IMshareM!I$2:I$78)-IMshareM!I$9),0))</f>
        <v>4.9019318948473056E-3</v>
      </c>
      <c r="J70" s="8">
        <f>IF($A70=J$1,0,IF(SUM(IMshareM!J$2:J$78)-IMshareM!J$10&gt;0,IMshareM!J70/(SUM(IMshareM!J$2:J$78)-IMshareM!J$10),0))</f>
        <v>6.3914102420498621E-3</v>
      </c>
      <c r="K70" s="8">
        <f>IF($A70=K$1,0,IF(SUM(IMshareM!K$2:K$78)-IMshareM!K$11&gt;0,IMshareM!K70/(SUM(IMshareM!K$2:K$78)-IMshareM!K$11),0))</f>
        <v>1.876420089350239E-3</v>
      </c>
      <c r="L70" s="8">
        <f>IF($A70=L$1,0,IF(SUM(IMshareM!L$2:L$78)-IMshareM!L$12&gt;0,IMshareM!L70/(SUM(IMshareM!L$2:L$78)-IMshareM!L$12),0))</f>
        <v>1.2788634438426361E-3</v>
      </c>
      <c r="M70" s="8">
        <f>IF($A70=M$1,0,IF(SUM(IMshareM!M$2:M$78)-IMshareM!M$13&gt;0,IMshareM!M70/(SUM(IMshareM!M$2:M$78)-IMshareM!M$13),0))</f>
        <v>1.2351150805435507E-3</v>
      </c>
      <c r="N70" s="8">
        <f>IF($A70=N$1,0,IF(SUM(IMshareM!N$2:N$78)-IMshareM!N$14&gt;0,IMshareM!N70/(SUM(IMshareM!N$2:N$78)-IMshareM!N$14),0))</f>
        <v>4.7564981625542721E-2</v>
      </c>
      <c r="O70" s="8">
        <f>IF($A70=O$1,0,IF(SUM(IMshareM!O$2:O$78)-IMshareM!O$15&gt;0,IMshareM!O70/(SUM(IMshareM!O$2:O$78)-IMshareM!O$15),0))</f>
        <v>4.0600740880915488E-4</v>
      </c>
      <c r="P70" s="8">
        <f>IF($A70=P$1,0,IF(SUM(IMshareM!P$2:P$78)-IMshareM!P$16&gt;0,IMshareM!P70/(SUM(IMshareM!P$2:P$78)-IMshareM!P$16),0))</f>
        <v>1.9842568676533961E-5</v>
      </c>
      <c r="Q70" s="8">
        <f>IF($A70=Q$1,0,IF(SUM(IMshareM!Q$2:Q$78)-IMshareM!Q$17&gt;0,IMshareM!Q70/(SUM(IMshareM!Q$2:Q$78)-IMshareM!Q$17),0))</f>
        <v>3.5832642920304433E-3</v>
      </c>
      <c r="R70" s="8">
        <f>IF($A70=R$1,0,IF(SUM(IMshareM!R$2:R$78)-IMshareM!R$18&gt;0,IMshareM!R70/(SUM(IMshareM!R$2:R$78)-IMshareM!R$18),0))</f>
        <v>1.5140471272807984E-3</v>
      </c>
      <c r="S70" s="8">
        <f>IF($A70=S$1,0,IF(SUM(IMshareM!S$2:S$78)-IMshareM!S$19&gt;0,IMshareM!S70/(SUM(IMshareM!S$2:S$78)-IMshareM!S$19),0))</f>
        <v>2.0652577625570146E-6</v>
      </c>
      <c r="T70" s="8">
        <f>IF($A70=T$1,0,IF(SUM(IMshareM!T$2:T$78)-IMshareM!T$20&gt;0,IMshareM!T70/(SUM(IMshareM!T$2:T$78)-IMshareM!T$20),0))</f>
        <v>1.2810497291056084E-2</v>
      </c>
      <c r="U70" s="8">
        <f>IF($A70=U$1,0,IF(SUM(IMshareM!U$2:U$78)-IMshareM!U$21&gt;0,IMshareM!U70/(SUM(IMshareM!U$2:U$78)-IMshareM!U$21),0))</f>
        <v>1.2132571072863434E-2</v>
      </c>
      <c r="V70" s="8">
        <f>IF($A70=V$1,0,IF(SUM(IMshareM!V$2:V$78)-IMshareM!V$22&gt;0,IMshareM!V70/(SUM(IMshareM!V$2:V$78)-IMshareM!V$22),0))</f>
        <v>1.735988416169608E-3</v>
      </c>
      <c r="W70" s="8">
        <f>IF($A70=W$1,0,IF(SUM(IMshareM!W$2:W$78)-IMshareM!W$23&gt;0,IMshareM!W70/(SUM(IMshareM!W$2:W$78)-IMshareM!W$23),0))</f>
        <v>1.6103196067490809E-3</v>
      </c>
      <c r="X70" s="8">
        <f>IF($A70=X$1,0,IF(SUM(IMshareM!X$2:X$78)-IMshareM!X$24&gt;0,IMshareM!X70/(SUM(IMshareM!X$2:X$78)-IMshareM!X$24),0))</f>
        <v>6.2382157068700556E-3</v>
      </c>
      <c r="Y70" s="8">
        <f>IF($A70=Y$1,0,IF(SUM(IMshareM!Y$2:Y$78)-IMshareM!Y$25&gt;0,IMshareM!Y70/(SUM(IMshareM!Y$2:Y$78)-IMshareM!Y$25),0))</f>
        <v>2.1610370773023865E-3</v>
      </c>
      <c r="Z70" s="8">
        <f>IF($A70=Z$1,0,IF(SUM(IMshareM!Z$2:Z$78)-IMshareM!Z$26&gt;0,IMshareM!Z70/(SUM(IMshareM!Z$2:Z$78)-IMshareM!Z$26),0))</f>
        <v>1.5592064145383516E-3</v>
      </c>
      <c r="AA70" s="8">
        <f>IF($A70=AA$1,0,IF(SUM(IMshareM!AA$2:AA$78)-IMshareM!AA$27&gt;0,IMshareM!AA70/(SUM(IMshareM!AA$2:AA$78)-IMshareM!AA$27),0))</f>
        <v>1.6238086341511623E-2</v>
      </c>
      <c r="AB70" s="8">
        <f>IF($A70=AB$1,0,IF(SUM(IMshareM!AB$2:AB$78)-IMshareM!AB$28&gt;0,IMshareM!AB70/(SUM(IMshareM!AB$2:AB$78)-IMshareM!AB$28),0))</f>
        <v>4.3313254606857322E-3</v>
      </c>
      <c r="AC70" s="8">
        <f>IF($A70=AC$1,0,IF(SUM(IMshareM!AC$2:AC$78)-IMshareM!AC$29&gt;0,IMshareM!AC70/(SUM(IMshareM!AC$2:AC$78)-IMshareM!AC$29),0))</f>
        <v>1.3267724557123555E-5</v>
      </c>
      <c r="AD70" s="8">
        <f>IF($A70=AD$1,0,IF(SUM(IMshareM!AD$2:AD$78)-IMshareM!AD$30&gt;0,IMshareM!AD70/(SUM(IMshareM!AD$2:AD$78)-IMshareM!AD$30),0))</f>
        <v>4.8035232913697323E-2</v>
      </c>
      <c r="AE70" s="8">
        <f>IF($A70=AE$1,0,IF(SUM(IMshareM!AE$2:AE$78)-IMshareM!AE$31&gt;0,IMshareM!AE70/(SUM(IMshareM!AE$2:AE$78)-IMshareM!AE$31),0))</f>
        <v>2.1831823816703821E-5</v>
      </c>
      <c r="AF70" s="8">
        <f>IF($A70=AF$1,0,IF(SUM(IMshareM!AF$2:AF$78)-IMshareM!AF$32&gt;0,IMshareM!AF70/(SUM(IMshareM!AF$2:AF$78)-IMshareM!AF$32),0))</f>
        <v>3.3511413664995601E-3</v>
      </c>
      <c r="AG70" s="8">
        <f>IF($A70=AG$1,0,IF(SUM(IMshareM!AG$2:AG$78)-IMshareM!AG$33&gt;0,IMshareM!AG70/(SUM(IMshareM!AG$2:AG$78)-IMshareM!AG$33),0))</f>
        <v>1.8417292678133634E-2</v>
      </c>
      <c r="AH70" s="8">
        <f>IF($A70=AH$1,0,IF(SUM(IMshareM!AH$2:AH$78)-IMshareM!AH$34&gt;0,IMshareM!AH70/(SUM(IMshareM!AH$2:AH$78)-IMshareM!AH$34),0))</f>
        <v>1.2967693332057375E-2</v>
      </c>
      <c r="AI70" s="8">
        <f>IF($A70=AI$1,0,IF(SUM(IMshareM!AI$2:AI$78)-IMshareM!AI$35&gt;0,IMshareM!AI70/(SUM(IMshareM!AI$2:AI$78)-IMshareM!AI$35),0))</f>
        <v>6.2313808309753371E-4</v>
      </c>
      <c r="AJ70" s="8">
        <f>IF($A70=AJ$1,0,IF(SUM(IMshareM!AJ$2:AJ$78)-IMshareM!AJ$36&gt;0,IMshareM!AJ70/(SUM(IMshareM!AJ$2:AJ$78)-IMshareM!AJ$36),0))</f>
        <v>1.1093152544324463E-3</v>
      </c>
      <c r="AK70" s="8">
        <f>IF($A70=AK$1,0,IF(SUM(IMshareM!AK$2:AK$78)-IMshareM!AK$37&gt;0,IMshareM!AK70/(SUM(IMshareM!AK$2:AK$78)-IMshareM!AK$37),0))</f>
        <v>1.3696438698596863E-3</v>
      </c>
      <c r="AL70" s="8">
        <f>IF($A70=AL$1,0,IF(SUM(IMshareM!AL$2:AL$78)-IMshareM!AL$38&gt;0,IMshareM!AL70/(SUM(IMshareM!AL$2:AL$78)-IMshareM!AL$38),0))</f>
        <v>7.2809269533473369E-3</v>
      </c>
      <c r="AM70" s="8">
        <f>IF($A70=AM$1,0,IF(SUM(IMshareM!AM$2:AM$78)-IMshareM!AM$39&gt;0,IMshareM!AM70/(SUM(IMshareM!AM$2:AM$78)-IMshareM!AM$39),0))</f>
        <v>2.8212426769663068E-4</v>
      </c>
      <c r="AN70" s="8">
        <f>IF($A70=AN$1,0,IF(SUM(IMshareM!AN$2:AN$78)-IMshareM!AN$40&gt;0,IMshareM!AN70/(SUM(IMshareM!AN$2:AN$78)-IMshareM!AN$40),0))</f>
        <v>9.8404877551271475E-2</v>
      </c>
      <c r="AO70" s="8">
        <f>IF($A70=AO$1,0,IF(SUM(IMshareM!AO$2:AO$78)-IMshareM!AO$41&gt;0,IMshareM!AO70/(SUM(IMshareM!AO$2:AO$78)-IMshareM!AO$41),0))</f>
        <v>2.0998894943208097E-6</v>
      </c>
      <c r="AP70" s="8">
        <f>IF($A70=AP$1,0,IF(SUM(IMshareM!AP$2:AP$78)-IMshareM!AP$42&gt;0,IMshareM!AP70/(SUM(IMshareM!AP$2:AP$78)-IMshareM!AP$42),0))</f>
        <v>5.132385735757513E-2</v>
      </c>
      <c r="AQ70" s="8">
        <f>IF($A70=AQ$1,0,IF(SUM(IMshareM!AQ$2:AQ$78)-IMshareM!AQ$43&gt;0,IMshareM!AQ70/(SUM(IMshareM!AQ$2:AQ$78)-IMshareM!AQ$43),0))</f>
        <v>2.7323693254637359E-3</v>
      </c>
      <c r="AR70" s="8">
        <f>IF($A70=AR$1,0,IF(SUM(IMshareM!AR$2:AR$78)-IMshareM!AR$44&gt;0,IMshareM!AR70/(SUM(IMshareM!AR$2:AR$78)-IMshareM!AR$44),0))</f>
        <v>0.32974165956630602</v>
      </c>
      <c r="AS70" s="8">
        <f>IF($A70=AS$1,0,IF(SUM(IMshareM!AS$2:AS$78)-IMshareM!AS$45&gt;0,IMshareM!AS70/(SUM(IMshareM!AS$2:AS$78)-IMshareM!AS$45),0))</f>
        <v>9.9335465700387348E-5</v>
      </c>
      <c r="AT70" s="8">
        <f>IF($A70=AT$1,0,IF(SUM(IMshareM!AT$2:AT$78)-IMshareM!AT$46&gt;0,IMshareM!AT70/(SUM(IMshareM!AT$2:AT$78)-IMshareM!AT$46),0))</f>
        <v>4.4642185682682633E-5</v>
      </c>
      <c r="AU70" s="8">
        <f>IF($A70=AU$1,0,IF(SUM(IMshareM!AU$2:AU$78)-IMshareM!AU$47&gt;0,IMshareM!AU70/(SUM(IMshareM!AU$2:AU$78)-IMshareM!AU$47),0))</f>
        <v>1.1206272586332419E-6</v>
      </c>
      <c r="AV70" s="8">
        <f>IF($A70=AV$1,0,IF(SUM(IMshareM!AV$2:AV$78)-IMshareM!AV$48&gt;0,IMshareM!AV70/(SUM(IMshareM!AV$2:AV$78)-IMshareM!AV$48),0))</f>
        <v>2.4440579906463269E-2</v>
      </c>
      <c r="AW70" s="8">
        <f>IF($A70=AW$1,0,IF(SUM(IMshareM!AW$2:AW$78)-IMshareM!AW$49&gt;0,IMshareM!AW70/(SUM(IMshareM!AW$2:AW$78)-IMshareM!AW$49),0))</f>
        <v>2.0485787398717377E-2</v>
      </c>
      <c r="AX70" s="8">
        <f>IF($A70=AX$1,0,IF(SUM(IMshareM!AX$2:AX$78)-IMshareM!AX$50&gt;0,IMshareM!AX70/(SUM(IMshareM!AX$2:AX$78)-IMshareM!AX$50),0))</f>
        <v>2.9825853877344302E-5</v>
      </c>
      <c r="AY70" s="8">
        <f>IF($A70=AY$1,0,IF(SUM(IMshareM!AY$2:AY$78)-IMshareM!AY$51&gt;0,IMshareM!AY70/(SUM(IMshareM!AY$2:AY$78)-IMshareM!AY$51),0))</f>
        <v>8.7721489469802461E-2</v>
      </c>
      <c r="AZ70" s="8">
        <f>IF($A70=AZ$1,0,IF(SUM(IMshareM!AZ$2:AZ$78)-IMshareM!AZ$52&gt;0,IMshareM!AZ70/(SUM(IMshareM!AZ$2:AZ$78)-IMshareM!AZ$52),0))</f>
        <v>1.9033792982445657E-2</v>
      </c>
      <c r="BA70" s="8">
        <f>IF($A70=BA$1,0,IF(SUM(IMshareM!BA$2:BA$78)-IMshareM!BA$53&gt;0,IMshareM!BA70/(SUM(IMshareM!BA$2:BA$78)-IMshareM!BA$53),0))</f>
        <v>3.2805052041989795E-6</v>
      </c>
      <c r="BB70" s="8">
        <f>IF($A70=BB$1,0,IF(SUM(IMshareM!BB$2:BB$78)-IMshareM!BB$54&gt;0,IMshareM!BB70/(SUM(IMshareM!BB$2:BB$78)-IMshareM!BB$54),0))</f>
        <v>3.5043335097179693E-3</v>
      </c>
      <c r="BC70" s="8">
        <f>IF($A70=BC$1,0,IF(SUM(IMshareM!BC$2:BC$78)-IMshareM!BC$55&gt;0,IMshareM!BC70/(SUM(IMshareM!BC$2:BC$78)-IMshareM!BC$55),0))</f>
        <v>4.9860812944167829E-4</v>
      </c>
      <c r="BD70" s="8">
        <f>IF($A70=BD$1,0,IF(SUM(IMshareM!BD$2:BD$78)-IMshareM!BD$56&gt;0,IMshareM!BD70/(SUM(IMshareM!BD$2:BD$78)-IMshareM!BD$56),0))</f>
        <v>3.653919772231428E-2</v>
      </c>
      <c r="BE70" s="8">
        <f>IF($A70=BE$1,0,IF(SUM(IMshareM!BE$2:BE$78)-IMshareM!BE$57&gt;0,IMshareM!BE70/(SUM(IMshareM!BE$2:BE$78)-IMshareM!BE$57),0))</f>
        <v>2.4321427817309439E-3</v>
      </c>
      <c r="BF70" s="8">
        <f>IF($A70=BF$1,0,IF(SUM(IMshareM!BF$2:BF$78)-IMshareM!BF$58&gt;0,IMshareM!BF70/(SUM(IMshareM!BF$2:BF$78)-IMshareM!BF$58),0))</f>
        <v>5.6168562784050574E-4</v>
      </c>
      <c r="BG70" s="8">
        <f>IF($A70=BG$1,0,IF(SUM(IMshareM!BG$2:BG$78)-IMshareM!BG$59&gt;0,IMshareM!BG70/(SUM(IMshareM!BG$2:BG$78)-IMshareM!BG$59),0))</f>
        <v>0.16662238926749071</v>
      </c>
      <c r="BH70" s="8">
        <f>IF($A70=BH$1,0,IF(SUM(IMshareM!BH$2:BH$78)-IMshareM!BH$60&gt;0,IMshareM!BH70/(SUM(IMshareM!BH$2:BH$78)-IMshareM!BH$60),0))</f>
        <v>6.224233238524352E-4</v>
      </c>
      <c r="BI70" s="8">
        <f>IF($A70=BI$1,0,IF(SUM(IMshareM!BI$2:BI$78)-IMshareM!BI$61&gt;0,IMshareM!BI70/(SUM(IMshareM!BI$2:BI$78)-IMshareM!BI$61),0))</f>
        <v>9.5627412421565893E-4</v>
      </c>
      <c r="BJ70" s="8">
        <f>IF($A70=BJ$1,0,IF(SUM(IMshareM!BJ$2:BJ$78)-IMshareM!BJ$62&gt;0,IMshareM!BJ70/(SUM(IMshareM!BJ$2:BJ$78)-IMshareM!BJ$62),0))</f>
        <v>3.683642878243311E-3</v>
      </c>
      <c r="BK70" s="8">
        <f>IF($A70=BK$1,0,IF(SUM(IMshareM!BK$2:BK$78)-IMshareM!BK$63&gt;0,IMshareM!BK70/(SUM(IMshareM!BK$2:BK$78)-IMshareM!BK$63),0))</f>
        <v>2.1015133053689053E-4</v>
      </c>
      <c r="BL70" s="8">
        <f>IF($A70=BL$1,0,IF(SUM(IMshareM!BL$2:BL$78)-IMshareM!BL$64&gt;0,IMshareM!BL70/(SUM(IMshareM!BL$2:BL$78)-IMshareM!BL$64),0))</f>
        <v>1.249395269591333E-2</v>
      </c>
      <c r="BM70" s="8">
        <f>IF($A70=BM$1,0,IF(SUM(IMshareM!BM$2:BM$78)-IMshareM!BM$65&gt;0,IMshareM!BM70/(SUM(IMshareM!BM$2:BM$78)-IMshareM!BM$65),0))</f>
        <v>1.3925659885974026E-4</v>
      </c>
      <c r="BN70" s="8">
        <f>IF($A70=BN$1,0,IF(SUM(IMshareM!BN$2:BN$78)-IMshareM!BN$66&gt;0,IMshareM!BN70/(SUM(IMshareM!BN$2:BN$78)-IMshareM!BN$66),0))</f>
        <v>3.3789227302527022E-2</v>
      </c>
      <c r="BO70" s="8">
        <f>IF($A70=BO$1,0,IF(SUM(IMshareM!BO$2:BO$78)-IMshareM!BO$67&gt;0,IMshareM!BO70/(SUM(IMshareM!BO$2:BO$78)-IMshareM!BO$67),0))</f>
        <v>3.0567859848598389E-3</v>
      </c>
      <c r="BP70" s="8">
        <f>IF($A70=BP$1,0,IF(SUM(IMshareM!BP$2:BP$78)-IMshareM!BP$68&gt;0,IMshareM!BP70/(SUM(IMshareM!BP$2:BP$78)-IMshareM!BP$68),0))</f>
        <v>2.0200786959266017E-3</v>
      </c>
      <c r="BQ70" s="8">
        <f>IF($A70=BQ$1,0,IF(SUM(IMshareM!BQ$2:BQ$78)-IMshareM!BQ$69&gt;0,IMshareM!BQ70/(SUM(IMshareM!BQ$2:BQ$78)-IMshareM!BQ$69),0))</f>
        <v>8.1902886156293413E-4</v>
      </c>
      <c r="BR70" s="8">
        <f>IF($A70=BR$1,0,IF(SUM(IMshareM!BR$2:BR$78)-IMshareM!BR$70&gt;0,IMshareM!BR70/(SUM(IMshareM!BR$2:BR$78)-IMshareM!BR$70),0))</f>
        <v>0</v>
      </c>
      <c r="BS70" s="8">
        <f>IF($A70=BS$1,0,IF(SUM(IMshareM!BS$2:BS$78)-IMshareM!BS$71&gt;0,IMshareM!BS70/(SUM(IMshareM!BS$2:BS$78)-IMshareM!BS$71),0))</f>
        <v>4.9572391576056703E-3</v>
      </c>
      <c r="BT70" s="8">
        <f>IF($A70=BT$1,0,IF(SUM(IMshareM!BT$2:BT$78)-IMshareM!BT$72&gt;0,IMshareM!BT70/(SUM(IMshareM!BT$2:BT$78)-IMshareM!BT$72),0))</f>
        <v>1.2255793769124791E-2</v>
      </c>
      <c r="BU70" s="8">
        <f>IF($A70=BU$1,0,IF(SUM(IMshareM!BU$2:BU$78)-IMshareM!BU$73&gt;0,IMshareM!BU70/(SUM(IMshareM!BU$2:BU$78)-IMshareM!BU$73),0))</f>
        <v>1.3921992478143535E-2</v>
      </c>
      <c r="BV70" s="8">
        <f>IF($A70=BV$1,0,IF(SUM(IMshareM!BV$2:BV$78)-IMshareM!BV$74&gt;0,IMshareM!BV70/(SUM(IMshareM!BV$2:BV$78)-IMshareM!BV$74),0))</f>
        <v>4.5661332945854671E-3</v>
      </c>
      <c r="BW70" s="8">
        <f>IF($A70=BW$1,0,IF(SUM(IMshareM!BW$2:BW$78)-IMshareM!BW$75&gt;0,IMshareM!BW70/(SUM(IMshareM!BW$2:BW$78)-IMshareM!BW$75),0))</f>
        <v>1.1740023696748873E-2</v>
      </c>
      <c r="BX70" s="8">
        <f>IF($A70=BX$1,0,IF(SUM(IMshareM!BX$2:BX$78)-IMshareM!BX$76&gt;0,IMshareM!BX70/(SUM(IMshareM!BX$2:BX$78)-IMshareM!BX$76),0))</f>
        <v>3.6628939334630323E-2</v>
      </c>
      <c r="BY70" s="8">
        <f>IF($A70=BY$1,0,IF(SUM(IMshareM!BY$2:BY$78)-IMshareM!BY$77&gt;0,IMshareM!BY70/(SUM(IMshareM!BY$2:BY$78)-IMshareM!BY$77),0))</f>
        <v>1.2514593436819894E-2</v>
      </c>
      <c r="BZ70" s="8">
        <f>IF($A70=BZ$1,0,IF(SUM(IMshareM!BZ$2:BZ$78)-IMshareM!BZ$78&gt;0,IMshareM!BZ70/(SUM(IMshareM!BZ$2:BZ$78)-IMshareM!BZ$78),0))</f>
        <v>5.5384008145758241E-3</v>
      </c>
    </row>
    <row r="71" spans="1:78">
      <c r="A71" s="4" t="s">
        <v>209</v>
      </c>
      <c r="B71" s="8">
        <f>IF($A71=B$1,0,IF(SUM(IMshareM!B$2:B$78)-IMshareM!B$2&gt;0,IMshareM!B71/(SUM(IMshareM!B$2:B$78)-IMshareM!B$2),0))</f>
        <v>7.7255660202098903E-4</v>
      </c>
      <c r="C71" s="8">
        <f>IF($A71=C$1,0,IF(SUM(IMshareM!C$2:C$78)-IMshareM!C$3&gt;0,IMshareM!C71/(SUM(IMshareM!C$2:C$78)-IMshareM!C$3),0))</f>
        <v>3.5909255673404481E-3</v>
      </c>
      <c r="D71" s="8">
        <f>IF($A71=D$1,0,IF(SUM(IMshareM!D$2:D$78)-IMshareM!D$4&gt;0,IMshareM!D71/(SUM(IMshareM!D$2:D$78)-IMshareM!D$4),0))</f>
        <v>5.9823190098124213E-5</v>
      </c>
      <c r="E71" s="8">
        <f>IF($A71=E$1,0,IF(SUM(IMshareM!E$2:E$78)-IMshareM!E$5&gt;0,IMshareM!E71/(SUM(IMshareM!E$2:E$78)-IMshareM!E$5),0))</f>
        <v>4.1436972508139231E-6</v>
      </c>
      <c r="F71" s="8">
        <f>IF($A71=F$1,0,IF(SUM(IMshareM!F$2:F$78)-IMshareM!F$6&gt;0,IMshareM!F71/(SUM(IMshareM!F$2:F$78)-IMshareM!F$6),0))</f>
        <v>0</v>
      </c>
      <c r="G71" s="8">
        <f>IF($A71=G$1,0,IF(SUM(IMshareM!G$2:G$78)-IMshareM!G$7&gt;0,IMshareM!G71/(SUM(IMshareM!G$2:G$78)-IMshareM!G$7),0))</f>
        <v>1.5694578876247296E-6</v>
      </c>
      <c r="H71" s="8">
        <f>IF($A71=H$1,0,IF(SUM(IMshareM!H$2:H$78)-IMshareM!H$8&gt;0,IMshareM!H71/(SUM(IMshareM!H$2:H$78)-IMshareM!H$8),0))</f>
        <v>0</v>
      </c>
      <c r="I71" s="8">
        <f>IF($A71=I$1,0,IF(SUM(IMshareM!I$2:I$78)-IMshareM!I$9&gt;0,IMshareM!I71/(SUM(IMshareM!I$2:I$78)-IMshareM!I$9),0))</f>
        <v>3.9722450209901469E-6</v>
      </c>
      <c r="J71" s="8">
        <f>IF($A71=J$1,0,IF(SUM(IMshareM!J$2:J$78)-IMshareM!J$10&gt;0,IMshareM!J71/(SUM(IMshareM!J$2:J$78)-IMshareM!J$10),0))</f>
        <v>0</v>
      </c>
      <c r="K71" s="8">
        <f>IF($A71=K$1,0,IF(SUM(IMshareM!K$2:K$78)-IMshareM!K$11&gt;0,IMshareM!K71/(SUM(IMshareM!K$2:K$78)-IMshareM!K$11),0))</f>
        <v>2.3129516745013239E-3</v>
      </c>
      <c r="L71" s="8">
        <f>IF($A71=L$1,0,IF(SUM(IMshareM!L$2:L$78)-IMshareM!L$12&gt;0,IMshareM!L71/(SUM(IMshareM!L$2:L$78)-IMshareM!L$12),0))</f>
        <v>4.2609094871903109E-3</v>
      </c>
      <c r="M71" s="8">
        <f>IF($A71=M$1,0,IF(SUM(IMshareM!M$2:M$78)-IMshareM!M$13&gt;0,IMshareM!M71/(SUM(IMshareM!M$2:M$78)-IMshareM!M$13),0))</f>
        <v>0</v>
      </c>
      <c r="N71" s="8">
        <f>IF($A71=N$1,0,IF(SUM(IMshareM!N$2:N$78)-IMshareM!N$14&gt;0,IMshareM!N71/(SUM(IMshareM!N$2:N$78)-IMshareM!N$14),0))</f>
        <v>9.0176476951505904E-6</v>
      </c>
      <c r="O71" s="8">
        <f>IF($A71=O$1,0,IF(SUM(IMshareM!O$2:O$78)-IMshareM!O$15&gt;0,IMshareM!O71/(SUM(IMshareM!O$2:O$78)-IMshareM!O$15),0))</f>
        <v>3.773144864881864E-3</v>
      </c>
      <c r="P71" s="8">
        <f>IF($A71=P$1,0,IF(SUM(IMshareM!P$2:P$78)-IMshareM!P$16&gt;0,IMshareM!P71/(SUM(IMshareM!P$2:P$78)-IMshareM!P$16),0))</f>
        <v>7.5665854193793147E-5</v>
      </c>
      <c r="Q71" s="8">
        <f>IF($A71=Q$1,0,IF(SUM(IMshareM!Q$2:Q$78)-IMshareM!Q$17&gt;0,IMshareM!Q71/(SUM(IMshareM!Q$2:Q$78)-IMshareM!Q$17),0))</f>
        <v>1.3118447086725562E-4</v>
      </c>
      <c r="R71" s="8">
        <f>IF($A71=R$1,0,IF(SUM(IMshareM!R$2:R$78)-IMshareM!R$18&gt;0,IMshareM!R71/(SUM(IMshareM!R$2:R$78)-IMshareM!R$18),0))</f>
        <v>1.8546631926539285E-3</v>
      </c>
      <c r="S71" s="8">
        <f>IF($A71=S$1,0,IF(SUM(IMshareM!S$2:S$78)-IMshareM!S$19&gt;0,IMshareM!S71/(SUM(IMshareM!S$2:S$78)-IMshareM!S$19),0))</f>
        <v>0</v>
      </c>
      <c r="T71" s="8">
        <f>IF($A71=T$1,0,IF(SUM(IMshareM!T$2:T$78)-IMshareM!T$20&gt;0,IMshareM!T71/(SUM(IMshareM!T$2:T$78)-IMshareM!T$20),0))</f>
        <v>5.3881988968596515E-4</v>
      </c>
      <c r="U71" s="8">
        <f>IF($A71=U$1,0,IF(SUM(IMshareM!U$2:U$78)-IMshareM!U$21&gt;0,IMshareM!U71/(SUM(IMshareM!U$2:U$78)-IMshareM!U$21),0))</f>
        <v>8.1653041552378295E-3</v>
      </c>
      <c r="V71" s="8">
        <f>IF($A71=V$1,0,IF(SUM(IMshareM!V$2:V$78)-IMshareM!V$22&gt;0,IMshareM!V71/(SUM(IMshareM!V$2:V$78)-IMshareM!V$22),0))</f>
        <v>8.0536310999851585E-7</v>
      </c>
      <c r="W71" s="8">
        <f>IF($A71=W$1,0,IF(SUM(IMshareM!W$2:W$78)-IMshareM!W$23&gt;0,IMshareM!W71/(SUM(IMshareM!W$2:W$78)-IMshareM!W$23),0))</f>
        <v>3.243165113288534E-3</v>
      </c>
      <c r="X71" s="8">
        <f>IF($A71=X$1,0,IF(SUM(IMshareM!X$2:X$78)-IMshareM!X$24&gt;0,IMshareM!X71/(SUM(IMshareM!X$2:X$78)-IMshareM!X$24),0))</f>
        <v>5.5900408536138022E-3</v>
      </c>
      <c r="Y71" s="8">
        <f>IF($A71=Y$1,0,IF(SUM(IMshareM!Y$2:Y$78)-IMshareM!Y$25&gt;0,IMshareM!Y71/(SUM(IMshareM!Y$2:Y$78)-IMshareM!Y$25),0))</f>
        <v>1.2562785085032602E-4</v>
      </c>
      <c r="Z71" s="8">
        <f>IF($A71=Z$1,0,IF(SUM(IMshareM!Z$2:Z$78)-IMshareM!Z$26&gt;0,IMshareM!Z71/(SUM(IMshareM!Z$2:Z$78)-IMshareM!Z$26),0))</f>
        <v>0</v>
      </c>
      <c r="AA71" s="8">
        <f>IF($A71=AA$1,0,IF(SUM(IMshareM!AA$2:AA$78)-IMshareM!AA$27&gt;0,IMshareM!AA71/(SUM(IMshareM!AA$2:AA$78)-IMshareM!AA$27),0))</f>
        <v>3.5339484524766505E-2</v>
      </c>
      <c r="AB71" s="8">
        <f>IF($A71=AB$1,0,IF(SUM(IMshareM!AB$2:AB$78)-IMshareM!AB$28&gt;0,IMshareM!AB71/(SUM(IMshareM!AB$2:AB$78)-IMshareM!AB$28),0))</f>
        <v>1.5743397217140452E-3</v>
      </c>
      <c r="AC71" s="8">
        <f>IF($A71=AC$1,0,IF(SUM(IMshareM!AC$2:AC$78)-IMshareM!AC$29&gt;0,IMshareM!AC71/(SUM(IMshareM!AC$2:AC$78)-IMshareM!AC$29),0))</f>
        <v>0</v>
      </c>
      <c r="AD71" s="8">
        <f>IF($A71=AD$1,0,IF(SUM(IMshareM!AD$2:AD$78)-IMshareM!AD$30&gt;0,IMshareM!AD71/(SUM(IMshareM!AD$2:AD$78)-IMshareM!AD$30),0))</f>
        <v>0</v>
      </c>
      <c r="AE71" s="8">
        <f>IF($A71=AE$1,0,IF(SUM(IMshareM!AE$2:AE$78)-IMshareM!AE$31&gt;0,IMshareM!AE71/(SUM(IMshareM!AE$2:AE$78)-IMshareM!AE$31),0))</f>
        <v>0</v>
      </c>
      <c r="AF71" s="8">
        <f>IF($A71=AF$1,0,IF(SUM(IMshareM!AF$2:AF$78)-IMshareM!AF$32&gt;0,IMshareM!AF71/(SUM(IMshareM!AF$2:AF$78)-IMshareM!AF$32),0))</f>
        <v>1.5404076884271116E-5</v>
      </c>
      <c r="AG71" s="8">
        <f>IF($A71=AG$1,0,IF(SUM(IMshareM!AG$2:AG$78)-IMshareM!AG$33&gt;0,IMshareM!AG71/(SUM(IMshareM!AG$2:AG$78)-IMshareM!AG$33),0))</f>
        <v>3.0121172228903263E-4</v>
      </c>
      <c r="AH71" s="8">
        <f>IF($A71=AH$1,0,IF(SUM(IMshareM!AH$2:AH$78)-IMshareM!AH$34&gt;0,IMshareM!AH71/(SUM(IMshareM!AH$2:AH$78)-IMshareM!AH$34),0))</f>
        <v>7.13863272025221E-5</v>
      </c>
      <c r="AI71" s="8">
        <f>IF($A71=AI$1,0,IF(SUM(IMshareM!AI$2:AI$78)-IMshareM!AI$35&gt;0,IMshareM!AI71/(SUM(IMshareM!AI$2:AI$78)-IMshareM!AI$35),0))</f>
        <v>5.6772195142185664E-4</v>
      </c>
      <c r="AJ71" s="8">
        <f>IF($A71=AJ$1,0,IF(SUM(IMshareM!AJ$2:AJ$78)-IMshareM!AJ$36&gt;0,IMshareM!AJ71/(SUM(IMshareM!AJ$2:AJ$78)-IMshareM!AJ$36),0))</f>
        <v>0</v>
      </c>
      <c r="AK71" s="8">
        <f>IF($A71=AK$1,0,IF(SUM(IMshareM!AK$2:AK$78)-IMshareM!AK$37&gt;0,IMshareM!AK71/(SUM(IMshareM!AK$2:AK$78)-IMshareM!AK$37),0))</f>
        <v>0</v>
      </c>
      <c r="AL71" s="8">
        <f>IF($A71=AL$1,0,IF(SUM(IMshareM!AL$2:AL$78)-IMshareM!AL$38&gt;0,IMshareM!AL71/(SUM(IMshareM!AL$2:AL$78)-IMshareM!AL$38),0))</f>
        <v>4.4209416286667578E-3</v>
      </c>
      <c r="AM71" s="8">
        <f>IF($A71=AM$1,0,IF(SUM(IMshareM!AM$2:AM$78)-IMshareM!AM$39&gt;0,IMshareM!AM71/(SUM(IMshareM!AM$2:AM$78)-IMshareM!AM$39),0))</f>
        <v>7.5612162553228557E-3</v>
      </c>
      <c r="AN71" s="8">
        <f>IF($A71=AN$1,0,IF(SUM(IMshareM!AN$2:AN$78)-IMshareM!AN$40&gt;0,IMshareM!AN71/(SUM(IMshareM!AN$2:AN$78)-IMshareM!AN$40),0))</f>
        <v>2.0453516845041777E-6</v>
      </c>
      <c r="AO71" s="8">
        <f>IF($A71=AO$1,0,IF(SUM(IMshareM!AO$2:AO$78)-IMshareM!AO$41&gt;0,IMshareM!AO71/(SUM(IMshareM!AO$2:AO$78)-IMshareM!AO$41),0))</f>
        <v>0</v>
      </c>
      <c r="AP71" s="8">
        <f>IF($A71=AP$1,0,IF(SUM(IMshareM!AP$2:AP$78)-IMshareM!AP$42&gt;0,IMshareM!AP71/(SUM(IMshareM!AP$2:AP$78)-IMshareM!AP$42),0))</f>
        <v>0</v>
      </c>
      <c r="AQ71" s="8">
        <f>IF($A71=AQ$1,0,IF(SUM(IMshareM!AQ$2:AQ$78)-IMshareM!AQ$43&gt;0,IMshareM!AQ71/(SUM(IMshareM!AQ$2:AQ$78)-IMshareM!AQ$43),0))</f>
        <v>1.500923695955861E-4</v>
      </c>
      <c r="AR71" s="8">
        <f>IF($A71=AR$1,0,IF(SUM(IMshareM!AR$2:AR$78)-IMshareM!AR$44&gt;0,IMshareM!AR71/(SUM(IMshareM!AR$2:AR$78)-IMshareM!AR$44),0))</f>
        <v>0</v>
      </c>
      <c r="AS71" s="8">
        <f>IF($A71=AS$1,0,IF(SUM(IMshareM!AS$2:AS$78)-IMshareM!AS$45&gt;0,IMshareM!AS71/(SUM(IMshareM!AS$2:AS$78)-IMshareM!AS$45),0))</f>
        <v>0</v>
      </c>
      <c r="AT71" s="8">
        <f>IF($A71=AT$1,0,IF(SUM(IMshareM!AT$2:AT$78)-IMshareM!AT$46&gt;0,IMshareM!AT71/(SUM(IMshareM!AT$2:AT$78)-IMshareM!AT$46),0))</f>
        <v>1.572891830780272E-5</v>
      </c>
      <c r="AU71" s="8">
        <f>IF($A71=AU$1,0,IF(SUM(IMshareM!AU$2:AU$78)-IMshareM!AU$47&gt;0,IMshareM!AU71/(SUM(IMshareM!AU$2:AU$78)-IMshareM!AU$47),0))</f>
        <v>0</v>
      </c>
      <c r="AV71" s="8">
        <f>IF($A71=AV$1,0,IF(SUM(IMshareM!AV$2:AV$78)-IMshareM!AV$48&gt;0,IMshareM!AV71/(SUM(IMshareM!AV$2:AV$78)-IMshareM!AV$48),0))</f>
        <v>3.5292792620995992E-3</v>
      </c>
      <c r="AW71" s="8">
        <f>IF($A71=AW$1,0,IF(SUM(IMshareM!AW$2:AW$78)-IMshareM!AW$49&gt;0,IMshareM!AW71/(SUM(IMshareM!AW$2:AW$78)-IMshareM!AW$49),0))</f>
        <v>3.0780772180690856E-5</v>
      </c>
      <c r="AX71" s="8">
        <f>IF($A71=AX$1,0,IF(SUM(IMshareM!AX$2:AX$78)-IMshareM!AX$50&gt;0,IMshareM!AX71/(SUM(IMshareM!AX$2:AX$78)-IMshareM!AX$50),0))</f>
        <v>0</v>
      </c>
      <c r="AY71" s="8">
        <f>IF($A71=AY$1,0,IF(SUM(IMshareM!AY$2:AY$78)-IMshareM!AY$51&gt;0,IMshareM!AY71/(SUM(IMshareM!AY$2:AY$78)-IMshareM!AY$51),0))</f>
        <v>0</v>
      </c>
      <c r="AZ71" s="8">
        <f>IF($A71=AZ$1,0,IF(SUM(IMshareM!AZ$2:AZ$78)-IMshareM!AZ$52&gt;0,IMshareM!AZ71/(SUM(IMshareM!AZ$2:AZ$78)-IMshareM!AZ$52),0))</f>
        <v>0</v>
      </c>
      <c r="BA71" s="8">
        <f>IF($A71=BA$1,0,IF(SUM(IMshareM!BA$2:BA$78)-IMshareM!BA$53&gt;0,IMshareM!BA71/(SUM(IMshareM!BA$2:BA$78)-IMshareM!BA$53),0))</f>
        <v>0</v>
      </c>
      <c r="BB71" s="8">
        <f>IF($A71=BB$1,0,IF(SUM(IMshareM!BB$2:BB$78)-IMshareM!BB$54&gt;0,IMshareM!BB71/(SUM(IMshareM!BB$2:BB$78)-IMshareM!BB$54),0))</f>
        <v>1.4796927914180982E-2</v>
      </c>
      <c r="BC71" s="8">
        <f>IF($A71=BC$1,0,IF(SUM(IMshareM!BC$2:BC$78)-IMshareM!BC$55&gt;0,IMshareM!BC71/(SUM(IMshareM!BC$2:BC$78)-IMshareM!BC$55),0))</f>
        <v>3.7361582566125592E-5</v>
      </c>
      <c r="BD71" s="8">
        <f>IF($A71=BD$1,0,IF(SUM(IMshareM!BD$2:BD$78)-IMshareM!BD$56&gt;0,IMshareM!BD71/(SUM(IMshareM!BD$2:BD$78)-IMshareM!BD$56),0))</f>
        <v>2.6349984652762714E-3</v>
      </c>
      <c r="BE71" s="8">
        <f>IF($A71=BE$1,0,IF(SUM(IMshareM!BE$2:BE$78)-IMshareM!BE$57&gt;0,IMshareM!BE71/(SUM(IMshareM!BE$2:BE$78)-IMshareM!BE$57),0))</f>
        <v>0</v>
      </c>
      <c r="BF71" s="8">
        <f>IF($A71=BF$1,0,IF(SUM(IMshareM!BF$2:BF$78)-IMshareM!BF$58&gt;0,IMshareM!BF71/(SUM(IMshareM!BF$2:BF$78)-IMshareM!BF$58),0))</f>
        <v>7.3000249449242863E-5</v>
      </c>
      <c r="BG71" s="8">
        <f>IF($A71=BG$1,0,IF(SUM(IMshareM!BG$2:BG$78)-IMshareM!BG$59&gt;0,IMshareM!BG71/(SUM(IMshareM!BG$2:BG$78)-IMshareM!BG$59),0))</f>
        <v>9.954704142472773E-5</v>
      </c>
      <c r="BH71" s="8">
        <f>IF($A71=BH$1,0,IF(SUM(IMshareM!BH$2:BH$78)-IMshareM!BH$60&gt;0,IMshareM!BH71/(SUM(IMshareM!BH$2:BH$78)-IMshareM!BH$60),0))</f>
        <v>6.7756309273866106E-3</v>
      </c>
      <c r="BI71" s="8">
        <f>IF($A71=BI$1,0,IF(SUM(IMshareM!BI$2:BI$78)-IMshareM!BI$61&gt;0,IMshareM!BI71/(SUM(IMshareM!BI$2:BI$78)-IMshareM!BI$61),0))</f>
        <v>8.4590223157304269E-8</v>
      </c>
      <c r="BJ71" s="8">
        <f>IF($A71=BJ$1,0,IF(SUM(IMshareM!BJ$2:BJ$78)-IMshareM!BJ$62&gt;0,IMshareM!BJ71/(SUM(IMshareM!BJ$2:BJ$78)-IMshareM!BJ$62),0))</f>
        <v>0</v>
      </c>
      <c r="BK71" s="8">
        <f>IF($A71=BK$1,0,IF(SUM(IMshareM!BK$2:BK$78)-IMshareM!BK$63&gt;0,IMshareM!BK71/(SUM(IMshareM!BK$2:BK$78)-IMshareM!BK$63),0))</f>
        <v>0</v>
      </c>
      <c r="BL71" s="8">
        <f>IF($A71=BL$1,0,IF(SUM(IMshareM!BL$2:BL$78)-IMshareM!BL$64&gt;0,IMshareM!BL71/(SUM(IMshareM!BL$2:BL$78)-IMshareM!BL$64),0))</f>
        <v>6.6492071836844288E-7</v>
      </c>
      <c r="BM71" s="8">
        <f>IF($A71=BM$1,0,IF(SUM(IMshareM!BM$2:BM$78)-IMshareM!BM$65&gt;0,IMshareM!BM71/(SUM(IMshareM!BM$2:BM$78)-IMshareM!BM$65),0))</f>
        <v>1.5699442768513317E-4</v>
      </c>
      <c r="BN71" s="8">
        <f>IF($A71=BN$1,0,IF(SUM(IMshareM!BN$2:BN$78)-IMshareM!BN$66&gt;0,IMshareM!BN71/(SUM(IMshareM!BN$2:BN$78)-IMshareM!BN$66),0))</f>
        <v>1.905955147253176E-3</v>
      </c>
      <c r="BO71" s="8">
        <f>IF($A71=BO$1,0,IF(SUM(IMshareM!BO$2:BO$78)-IMshareM!BO$67&gt;0,IMshareM!BO71/(SUM(IMshareM!BO$2:BO$78)-IMshareM!BO$67),0))</f>
        <v>4.4886640016761319E-7</v>
      </c>
      <c r="BP71" s="8">
        <f>IF($A71=BP$1,0,IF(SUM(IMshareM!BP$2:BP$78)-IMshareM!BP$68&gt;0,IMshareM!BP71/(SUM(IMshareM!BP$2:BP$78)-IMshareM!BP$68),0))</f>
        <v>8.7747369111941897E-5</v>
      </c>
      <c r="BQ71" s="8">
        <f>IF($A71=BQ$1,0,IF(SUM(IMshareM!BQ$2:BQ$78)-IMshareM!BQ$69&gt;0,IMshareM!BQ71/(SUM(IMshareM!BQ$2:BQ$78)-IMshareM!BQ$69),0))</f>
        <v>6.9256633341839934E-7</v>
      </c>
      <c r="BR71" s="8">
        <f>IF($A71=BR$1,0,IF(SUM(IMshareM!BR$2:BR$78)-IMshareM!BR$70&gt;0,IMshareM!BR71/(SUM(IMshareM!BR$2:BR$78)-IMshareM!BR$70),0))</f>
        <v>3.6960359592419007E-4</v>
      </c>
      <c r="BS71" s="8">
        <f>IF($A71=BS$1,0,IF(SUM(IMshareM!BS$2:BS$78)-IMshareM!BS$71&gt;0,IMshareM!BS71/(SUM(IMshareM!BS$2:BS$78)-IMshareM!BS$71),0))</f>
        <v>0</v>
      </c>
      <c r="BT71" s="8">
        <f>IF($A71=BT$1,0,IF(SUM(IMshareM!BT$2:BT$78)-IMshareM!BT$72&gt;0,IMshareM!BT71/(SUM(IMshareM!BT$2:BT$78)-IMshareM!BT$72),0))</f>
        <v>3.7549275511104029E-3</v>
      </c>
      <c r="BU71" s="8">
        <f>IF($A71=BU$1,0,IF(SUM(IMshareM!BU$2:BU$78)-IMshareM!BU$73&gt;0,IMshareM!BU71/(SUM(IMshareM!BU$2:BU$78)-IMshareM!BU$73),0))</f>
        <v>1.1483299198523674E-5</v>
      </c>
      <c r="BV71" s="8">
        <f>IF($A71=BV$1,0,IF(SUM(IMshareM!BV$2:BV$78)-IMshareM!BV$74&gt;0,IMshareM!BV71/(SUM(IMshareM!BV$2:BV$78)-IMshareM!BV$74),0))</f>
        <v>3.2968360878596478E-4</v>
      </c>
      <c r="BW71" s="8">
        <f>IF($A71=BW$1,0,IF(SUM(IMshareM!BW$2:BW$78)-IMshareM!BW$75&gt;0,IMshareM!BW71/(SUM(IMshareM!BW$2:BW$78)-IMshareM!BW$75),0))</f>
        <v>9.7881673310589129E-4</v>
      </c>
      <c r="BX71" s="8">
        <f>IF($A71=BX$1,0,IF(SUM(IMshareM!BX$2:BX$78)-IMshareM!BX$76&gt;0,IMshareM!BX71/(SUM(IMshareM!BX$2:BX$78)-IMshareM!BX$76),0))</f>
        <v>2.5376118803993826E-5</v>
      </c>
      <c r="BY71" s="8">
        <f>IF($A71=BY$1,0,IF(SUM(IMshareM!BY$2:BY$78)-IMshareM!BY$77&gt;0,IMshareM!BY71/(SUM(IMshareM!BY$2:BY$78)-IMshareM!BY$77),0))</f>
        <v>1.2371463827774401E-3</v>
      </c>
      <c r="BZ71" s="8">
        <f>IF($A71=BZ$1,0,IF(SUM(IMshareM!BZ$2:BZ$78)-IMshareM!BZ$78&gt;0,IMshareM!BZ71/(SUM(IMshareM!BZ$2:BZ$78)-IMshareM!BZ$78),0))</f>
        <v>1.0490056914859838E-2</v>
      </c>
    </row>
    <row r="72" spans="1:78">
      <c r="A72" s="4" t="s">
        <v>211</v>
      </c>
      <c r="B72" s="8">
        <f>IF($A72=B$1,0,IF(SUM(IMshareM!B$2:B$78)-IMshareM!B$2&gt;0,IMshareM!B72/(SUM(IMshareM!B$2:B$78)-IMshareM!B$2),0))</f>
        <v>7.3357008345767832E-3</v>
      </c>
      <c r="C72" s="8">
        <f>IF($A72=C$1,0,IF(SUM(IMshareM!C$2:C$78)-IMshareM!C$3&gt;0,IMshareM!C72/(SUM(IMshareM!C$2:C$78)-IMshareM!C$3),0))</f>
        <v>1.1189167663204771E-3</v>
      </c>
      <c r="D72" s="8">
        <f>IF($A72=D$1,0,IF(SUM(IMshareM!D$2:D$78)-IMshareM!D$4&gt;0,IMshareM!D72/(SUM(IMshareM!D$2:D$78)-IMshareM!D$4),0))</f>
        <v>2.5703880170969071E-3</v>
      </c>
      <c r="E72" s="8">
        <f>IF($A72=E$1,0,IF(SUM(IMshareM!E$2:E$78)-IMshareM!E$5&gt;0,IMshareM!E72/(SUM(IMshareM!E$2:E$78)-IMshareM!E$5),0))</f>
        <v>1.4099366864848673E-3</v>
      </c>
      <c r="F72" s="8">
        <f>IF($A72=F$1,0,IF(SUM(IMshareM!F$2:F$78)-IMshareM!F$6&gt;0,IMshareM!F72/(SUM(IMshareM!F$2:F$78)-IMshareM!F$6),0))</f>
        <v>1.0015076144791938E-2</v>
      </c>
      <c r="G72" s="8">
        <f>IF($A72=G$1,0,IF(SUM(IMshareM!G$2:G$78)-IMshareM!G$7&gt;0,IMshareM!G72/(SUM(IMshareM!G$2:G$78)-IMshareM!G$7),0))</f>
        <v>8.8222525871698675E-3</v>
      </c>
      <c r="H72" s="8">
        <f>IF($A72=H$1,0,IF(SUM(IMshareM!H$2:H$78)-IMshareM!H$8&gt;0,IMshareM!H72/(SUM(IMshareM!H$2:H$78)-IMshareM!H$8),0))</f>
        <v>4.1524396677217877E-2</v>
      </c>
      <c r="I72" s="8">
        <f>IF($A72=I$1,0,IF(SUM(IMshareM!I$2:I$78)-IMshareM!I$9&gt;0,IMshareM!I72/(SUM(IMshareM!I$2:I$78)-IMshareM!I$9),0))</f>
        <v>1.7180953857626601E-3</v>
      </c>
      <c r="J72" s="8">
        <f>IF($A72=J$1,0,IF(SUM(IMshareM!J$2:J$78)-IMshareM!J$10&gt;0,IMshareM!J72/(SUM(IMshareM!J$2:J$78)-IMshareM!J$10),0))</f>
        <v>2.5258421295615399E-4</v>
      </c>
      <c r="K72" s="8">
        <f>IF($A72=K$1,0,IF(SUM(IMshareM!K$2:K$78)-IMshareM!K$11&gt;0,IMshareM!K72/(SUM(IMshareM!K$2:K$78)-IMshareM!K$11),0))</f>
        <v>1.841655585002187E-4</v>
      </c>
      <c r="L72" s="8">
        <f>IF($A72=L$1,0,IF(SUM(IMshareM!L$2:L$78)-IMshareM!L$12&gt;0,IMshareM!L72/(SUM(IMshareM!L$2:L$78)-IMshareM!L$12),0))</f>
        <v>2.5983807730847455E-3</v>
      </c>
      <c r="M72" s="8">
        <f>IF($A72=M$1,0,IF(SUM(IMshareM!M$2:M$78)-IMshareM!M$13&gt;0,IMshareM!M72/(SUM(IMshareM!M$2:M$78)-IMshareM!M$13),0))</f>
        <v>1.7604685429361746E-3</v>
      </c>
      <c r="N72" s="8">
        <f>IF($A72=N$1,0,IF(SUM(IMshareM!N$2:N$78)-IMshareM!N$14&gt;0,IMshareM!N72/(SUM(IMshareM!N$2:N$78)-IMshareM!N$14),0))</f>
        <v>2.333290400603029E-4</v>
      </c>
      <c r="O72" s="8">
        <f>IF($A72=O$1,0,IF(SUM(IMshareM!O$2:O$78)-IMshareM!O$15&gt;0,IMshareM!O72/(SUM(IMshareM!O$2:O$78)-IMshareM!O$15),0))</f>
        <v>2.266290432527452E-2</v>
      </c>
      <c r="P72" s="8">
        <f>IF($A72=P$1,0,IF(SUM(IMshareM!P$2:P$78)-IMshareM!P$16&gt;0,IMshareM!P72/(SUM(IMshareM!P$2:P$78)-IMshareM!P$16),0))</f>
        <v>7.9522252768987108E-3</v>
      </c>
      <c r="Q72" s="8">
        <f>IF($A72=Q$1,0,IF(SUM(IMshareM!Q$2:Q$78)-IMshareM!Q$17&gt;0,IMshareM!Q72/(SUM(IMshareM!Q$2:Q$78)-IMshareM!Q$17),0))</f>
        <v>7.9399329007742573E-4</v>
      </c>
      <c r="R72" s="8">
        <f>IF($A72=R$1,0,IF(SUM(IMshareM!R$2:R$78)-IMshareM!R$18&gt;0,IMshareM!R72/(SUM(IMshareM!R$2:R$78)-IMshareM!R$18),0))</f>
        <v>2.8992989228335205E-4</v>
      </c>
      <c r="S72" s="8">
        <f>IF($A72=S$1,0,IF(SUM(IMshareM!S$2:S$78)-IMshareM!S$19&gt;0,IMshareM!S72/(SUM(IMshareM!S$2:S$78)-IMshareM!S$19),0))</f>
        <v>2.8501733908336695E-5</v>
      </c>
      <c r="T72" s="8">
        <f>IF($A72=T$1,0,IF(SUM(IMshareM!T$2:T$78)-IMshareM!T$20&gt;0,IMshareM!T72/(SUM(IMshareM!T$2:T$78)-IMshareM!T$20),0))</f>
        <v>1.1933851675086401E-3</v>
      </c>
      <c r="U72" s="8">
        <f>IF($A72=U$1,0,IF(SUM(IMshareM!U$2:U$78)-IMshareM!U$21&gt;0,IMshareM!U72/(SUM(IMshareM!U$2:U$78)-IMshareM!U$21),0))</f>
        <v>5.6690989177114485E-3</v>
      </c>
      <c r="V72" s="8">
        <f>IF($A72=V$1,0,IF(SUM(IMshareM!V$2:V$78)-IMshareM!V$22&gt;0,IMshareM!V72/(SUM(IMshareM!V$2:V$78)-IMshareM!V$22),0))</f>
        <v>6.5078138609115576E-3</v>
      </c>
      <c r="W72" s="8">
        <f>IF($A72=W$1,0,IF(SUM(IMshareM!W$2:W$78)-IMshareM!W$23&gt;0,IMshareM!W72/(SUM(IMshareM!W$2:W$78)-IMshareM!W$23),0))</f>
        <v>3.7962843272973272E-2</v>
      </c>
      <c r="X72" s="8">
        <f>IF($A72=X$1,0,IF(SUM(IMshareM!X$2:X$78)-IMshareM!X$24&gt;0,IMshareM!X72/(SUM(IMshareM!X$2:X$78)-IMshareM!X$24),0))</f>
        <v>6.8075520132673496E-3</v>
      </c>
      <c r="Y72" s="8">
        <f>IF($A72=Y$1,0,IF(SUM(IMshareM!Y$2:Y$78)-IMshareM!Y$25&gt;0,IMshareM!Y72/(SUM(IMshareM!Y$2:Y$78)-IMshareM!Y$25),0))</f>
        <v>6.5881071399503911E-4</v>
      </c>
      <c r="Z72" s="8">
        <f>IF($A72=Z$1,0,IF(SUM(IMshareM!Z$2:Z$78)-IMshareM!Z$26&gt;0,IMshareM!Z72/(SUM(IMshareM!Z$2:Z$78)-IMshareM!Z$26),0))</f>
        <v>4.4493615159867947E-3</v>
      </c>
      <c r="AA72" s="8">
        <f>IF($A72=AA$1,0,IF(SUM(IMshareM!AA$2:AA$78)-IMshareM!AA$27&gt;0,IMshareM!AA72/(SUM(IMshareM!AA$2:AA$78)-IMshareM!AA$27),0))</f>
        <v>7.3793052928189705E-3</v>
      </c>
      <c r="AB72" s="8">
        <f>IF($A72=AB$1,0,IF(SUM(IMshareM!AB$2:AB$78)-IMshareM!AB$28&gt;0,IMshareM!AB72/(SUM(IMshareM!AB$2:AB$78)-IMshareM!AB$28),0))</f>
        <v>4.4552307026869591E-3</v>
      </c>
      <c r="AC72" s="8">
        <f>IF($A72=AC$1,0,IF(SUM(IMshareM!AC$2:AC$78)-IMshareM!AC$29&gt;0,IMshareM!AC72/(SUM(IMshareM!AC$2:AC$78)-IMshareM!AC$29),0))</f>
        <v>3.2912306086618173E-2</v>
      </c>
      <c r="AD72" s="8">
        <f>IF($A72=AD$1,0,IF(SUM(IMshareM!AD$2:AD$78)-IMshareM!AD$30&gt;0,IMshareM!AD72/(SUM(IMshareM!AD$2:AD$78)-IMshareM!AD$30),0))</f>
        <v>2.483700570199186E-5</v>
      </c>
      <c r="AE72" s="8">
        <f>IF($A72=AE$1,0,IF(SUM(IMshareM!AE$2:AE$78)-IMshareM!AE$31&gt;0,IMshareM!AE72/(SUM(IMshareM!AE$2:AE$78)-IMshareM!AE$31),0))</f>
        <v>7.8294791644165744E-3</v>
      </c>
      <c r="AF72" s="8">
        <f>IF($A72=AF$1,0,IF(SUM(IMshareM!AF$2:AF$78)-IMshareM!AF$32&gt;0,IMshareM!AF72/(SUM(IMshareM!AF$2:AF$78)-IMshareM!AF$32),0))</f>
        <v>2.8854336666071663E-3</v>
      </c>
      <c r="AG72" s="8">
        <f>IF($A72=AG$1,0,IF(SUM(IMshareM!AG$2:AG$78)-IMshareM!AG$33&gt;0,IMshareM!AG72/(SUM(IMshareM!AG$2:AG$78)-IMshareM!AG$33),0))</f>
        <v>3.9550977271325942E-4</v>
      </c>
      <c r="AH72" s="8">
        <f>IF($A72=AH$1,0,IF(SUM(IMshareM!AH$2:AH$78)-IMshareM!AH$34&gt;0,IMshareM!AH72/(SUM(IMshareM!AH$2:AH$78)-IMshareM!AH$34),0))</f>
        <v>3.7129367725706732E-3</v>
      </c>
      <c r="AI72" s="8">
        <f>IF($A72=AI$1,0,IF(SUM(IMshareM!AI$2:AI$78)-IMshareM!AI$35&gt;0,IMshareM!AI72/(SUM(IMshareM!AI$2:AI$78)-IMshareM!AI$35),0))</f>
        <v>8.7122294384151412E-3</v>
      </c>
      <c r="AJ72" s="8">
        <f>IF($A72=AJ$1,0,IF(SUM(IMshareM!AJ$2:AJ$78)-IMshareM!AJ$36&gt;0,IMshareM!AJ72/(SUM(IMshareM!AJ$2:AJ$78)-IMshareM!AJ$36),0))</f>
        <v>2.8862648255543241E-4</v>
      </c>
      <c r="AK72" s="8">
        <f>IF($A72=AK$1,0,IF(SUM(IMshareM!AK$2:AK$78)-IMshareM!AK$37&gt;0,IMshareM!AK72/(SUM(IMshareM!AK$2:AK$78)-IMshareM!AK$37),0))</f>
        <v>8.8584351213694176E-3</v>
      </c>
      <c r="AL72" s="8">
        <f>IF($A72=AL$1,0,IF(SUM(IMshareM!AL$2:AL$78)-IMshareM!AL$38&gt;0,IMshareM!AL72/(SUM(IMshareM!AL$2:AL$78)-IMshareM!AL$38),0))</f>
        <v>8.9277097820383636E-3</v>
      </c>
      <c r="AM72" s="8">
        <f>IF($A72=AM$1,0,IF(SUM(IMshareM!AM$2:AM$78)-IMshareM!AM$39&gt;0,IMshareM!AM72/(SUM(IMshareM!AM$2:AM$78)-IMshareM!AM$39),0))</f>
        <v>4.1652424134451853E-2</v>
      </c>
      <c r="AN72" s="8">
        <f>IF($A72=AN$1,0,IF(SUM(IMshareM!AN$2:AN$78)-IMshareM!AN$40&gt;0,IMshareM!AN72/(SUM(IMshareM!AN$2:AN$78)-IMshareM!AN$40),0))</f>
        <v>8.3884718883718381E-5</v>
      </c>
      <c r="AO72" s="8">
        <f>IF($A72=AO$1,0,IF(SUM(IMshareM!AO$2:AO$78)-IMshareM!AO$41&gt;0,IMshareM!AO72/(SUM(IMshareM!AO$2:AO$78)-IMshareM!AO$41),0))</f>
        <v>1.4768815526579616E-2</v>
      </c>
      <c r="AP72" s="8">
        <f>IF($A72=AP$1,0,IF(SUM(IMshareM!AP$2:AP$78)-IMshareM!AP$42&gt;0,IMshareM!AP72/(SUM(IMshareM!AP$2:AP$78)-IMshareM!AP$42),0))</f>
        <v>9.3204839561571656E-5</v>
      </c>
      <c r="AQ72" s="8">
        <f>IF($A72=AQ$1,0,IF(SUM(IMshareM!AQ$2:AQ$78)-IMshareM!AQ$43&gt;0,IMshareM!AQ72/(SUM(IMshareM!AQ$2:AQ$78)-IMshareM!AQ$43),0))</f>
        <v>1.094421078899985E-4</v>
      </c>
      <c r="AR72" s="8">
        <f>IF($A72=AR$1,0,IF(SUM(IMshareM!AR$2:AR$78)-IMshareM!AR$44&gt;0,IMshareM!AR72/(SUM(IMshareM!AR$2:AR$78)-IMshareM!AR$44),0))</f>
        <v>3.4930501843294159E-4</v>
      </c>
      <c r="AS72" s="8">
        <f>IF($A72=AS$1,0,IF(SUM(IMshareM!AS$2:AS$78)-IMshareM!AS$45&gt;0,IMshareM!AS72/(SUM(IMshareM!AS$2:AS$78)-IMshareM!AS$45),0))</f>
        <v>2.2225103807252677E-3</v>
      </c>
      <c r="AT72" s="8">
        <f>IF($A72=AT$1,0,IF(SUM(IMshareM!AT$2:AT$78)-IMshareM!AT$46&gt;0,IMshareM!AT72/(SUM(IMshareM!AT$2:AT$78)-IMshareM!AT$46),0))</f>
        <v>2.246450094082501E-3</v>
      </c>
      <c r="AU72" s="8">
        <f>IF($A72=AU$1,0,IF(SUM(IMshareM!AU$2:AU$78)-IMshareM!AU$47&gt;0,IMshareM!AU72/(SUM(IMshareM!AU$2:AU$78)-IMshareM!AU$47),0))</f>
        <v>4.5814454113904488E-2</v>
      </c>
      <c r="AV72" s="8">
        <f>IF($A72=AV$1,0,IF(SUM(IMshareM!AV$2:AV$78)-IMshareM!AV$48&gt;0,IMshareM!AV72/(SUM(IMshareM!AV$2:AV$78)-IMshareM!AV$48),0))</f>
        <v>3.2141493792808166E-2</v>
      </c>
      <c r="AW72" s="8">
        <f>IF($A72=AW$1,0,IF(SUM(IMshareM!AW$2:AW$78)-IMshareM!AW$49&gt;0,IMshareM!AW72/(SUM(IMshareM!AW$2:AW$78)-IMshareM!AW$49),0))</f>
        <v>8.0768547793656244E-4</v>
      </c>
      <c r="AX72" s="8">
        <f>IF($A72=AX$1,0,IF(SUM(IMshareM!AX$2:AX$78)-IMshareM!AX$50&gt;0,IMshareM!AX72/(SUM(IMshareM!AX$2:AX$78)-IMshareM!AX$50),0))</f>
        <v>2.0660803316923386E-3</v>
      </c>
      <c r="AY72" s="8">
        <f>IF($A72=AY$1,0,IF(SUM(IMshareM!AY$2:AY$78)-IMshareM!AY$51&gt;0,IMshareM!AY72/(SUM(IMshareM!AY$2:AY$78)-IMshareM!AY$51),0))</f>
        <v>1.8416193355817461E-3</v>
      </c>
      <c r="AZ72" s="8">
        <f>IF($A72=AZ$1,0,IF(SUM(IMshareM!AZ$2:AZ$78)-IMshareM!AZ$52&gt;0,IMshareM!AZ72/(SUM(IMshareM!AZ$2:AZ$78)-IMshareM!AZ$52),0))</f>
        <v>6.9734469980747469E-5</v>
      </c>
      <c r="BA72" s="8">
        <f>IF($A72=BA$1,0,IF(SUM(IMshareM!BA$2:BA$78)-IMshareM!BA$53&gt;0,IMshareM!BA72/(SUM(IMshareM!BA$2:BA$78)-IMshareM!BA$53),0))</f>
        <v>1.2344253150995558E-3</v>
      </c>
      <c r="BB72" s="8">
        <f>IF($A72=BB$1,0,IF(SUM(IMshareM!BB$2:BB$78)-IMshareM!BB$54&gt;0,IMshareM!BB72/(SUM(IMshareM!BB$2:BB$78)-IMshareM!BB$54),0))</f>
        <v>4.7958899726995297E-3</v>
      </c>
      <c r="BC72" s="8">
        <f>IF($A72=BC$1,0,IF(SUM(IMshareM!BC$2:BC$78)-IMshareM!BC$55&gt;0,IMshareM!BC72/(SUM(IMshareM!BC$2:BC$78)-IMshareM!BC$55),0))</f>
        <v>1.223654499166842E-3</v>
      </c>
      <c r="BD72" s="8">
        <f>IF($A72=BD$1,0,IF(SUM(IMshareM!BD$2:BD$78)-IMshareM!BD$56&gt;0,IMshareM!BD72/(SUM(IMshareM!BD$2:BD$78)-IMshareM!BD$56),0))</f>
        <v>2.9471055091213169E-3</v>
      </c>
      <c r="BE72" s="8">
        <f>IF($A72=BE$1,0,IF(SUM(IMshareM!BE$2:BE$78)-IMshareM!BE$57&gt;0,IMshareM!BE72/(SUM(IMshareM!BE$2:BE$78)-IMshareM!BE$57),0))</f>
        <v>5.3906412601203817E-3</v>
      </c>
      <c r="BF72" s="8">
        <f>IF($A72=BF$1,0,IF(SUM(IMshareM!BF$2:BF$78)-IMshareM!BF$58&gt;0,IMshareM!BF72/(SUM(IMshareM!BF$2:BF$78)-IMshareM!BF$58),0))</f>
        <v>5.5292085266882771E-3</v>
      </c>
      <c r="BG72" s="8">
        <f>IF($A72=BG$1,0,IF(SUM(IMshareM!BG$2:BG$78)-IMshareM!BG$59&gt;0,IMshareM!BG72/(SUM(IMshareM!BG$2:BG$78)-IMshareM!BG$59),0))</f>
        <v>4.5276774246872108E-4</v>
      </c>
      <c r="BH72" s="8">
        <f>IF($A72=BH$1,0,IF(SUM(IMshareM!BH$2:BH$78)-IMshareM!BH$60&gt;0,IMshareM!BH72/(SUM(IMshareM!BH$2:BH$78)-IMshareM!BH$60),0))</f>
        <v>5.853324449233489E-3</v>
      </c>
      <c r="BI72" s="8">
        <f>IF($A72=BI$1,0,IF(SUM(IMshareM!BI$2:BI$78)-IMshareM!BI$61&gt;0,IMshareM!BI72/(SUM(IMshareM!BI$2:BI$78)-IMshareM!BI$61),0))</f>
        <v>7.5458505568342394E-5</v>
      </c>
      <c r="BJ72" s="8">
        <f>IF($A72=BJ$1,0,IF(SUM(IMshareM!BJ$2:BJ$78)-IMshareM!BJ$62&gt;0,IMshareM!BJ72/(SUM(IMshareM!BJ$2:BJ$78)-IMshareM!BJ$62),0))</f>
        <v>2.5681744749951246E-2</v>
      </c>
      <c r="BK72" s="8">
        <f>IF($A72=BK$1,0,IF(SUM(IMshareM!BK$2:BK$78)-IMshareM!BK$63&gt;0,IMshareM!BK72/(SUM(IMshareM!BK$2:BK$78)-IMshareM!BK$63),0))</f>
        <v>3.7085857056747329E-2</v>
      </c>
      <c r="BL72" s="8">
        <f>IF($A72=BL$1,0,IF(SUM(IMshareM!BL$2:BL$78)-IMshareM!BL$64&gt;0,IMshareM!BL72/(SUM(IMshareM!BL$2:BL$78)-IMshareM!BL$64),0))</f>
        <v>6.8922899306959884E-3</v>
      </c>
      <c r="BM72" s="8">
        <f>IF($A72=BM$1,0,IF(SUM(IMshareM!BM$2:BM$78)-IMshareM!BM$65&gt;0,IMshareM!BM72/(SUM(IMshareM!BM$2:BM$78)-IMshareM!BM$65),0))</f>
        <v>8.3958143993588981E-3</v>
      </c>
      <c r="BN72" s="8">
        <f>IF($A72=BN$1,0,IF(SUM(IMshareM!BN$2:BN$78)-IMshareM!BN$66&gt;0,IMshareM!BN72/(SUM(IMshareM!BN$2:BN$78)-IMshareM!BN$66),0))</f>
        <v>6.3322643975809211E-4</v>
      </c>
      <c r="BO72" s="8">
        <f>IF($A72=BO$1,0,IF(SUM(IMshareM!BO$2:BO$78)-IMshareM!BO$67&gt;0,IMshareM!BO72/(SUM(IMshareM!BO$2:BO$78)-IMshareM!BO$67),0))</f>
        <v>1.4556392863880863E-3</v>
      </c>
      <c r="BP72" s="8">
        <f>IF($A72=BP$1,0,IF(SUM(IMshareM!BP$2:BP$78)-IMshareM!BP$68&gt;0,IMshareM!BP72/(SUM(IMshareM!BP$2:BP$78)-IMshareM!BP$68),0))</f>
        <v>3.169331727699625E-3</v>
      </c>
      <c r="BQ72" s="8">
        <f>IF($A72=BQ$1,0,IF(SUM(IMshareM!BQ$2:BQ$78)-IMshareM!BQ$69&gt;0,IMshareM!BQ72/(SUM(IMshareM!BQ$2:BQ$78)-IMshareM!BQ$69),0))</f>
        <v>1.9693814278933064E-3</v>
      </c>
      <c r="BR72" s="8">
        <f>IF($A72=BR$1,0,IF(SUM(IMshareM!BR$2:BR$78)-IMshareM!BR$70&gt;0,IMshareM!BR72/(SUM(IMshareM!BR$2:BR$78)-IMshareM!BR$70),0))</f>
        <v>3.8677303493086027E-4</v>
      </c>
      <c r="BS72" s="8">
        <f>IF($A72=BS$1,0,IF(SUM(IMshareM!BS$2:BS$78)-IMshareM!BS$71&gt;0,IMshareM!BS72/(SUM(IMshareM!BS$2:BS$78)-IMshareM!BS$71),0))</f>
        <v>3.561458050408034E-2</v>
      </c>
      <c r="BT72" s="8">
        <f>IF($A72=BT$1,0,IF(SUM(IMshareM!BT$2:BT$78)-IMshareM!BT$72&gt;0,IMshareM!BT72/(SUM(IMshareM!BT$2:BT$78)-IMshareM!BT$72),0))</f>
        <v>0</v>
      </c>
      <c r="BU72" s="8">
        <f>IF($A72=BU$1,0,IF(SUM(IMshareM!BU$2:BU$78)-IMshareM!BU$73&gt;0,IMshareM!BU72/(SUM(IMshareM!BU$2:BU$78)-IMshareM!BU$73),0))</f>
        <v>1.6326130923435475E-4</v>
      </c>
      <c r="BV72" s="8">
        <f>IF($A72=BV$1,0,IF(SUM(IMshareM!BV$2:BV$78)-IMshareM!BV$74&gt;0,IMshareM!BV72/(SUM(IMshareM!BV$2:BV$78)-IMshareM!BV$74),0))</f>
        <v>2.454627865426082E-2</v>
      </c>
      <c r="BW72" s="8">
        <f>IF($A72=BW$1,0,IF(SUM(IMshareM!BW$2:BW$78)-IMshareM!BW$75&gt;0,IMshareM!BW72/(SUM(IMshareM!BW$2:BW$78)-IMshareM!BW$75),0))</f>
        <v>5.4858136582819979E-4</v>
      </c>
      <c r="BX72" s="8">
        <f>IF($A72=BX$1,0,IF(SUM(IMshareM!BX$2:BX$78)-IMshareM!BX$76&gt;0,IMshareM!BX72/(SUM(IMshareM!BX$2:BX$78)-IMshareM!BX$76),0))</f>
        <v>1.2819746303638756E-4</v>
      </c>
      <c r="BY72" s="8">
        <f>IF($A72=BY$1,0,IF(SUM(IMshareM!BY$2:BY$78)-IMshareM!BY$77&gt;0,IMshareM!BY72/(SUM(IMshareM!BY$2:BY$78)-IMshareM!BY$77),0))</f>
        <v>1.0080458950250582E-2</v>
      </c>
      <c r="BZ72" s="8">
        <f>IF($A72=BZ$1,0,IF(SUM(IMshareM!BZ$2:BZ$78)-IMshareM!BZ$78&gt;0,IMshareM!BZ72/(SUM(IMshareM!BZ$2:BZ$78)-IMshareM!BZ$78),0))</f>
        <v>1.5835873211103014E-2</v>
      </c>
    </row>
    <row r="73" spans="1:78">
      <c r="A73" s="4" t="s">
        <v>213</v>
      </c>
      <c r="B73" s="8">
        <f>IF($A73=B$1,0,IF(SUM(IMshareM!B$2:B$78)-IMshareM!B$2&gt;0,IMshareM!B73/(SUM(IMshareM!B$2:B$78)-IMshareM!B$2),0))</f>
        <v>9.3409066857398464E-3</v>
      </c>
      <c r="C73" s="8">
        <f>IF($A73=C$1,0,IF(SUM(IMshareM!C$2:C$78)-IMshareM!C$3&gt;0,IMshareM!C73/(SUM(IMshareM!C$2:C$78)-IMshareM!C$3),0))</f>
        <v>2.039114322036319E-2</v>
      </c>
      <c r="D73" s="8">
        <f>IF($A73=D$1,0,IF(SUM(IMshareM!D$2:D$78)-IMshareM!D$4&gt;0,IMshareM!D73/(SUM(IMshareM!D$2:D$78)-IMshareM!D$4),0))</f>
        <v>9.6836175043417995E-3</v>
      </c>
      <c r="E73" s="8">
        <f>IF($A73=E$1,0,IF(SUM(IMshareM!E$2:E$78)-IMshareM!E$5&gt;0,IMshareM!E73/(SUM(IMshareM!E$2:E$78)-IMshareM!E$5),0))</f>
        <v>1.4820351226051641E-3</v>
      </c>
      <c r="F73" s="8">
        <f>IF($A73=F$1,0,IF(SUM(IMshareM!F$2:F$78)-IMshareM!F$6&gt;0,IMshareM!F73/(SUM(IMshareM!F$2:F$78)-IMshareM!F$6),0))</f>
        <v>6.6555541253030112E-3</v>
      </c>
      <c r="G73" s="8">
        <f>IF($A73=G$1,0,IF(SUM(IMshareM!G$2:G$78)-IMshareM!G$7&gt;0,IMshareM!G73/(SUM(IMshareM!G$2:G$78)-IMshareM!G$7),0))</f>
        <v>9.3482537691881573E-4</v>
      </c>
      <c r="H73" s="8">
        <f>IF($A73=H$1,0,IF(SUM(IMshareM!H$2:H$78)-IMshareM!H$8&gt;0,IMshareM!H73/(SUM(IMshareM!H$2:H$78)-IMshareM!H$8),0))</f>
        <v>1.8405190705544391E-3</v>
      </c>
      <c r="I73" s="8">
        <f>IF($A73=I$1,0,IF(SUM(IMshareM!I$2:I$78)-IMshareM!I$9&gt;0,IMshareM!I73/(SUM(IMshareM!I$2:I$78)-IMshareM!I$9),0))</f>
        <v>1.1645844377491121E-2</v>
      </c>
      <c r="J73" s="8">
        <f>IF($A73=J$1,0,IF(SUM(IMshareM!J$2:J$78)-IMshareM!J$10&gt;0,IMshareM!J73/(SUM(IMshareM!J$2:J$78)-IMshareM!J$10),0))</f>
        <v>1.152269679858943E-2</v>
      </c>
      <c r="K73" s="8">
        <f>IF($A73=K$1,0,IF(SUM(IMshareM!K$2:K$78)-IMshareM!K$11&gt;0,IMshareM!K73/(SUM(IMshareM!K$2:K$78)-IMshareM!K$11),0))</f>
        <v>1.3956231261067171E-2</v>
      </c>
      <c r="L73" s="8">
        <f>IF($A73=L$1,0,IF(SUM(IMshareM!L$2:L$78)-IMshareM!L$12&gt;0,IMshareM!L73/(SUM(IMshareM!L$2:L$78)-IMshareM!L$12),0))</f>
        <v>1.6696596665325584E-2</v>
      </c>
      <c r="M73" s="8">
        <f>IF($A73=M$1,0,IF(SUM(IMshareM!M$2:M$78)-IMshareM!M$13&gt;0,IMshareM!M73/(SUM(IMshareM!M$2:M$78)-IMshareM!M$13),0))</f>
        <v>1.1105366479557768E-3</v>
      </c>
      <c r="N73" s="8">
        <f>IF($A73=N$1,0,IF(SUM(IMshareM!N$2:N$78)-IMshareM!N$14&gt;0,IMshareM!N73/(SUM(IMshareM!N$2:N$78)-IMshareM!N$14),0))</f>
        <v>2.7843120919705242E-2</v>
      </c>
      <c r="O73" s="8">
        <f>IF($A73=O$1,0,IF(SUM(IMshareM!O$2:O$78)-IMshareM!O$15&gt;0,IMshareM!O73/(SUM(IMshareM!O$2:O$78)-IMshareM!O$15),0))</f>
        <v>1.006506126079823E-2</v>
      </c>
      <c r="P73" s="8">
        <f>IF($A73=P$1,0,IF(SUM(IMshareM!P$2:P$78)-IMshareM!P$16&gt;0,IMshareM!P73/(SUM(IMshareM!P$2:P$78)-IMshareM!P$16),0))</f>
        <v>7.241366691167877E-4</v>
      </c>
      <c r="Q73" s="8">
        <f>IF($A73=Q$1,0,IF(SUM(IMshareM!Q$2:Q$78)-IMshareM!Q$17&gt;0,IMshareM!Q73/(SUM(IMshareM!Q$2:Q$78)-IMshareM!Q$17),0))</f>
        <v>2.6860613552825402E-2</v>
      </c>
      <c r="R73" s="8">
        <f>IF($A73=R$1,0,IF(SUM(IMshareM!R$2:R$78)-IMshareM!R$18&gt;0,IMshareM!R73/(SUM(IMshareM!R$2:R$78)-IMshareM!R$18),0))</f>
        <v>7.2619978589942812E-3</v>
      </c>
      <c r="S73" s="8">
        <f>IF($A73=S$1,0,IF(SUM(IMshareM!S$2:S$78)-IMshareM!S$19&gt;0,IMshareM!S73/(SUM(IMshareM!S$2:S$78)-IMshareM!S$19),0))</f>
        <v>6.2646293345102093E-3</v>
      </c>
      <c r="T73" s="8">
        <f>IF($A73=T$1,0,IF(SUM(IMshareM!T$2:T$78)-IMshareM!T$20&gt;0,IMshareM!T73/(SUM(IMshareM!T$2:T$78)-IMshareM!T$20),0))</f>
        <v>1.0251254611754752E-3</v>
      </c>
      <c r="U73" s="8">
        <f>IF($A73=U$1,0,IF(SUM(IMshareM!U$2:U$78)-IMshareM!U$21&gt;0,IMshareM!U73/(SUM(IMshareM!U$2:U$78)-IMshareM!U$21),0))</f>
        <v>3.8447418551742817E-3</v>
      </c>
      <c r="V73" s="8">
        <f>IF($A73=V$1,0,IF(SUM(IMshareM!V$2:V$78)-IMshareM!V$22&gt;0,IMshareM!V73/(SUM(IMshareM!V$2:V$78)-IMshareM!V$22),0))</f>
        <v>8.6433339641234473E-3</v>
      </c>
      <c r="W73" s="8">
        <f>IF($A73=W$1,0,IF(SUM(IMshareM!W$2:W$78)-IMshareM!W$23&gt;0,IMshareM!W73/(SUM(IMshareM!W$2:W$78)-IMshareM!W$23),0))</f>
        <v>8.3874039069756537E-4</v>
      </c>
      <c r="X73" s="8">
        <f>IF($A73=X$1,0,IF(SUM(IMshareM!X$2:X$78)-IMshareM!X$24&gt;0,IMshareM!X73/(SUM(IMshareM!X$2:X$78)-IMshareM!X$24),0))</f>
        <v>2.7689006133056497E-3</v>
      </c>
      <c r="Y73" s="8">
        <f>IF($A73=Y$1,0,IF(SUM(IMshareM!Y$2:Y$78)-IMshareM!Y$25&gt;0,IMshareM!Y73/(SUM(IMshareM!Y$2:Y$78)-IMshareM!Y$25),0))</f>
        <v>3.3996366972790693E-3</v>
      </c>
      <c r="Z73" s="8">
        <f>IF($A73=Z$1,0,IF(SUM(IMshareM!Z$2:Z$78)-IMshareM!Z$26&gt;0,IMshareM!Z73/(SUM(IMshareM!Z$2:Z$78)-IMshareM!Z$26),0))</f>
        <v>8.2432597993185811E-3</v>
      </c>
      <c r="AA73" s="8">
        <f>IF($A73=AA$1,0,IF(SUM(IMshareM!AA$2:AA$78)-IMshareM!AA$27&gt;0,IMshareM!AA73/(SUM(IMshareM!AA$2:AA$78)-IMshareM!AA$27),0))</f>
        <v>2.5072624101873785E-3</v>
      </c>
      <c r="AB73" s="8">
        <f>IF($A73=AB$1,0,IF(SUM(IMshareM!AB$2:AB$78)-IMshareM!AB$28&gt;0,IMshareM!AB73/(SUM(IMshareM!AB$2:AB$78)-IMshareM!AB$28),0))</f>
        <v>4.1357459452704979E-3</v>
      </c>
      <c r="AC73" s="8">
        <f>IF($A73=AC$1,0,IF(SUM(IMshareM!AC$2:AC$78)-IMshareM!AC$29&gt;0,IMshareM!AC73/(SUM(IMshareM!AC$2:AC$78)-IMshareM!AC$29),0))</f>
        <v>1.6880281347985884E-3</v>
      </c>
      <c r="AD73" s="8">
        <f>IF($A73=AD$1,0,IF(SUM(IMshareM!AD$2:AD$78)-IMshareM!AD$30&gt;0,IMshareM!AD73/(SUM(IMshareM!AD$2:AD$78)-IMshareM!AD$30),0))</f>
        <v>3.436814354437881E-2</v>
      </c>
      <c r="AE73" s="8">
        <f>IF($A73=AE$1,0,IF(SUM(IMshareM!AE$2:AE$78)-IMshareM!AE$31&gt;0,IMshareM!AE73/(SUM(IMshareM!AE$2:AE$78)-IMshareM!AE$31),0))</f>
        <v>1.297513253282063E-2</v>
      </c>
      <c r="AF73" s="8">
        <f>IF($A73=AF$1,0,IF(SUM(IMshareM!AF$2:AF$78)-IMshareM!AF$32&gt;0,IMshareM!AF73/(SUM(IMshareM!AF$2:AF$78)-IMshareM!AF$32),0))</f>
        <v>3.1815687091678391E-3</v>
      </c>
      <c r="AG73" s="8">
        <f>IF($A73=AG$1,0,IF(SUM(IMshareM!AG$2:AG$78)-IMshareM!AG$33&gt;0,IMshareM!AG73/(SUM(IMshareM!AG$2:AG$78)-IMshareM!AG$33),0))</f>
        <v>7.5703646560979871E-3</v>
      </c>
      <c r="AH73" s="8">
        <f>IF($A73=AH$1,0,IF(SUM(IMshareM!AH$2:AH$78)-IMshareM!AH$34&gt;0,IMshareM!AH73/(SUM(IMshareM!AH$2:AH$78)-IMshareM!AH$34),0))</f>
        <v>7.3114589824431848E-3</v>
      </c>
      <c r="AI73" s="8">
        <f>IF($A73=AI$1,0,IF(SUM(IMshareM!AI$2:AI$78)-IMshareM!AI$35&gt;0,IMshareM!AI73/(SUM(IMshareM!AI$2:AI$78)-IMshareM!AI$35),0))</f>
        <v>4.1017422898966416E-3</v>
      </c>
      <c r="AJ73" s="8">
        <f>IF($A73=AJ$1,0,IF(SUM(IMshareM!AJ$2:AJ$78)-IMshareM!AJ$36&gt;0,IMshareM!AJ73/(SUM(IMshareM!AJ$2:AJ$78)-IMshareM!AJ$36),0))</f>
        <v>2.4349200362986352E-3</v>
      </c>
      <c r="AK73" s="8">
        <f>IF($A73=AK$1,0,IF(SUM(IMshareM!AK$2:AK$78)-IMshareM!AK$37&gt;0,IMshareM!AK73/(SUM(IMshareM!AK$2:AK$78)-IMshareM!AK$37),0))</f>
        <v>8.0998631319086686E-3</v>
      </c>
      <c r="AL73" s="8">
        <f>IF($A73=AL$1,0,IF(SUM(IMshareM!AL$2:AL$78)-IMshareM!AL$38&gt;0,IMshareM!AL73/(SUM(IMshareM!AL$2:AL$78)-IMshareM!AL$38),0))</f>
        <v>2.4241214852358953E-3</v>
      </c>
      <c r="AM73" s="8">
        <f>IF($A73=AM$1,0,IF(SUM(IMshareM!AM$2:AM$78)-IMshareM!AM$39&gt;0,IMshareM!AM73/(SUM(IMshareM!AM$2:AM$78)-IMshareM!AM$39),0))</f>
        <v>5.0110537542808198E-3</v>
      </c>
      <c r="AN73" s="8">
        <f>IF($A73=AN$1,0,IF(SUM(IMshareM!AN$2:AN$78)-IMshareM!AN$40&gt;0,IMshareM!AN73/(SUM(IMshareM!AN$2:AN$78)-IMshareM!AN$40),0))</f>
        <v>3.4459277474263784E-2</v>
      </c>
      <c r="AO73" s="8">
        <f>IF($A73=AO$1,0,IF(SUM(IMshareM!AO$2:AO$78)-IMshareM!AO$41&gt;0,IMshareM!AO73/(SUM(IMshareM!AO$2:AO$78)-IMshareM!AO$41),0))</f>
        <v>1.5575582814566436E-4</v>
      </c>
      <c r="AP73" s="8">
        <f>IF($A73=AP$1,0,IF(SUM(IMshareM!AP$2:AP$78)-IMshareM!AP$42&gt;0,IMshareM!AP73/(SUM(IMshareM!AP$2:AP$78)-IMshareM!AP$42),0))</f>
        <v>0.21647219298744969</v>
      </c>
      <c r="AQ73" s="8">
        <f>IF($A73=AQ$1,0,IF(SUM(IMshareM!AQ$2:AQ$78)-IMshareM!AQ$43&gt;0,IMshareM!AQ73/(SUM(IMshareM!AQ$2:AQ$78)-IMshareM!AQ$43),0))</f>
        <v>4.9463513831415886E-3</v>
      </c>
      <c r="AR73" s="8">
        <f>IF($A73=AR$1,0,IF(SUM(IMshareM!AR$2:AR$78)-IMshareM!AR$44&gt;0,IMshareM!AR73/(SUM(IMshareM!AR$2:AR$78)-IMshareM!AR$44),0))</f>
        <v>1.2889252894665021E-5</v>
      </c>
      <c r="AS73" s="8">
        <f>IF($A73=AS$1,0,IF(SUM(IMshareM!AS$2:AS$78)-IMshareM!AS$45&gt;0,IMshareM!AS73/(SUM(IMshareM!AS$2:AS$78)-IMshareM!AS$45),0))</f>
        <v>2.0675659008504038E-3</v>
      </c>
      <c r="AT73" s="8">
        <f>IF($A73=AT$1,0,IF(SUM(IMshareM!AT$2:AT$78)-IMshareM!AT$46&gt;0,IMshareM!AT73/(SUM(IMshareM!AT$2:AT$78)-IMshareM!AT$46),0))</f>
        <v>1.350858821611918E-3</v>
      </c>
      <c r="AU73" s="8">
        <f>IF($A73=AU$1,0,IF(SUM(IMshareM!AU$2:AU$78)-IMshareM!AU$47&gt;0,IMshareM!AU73/(SUM(IMshareM!AU$2:AU$78)-IMshareM!AU$47),0))</f>
        <v>1.0113854875116389E-2</v>
      </c>
      <c r="AV73" s="8">
        <f>IF($A73=AV$1,0,IF(SUM(IMshareM!AV$2:AV$78)-IMshareM!AV$48&gt;0,IMshareM!AV73/(SUM(IMshareM!AV$2:AV$78)-IMshareM!AV$48),0))</f>
        <v>2.6684620565944769E-3</v>
      </c>
      <c r="AW73" s="8">
        <f>IF($A73=AW$1,0,IF(SUM(IMshareM!AW$2:AW$78)-IMshareM!AW$49&gt;0,IMshareM!AW73/(SUM(IMshareM!AW$2:AW$78)-IMshareM!AW$49),0))</f>
        <v>2.7239208037397301E-2</v>
      </c>
      <c r="AX73" s="8">
        <f>IF($A73=AX$1,0,IF(SUM(IMshareM!AX$2:AX$78)-IMshareM!AX$50&gt;0,IMshareM!AX73/(SUM(IMshareM!AX$2:AX$78)-IMshareM!AX$50),0))</f>
        <v>3.8207974276174015E-5</v>
      </c>
      <c r="AY73" s="8">
        <f>IF($A73=AY$1,0,IF(SUM(IMshareM!AY$2:AY$78)-IMshareM!AY$51&gt;0,IMshareM!AY73/(SUM(IMshareM!AY$2:AY$78)-IMshareM!AY$51),0))</f>
        <v>1.9358509014362521E-3</v>
      </c>
      <c r="AZ73" s="8">
        <f>IF($A73=AZ$1,0,IF(SUM(IMshareM!AZ$2:AZ$78)-IMshareM!AZ$52&gt;0,IMshareM!AZ73/(SUM(IMshareM!AZ$2:AZ$78)-IMshareM!AZ$52),0))</f>
        <v>3.4037209330450291E-2</v>
      </c>
      <c r="BA73" s="8">
        <f>IF($A73=BA$1,0,IF(SUM(IMshareM!BA$2:BA$78)-IMshareM!BA$53&gt;0,IMshareM!BA73/(SUM(IMshareM!BA$2:BA$78)-IMshareM!BA$53),0))</f>
        <v>6.0022656422688614E-5</v>
      </c>
      <c r="BB73" s="8">
        <f>IF($A73=BB$1,0,IF(SUM(IMshareM!BB$2:BB$78)-IMshareM!BB$54&gt;0,IMshareM!BB73/(SUM(IMshareM!BB$2:BB$78)-IMshareM!BB$54),0))</f>
        <v>7.7404266595580964E-3</v>
      </c>
      <c r="BC73" s="8">
        <f>IF($A73=BC$1,0,IF(SUM(IMshareM!BC$2:BC$78)-IMshareM!BC$55&gt;0,IMshareM!BC73/(SUM(IMshareM!BC$2:BC$78)-IMshareM!BC$55),0))</f>
        <v>5.1703525800585936E-3</v>
      </c>
      <c r="BD73" s="8">
        <f>IF($A73=BD$1,0,IF(SUM(IMshareM!BD$2:BD$78)-IMshareM!BD$56&gt;0,IMshareM!BD73/(SUM(IMshareM!BD$2:BD$78)-IMshareM!BD$56),0))</f>
        <v>2.0058121727888015E-2</v>
      </c>
      <c r="BE73" s="8">
        <f>IF($A73=BE$1,0,IF(SUM(IMshareM!BE$2:BE$78)-IMshareM!BE$57&gt;0,IMshareM!BE73/(SUM(IMshareM!BE$2:BE$78)-IMshareM!BE$57),0))</f>
        <v>5.3489530906855277E-3</v>
      </c>
      <c r="BF73" s="8">
        <f>IF($A73=BF$1,0,IF(SUM(IMshareM!BF$2:BF$78)-IMshareM!BF$58&gt;0,IMshareM!BF73/(SUM(IMshareM!BF$2:BF$78)-IMshareM!BF$58),0))</f>
        <v>2.4488388883011691E-2</v>
      </c>
      <c r="BG73" s="8">
        <f>IF($A73=BG$1,0,IF(SUM(IMshareM!BG$2:BG$78)-IMshareM!BG$59&gt;0,IMshareM!BG73/(SUM(IMshareM!BG$2:BG$78)-IMshareM!BG$59),0))</f>
        <v>3.7525041753764747E-2</v>
      </c>
      <c r="BH73" s="8">
        <f>IF($A73=BH$1,0,IF(SUM(IMshareM!BH$2:BH$78)-IMshareM!BH$60&gt;0,IMshareM!BH73/(SUM(IMshareM!BH$2:BH$78)-IMshareM!BH$60),0))</f>
        <v>2.3935489551345342E-2</v>
      </c>
      <c r="BI73" s="8">
        <f>IF($A73=BI$1,0,IF(SUM(IMshareM!BI$2:BI$78)-IMshareM!BI$61&gt;0,IMshareM!BI73/(SUM(IMshareM!BI$2:BI$78)-IMshareM!BI$61),0))</f>
        <v>2.7581282854069024E-3</v>
      </c>
      <c r="BJ73" s="8">
        <f>IF($A73=BJ$1,0,IF(SUM(IMshareM!BJ$2:BJ$78)-IMshareM!BJ$62&gt;0,IMshareM!BJ73/(SUM(IMshareM!BJ$2:BJ$78)-IMshareM!BJ$62),0))</f>
        <v>9.8856611888848873E-3</v>
      </c>
      <c r="BK73" s="8">
        <f>IF($A73=BK$1,0,IF(SUM(IMshareM!BK$2:BK$78)-IMshareM!BK$63&gt;0,IMshareM!BK73/(SUM(IMshareM!BK$2:BK$78)-IMshareM!BK$63),0))</f>
        <v>2.4983220948515995E-3</v>
      </c>
      <c r="BL73" s="8">
        <f>IF($A73=BL$1,0,IF(SUM(IMshareM!BL$2:BL$78)-IMshareM!BL$64&gt;0,IMshareM!BL73/(SUM(IMshareM!BL$2:BL$78)-IMshareM!BL$64),0))</f>
        <v>9.0315242405043811E-3</v>
      </c>
      <c r="BM73" s="8">
        <f>IF($A73=BM$1,0,IF(SUM(IMshareM!BM$2:BM$78)-IMshareM!BM$65&gt;0,IMshareM!BM73/(SUM(IMshareM!BM$2:BM$78)-IMshareM!BM$65),0))</f>
        <v>1.0899107472653778E-3</v>
      </c>
      <c r="BN73" s="8">
        <f>IF($A73=BN$1,0,IF(SUM(IMshareM!BN$2:BN$78)-IMshareM!BN$66&gt;0,IMshareM!BN73/(SUM(IMshareM!BN$2:BN$78)-IMshareM!BN$66),0))</f>
        <v>1.7310714007096589E-2</v>
      </c>
      <c r="BO73" s="8">
        <f>IF($A73=BO$1,0,IF(SUM(IMshareM!BO$2:BO$78)-IMshareM!BO$67&gt;0,IMshareM!BO73/(SUM(IMshareM!BO$2:BO$78)-IMshareM!BO$67),0))</f>
        <v>1.8296224414160033E-4</v>
      </c>
      <c r="BP73" s="8">
        <f>IF($A73=BP$1,0,IF(SUM(IMshareM!BP$2:BP$78)-IMshareM!BP$68&gt;0,IMshareM!BP73/(SUM(IMshareM!BP$2:BP$78)-IMshareM!BP$68),0))</f>
        <v>4.2160585011696717E-3</v>
      </c>
      <c r="BQ73" s="8">
        <f>IF($A73=BQ$1,0,IF(SUM(IMshareM!BQ$2:BQ$78)-IMshareM!BQ$69&gt;0,IMshareM!BQ73/(SUM(IMshareM!BQ$2:BQ$78)-IMshareM!BQ$69),0))</f>
        <v>4.5033428713886796E-3</v>
      </c>
      <c r="BR73" s="8">
        <f>IF($A73=BR$1,0,IF(SUM(IMshareM!BR$2:BR$78)-IMshareM!BR$70&gt;0,IMshareM!BR73/(SUM(IMshareM!BR$2:BR$78)-IMshareM!BR$70),0))</f>
        <v>1.6030238367662635E-2</v>
      </c>
      <c r="BS73" s="8">
        <f>IF($A73=BS$1,0,IF(SUM(IMshareM!BS$2:BS$78)-IMshareM!BS$71&gt;0,IMshareM!BS73/(SUM(IMshareM!BS$2:BS$78)-IMshareM!BS$71),0))</f>
        <v>3.8825915129589977E-3</v>
      </c>
      <c r="BT73" s="8">
        <f>IF($A73=BT$1,0,IF(SUM(IMshareM!BT$2:BT$78)-IMshareM!BT$72&gt;0,IMshareM!BT73/(SUM(IMshareM!BT$2:BT$78)-IMshareM!BT$72),0))</f>
        <v>3.4812266712107871E-3</v>
      </c>
      <c r="BU73" s="8">
        <f>IF($A73=BU$1,0,IF(SUM(IMshareM!BU$2:BU$78)-IMshareM!BU$73&gt;0,IMshareM!BU73/(SUM(IMshareM!BU$2:BU$78)-IMshareM!BU$73),0))</f>
        <v>0</v>
      </c>
      <c r="BV73" s="8">
        <f>IF($A73=BV$1,0,IF(SUM(IMshareM!BV$2:BV$78)-IMshareM!BV$74&gt;0,IMshareM!BV73/(SUM(IMshareM!BV$2:BV$78)-IMshareM!BV$74),0))</f>
        <v>3.414099110800351E-3</v>
      </c>
      <c r="BW73" s="8">
        <f>IF($A73=BW$1,0,IF(SUM(IMshareM!BW$2:BW$78)-IMshareM!BW$75&gt;0,IMshareM!BW73/(SUM(IMshareM!BW$2:BW$78)-IMshareM!BW$75),0))</f>
        <v>2.892932981827074E-2</v>
      </c>
      <c r="BX73" s="8">
        <f>IF($A73=BX$1,0,IF(SUM(IMshareM!BX$2:BX$78)-IMshareM!BX$76&gt;0,IMshareM!BX73/(SUM(IMshareM!BX$2:BX$78)-IMshareM!BX$76),0))</f>
        <v>2.628076427062544E-2</v>
      </c>
      <c r="BY73" s="8">
        <f>IF($A73=BY$1,0,IF(SUM(IMshareM!BY$2:BY$78)-IMshareM!BY$77&gt;0,IMshareM!BY73/(SUM(IMshareM!BY$2:BY$78)-IMshareM!BY$77),0))</f>
        <v>6.2523743327423014E-3</v>
      </c>
      <c r="BZ73" s="8">
        <f>IF($A73=BZ$1,0,IF(SUM(IMshareM!BZ$2:BZ$78)-IMshareM!BZ$78&gt;0,IMshareM!BZ73/(SUM(IMshareM!BZ$2:BZ$78)-IMshareM!BZ$78),0))</f>
        <v>4.6860658471370486E-3</v>
      </c>
    </row>
    <row r="74" spans="1:78">
      <c r="A74" s="4" t="s">
        <v>215</v>
      </c>
      <c r="B74" s="8">
        <f>IF($A74=B$1,0,IF(SUM(IMshareM!B$2:B$78)-IMshareM!B$2&gt;0,IMshareM!B74/(SUM(IMshareM!B$2:B$78)-IMshareM!B$2),0))</f>
        <v>0</v>
      </c>
      <c r="C74" s="8">
        <f>IF($A74=C$1,0,IF(SUM(IMshareM!C$2:C$78)-IMshareM!C$3&gt;0,IMshareM!C74/(SUM(IMshareM!C$2:C$78)-IMshareM!C$3),0))</f>
        <v>7.6871923530386852E-6</v>
      </c>
      <c r="D74" s="8">
        <f>IF($A74=D$1,0,IF(SUM(IMshareM!D$2:D$78)-IMshareM!D$4&gt;0,IMshareM!D74/(SUM(IMshareM!D$2:D$78)-IMshareM!D$4),0))</f>
        <v>1.3099956925034542E-5</v>
      </c>
      <c r="E74" s="8">
        <f>IF($A74=E$1,0,IF(SUM(IMshareM!E$2:E$78)-IMshareM!E$5&gt;0,IMshareM!E74/(SUM(IMshareM!E$2:E$78)-IMshareM!E$5),0))</f>
        <v>9.8025352566684324E-7</v>
      </c>
      <c r="F74" s="8">
        <f>IF($A74=F$1,0,IF(SUM(IMshareM!F$2:F$78)-IMshareM!F$6&gt;0,IMshareM!F74/(SUM(IMshareM!F$2:F$78)-IMshareM!F$6),0))</f>
        <v>7.4939769037196844E-7</v>
      </c>
      <c r="G74" s="8">
        <f>IF($A74=G$1,0,IF(SUM(IMshareM!G$2:G$78)-IMshareM!G$7&gt;0,IMshareM!G74/(SUM(IMshareM!G$2:G$78)-IMshareM!G$7),0))</f>
        <v>6.3465971385862077E-5</v>
      </c>
      <c r="H74" s="8">
        <f>IF($A74=H$1,0,IF(SUM(IMshareM!H$2:H$78)-IMshareM!H$8&gt;0,IMshareM!H74/(SUM(IMshareM!H$2:H$78)-IMshareM!H$8),0))</f>
        <v>6.3249011679754102E-4</v>
      </c>
      <c r="I74" s="8">
        <f>IF($A74=I$1,0,IF(SUM(IMshareM!I$2:I$78)-IMshareM!I$9&gt;0,IMshareM!I74/(SUM(IMshareM!I$2:I$78)-IMshareM!I$9),0))</f>
        <v>0</v>
      </c>
      <c r="J74" s="8">
        <f>IF($A74=J$1,0,IF(SUM(IMshareM!J$2:J$78)-IMshareM!J$10&gt;0,IMshareM!J74/(SUM(IMshareM!J$2:J$78)-IMshareM!J$10),0))</f>
        <v>0</v>
      </c>
      <c r="K74" s="8">
        <f>IF($A74=K$1,0,IF(SUM(IMshareM!K$2:K$78)-IMshareM!K$11&gt;0,IMshareM!K74/(SUM(IMshareM!K$2:K$78)-IMshareM!K$11),0))</f>
        <v>5.3036918416909884E-6</v>
      </c>
      <c r="L74" s="8">
        <f>IF($A74=L$1,0,IF(SUM(IMshareM!L$2:L$78)-IMshareM!L$12&gt;0,IMshareM!L74/(SUM(IMshareM!L$2:L$78)-IMshareM!L$12),0))</f>
        <v>5.2395450585918898E-6</v>
      </c>
      <c r="M74" s="8">
        <f>IF($A74=M$1,0,IF(SUM(IMshareM!M$2:M$78)-IMshareM!M$13&gt;0,IMshareM!M74/(SUM(IMshareM!M$2:M$78)-IMshareM!M$13),0))</f>
        <v>3.2198811797616261E-6</v>
      </c>
      <c r="N74" s="8">
        <f>IF($A74=N$1,0,IF(SUM(IMshareM!N$2:N$78)-IMshareM!N$14&gt;0,IMshareM!N74/(SUM(IMshareM!N$2:N$78)-IMshareM!N$14),0))</f>
        <v>5.0307711840647436E-6</v>
      </c>
      <c r="O74" s="8">
        <f>IF($A74=O$1,0,IF(SUM(IMshareM!O$2:O$78)-IMshareM!O$15&gt;0,IMshareM!O74/(SUM(IMshareM!O$2:O$78)-IMshareM!O$15),0))</f>
        <v>6.8763612896352843E-5</v>
      </c>
      <c r="P74" s="8">
        <f>IF($A74=P$1,0,IF(SUM(IMshareM!P$2:P$78)-IMshareM!P$16&gt;0,IMshareM!P74/(SUM(IMshareM!P$2:P$78)-IMshareM!P$16),0))</f>
        <v>0</v>
      </c>
      <c r="Q74" s="8">
        <f>IF($A74=Q$1,0,IF(SUM(IMshareM!Q$2:Q$78)-IMshareM!Q$17&gt;0,IMshareM!Q74/(SUM(IMshareM!Q$2:Q$78)-IMshareM!Q$17),0))</f>
        <v>8.8346050701777783E-7</v>
      </c>
      <c r="R74" s="8">
        <f>IF($A74=R$1,0,IF(SUM(IMshareM!R$2:R$78)-IMshareM!R$18&gt;0,IMshareM!R74/(SUM(IMshareM!R$2:R$78)-IMshareM!R$18),0))</f>
        <v>0</v>
      </c>
      <c r="S74" s="8">
        <f>IF($A74=S$1,0,IF(SUM(IMshareM!S$2:S$78)-IMshareM!S$19&gt;0,IMshareM!S74/(SUM(IMshareM!S$2:S$78)-IMshareM!S$19),0))</f>
        <v>3.1041628307682693E-5</v>
      </c>
      <c r="T74" s="8">
        <f>IF($A74=T$1,0,IF(SUM(IMshareM!T$2:T$78)-IMshareM!T$20&gt;0,IMshareM!T74/(SUM(IMshareM!T$2:T$78)-IMshareM!T$20),0))</f>
        <v>5.3593335798303299E-6</v>
      </c>
      <c r="U74" s="8">
        <f>IF($A74=U$1,0,IF(SUM(IMshareM!U$2:U$78)-IMshareM!U$21&gt;0,IMshareM!U74/(SUM(IMshareM!U$2:U$78)-IMshareM!U$21),0))</f>
        <v>4.4659458586703544E-5</v>
      </c>
      <c r="V74" s="8">
        <f>IF($A74=V$1,0,IF(SUM(IMshareM!V$2:V$78)-IMshareM!V$22&gt;0,IMshareM!V74/(SUM(IMshareM!V$2:V$78)-IMshareM!V$22),0))</f>
        <v>4.4623682298664991E-6</v>
      </c>
      <c r="W74" s="8">
        <f>IF($A74=W$1,0,IF(SUM(IMshareM!W$2:W$78)-IMshareM!W$23&gt;0,IMshareM!W74/(SUM(IMshareM!W$2:W$78)-IMshareM!W$23),0))</f>
        <v>2.4903485576305062E-4</v>
      </c>
      <c r="X74" s="8">
        <f>IF($A74=X$1,0,IF(SUM(IMshareM!X$2:X$78)-IMshareM!X$24&gt;0,IMshareM!X74/(SUM(IMshareM!X$2:X$78)-IMshareM!X$24),0))</f>
        <v>1.0516626364405515E-5</v>
      </c>
      <c r="Y74" s="8">
        <f>IF($A74=Y$1,0,IF(SUM(IMshareM!Y$2:Y$78)-IMshareM!Y$25&gt;0,IMshareM!Y74/(SUM(IMshareM!Y$2:Y$78)-IMshareM!Y$25),0))</f>
        <v>9.5393315364046452E-4</v>
      </c>
      <c r="Z74" s="8">
        <f>IF($A74=Z$1,0,IF(SUM(IMshareM!Z$2:Z$78)-IMshareM!Z$26&gt;0,IMshareM!Z74/(SUM(IMshareM!Z$2:Z$78)-IMshareM!Z$26),0))</f>
        <v>6.340193117803065E-5</v>
      </c>
      <c r="AA74" s="8">
        <f>IF($A74=AA$1,0,IF(SUM(IMshareM!AA$2:AA$78)-IMshareM!AA$27&gt;0,IMshareM!AA74/(SUM(IMshareM!AA$2:AA$78)-IMshareM!AA$27),0))</f>
        <v>2.1891110998803728E-4</v>
      </c>
      <c r="AB74" s="8">
        <f>IF($A74=AB$1,0,IF(SUM(IMshareM!AB$2:AB$78)-IMshareM!AB$28&gt;0,IMshareM!AB74/(SUM(IMshareM!AB$2:AB$78)-IMshareM!AB$28),0))</f>
        <v>1.0569826018649292E-5</v>
      </c>
      <c r="AC74" s="8">
        <f>IF($A74=AC$1,0,IF(SUM(IMshareM!AC$2:AC$78)-IMshareM!AC$29&gt;0,IMshareM!AC74/(SUM(IMshareM!AC$2:AC$78)-IMshareM!AC$29),0))</f>
        <v>0</v>
      </c>
      <c r="AD74" s="8">
        <f>IF($A74=AD$1,0,IF(SUM(IMshareM!AD$2:AD$78)-IMshareM!AD$30&gt;0,IMshareM!AD74/(SUM(IMshareM!AD$2:AD$78)-IMshareM!AD$30),0))</f>
        <v>9.7185852065540031E-6</v>
      </c>
      <c r="AE74" s="8">
        <f>IF($A74=AE$1,0,IF(SUM(IMshareM!AE$2:AE$78)-IMshareM!AE$31&gt;0,IMshareM!AE74/(SUM(IMshareM!AE$2:AE$78)-IMshareM!AE$31),0))</f>
        <v>2.4893654410694192E-6</v>
      </c>
      <c r="AF74" s="8">
        <f>IF($A74=AF$1,0,IF(SUM(IMshareM!AF$2:AF$78)-IMshareM!AF$32&gt;0,IMshareM!AF74/(SUM(IMshareM!AF$2:AF$78)-IMshareM!AF$32),0))</f>
        <v>1.4752682262202476E-4</v>
      </c>
      <c r="AG74" s="8">
        <f>IF($A74=AG$1,0,IF(SUM(IMshareM!AG$2:AG$78)-IMshareM!AG$33&gt;0,IMshareM!AG74/(SUM(IMshareM!AG$2:AG$78)-IMshareM!AG$33),0))</f>
        <v>8.3962914531219979E-6</v>
      </c>
      <c r="AH74" s="8">
        <f>IF($A74=AH$1,0,IF(SUM(IMshareM!AH$2:AH$78)-IMshareM!AH$34&gt;0,IMshareM!AH74/(SUM(IMshareM!AH$2:AH$78)-IMshareM!AH$34),0))</f>
        <v>1.7586927348251904E-5</v>
      </c>
      <c r="AI74" s="8">
        <f>IF($A74=AI$1,0,IF(SUM(IMshareM!AI$2:AI$78)-IMshareM!AI$35&gt;0,IMshareM!AI74/(SUM(IMshareM!AI$2:AI$78)-IMshareM!AI$35),0))</f>
        <v>2.9741913334630027E-7</v>
      </c>
      <c r="AJ74" s="8">
        <f>IF($A74=AJ$1,0,IF(SUM(IMshareM!AJ$2:AJ$78)-IMshareM!AJ$36&gt;0,IMshareM!AJ74/(SUM(IMshareM!AJ$2:AJ$78)-IMshareM!AJ$36),0))</f>
        <v>1.3657688914261963E-4</v>
      </c>
      <c r="AK74" s="8">
        <f>IF($A74=AK$1,0,IF(SUM(IMshareM!AK$2:AK$78)-IMshareM!AK$37&gt;0,IMshareM!AK74/(SUM(IMshareM!AK$2:AK$78)-IMshareM!AK$37),0))</f>
        <v>1.1889225219483235E-5</v>
      </c>
      <c r="AL74" s="8">
        <f>IF($A74=AL$1,0,IF(SUM(IMshareM!AL$2:AL$78)-IMshareM!AL$38&gt;0,IMshareM!AL74/(SUM(IMshareM!AL$2:AL$78)-IMshareM!AL$38),0))</f>
        <v>2.7915865631087483E-5</v>
      </c>
      <c r="AM74" s="8">
        <f>IF($A74=AM$1,0,IF(SUM(IMshareM!AM$2:AM$78)-IMshareM!AM$39&gt;0,IMshareM!AM74/(SUM(IMshareM!AM$2:AM$78)-IMshareM!AM$39),0))</f>
        <v>0</v>
      </c>
      <c r="AN74" s="8">
        <f>IF($A74=AN$1,0,IF(SUM(IMshareM!AN$2:AN$78)-IMshareM!AN$40&gt;0,IMshareM!AN74/(SUM(IMshareM!AN$2:AN$78)-IMshareM!AN$40),0))</f>
        <v>7.9283315660713167E-7</v>
      </c>
      <c r="AO74" s="8">
        <f>IF($A74=AO$1,0,IF(SUM(IMshareM!AO$2:AO$78)-IMshareM!AO$41&gt;0,IMshareM!AO74/(SUM(IMshareM!AO$2:AO$78)-IMshareM!AO$41),0))</f>
        <v>2.8006129095420884E-2</v>
      </c>
      <c r="AP74" s="8">
        <f>IF($A74=AP$1,0,IF(SUM(IMshareM!AP$2:AP$78)-IMshareM!AP$42&gt;0,IMshareM!AP74/(SUM(IMshareM!AP$2:AP$78)-IMshareM!AP$42),0))</f>
        <v>0</v>
      </c>
      <c r="AQ74" s="8">
        <f>IF($A74=AQ$1,0,IF(SUM(IMshareM!AQ$2:AQ$78)-IMshareM!AQ$43&gt;0,IMshareM!AQ74/(SUM(IMshareM!AQ$2:AQ$78)-IMshareM!AQ$43),0))</f>
        <v>4.4292709650840438E-7</v>
      </c>
      <c r="AR74" s="8">
        <f>IF($A74=AR$1,0,IF(SUM(IMshareM!AR$2:AR$78)-IMshareM!AR$44&gt;0,IMshareM!AR74/(SUM(IMshareM!AR$2:AR$78)-IMshareM!AR$44),0))</f>
        <v>0</v>
      </c>
      <c r="AS74" s="8">
        <f>IF($A74=AS$1,0,IF(SUM(IMshareM!AS$2:AS$78)-IMshareM!AS$45&gt;0,IMshareM!AS74/(SUM(IMshareM!AS$2:AS$78)-IMshareM!AS$45),0))</f>
        <v>3.4424956160583115E-4</v>
      </c>
      <c r="AT74" s="8">
        <f>IF($A74=AT$1,0,IF(SUM(IMshareM!AT$2:AT$78)-IMshareM!AT$46&gt;0,IMshareM!AT74/(SUM(IMshareM!AT$2:AT$78)-IMshareM!AT$46),0))</f>
        <v>8.2046684992803518E-8</v>
      </c>
      <c r="AU74" s="8">
        <f>IF($A74=AU$1,0,IF(SUM(IMshareM!AU$2:AU$78)-IMshareM!AU$47&gt;0,IMshareM!AU74/(SUM(IMshareM!AU$2:AU$78)-IMshareM!AU$47),0))</f>
        <v>3.5204218975934583E-4</v>
      </c>
      <c r="AV74" s="8">
        <f>IF($A74=AV$1,0,IF(SUM(IMshareM!AV$2:AV$78)-IMshareM!AV$48&gt;0,IMshareM!AV74/(SUM(IMshareM!AV$2:AV$78)-IMshareM!AV$48),0))</f>
        <v>0</v>
      </c>
      <c r="AW74" s="8">
        <f>IF($A74=AW$1,0,IF(SUM(IMshareM!AW$2:AW$78)-IMshareM!AW$49&gt;0,IMshareM!AW74/(SUM(IMshareM!AW$2:AW$78)-IMshareM!AW$49),0))</f>
        <v>0</v>
      </c>
      <c r="AX74" s="8">
        <f>IF($A74=AX$1,0,IF(SUM(IMshareM!AX$2:AX$78)-IMshareM!AX$50&gt;0,IMshareM!AX74/(SUM(IMshareM!AX$2:AX$78)-IMshareM!AX$50),0))</f>
        <v>0</v>
      </c>
      <c r="AY74" s="8">
        <f>IF($A74=AY$1,0,IF(SUM(IMshareM!AY$2:AY$78)-IMshareM!AY$51&gt;0,IMshareM!AY74/(SUM(IMshareM!AY$2:AY$78)-IMshareM!AY$51),0))</f>
        <v>0</v>
      </c>
      <c r="AZ74" s="8">
        <f>IF($A74=AZ$1,0,IF(SUM(IMshareM!AZ$2:AZ$78)-IMshareM!AZ$52&gt;0,IMshareM!AZ74/(SUM(IMshareM!AZ$2:AZ$78)-IMshareM!AZ$52),0))</f>
        <v>0</v>
      </c>
      <c r="BA74" s="8">
        <f>IF($A74=BA$1,0,IF(SUM(IMshareM!BA$2:BA$78)-IMshareM!BA$53&gt;0,IMshareM!BA74/(SUM(IMshareM!BA$2:BA$78)-IMshareM!BA$53),0))</f>
        <v>0</v>
      </c>
      <c r="BB74" s="8">
        <f>IF($A74=BB$1,0,IF(SUM(IMshareM!BB$2:BB$78)-IMshareM!BB$54&gt;0,IMshareM!BB74/(SUM(IMshareM!BB$2:BB$78)-IMshareM!BB$54),0))</f>
        <v>8.5346002037498011E-5</v>
      </c>
      <c r="BC74" s="8">
        <f>IF($A74=BC$1,0,IF(SUM(IMshareM!BC$2:BC$78)-IMshareM!BC$55&gt;0,IMshareM!BC74/(SUM(IMshareM!BC$2:BC$78)-IMshareM!BC$55),0))</f>
        <v>1.229731675468924E-5</v>
      </c>
      <c r="BD74" s="8">
        <f>IF($A74=BD$1,0,IF(SUM(IMshareM!BD$2:BD$78)-IMshareM!BD$56&gt;0,IMshareM!BD74/(SUM(IMshareM!BD$2:BD$78)-IMshareM!BD$56),0))</f>
        <v>3.8515406267653721E-5</v>
      </c>
      <c r="BE74" s="8">
        <f>IF($A74=BE$1,0,IF(SUM(IMshareM!BE$2:BE$78)-IMshareM!BE$57&gt;0,IMshareM!BE74/(SUM(IMshareM!BE$2:BE$78)-IMshareM!BE$57),0))</f>
        <v>0</v>
      </c>
      <c r="BF74" s="8">
        <f>IF($A74=BF$1,0,IF(SUM(IMshareM!BF$2:BF$78)-IMshareM!BF$58&gt;0,IMshareM!BF74/(SUM(IMshareM!BF$2:BF$78)-IMshareM!BF$58),0))</f>
        <v>7.6150709274322049E-5</v>
      </c>
      <c r="BG74" s="8">
        <f>IF($A74=BG$1,0,IF(SUM(IMshareM!BG$2:BG$78)-IMshareM!BG$59&gt;0,IMshareM!BG74/(SUM(IMshareM!BG$2:BG$78)-IMshareM!BG$59),0))</f>
        <v>0</v>
      </c>
      <c r="BH74" s="8">
        <f>IF($A74=BH$1,0,IF(SUM(IMshareM!BH$2:BH$78)-IMshareM!BH$60&gt;0,IMshareM!BH74/(SUM(IMshareM!BH$2:BH$78)-IMshareM!BH$60),0))</f>
        <v>7.2686710892904739E-4</v>
      </c>
      <c r="BI74" s="8">
        <f>IF($A74=BI$1,0,IF(SUM(IMshareM!BI$2:BI$78)-IMshareM!BI$61&gt;0,IMshareM!BI74/(SUM(IMshareM!BI$2:BI$78)-IMshareM!BI$61),0))</f>
        <v>1.7622935265613037E-7</v>
      </c>
      <c r="BJ74" s="8">
        <f>IF($A74=BJ$1,0,IF(SUM(IMshareM!BJ$2:BJ$78)-IMshareM!BJ$62&gt;0,IMshareM!BJ74/(SUM(IMshareM!BJ$2:BJ$78)-IMshareM!BJ$62),0))</f>
        <v>1.7260429798001285E-3</v>
      </c>
      <c r="BK74" s="8">
        <f>IF($A74=BK$1,0,IF(SUM(IMshareM!BK$2:BK$78)-IMshareM!BK$63&gt;0,IMshareM!BK74/(SUM(IMshareM!BK$2:BK$78)-IMshareM!BK$63),0))</f>
        <v>3.5097352477553054E-3</v>
      </c>
      <c r="BL74" s="8">
        <f>IF($A74=BL$1,0,IF(SUM(IMshareM!BL$2:BL$78)-IMshareM!BL$64&gt;0,IMshareM!BL74/(SUM(IMshareM!BL$2:BL$78)-IMshareM!BL$64),0))</f>
        <v>0</v>
      </c>
      <c r="BM74" s="8">
        <f>IF($A74=BM$1,0,IF(SUM(IMshareM!BM$2:BM$78)-IMshareM!BM$65&gt;0,IMshareM!BM74/(SUM(IMshareM!BM$2:BM$78)-IMshareM!BM$65),0))</f>
        <v>0</v>
      </c>
      <c r="BN74" s="8">
        <f>IF($A74=BN$1,0,IF(SUM(IMshareM!BN$2:BN$78)-IMshareM!BN$66&gt;0,IMshareM!BN74/(SUM(IMshareM!BN$2:BN$78)-IMshareM!BN$66),0))</f>
        <v>3.5799881125675109E-6</v>
      </c>
      <c r="BO74" s="8">
        <f>IF($A74=BO$1,0,IF(SUM(IMshareM!BO$2:BO$78)-IMshareM!BO$67&gt;0,IMshareM!BO74/(SUM(IMshareM!BO$2:BO$78)-IMshareM!BO$67),0))</f>
        <v>1.5814944211615094E-7</v>
      </c>
      <c r="BP74" s="8">
        <f>IF($A74=BP$1,0,IF(SUM(IMshareM!BP$2:BP$78)-IMshareM!BP$68&gt;0,IMshareM!BP74/(SUM(IMshareM!BP$2:BP$78)-IMshareM!BP$68),0))</f>
        <v>1.4472288930331894E-5</v>
      </c>
      <c r="BQ74" s="8">
        <f>IF($A74=BQ$1,0,IF(SUM(IMshareM!BQ$2:BQ$78)-IMshareM!BQ$69&gt;0,IMshareM!BQ74/(SUM(IMshareM!BQ$2:BQ$78)-IMshareM!BQ$69),0))</f>
        <v>6.5101224133666429E-6</v>
      </c>
      <c r="BR74" s="8">
        <f>IF($A74=BR$1,0,IF(SUM(IMshareM!BR$2:BR$78)-IMshareM!BR$70&gt;0,IMshareM!BR74/(SUM(IMshareM!BR$2:BR$78)-IMshareM!BR$70),0))</f>
        <v>1.2377287561446378E-6</v>
      </c>
      <c r="BS74" s="8">
        <f>IF($A74=BS$1,0,IF(SUM(IMshareM!BS$2:BS$78)-IMshareM!BS$71&gt;0,IMshareM!BS74/(SUM(IMshareM!BS$2:BS$78)-IMshareM!BS$71),0))</f>
        <v>0</v>
      </c>
      <c r="BT74" s="8">
        <f>IF($A74=BT$1,0,IF(SUM(IMshareM!BT$2:BT$78)-IMshareM!BT$72&gt;0,IMshareM!BT74/(SUM(IMshareM!BT$2:BT$78)-IMshareM!BT$72),0))</f>
        <v>5.7609450103887881E-5</v>
      </c>
      <c r="BU74" s="8">
        <f>IF($A74=BU$1,0,IF(SUM(IMshareM!BU$2:BU$78)-IMshareM!BU$73&gt;0,IMshareM!BU74/(SUM(IMshareM!BU$2:BU$78)-IMshareM!BU$73),0))</f>
        <v>6.6644240746003583E-6</v>
      </c>
      <c r="BV74" s="8">
        <f>IF($A74=BV$1,0,IF(SUM(IMshareM!BV$2:BV$78)-IMshareM!BV$74&gt;0,IMshareM!BV74/(SUM(IMshareM!BV$2:BV$78)-IMshareM!BV$74),0))</f>
        <v>0</v>
      </c>
      <c r="BW74" s="8">
        <f>IF($A74=BW$1,0,IF(SUM(IMshareM!BW$2:BW$78)-IMshareM!BW$75&gt;0,IMshareM!BW74/(SUM(IMshareM!BW$2:BW$78)-IMshareM!BW$75),0))</f>
        <v>1.4431167448825064E-6</v>
      </c>
      <c r="BX74" s="8">
        <f>IF($A74=BX$1,0,IF(SUM(IMshareM!BX$2:BX$78)-IMshareM!BX$76&gt;0,IMshareM!BX74/(SUM(IMshareM!BX$2:BX$78)-IMshareM!BX$76),0))</f>
        <v>4.7376982808742695E-5</v>
      </c>
      <c r="BY74" s="8">
        <f>IF($A74=BY$1,0,IF(SUM(IMshareM!BY$2:BY$78)-IMshareM!BY$77&gt;0,IMshareM!BY74/(SUM(IMshareM!BY$2:BY$78)-IMshareM!BY$77),0))</f>
        <v>1.7808762596919985E-6</v>
      </c>
      <c r="BZ74" s="8">
        <f>IF($A74=BZ$1,0,IF(SUM(IMshareM!BZ$2:BZ$78)-IMshareM!BZ$78&gt;0,IMshareM!BZ74/(SUM(IMshareM!BZ$2:BZ$78)-IMshareM!BZ$78),0))</f>
        <v>9.5469701501567437E-4</v>
      </c>
    </row>
    <row r="75" spans="1:78">
      <c r="A75" s="4" t="s">
        <v>217</v>
      </c>
      <c r="B75" s="8">
        <f>IF($A75=B$1,0,IF(SUM(IMshareM!B$2:B$78)-IMshareM!B$2&gt;0,IMshareM!B75/(SUM(IMshareM!B$2:B$78)-IMshareM!B$2),0))</f>
        <v>4.5501666569359923E-2</v>
      </c>
      <c r="C75" s="8">
        <f>IF($A75=C$1,0,IF(SUM(IMshareM!C$2:C$78)-IMshareM!C$3&gt;0,IMshareM!C75/(SUM(IMshareM!C$2:C$78)-IMshareM!C$3),0))</f>
        <v>0.14106005315044229</v>
      </c>
      <c r="D75" s="8">
        <f>IF($A75=D$1,0,IF(SUM(IMshareM!D$2:D$78)-IMshareM!D$4&gt;0,IMshareM!D75/(SUM(IMshareM!D$2:D$78)-IMshareM!D$4),0))</f>
        <v>2.2676376309651657E-2</v>
      </c>
      <c r="E75" s="8">
        <f>IF($A75=E$1,0,IF(SUM(IMshareM!E$2:E$78)-IMshareM!E$5&gt;0,IMshareM!E75/(SUM(IMshareM!E$2:E$78)-IMshareM!E$5),0))</f>
        <v>9.9790146270379403E-3</v>
      </c>
      <c r="F75" s="8">
        <f>IF($A75=F$1,0,IF(SUM(IMshareM!F$2:F$78)-IMshareM!F$6&gt;0,IMshareM!F75/(SUM(IMshareM!F$2:F$78)-IMshareM!F$6),0))</f>
        <v>1.4212684418980196E-2</v>
      </c>
      <c r="G75" s="8">
        <f>IF($A75=G$1,0,IF(SUM(IMshareM!G$2:G$78)-IMshareM!G$7&gt;0,IMshareM!G75/(SUM(IMshareM!G$2:G$78)-IMshareM!G$7),0))</f>
        <v>1.5158626121779817E-2</v>
      </c>
      <c r="H75" s="8">
        <f>IF($A75=H$1,0,IF(SUM(IMshareM!H$2:H$78)-IMshareM!H$8&gt;0,IMshareM!H75/(SUM(IMshareM!H$2:H$78)-IMshareM!H$8),0))</f>
        <v>1.4752387387214014E-4</v>
      </c>
      <c r="I75" s="8">
        <f>IF($A75=I$1,0,IF(SUM(IMshareM!I$2:I$78)-IMshareM!I$9&gt;0,IMshareM!I75/(SUM(IMshareM!I$2:I$78)-IMshareM!I$9),0))</f>
        <v>9.114729525939512E-2</v>
      </c>
      <c r="J75" s="8">
        <f>IF($A75=J$1,0,IF(SUM(IMshareM!J$2:J$78)-IMshareM!J$10&gt;0,IMshareM!J75/(SUM(IMshareM!J$2:J$78)-IMshareM!J$10),0))</f>
        <v>0.1390778626613734</v>
      </c>
      <c r="K75" s="8">
        <f>IF($A75=K$1,0,IF(SUM(IMshareM!K$2:K$78)-IMshareM!K$11&gt;0,IMshareM!K75/(SUM(IMshareM!K$2:K$78)-IMshareM!K$11),0))</f>
        <v>0.40793141859506338</v>
      </c>
      <c r="L75" s="8">
        <f>IF($A75=L$1,0,IF(SUM(IMshareM!L$2:L$78)-IMshareM!L$12&gt;0,IMshareM!L75/(SUM(IMshareM!L$2:L$78)-IMshareM!L$12),0))</f>
        <v>5.3275167755929512E-2</v>
      </c>
      <c r="M75" s="8">
        <f>IF($A75=M$1,0,IF(SUM(IMshareM!M$2:M$78)-IMshareM!M$13&gt;0,IMshareM!M75/(SUM(IMshareM!M$2:M$78)-IMshareM!M$13),0))</f>
        <v>4.9714069822731459E-2</v>
      </c>
      <c r="N75" s="8">
        <f>IF($A75=N$1,0,IF(SUM(IMshareM!N$2:N$78)-IMshareM!N$14&gt;0,IMshareM!N75/(SUM(IMshareM!N$2:N$78)-IMshareM!N$14),0))</f>
        <v>4.0800743705641428E-2</v>
      </c>
      <c r="O75" s="8">
        <f>IF($A75=O$1,0,IF(SUM(IMshareM!O$2:O$78)-IMshareM!O$15&gt;0,IMshareM!O75/(SUM(IMshareM!O$2:O$78)-IMshareM!O$15),0))</f>
        <v>0.28555346988480668</v>
      </c>
      <c r="P75" s="8">
        <f>IF($A75=P$1,0,IF(SUM(IMshareM!P$2:P$78)-IMshareM!P$16&gt;0,IMshareM!P75/(SUM(IMshareM!P$2:P$78)-IMshareM!P$16),0))</f>
        <v>2.271863114559811E-2</v>
      </c>
      <c r="Q75" s="8">
        <f>IF($A75=Q$1,0,IF(SUM(IMshareM!Q$2:Q$78)-IMshareM!Q$17&gt;0,IMshareM!Q75/(SUM(IMshareM!Q$2:Q$78)-IMshareM!Q$17),0))</f>
        <v>0.10417638514079704</v>
      </c>
      <c r="R75" s="8">
        <f>IF($A75=R$1,0,IF(SUM(IMshareM!R$2:R$78)-IMshareM!R$18&gt;0,IMshareM!R75/(SUM(IMshareM!R$2:R$78)-IMshareM!R$18),0))</f>
        <v>0.39882733953145089</v>
      </c>
      <c r="S75" s="8">
        <f>IF($A75=S$1,0,IF(SUM(IMshareM!S$2:S$78)-IMshareM!S$19&gt;0,IMshareM!S75/(SUM(IMshareM!S$2:S$78)-IMshareM!S$19),0))</f>
        <v>1.2671767730823787E-2</v>
      </c>
      <c r="T75" s="8">
        <f>IF($A75=T$1,0,IF(SUM(IMshareM!T$2:T$78)-IMshareM!T$20&gt;0,IMshareM!T75/(SUM(IMshareM!T$2:T$78)-IMshareM!T$20),0))</f>
        <v>1.8698553965095673E-2</v>
      </c>
      <c r="U75" s="8">
        <f>IF($A75=U$1,0,IF(SUM(IMshareM!U$2:U$78)-IMshareM!U$21&gt;0,IMshareM!U75/(SUM(IMshareM!U$2:U$78)-IMshareM!U$21),0))</f>
        <v>4.2937400306929427E-2</v>
      </c>
      <c r="V75" s="8">
        <f>IF($A75=V$1,0,IF(SUM(IMshareM!V$2:V$78)-IMshareM!V$22&gt;0,IMshareM!V75/(SUM(IMshareM!V$2:V$78)-IMshareM!V$22),0))</f>
        <v>1.0213603936110059E-2</v>
      </c>
      <c r="W75" s="8">
        <f>IF($A75=W$1,0,IF(SUM(IMshareM!W$2:W$78)-IMshareM!W$23&gt;0,IMshareM!W75/(SUM(IMshareM!W$2:W$78)-IMshareM!W$23),0))</f>
        <v>6.8369434203685062E-2</v>
      </c>
      <c r="X75" s="8">
        <f>IF($A75=X$1,0,IF(SUM(IMshareM!X$2:X$78)-IMshareM!X$24&gt;0,IMshareM!X75/(SUM(IMshareM!X$2:X$78)-IMshareM!X$24),0))</f>
        <v>1.0706720129785015E-2</v>
      </c>
      <c r="Y75" s="8">
        <f>IF($A75=Y$1,0,IF(SUM(IMshareM!Y$2:Y$78)-IMshareM!Y$25&gt;0,IMshareM!Y75/(SUM(IMshareM!Y$2:Y$78)-IMshareM!Y$25),0))</f>
        <v>3.9951338959500989E-2</v>
      </c>
      <c r="Z75" s="8">
        <f>IF($A75=Z$1,0,IF(SUM(IMshareM!Z$2:Z$78)-IMshareM!Z$26&gt;0,IMshareM!Z75/(SUM(IMshareM!Z$2:Z$78)-IMshareM!Z$26),0))</f>
        <v>1.9901180268681658E-2</v>
      </c>
      <c r="AA75" s="8">
        <f>IF($A75=AA$1,0,IF(SUM(IMshareM!AA$2:AA$78)-IMshareM!AA$27&gt;0,IMshareM!AA75/(SUM(IMshareM!AA$2:AA$78)-IMshareM!AA$27),0))</f>
        <v>9.3905220755206714E-2</v>
      </c>
      <c r="AB75" s="8">
        <f>IF($A75=AB$1,0,IF(SUM(IMshareM!AB$2:AB$78)-IMshareM!AB$28&gt;0,IMshareM!AB75/(SUM(IMshareM!AB$2:AB$78)-IMshareM!AB$28),0))</f>
        <v>0.24070125325493272</v>
      </c>
      <c r="AC75" s="8">
        <f>IF($A75=AC$1,0,IF(SUM(IMshareM!AC$2:AC$78)-IMshareM!AC$29&gt;0,IMshareM!AC75/(SUM(IMshareM!AC$2:AC$78)-IMshareM!AC$29),0))</f>
        <v>5.6044482525700878E-3</v>
      </c>
      <c r="AD75" s="8">
        <f>IF($A75=AD$1,0,IF(SUM(IMshareM!AD$2:AD$78)-IMshareM!AD$30&gt;0,IMshareM!AD75/(SUM(IMshareM!AD$2:AD$78)-IMshareM!AD$30),0))</f>
        <v>1.3332527013721019E-2</v>
      </c>
      <c r="AE75" s="8">
        <f>IF($A75=AE$1,0,IF(SUM(IMshareM!AE$2:AE$78)-IMshareM!AE$31&gt;0,IMshareM!AE75/(SUM(IMshareM!AE$2:AE$78)-IMshareM!AE$31),0))</f>
        <v>7.2189943864966431E-3</v>
      </c>
      <c r="AF75" s="8">
        <f>IF($A75=AF$1,0,IF(SUM(IMshareM!AF$2:AF$78)-IMshareM!AF$32&gt;0,IMshareM!AF75/(SUM(IMshareM!AF$2:AF$78)-IMshareM!AF$32),0))</f>
        <v>1.3300685750692166E-2</v>
      </c>
      <c r="AG75" s="8">
        <f>IF($A75=AG$1,0,IF(SUM(IMshareM!AG$2:AG$78)-IMshareM!AG$33&gt;0,IMshareM!AG75/(SUM(IMshareM!AG$2:AG$78)-IMshareM!AG$33),0))</f>
        <v>2.0757840242655024E-2</v>
      </c>
      <c r="AH75" s="8">
        <f>IF($A75=AH$1,0,IF(SUM(IMshareM!AH$2:AH$78)-IMshareM!AH$34&gt;0,IMshareM!AH75/(SUM(IMshareM!AH$2:AH$78)-IMshareM!AH$34),0))</f>
        <v>2.669045689912411E-2</v>
      </c>
      <c r="AI75" s="8">
        <f>IF($A75=AI$1,0,IF(SUM(IMshareM!AI$2:AI$78)-IMshareM!AI$35&gt;0,IMshareM!AI75/(SUM(IMshareM!AI$2:AI$78)-IMshareM!AI$35),0))</f>
        <v>7.3686711835220423E-2</v>
      </c>
      <c r="AJ75" s="8">
        <f>IF($A75=AJ$1,0,IF(SUM(IMshareM!AJ$2:AJ$78)-IMshareM!AJ$36&gt;0,IMshareM!AJ75/(SUM(IMshareM!AJ$2:AJ$78)-IMshareM!AJ$36),0))</f>
        <v>6.0856844111629158E-2</v>
      </c>
      <c r="AK75" s="8">
        <f>IF($A75=AK$1,0,IF(SUM(IMshareM!AK$2:AK$78)-IMshareM!AK$37&gt;0,IMshareM!AK75/(SUM(IMshareM!AK$2:AK$78)-IMshareM!AK$37),0))</f>
        <v>0.12515173539453264</v>
      </c>
      <c r="AL75" s="8">
        <f>IF($A75=AL$1,0,IF(SUM(IMshareM!AL$2:AL$78)-IMshareM!AL$38&gt;0,IMshareM!AL75/(SUM(IMshareM!AL$2:AL$78)-IMshareM!AL$38),0))</f>
        <v>1.3691287792087222E-2</v>
      </c>
      <c r="AM75" s="8">
        <f>IF($A75=AM$1,0,IF(SUM(IMshareM!AM$2:AM$78)-IMshareM!AM$39&gt;0,IMshareM!AM75/(SUM(IMshareM!AM$2:AM$78)-IMshareM!AM$39),0))</f>
        <v>1.3539488648415801E-2</v>
      </c>
      <c r="AN75" s="8">
        <f>IF($A75=AN$1,0,IF(SUM(IMshareM!AN$2:AN$78)-IMshareM!AN$40&gt;0,IMshareM!AN75/(SUM(IMshareM!AN$2:AN$78)-IMshareM!AN$40),0))</f>
        <v>5.1522292314279815E-2</v>
      </c>
      <c r="AO75" s="8">
        <f>IF($A75=AO$1,0,IF(SUM(IMshareM!AO$2:AO$78)-IMshareM!AO$41&gt;0,IMshareM!AO75/(SUM(IMshareM!AO$2:AO$78)-IMshareM!AO$41),0))</f>
        <v>0.29590809681807784</v>
      </c>
      <c r="AP75" s="8">
        <f>IF($A75=AP$1,0,IF(SUM(IMshareM!AP$2:AP$78)-IMshareM!AP$42&gt;0,IMshareM!AP75/(SUM(IMshareM!AP$2:AP$78)-IMshareM!AP$42),0))</f>
        <v>5.268695627407621E-3</v>
      </c>
      <c r="AQ75" s="8">
        <f>IF($A75=AQ$1,0,IF(SUM(IMshareM!AQ$2:AQ$78)-IMshareM!AQ$43&gt;0,IMshareM!AQ75/(SUM(IMshareM!AQ$2:AQ$78)-IMshareM!AQ$43),0))</f>
        <v>0.17502483511531591</v>
      </c>
      <c r="AR75" s="8">
        <f>IF($A75=AR$1,0,IF(SUM(IMshareM!AR$2:AR$78)-IMshareM!AR$44&gt;0,IMshareM!AR75/(SUM(IMshareM!AR$2:AR$78)-IMshareM!AR$44),0))</f>
        <v>2.2132027339217489E-4</v>
      </c>
      <c r="AS75" s="8">
        <f>IF($A75=AS$1,0,IF(SUM(IMshareM!AS$2:AS$78)-IMshareM!AS$45&gt;0,IMshareM!AS75/(SUM(IMshareM!AS$2:AS$78)-IMshareM!AS$45),0))</f>
        <v>8.5013300320038471E-3</v>
      </c>
      <c r="AT75" s="8">
        <f>IF($A75=AT$1,0,IF(SUM(IMshareM!AT$2:AT$78)-IMshareM!AT$46&gt;0,IMshareM!AT75/(SUM(IMshareM!AT$2:AT$78)-IMshareM!AT$46),0))</f>
        <v>1.253093285198017E-2</v>
      </c>
      <c r="AU75" s="8">
        <f>IF($A75=AU$1,0,IF(SUM(IMshareM!AU$2:AU$78)-IMshareM!AU$47&gt;0,IMshareM!AU75/(SUM(IMshareM!AU$2:AU$78)-IMshareM!AU$47),0))</f>
        <v>1.384504316790594E-2</v>
      </c>
      <c r="AV75" s="8">
        <f>IF($A75=AV$1,0,IF(SUM(IMshareM!AV$2:AV$78)-IMshareM!AV$48&gt;0,IMshareM!AV75/(SUM(IMshareM!AV$2:AV$78)-IMshareM!AV$48),0))</f>
        <v>8.1340408808656776E-3</v>
      </c>
      <c r="AW75" s="8">
        <f>IF($A75=AW$1,0,IF(SUM(IMshareM!AW$2:AW$78)-IMshareM!AW$49&gt;0,IMshareM!AW75/(SUM(IMshareM!AW$2:AW$78)-IMshareM!AW$49),0))</f>
        <v>0.19145183454967443</v>
      </c>
      <c r="AX75" s="8">
        <f>IF($A75=AX$1,0,IF(SUM(IMshareM!AX$2:AX$78)-IMshareM!AX$50&gt;0,IMshareM!AX75/(SUM(IMshareM!AX$2:AX$78)-IMshareM!AX$50),0))</f>
        <v>3.4194328611989919E-3</v>
      </c>
      <c r="AY75" s="8">
        <f>IF($A75=AY$1,0,IF(SUM(IMshareM!AY$2:AY$78)-IMshareM!AY$51&gt;0,IMshareM!AY75/(SUM(IMshareM!AY$2:AY$78)-IMshareM!AY$51),0))</f>
        <v>2.283969566336477E-2</v>
      </c>
      <c r="AZ75" s="8">
        <f>IF($A75=AZ$1,0,IF(SUM(IMshareM!AZ$2:AZ$78)-IMshareM!AZ$52&gt;0,IMshareM!AZ75/(SUM(IMshareM!AZ$2:AZ$78)-IMshareM!AZ$52),0))</f>
        <v>3.0326992171290361E-2</v>
      </c>
      <c r="BA75" s="8">
        <f>IF($A75=BA$1,0,IF(SUM(IMshareM!BA$2:BA$78)-IMshareM!BA$53&gt;0,IMshareM!BA75/(SUM(IMshareM!BA$2:BA$78)-IMshareM!BA$53),0))</f>
        <v>1.7198936692626128E-2</v>
      </c>
      <c r="BB75" s="8">
        <f>IF($A75=BB$1,0,IF(SUM(IMshareM!BB$2:BB$78)-IMshareM!BB$54&gt;0,IMshareM!BB75/(SUM(IMshareM!BB$2:BB$78)-IMshareM!BB$54),0))</f>
        <v>7.8836382665484678E-2</v>
      </c>
      <c r="BC75" s="8">
        <f>IF($A75=BC$1,0,IF(SUM(IMshareM!BC$2:BC$78)-IMshareM!BC$55&gt;0,IMshareM!BC75/(SUM(IMshareM!BC$2:BC$78)-IMshareM!BC$55),0))</f>
        <v>0.16536678636191141</v>
      </c>
      <c r="BD75" s="8">
        <f>IF($A75=BD$1,0,IF(SUM(IMshareM!BD$2:BD$78)-IMshareM!BD$56&gt;0,IMshareM!BD75/(SUM(IMshareM!BD$2:BD$78)-IMshareM!BD$56),0))</f>
        <v>0.10411430198335307</v>
      </c>
      <c r="BE75" s="8">
        <f>IF($A75=BE$1,0,IF(SUM(IMshareM!BE$2:BE$78)-IMshareM!BE$57&gt;0,IMshareM!BE75/(SUM(IMshareM!BE$2:BE$78)-IMshareM!BE$57),0))</f>
        <v>4.047865811820358E-2</v>
      </c>
      <c r="BF75" s="8">
        <f>IF($A75=BF$1,0,IF(SUM(IMshareM!BF$2:BF$78)-IMshareM!BF$58&gt;0,IMshareM!BF75/(SUM(IMshareM!BF$2:BF$78)-IMshareM!BF$58),0))</f>
        <v>0.21505266880482851</v>
      </c>
      <c r="BG75" s="8">
        <f>IF($A75=BG$1,0,IF(SUM(IMshareM!BG$2:BG$78)-IMshareM!BG$59&gt;0,IMshareM!BG75/(SUM(IMshareM!BG$2:BG$78)-IMshareM!BG$59),0))</f>
        <v>4.8324609671623261E-2</v>
      </c>
      <c r="BH75" s="8">
        <f>IF($A75=BH$1,0,IF(SUM(IMshareM!BH$2:BH$78)-IMshareM!BH$60&gt;0,IMshareM!BH75/(SUM(IMshareM!BH$2:BH$78)-IMshareM!BH$60),0))</f>
        <v>1.9268665663267449E-2</v>
      </c>
      <c r="BI75" s="8">
        <f>IF($A75=BI$1,0,IF(SUM(IMshareM!BI$2:BI$78)-IMshareM!BI$61&gt;0,IMshareM!BI75/(SUM(IMshareM!BI$2:BI$78)-IMshareM!BI$61),0))</f>
        <v>3.6681206762665718E-3</v>
      </c>
      <c r="BJ75" s="8">
        <f>IF($A75=BJ$1,0,IF(SUM(IMshareM!BJ$2:BJ$78)-IMshareM!BJ$62&gt;0,IMshareM!BJ75/(SUM(IMshareM!BJ$2:BJ$78)-IMshareM!BJ$62),0))</f>
        <v>6.6297734357463351E-3</v>
      </c>
      <c r="BK75" s="8">
        <f>IF($A75=BK$1,0,IF(SUM(IMshareM!BK$2:BK$78)-IMshareM!BK$63&gt;0,IMshareM!BK75/(SUM(IMshareM!BK$2:BK$78)-IMshareM!BK$63),0))</f>
        <v>6.7758159762065125E-3</v>
      </c>
      <c r="BL75" s="8">
        <f>IF($A75=BL$1,0,IF(SUM(IMshareM!BL$2:BL$78)-IMshareM!BL$64&gt;0,IMshareM!BL75/(SUM(IMshareM!BL$2:BL$78)-IMshareM!BL$64),0))</f>
        <v>0.10239529023306571</v>
      </c>
      <c r="BM75" s="8">
        <f>IF($A75=BM$1,0,IF(SUM(IMshareM!BM$2:BM$78)-IMshareM!BM$65&gt;0,IMshareM!BM75/(SUM(IMshareM!BM$2:BM$78)-IMshareM!BM$65),0))</f>
        <v>1.4387514739964977E-2</v>
      </c>
      <c r="BN75" s="8">
        <f>IF($A75=BN$1,0,IF(SUM(IMshareM!BN$2:BN$78)-IMshareM!BN$66&gt;0,IMshareM!BN75/(SUM(IMshareM!BN$2:BN$78)-IMshareM!BN$66),0))</f>
        <v>0.26553434051955538</v>
      </c>
      <c r="BO75" s="8">
        <f>IF($A75=BO$1,0,IF(SUM(IMshareM!BO$2:BO$78)-IMshareM!BO$67&gt;0,IMshareM!BO75/(SUM(IMshareM!BO$2:BO$78)-IMshareM!BO$67),0))</f>
        <v>2.4275508471813725E-3</v>
      </c>
      <c r="BP75" s="8">
        <f>IF($A75=BP$1,0,IF(SUM(IMshareM!BP$2:BP$78)-IMshareM!BP$68&gt;0,IMshareM!BP75/(SUM(IMshareM!BP$2:BP$78)-IMshareM!BP$68),0))</f>
        <v>1.3873340321151615E-2</v>
      </c>
      <c r="BQ75" s="8">
        <f>IF($A75=BQ$1,0,IF(SUM(IMshareM!BQ$2:BQ$78)-IMshareM!BQ$69&gt;0,IMshareM!BQ75/(SUM(IMshareM!BQ$2:BQ$78)-IMshareM!BQ$69),0))</f>
        <v>2.3559996175412254E-2</v>
      </c>
      <c r="BR75" s="8">
        <f>IF($A75=BR$1,0,IF(SUM(IMshareM!BR$2:BR$78)-IMshareM!BR$70&gt;0,IMshareM!BR75/(SUM(IMshareM!BR$2:BR$78)-IMshareM!BR$70),0))</f>
        <v>3.0209574749923484E-2</v>
      </c>
      <c r="BS75" s="8">
        <f>IF($A75=BS$1,0,IF(SUM(IMshareM!BS$2:BS$78)-IMshareM!BS$71&gt;0,IMshareM!BS75/(SUM(IMshareM!BS$2:BS$78)-IMshareM!BS$71),0))</f>
        <v>1.8507814356587403E-2</v>
      </c>
      <c r="BT75" s="8">
        <f>IF($A75=BT$1,0,IF(SUM(IMshareM!BT$2:BT$78)-IMshareM!BT$72&gt;0,IMshareM!BT75/(SUM(IMshareM!BT$2:BT$78)-IMshareM!BT$72),0))</f>
        <v>4.385171036551249E-2</v>
      </c>
      <c r="BU75" s="8">
        <f>IF($A75=BU$1,0,IF(SUM(IMshareM!BU$2:BU$78)-IMshareM!BU$73&gt;0,IMshareM!BU75/(SUM(IMshareM!BU$2:BU$78)-IMshareM!BU$73),0))</f>
        <v>5.9468307979765558E-2</v>
      </c>
      <c r="BV75" s="8">
        <f>IF($A75=BV$1,0,IF(SUM(IMshareM!BV$2:BV$78)-IMshareM!BV$74&gt;0,IMshareM!BV75/(SUM(IMshareM!BV$2:BV$78)-IMshareM!BV$74),0))</f>
        <v>1.2764515927617971E-2</v>
      </c>
      <c r="BW75" s="8">
        <f>IF($A75=BW$1,0,IF(SUM(IMshareM!BW$2:BW$78)-IMshareM!BW$75&gt;0,IMshareM!BW75/(SUM(IMshareM!BW$2:BW$78)-IMshareM!BW$75),0))</f>
        <v>0</v>
      </c>
      <c r="BX75" s="8">
        <f>IF($A75=BX$1,0,IF(SUM(IMshareM!BX$2:BX$78)-IMshareM!BX$76&gt;0,IMshareM!BX75/(SUM(IMshareM!BX$2:BX$78)-IMshareM!BX$76),0))</f>
        <v>4.9991720022503142E-3</v>
      </c>
      <c r="BY75" s="8">
        <f>IF($A75=BY$1,0,IF(SUM(IMshareM!BY$2:BY$78)-IMshareM!BY$77&gt;0,IMshareM!BY75/(SUM(IMshareM!BY$2:BY$78)-IMshareM!BY$77),0))</f>
        <v>8.8585834510673769E-2</v>
      </c>
      <c r="BZ75" s="8">
        <f>IF($A75=BZ$1,0,IF(SUM(IMshareM!BZ$2:BZ$78)-IMshareM!BZ$78&gt;0,IMshareM!BZ75/(SUM(IMshareM!BZ$2:BZ$78)-IMshareM!BZ$78),0))</f>
        <v>0.17386647913668141</v>
      </c>
    </row>
    <row r="76" spans="1:78">
      <c r="A76" s="4" t="s">
        <v>219</v>
      </c>
      <c r="B76" s="8">
        <f>IF($A76=B$1,0,IF(SUM(IMshareM!B$2:B$78)-IMshareM!B$2&gt;0,IMshareM!B76/(SUM(IMshareM!B$2:B$78)-IMshareM!B$2),0))</f>
        <v>4.4116759497260368E-3</v>
      </c>
      <c r="C76" s="8">
        <f>IF($A76=C$1,0,IF(SUM(IMshareM!C$2:C$78)-IMshareM!C$3&gt;0,IMshareM!C76/(SUM(IMshareM!C$2:C$78)-IMshareM!C$3),0))</f>
        <v>4.0840068222356427E-3</v>
      </c>
      <c r="D76" s="8">
        <f>IF($A76=D$1,0,IF(SUM(IMshareM!D$2:D$78)-IMshareM!D$4&gt;0,IMshareM!D76/(SUM(IMshareM!D$2:D$78)-IMshareM!D$4),0))</f>
        <v>3.3823981201524321E-2</v>
      </c>
      <c r="E76" s="8">
        <f>IF($A76=E$1,0,IF(SUM(IMshareM!E$2:E$78)-IMshareM!E$5&gt;0,IMshareM!E76/(SUM(IMshareM!E$2:E$78)-IMshareM!E$5),0))</f>
        <v>5.2276667963854237E-5</v>
      </c>
      <c r="F76" s="8">
        <f>IF($A76=F$1,0,IF(SUM(IMshareM!F$2:F$78)-IMshareM!F$6&gt;0,IMshareM!F76/(SUM(IMshareM!F$2:F$78)-IMshareM!F$6),0))</f>
        <v>1.1618160148883197E-3</v>
      </c>
      <c r="G76" s="8">
        <f>IF($A76=G$1,0,IF(SUM(IMshareM!G$2:G$78)-IMshareM!G$7&gt;0,IMshareM!G76/(SUM(IMshareM!G$2:G$78)-IMshareM!G$7),0))</f>
        <v>0</v>
      </c>
      <c r="H76" s="8">
        <f>IF($A76=H$1,0,IF(SUM(IMshareM!H$2:H$78)-IMshareM!H$8&gt;0,IMshareM!H76/(SUM(IMshareM!H$2:H$78)-IMshareM!H$8),0))</f>
        <v>0</v>
      </c>
      <c r="I76" s="8">
        <f>IF($A76=I$1,0,IF(SUM(IMshareM!I$2:I$78)-IMshareM!I$9&gt;0,IMshareM!I76/(SUM(IMshareM!I$2:I$78)-IMshareM!I$9),0))</f>
        <v>1.8249693080175551E-2</v>
      </c>
      <c r="J76" s="8">
        <f>IF($A76=J$1,0,IF(SUM(IMshareM!J$2:J$78)-IMshareM!J$10&gt;0,IMshareM!J76/(SUM(IMshareM!J$2:J$78)-IMshareM!J$10),0))</f>
        <v>2.6828015313904558E-4</v>
      </c>
      <c r="K76" s="8">
        <f>IF($A76=K$1,0,IF(SUM(IMshareM!K$2:K$78)-IMshareM!K$11&gt;0,IMshareM!K76/(SUM(IMshareM!K$2:K$78)-IMshareM!K$11),0))</f>
        <v>2.599715126721432E-2</v>
      </c>
      <c r="L76" s="8">
        <f>IF($A76=L$1,0,IF(SUM(IMshareM!L$2:L$78)-IMshareM!L$12&gt;0,IMshareM!L76/(SUM(IMshareM!L$2:L$78)-IMshareM!L$12),0))</f>
        <v>9.999495239422198E-3</v>
      </c>
      <c r="M76" s="8">
        <f>IF($A76=M$1,0,IF(SUM(IMshareM!M$2:M$78)-IMshareM!M$13&gt;0,IMshareM!M76/(SUM(IMshareM!M$2:M$78)-IMshareM!M$13),0))</f>
        <v>4.6289012720056241E-2</v>
      </c>
      <c r="N76" s="8">
        <f>IF($A76=N$1,0,IF(SUM(IMshareM!N$2:N$78)-IMshareM!N$14&gt;0,IMshareM!N76/(SUM(IMshareM!N$2:N$78)-IMshareM!N$14),0))</f>
        <v>6.6812767676415849E-2</v>
      </c>
      <c r="O76" s="8">
        <f>IF($A76=O$1,0,IF(SUM(IMshareM!O$2:O$78)-IMshareM!O$15&gt;0,IMshareM!O76/(SUM(IMshareM!O$2:O$78)-IMshareM!O$15),0))</f>
        <v>4.7724998542904356E-3</v>
      </c>
      <c r="P76" s="8">
        <f>IF($A76=P$1,0,IF(SUM(IMshareM!P$2:P$78)-IMshareM!P$16&gt;0,IMshareM!P76/(SUM(IMshareM!P$2:P$78)-IMshareM!P$16),0))</f>
        <v>2.9556927659390899E-4</v>
      </c>
      <c r="Q76" s="8">
        <f>IF($A76=Q$1,0,IF(SUM(IMshareM!Q$2:Q$78)-IMshareM!Q$17&gt;0,IMshareM!Q76/(SUM(IMshareM!Q$2:Q$78)-IMshareM!Q$17),0))</f>
        <v>6.5871727752781967E-2</v>
      </c>
      <c r="R76" s="8">
        <f>IF($A76=R$1,0,IF(SUM(IMshareM!R$2:R$78)-IMshareM!R$18&gt;0,IMshareM!R76/(SUM(IMshareM!R$2:R$78)-IMshareM!R$18),0))</f>
        <v>1.4646225642908732E-3</v>
      </c>
      <c r="S76" s="8">
        <f>IF($A76=S$1,0,IF(SUM(IMshareM!S$2:S$78)-IMshareM!S$19&gt;0,IMshareM!S76/(SUM(IMshareM!S$2:S$78)-IMshareM!S$19),0))</f>
        <v>0</v>
      </c>
      <c r="T76" s="8">
        <f>IF($A76=T$1,0,IF(SUM(IMshareM!T$2:T$78)-IMshareM!T$20&gt;0,IMshareM!T76/(SUM(IMshareM!T$2:T$78)-IMshareM!T$20),0))</f>
        <v>4.0114081913308402E-3</v>
      </c>
      <c r="U76" s="8">
        <f>IF($A76=U$1,0,IF(SUM(IMshareM!U$2:U$78)-IMshareM!U$21&gt;0,IMshareM!U76/(SUM(IMshareM!U$2:U$78)-IMshareM!U$21),0))</f>
        <v>8.4553622546357111E-3</v>
      </c>
      <c r="V76" s="8">
        <f>IF($A76=V$1,0,IF(SUM(IMshareM!V$2:V$78)-IMshareM!V$22&gt;0,IMshareM!V76/(SUM(IMshareM!V$2:V$78)-IMshareM!V$22),0))</f>
        <v>6.666458669970787E-5</v>
      </c>
      <c r="W76" s="8">
        <f>IF($A76=W$1,0,IF(SUM(IMshareM!W$2:W$78)-IMshareM!W$23&gt;0,IMshareM!W76/(SUM(IMshareM!W$2:W$78)-IMshareM!W$23),0))</f>
        <v>3.2383081970749163E-2</v>
      </c>
      <c r="X76" s="8">
        <f>IF($A76=X$1,0,IF(SUM(IMshareM!X$2:X$78)-IMshareM!X$24&gt;0,IMshareM!X76/(SUM(IMshareM!X$2:X$78)-IMshareM!X$24),0))</f>
        <v>4.8015653482720239E-3</v>
      </c>
      <c r="Y76" s="8">
        <f>IF($A76=Y$1,0,IF(SUM(IMshareM!Y$2:Y$78)-IMshareM!Y$25&gt;0,IMshareM!Y76/(SUM(IMshareM!Y$2:Y$78)-IMshareM!Y$25),0))</f>
        <v>3.0155858359014198E-4</v>
      </c>
      <c r="Z76" s="8">
        <f>IF($A76=Z$1,0,IF(SUM(IMshareM!Z$2:Z$78)-IMshareM!Z$26&gt;0,IMshareM!Z76/(SUM(IMshareM!Z$2:Z$78)-IMshareM!Z$26),0))</f>
        <v>3.3217980334468052E-3</v>
      </c>
      <c r="AA76" s="8">
        <f>IF($A76=AA$1,0,IF(SUM(IMshareM!AA$2:AA$78)-IMshareM!AA$27&gt;0,IMshareM!AA76/(SUM(IMshareM!AA$2:AA$78)-IMshareM!AA$27),0))</f>
        <v>1.0234809463495155E-2</v>
      </c>
      <c r="AB76" s="8">
        <f>IF($A76=AB$1,0,IF(SUM(IMshareM!AB$2:AB$78)-IMshareM!AB$28&gt;0,IMshareM!AB76/(SUM(IMshareM!AB$2:AB$78)-IMshareM!AB$28),0))</f>
        <v>3.7112653866481072E-3</v>
      </c>
      <c r="AC76" s="8">
        <f>IF($A76=AC$1,0,IF(SUM(IMshareM!AC$2:AC$78)-IMshareM!AC$29&gt;0,IMshareM!AC76/(SUM(IMshareM!AC$2:AC$78)-IMshareM!AC$29),0))</f>
        <v>0</v>
      </c>
      <c r="AD76" s="8">
        <f>IF($A76=AD$1,0,IF(SUM(IMshareM!AD$2:AD$78)-IMshareM!AD$30&gt;0,IMshareM!AD76/(SUM(IMshareM!AD$2:AD$78)-IMshareM!AD$30),0))</f>
        <v>5.7181153359321793E-2</v>
      </c>
      <c r="AE76" s="8">
        <f>IF($A76=AE$1,0,IF(SUM(IMshareM!AE$2:AE$78)-IMshareM!AE$31&gt;0,IMshareM!AE76/(SUM(IMshareM!AE$2:AE$78)-IMshareM!AE$31),0))</f>
        <v>1.503005294956787E-5</v>
      </c>
      <c r="AF76" s="8">
        <f>IF($A76=AF$1,0,IF(SUM(IMshareM!AF$2:AF$78)-IMshareM!AF$32&gt;0,IMshareM!AF76/(SUM(IMshareM!AF$2:AF$78)-IMshareM!AF$32),0))</f>
        <v>1.4664992387298506E-5</v>
      </c>
      <c r="AG76" s="8">
        <f>IF($A76=AG$1,0,IF(SUM(IMshareM!AG$2:AG$78)-IMshareM!AG$33&gt;0,IMshareM!AG76/(SUM(IMshareM!AG$2:AG$78)-IMshareM!AG$33),0))</f>
        <v>3.957458640615414E-2</v>
      </c>
      <c r="AH76" s="8">
        <f>IF($A76=AH$1,0,IF(SUM(IMshareM!AH$2:AH$78)-IMshareM!AH$34&gt;0,IMshareM!AH76/(SUM(IMshareM!AH$2:AH$78)-IMshareM!AH$34),0))</f>
        <v>2.6913685432231601E-2</v>
      </c>
      <c r="AI76" s="8">
        <f>IF($A76=AI$1,0,IF(SUM(IMshareM!AI$2:AI$78)-IMshareM!AI$35&gt;0,IMshareM!AI76/(SUM(IMshareM!AI$2:AI$78)-IMshareM!AI$35),0))</f>
        <v>0.11714345736971851</v>
      </c>
      <c r="AJ76" s="8">
        <f>IF($A76=AJ$1,0,IF(SUM(IMshareM!AJ$2:AJ$78)-IMshareM!AJ$36&gt;0,IMshareM!AJ76/(SUM(IMshareM!AJ$2:AJ$78)-IMshareM!AJ$36),0))</f>
        <v>1.577013342316042E-4</v>
      </c>
      <c r="AK76" s="8">
        <f>IF($A76=AK$1,0,IF(SUM(IMshareM!AK$2:AK$78)-IMshareM!AK$37&gt;0,IMshareM!AK76/(SUM(IMshareM!AK$2:AK$78)-IMshareM!AK$37),0))</f>
        <v>3.7928599473037467E-5</v>
      </c>
      <c r="AL76" s="8">
        <f>IF($A76=AL$1,0,IF(SUM(IMshareM!AL$2:AL$78)-IMshareM!AL$38&gt;0,IMshareM!AL76/(SUM(IMshareM!AL$2:AL$78)-IMshareM!AL$38),0))</f>
        <v>1.9699556714821004E-2</v>
      </c>
      <c r="AM76" s="8">
        <f>IF($A76=AM$1,0,IF(SUM(IMshareM!AM$2:AM$78)-IMshareM!AM$39&gt;0,IMshareM!AM76/(SUM(IMshareM!AM$2:AM$78)-IMshareM!AM$39),0))</f>
        <v>5.7425860878379759E-5</v>
      </c>
      <c r="AN76" s="8">
        <f>IF($A76=AN$1,0,IF(SUM(IMshareM!AN$2:AN$78)-IMshareM!AN$40&gt;0,IMshareM!AN76/(SUM(IMshareM!AN$2:AN$78)-IMshareM!AN$40),0))</f>
        <v>0.12926983592242328</v>
      </c>
      <c r="AO76" s="8">
        <f>IF($A76=AO$1,0,IF(SUM(IMshareM!AO$2:AO$78)-IMshareM!AO$41&gt;0,IMshareM!AO76/(SUM(IMshareM!AO$2:AO$78)-IMshareM!AO$41),0))</f>
        <v>0</v>
      </c>
      <c r="AP76" s="8">
        <f>IF($A76=AP$1,0,IF(SUM(IMshareM!AP$2:AP$78)-IMshareM!AP$42&gt;0,IMshareM!AP76/(SUM(IMshareM!AP$2:AP$78)-IMshareM!AP$42),0))</f>
        <v>1.1388814790429785E-2</v>
      </c>
      <c r="AQ76" s="8">
        <f>IF($A76=AQ$1,0,IF(SUM(IMshareM!AQ$2:AQ$78)-IMshareM!AQ$43&gt;0,IMshareM!AQ76/(SUM(IMshareM!AQ$2:AQ$78)-IMshareM!AQ$43),0))</f>
        <v>3.6303924373877978E-2</v>
      </c>
      <c r="AR76" s="8">
        <f>IF($A76=AR$1,0,IF(SUM(IMshareM!AR$2:AR$78)-IMshareM!AR$44&gt;0,IMshareM!AR76/(SUM(IMshareM!AR$2:AR$78)-IMshareM!AR$44),0))</f>
        <v>5.9083668239758969E-2</v>
      </c>
      <c r="AS76" s="8">
        <f>IF($A76=AS$1,0,IF(SUM(IMshareM!AS$2:AS$78)-IMshareM!AS$45&gt;0,IMshareM!AS76/(SUM(IMshareM!AS$2:AS$78)-IMshareM!AS$45),0))</f>
        <v>2.6546150597859187E-6</v>
      </c>
      <c r="AT76" s="8">
        <f>IF($A76=AT$1,0,IF(SUM(IMshareM!AT$2:AT$78)-IMshareM!AT$46&gt;0,IMshareM!AT76/(SUM(IMshareM!AT$2:AT$78)-IMshareM!AT$46),0))</f>
        <v>1.3093653586230451E-6</v>
      </c>
      <c r="AU76" s="8">
        <f>IF($A76=AU$1,0,IF(SUM(IMshareM!AU$2:AU$78)-IMshareM!AU$47&gt;0,IMshareM!AU76/(SUM(IMshareM!AU$2:AU$78)-IMshareM!AU$47),0))</f>
        <v>2.4321479428699331E-3</v>
      </c>
      <c r="AV76" s="8">
        <f>IF($A76=AV$1,0,IF(SUM(IMshareM!AV$2:AV$78)-IMshareM!AV$48&gt;0,IMshareM!AV76/(SUM(IMshareM!AV$2:AV$78)-IMshareM!AV$48),0))</f>
        <v>1.6115531330272184E-2</v>
      </c>
      <c r="AW76" s="8">
        <f>IF($A76=AW$1,0,IF(SUM(IMshareM!AW$2:AW$78)-IMshareM!AW$49&gt;0,IMshareM!AW76/(SUM(IMshareM!AW$2:AW$78)-IMshareM!AW$49),0))</f>
        <v>4.1512920220413384E-2</v>
      </c>
      <c r="AX76" s="8">
        <f>IF($A76=AX$1,0,IF(SUM(IMshareM!AX$2:AX$78)-IMshareM!AX$50&gt;0,IMshareM!AX76/(SUM(IMshareM!AX$2:AX$78)-IMshareM!AX$50),0))</f>
        <v>0</v>
      </c>
      <c r="AY76" s="8">
        <f>IF($A76=AY$1,0,IF(SUM(IMshareM!AY$2:AY$78)-IMshareM!AY$51&gt;0,IMshareM!AY76/(SUM(IMshareM!AY$2:AY$78)-IMshareM!AY$51),0))</f>
        <v>3.7597552784641243E-4</v>
      </c>
      <c r="AZ76" s="8">
        <f>IF($A76=AZ$1,0,IF(SUM(IMshareM!AZ$2:AZ$78)-IMshareM!AZ$52&gt;0,IMshareM!AZ76/(SUM(IMshareM!AZ$2:AZ$78)-IMshareM!AZ$52),0))</f>
        <v>2.8230924393463429E-2</v>
      </c>
      <c r="BA76" s="8">
        <f>IF($A76=BA$1,0,IF(SUM(IMshareM!BA$2:BA$78)-IMshareM!BA$53&gt;0,IMshareM!BA76/(SUM(IMshareM!BA$2:BA$78)-IMshareM!BA$53),0))</f>
        <v>3.3411120272296916E-4</v>
      </c>
      <c r="BB76" s="8">
        <f>IF($A76=BB$1,0,IF(SUM(IMshareM!BB$2:BB$78)-IMshareM!BB$54&gt;0,IMshareM!BB76/(SUM(IMshareM!BB$2:BB$78)-IMshareM!BB$54),0))</f>
        <v>1.3525447025133735E-2</v>
      </c>
      <c r="BC76" s="8">
        <f>IF($A76=BC$1,0,IF(SUM(IMshareM!BC$2:BC$78)-IMshareM!BC$55&gt;0,IMshareM!BC76/(SUM(IMshareM!BC$2:BC$78)-IMshareM!BC$55),0))</f>
        <v>7.269999000970224E-4</v>
      </c>
      <c r="BD76" s="8">
        <f>IF($A76=BD$1,0,IF(SUM(IMshareM!BD$2:BD$78)-IMshareM!BD$56&gt;0,IMshareM!BD76/(SUM(IMshareM!BD$2:BD$78)-IMshareM!BD$56),0))</f>
        <v>4.3348139611913576E-2</v>
      </c>
      <c r="BE76" s="8">
        <f>IF($A76=BE$1,0,IF(SUM(IMshareM!BE$2:BE$78)-IMshareM!BE$57&gt;0,IMshareM!BE76/(SUM(IMshareM!BE$2:BE$78)-IMshareM!BE$57),0))</f>
        <v>3.9427309346791469E-5</v>
      </c>
      <c r="BF76" s="8">
        <f>IF($A76=BF$1,0,IF(SUM(IMshareM!BF$2:BF$78)-IMshareM!BF$58&gt;0,IMshareM!BF76/(SUM(IMshareM!BF$2:BF$78)-IMshareM!BF$58),0))</f>
        <v>7.285587766150561E-3</v>
      </c>
      <c r="BG76" s="8">
        <f>IF($A76=BG$1,0,IF(SUM(IMshareM!BG$2:BG$78)-IMshareM!BG$59&gt;0,IMshareM!BG76/(SUM(IMshareM!BG$2:BG$78)-IMshareM!BG$59),0))</f>
        <v>4.474118388688049E-2</v>
      </c>
      <c r="BH76" s="8">
        <f>IF($A76=BH$1,0,IF(SUM(IMshareM!BH$2:BH$78)-IMshareM!BH$60&gt;0,IMshareM!BH76/(SUM(IMshareM!BH$2:BH$78)-IMshareM!BH$60),0))</f>
        <v>1.1055991359913919E-2</v>
      </c>
      <c r="BI76" s="8">
        <f>IF($A76=BI$1,0,IF(SUM(IMshareM!BI$2:BI$78)-IMshareM!BI$61&gt;0,IMshareM!BI76/(SUM(IMshareM!BI$2:BI$78)-IMshareM!BI$61),0))</f>
        <v>6.9676017588727343E-4</v>
      </c>
      <c r="BJ76" s="8">
        <f>IF($A76=BJ$1,0,IF(SUM(IMshareM!BJ$2:BJ$78)-IMshareM!BJ$62&gt;0,IMshareM!BJ76/(SUM(IMshareM!BJ$2:BJ$78)-IMshareM!BJ$62),0))</f>
        <v>1.4971783719420993E-3</v>
      </c>
      <c r="BK76" s="8">
        <f>IF($A76=BK$1,0,IF(SUM(IMshareM!BK$2:BK$78)-IMshareM!BK$63&gt;0,IMshareM!BK76/(SUM(IMshareM!BK$2:BK$78)-IMshareM!BK$63),0))</f>
        <v>1.1601595292341241E-4</v>
      </c>
      <c r="BL76" s="8">
        <f>IF($A76=BL$1,0,IF(SUM(IMshareM!BL$2:BL$78)-IMshareM!BL$64&gt;0,IMshareM!BL76/(SUM(IMshareM!BL$2:BL$78)-IMshareM!BL$64),0))</f>
        <v>2.1282580648801681E-5</v>
      </c>
      <c r="BM76" s="8">
        <f>IF($A76=BM$1,0,IF(SUM(IMshareM!BM$2:BM$78)-IMshareM!BM$65&gt;0,IMshareM!BM76/(SUM(IMshareM!BM$2:BM$78)-IMshareM!BM$65),0))</f>
        <v>7.7992308755943523E-5</v>
      </c>
      <c r="BN76" s="8">
        <f>IF($A76=BN$1,0,IF(SUM(IMshareM!BN$2:BN$78)-IMshareM!BN$66&gt;0,IMshareM!BN76/(SUM(IMshareM!BN$2:BN$78)-IMshareM!BN$66),0))</f>
        <v>6.4809938759718203E-2</v>
      </c>
      <c r="BO76" s="8">
        <f>IF($A76=BO$1,0,IF(SUM(IMshareM!BO$2:BO$78)-IMshareM!BO$67&gt;0,IMshareM!BO76/(SUM(IMshareM!BO$2:BO$78)-IMshareM!BO$67),0))</f>
        <v>3.0630887261251337E-4</v>
      </c>
      <c r="BP76" s="8">
        <f>IF($A76=BP$1,0,IF(SUM(IMshareM!BP$2:BP$78)-IMshareM!BP$68&gt;0,IMshareM!BP76/(SUM(IMshareM!BP$2:BP$78)-IMshareM!BP$68),0))</f>
        <v>3.6754531641612468E-4</v>
      </c>
      <c r="BQ76" s="8">
        <f>IF($A76=BQ$1,0,IF(SUM(IMshareM!BQ$2:BQ$78)-IMshareM!BQ$69&gt;0,IMshareM!BQ76/(SUM(IMshareM!BQ$2:BQ$78)-IMshareM!BQ$69),0))</f>
        <v>2.2512558961744794E-3</v>
      </c>
      <c r="BR76" s="8">
        <f>IF($A76=BR$1,0,IF(SUM(IMshareM!BR$2:BR$78)-IMshareM!BR$70&gt;0,IMshareM!BR76/(SUM(IMshareM!BR$2:BR$78)-IMshareM!BR$70),0))</f>
        <v>5.4983969493597573E-2</v>
      </c>
      <c r="BS76" s="8">
        <f>IF($A76=BS$1,0,IF(SUM(IMshareM!BS$2:BS$78)-IMshareM!BS$71&gt;0,IMshareM!BS76/(SUM(IMshareM!BS$2:BS$78)-IMshareM!BS$71),0))</f>
        <v>1.6817249902527633E-4</v>
      </c>
      <c r="BT76" s="8">
        <f>IF($A76=BT$1,0,IF(SUM(IMshareM!BT$2:BT$78)-IMshareM!BT$72&gt;0,IMshareM!BT76/(SUM(IMshareM!BT$2:BT$78)-IMshareM!BT$72),0))</f>
        <v>7.1763167091074527E-3</v>
      </c>
      <c r="BU76" s="8">
        <f>IF($A76=BU$1,0,IF(SUM(IMshareM!BU$2:BU$78)-IMshareM!BU$73&gt;0,IMshareM!BU76/(SUM(IMshareM!BU$2:BU$78)-IMshareM!BU$73),0))</f>
        <v>1.8858147292348248E-2</v>
      </c>
      <c r="BV76" s="8">
        <f>IF($A76=BV$1,0,IF(SUM(IMshareM!BV$2:BV$78)-IMshareM!BV$74&gt;0,IMshareM!BV76/(SUM(IMshareM!BV$2:BV$78)-IMshareM!BV$74),0))</f>
        <v>1.6550601119005169E-3</v>
      </c>
      <c r="BW76" s="8">
        <f>IF($A76=BW$1,0,IF(SUM(IMshareM!BW$2:BW$78)-IMshareM!BW$75&gt;0,IMshareM!BW76/(SUM(IMshareM!BW$2:BW$78)-IMshareM!BW$75),0))</f>
        <v>5.7353587078324629E-2</v>
      </c>
      <c r="BX76" s="8">
        <f>IF($A76=BX$1,0,IF(SUM(IMshareM!BX$2:BX$78)-IMshareM!BX$76&gt;0,IMshareM!BX76/(SUM(IMshareM!BX$2:BX$78)-IMshareM!BX$76),0))</f>
        <v>0</v>
      </c>
      <c r="BY76" s="8">
        <f>IF($A76=BY$1,0,IF(SUM(IMshareM!BY$2:BY$78)-IMshareM!BY$77&gt;0,IMshareM!BY76/(SUM(IMshareM!BY$2:BY$78)-IMshareM!BY$77),0))</f>
        <v>7.7366037384924476E-4</v>
      </c>
      <c r="BZ76" s="8">
        <f>IF($A76=BZ$1,0,IF(SUM(IMshareM!BZ$2:BZ$78)-IMshareM!BZ$78&gt;0,IMshareM!BZ76/(SUM(IMshareM!BZ$2:BZ$78)-IMshareM!BZ$78),0))</f>
        <v>4.8089956189658707E-3</v>
      </c>
    </row>
    <row r="77" spans="1:78">
      <c r="A77" s="4" t="s">
        <v>221</v>
      </c>
      <c r="B77" s="8">
        <f>IF($A77=B$1,0,IF(SUM(IMshareM!B$2:B$78)-IMshareM!B$2&gt;0,IMshareM!B77/(SUM(IMshareM!B$2:B$78)-IMshareM!B$2),0))</f>
        <v>1.053540944760631E-4</v>
      </c>
      <c r="C77" s="8">
        <f>IF($A77=C$1,0,IF(SUM(IMshareM!C$2:C$78)-IMshareM!C$3&gt;0,IMshareM!C77/(SUM(IMshareM!C$2:C$78)-IMshareM!C$3),0))</f>
        <v>5.2673240164427277E-3</v>
      </c>
      <c r="D77" s="8">
        <f>IF($A77=D$1,0,IF(SUM(IMshareM!D$2:D$78)-IMshareM!D$4&gt;0,IMshareM!D77/(SUM(IMshareM!D$2:D$78)-IMshareM!D$4),0))</f>
        <v>3.064989436101523E-5</v>
      </c>
      <c r="E77" s="8">
        <f>IF($A77=E$1,0,IF(SUM(IMshareM!E$2:E$78)-IMshareM!E$5&gt;0,IMshareM!E77/(SUM(IMshareM!E$2:E$78)-IMshareM!E$5),0))</f>
        <v>2.6285143102381023E-5</v>
      </c>
      <c r="F77" s="8">
        <f>IF($A77=F$1,0,IF(SUM(IMshareM!F$2:F$78)-IMshareM!F$6&gt;0,IMshareM!F77/(SUM(IMshareM!F$2:F$78)-IMshareM!F$6),0))</f>
        <v>9.486397384848047E-5</v>
      </c>
      <c r="G77" s="8">
        <f>IF($A77=G$1,0,IF(SUM(IMshareM!G$2:G$78)-IMshareM!G$7&gt;0,IMshareM!G77/(SUM(IMshareM!G$2:G$78)-IMshareM!G$7),0))</f>
        <v>0</v>
      </c>
      <c r="H77" s="8">
        <f>IF($A77=H$1,0,IF(SUM(IMshareM!H$2:H$78)-IMshareM!H$8&gt;0,IMshareM!H77/(SUM(IMshareM!H$2:H$78)-IMshareM!H$8),0))</f>
        <v>0</v>
      </c>
      <c r="I77" s="8">
        <f>IF($A77=I$1,0,IF(SUM(IMshareM!I$2:I$78)-IMshareM!I$9&gt;0,IMshareM!I77/(SUM(IMshareM!I$2:I$78)-IMshareM!I$9),0))</f>
        <v>1.2841719213668911E-5</v>
      </c>
      <c r="J77" s="8">
        <f>IF($A77=J$1,0,IF(SUM(IMshareM!J$2:J$78)-IMshareM!J$10&gt;0,IMshareM!J77/(SUM(IMshareM!J$2:J$78)-IMshareM!J$10),0))</f>
        <v>0</v>
      </c>
      <c r="K77" s="8">
        <f>IF($A77=K$1,0,IF(SUM(IMshareM!K$2:K$78)-IMshareM!K$11&gt;0,IMshareM!K77/(SUM(IMshareM!K$2:K$78)-IMshareM!K$11),0))</f>
        <v>2.433410595040504E-4</v>
      </c>
      <c r="L77" s="8">
        <f>IF($A77=L$1,0,IF(SUM(IMshareM!L$2:L$78)-IMshareM!L$12&gt;0,IMshareM!L77/(SUM(IMshareM!L$2:L$78)-IMshareM!L$12),0))</f>
        <v>3.4487802799282728E-6</v>
      </c>
      <c r="M77" s="8">
        <f>IF($A77=M$1,0,IF(SUM(IMshareM!M$2:M$78)-IMshareM!M$13&gt;0,IMshareM!M77/(SUM(IMshareM!M$2:M$78)-IMshareM!M$13),0))</f>
        <v>8.074496593282088E-4</v>
      </c>
      <c r="N77" s="8">
        <f>IF($A77=N$1,0,IF(SUM(IMshareM!N$2:N$78)-IMshareM!N$14&gt;0,IMshareM!N77/(SUM(IMshareM!N$2:N$78)-IMshareM!N$14),0))</f>
        <v>2.283006819476043E-6</v>
      </c>
      <c r="O77" s="8">
        <f>IF($A77=O$1,0,IF(SUM(IMshareM!O$2:O$78)-IMshareM!O$15&gt;0,IMshareM!O77/(SUM(IMshareM!O$2:O$78)-IMshareM!O$15),0))</f>
        <v>7.0986563736452651E-2</v>
      </c>
      <c r="P77" s="8">
        <f>IF($A77=P$1,0,IF(SUM(IMshareM!P$2:P$78)-IMshareM!P$16&gt;0,IMshareM!P77/(SUM(IMshareM!P$2:P$78)-IMshareM!P$16),0))</f>
        <v>2.0638715846876452E-3</v>
      </c>
      <c r="Q77" s="8">
        <f>IF($A77=Q$1,0,IF(SUM(IMshareM!Q$2:Q$78)-IMshareM!Q$17&gt;0,IMshareM!Q77/(SUM(IMshareM!Q$2:Q$78)-IMshareM!Q$17),0))</f>
        <v>4.3637388758190576E-7</v>
      </c>
      <c r="R77" s="8">
        <f>IF($A77=R$1,0,IF(SUM(IMshareM!R$2:R$78)-IMshareM!R$18&gt;0,IMshareM!R77/(SUM(IMshareM!R$2:R$78)-IMshareM!R$18),0))</f>
        <v>1.1123720842094963E-3</v>
      </c>
      <c r="S77" s="8">
        <f>IF($A77=S$1,0,IF(SUM(IMshareM!S$2:S$78)-IMshareM!S$19&gt;0,IMshareM!S77/(SUM(IMshareM!S$2:S$78)-IMshareM!S$19),0))</f>
        <v>2.1872099585855355E-4</v>
      </c>
      <c r="T77" s="8">
        <f>IF($A77=T$1,0,IF(SUM(IMshareM!T$2:T$78)-IMshareM!T$20&gt;0,IMshareM!T77/(SUM(IMshareM!T$2:T$78)-IMshareM!T$20),0))</f>
        <v>5.267393618489424E-7</v>
      </c>
      <c r="U77" s="8">
        <f>IF($A77=U$1,0,IF(SUM(IMshareM!U$2:U$78)-IMshareM!U$21&gt;0,IMshareM!U77/(SUM(IMshareM!U$2:U$78)-IMshareM!U$21),0))</f>
        <v>2.0972356294635944E-5</v>
      </c>
      <c r="V77" s="8">
        <f>IF($A77=V$1,0,IF(SUM(IMshareM!V$2:V$78)-IMshareM!V$22&gt;0,IMshareM!V77/(SUM(IMshareM!V$2:V$78)-IMshareM!V$22),0))</f>
        <v>8.214148660894392E-6</v>
      </c>
      <c r="W77" s="8">
        <f>IF($A77=W$1,0,IF(SUM(IMshareM!W$2:W$78)-IMshareM!W$23&gt;0,IMshareM!W77/(SUM(IMshareM!W$2:W$78)-IMshareM!W$23),0))</f>
        <v>4.0026478655306789E-5</v>
      </c>
      <c r="X77" s="8">
        <f>IF($A77=X$1,0,IF(SUM(IMshareM!X$2:X$78)-IMshareM!X$24&gt;0,IMshareM!X77/(SUM(IMshareM!X$2:X$78)-IMshareM!X$24),0))</f>
        <v>1.940481875845979E-5</v>
      </c>
      <c r="Y77" s="8">
        <f>IF($A77=Y$1,0,IF(SUM(IMshareM!Y$2:Y$78)-IMshareM!Y$25&gt;0,IMshareM!Y77/(SUM(IMshareM!Y$2:Y$78)-IMshareM!Y$25),0))</f>
        <v>6.5214465142778775E-5</v>
      </c>
      <c r="Z77" s="8">
        <f>IF($A77=Z$1,0,IF(SUM(IMshareM!Z$2:Z$78)-IMshareM!Z$26&gt;0,IMshareM!Z77/(SUM(IMshareM!Z$2:Z$78)-IMshareM!Z$26),0))</f>
        <v>9.3702844749890097E-7</v>
      </c>
      <c r="AA77" s="8">
        <f>IF($A77=AA$1,0,IF(SUM(IMshareM!AA$2:AA$78)-IMshareM!AA$27&gt;0,IMshareM!AA77/(SUM(IMshareM!AA$2:AA$78)-IMshareM!AA$27),0))</f>
        <v>4.4332581257127047E-5</v>
      </c>
      <c r="AB77" s="8">
        <f>IF($A77=AB$1,0,IF(SUM(IMshareM!AB$2:AB$78)-IMshareM!AB$28&gt;0,IMshareM!AB77/(SUM(IMshareM!AB$2:AB$78)-IMshareM!AB$28),0))</f>
        <v>3.9302557198792564E-4</v>
      </c>
      <c r="AC77" s="8">
        <f>IF($A77=AC$1,0,IF(SUM(IMshareM!AC$2:AC$78)-IMshareM!AC$29&gt;0,IMshareM!AC77/(SUM(IMshareM!AC$2:AC$78)-IMshareM!AC$29),0))</f>
        <v>1.8381451304225364E-5</v>
      </c>
      <c r="AD77" s="8">
        <f>IF($A77=AD$1,0,IF(SUM(IMshareM!AD$2:AD$78)-IMshareM!AD$30&gt;0,IMshareM!AD77/(SUM(IMshareM!AD$2:AD$78)-IMshareM!AD$30),0))</f>
        <v>2.5680777203252271E-5</v>
      </c>
      <c r="AE77" s="8">
        <f>IF($A77=AE$1,0,IF(SUM(IMshareM!AE$2:AE$78)-IMshareM!AE$31&gt;0,IMshareM!AE77/(SUM(IMshareM!AE$2:AE$78)-IMshareM!AE$31),0))</f>
        <v>7.0705338497279407E-6</v>
      </c>
      <c r="AF77" s="8">
        <f>IF($A77=AF$1,0,IF(SUM(IMshareM!AF$2:AF$78)-IMshareM!AF$32&gt;0,IMshareM!AF77/(SUM(IMshareM!AF$2:AF$78)-IMshareM!AF$32),0))</f>
        <v>1.9394021762664565E-6</v>
      </c>
      <c r="AG77" s="8">
        <f>IF($A77=AG$1,0,IF(SUM(IMshareM!AG$2:AG$78)-IMshareM!AG$33&gt;0,IMshareM!AG77/(SUM(IMshareM!AG$2:AG$78)-IMshareM!AG$33),0))</f>
        <v>2.2666122117236936E-4</v>
      </c>
      <c r="AH77" s="8">
        <f>IF($A77=AH$1,0,IF(SUM(IMshareM!AH$2:AH$78)-IMshareM!AH$34&gt;0,IMshareM!AH77/(SUM(IMshareM!AH$2:AH$78)-IMshareM!AH$34),0))</f>
        <v>4.0141336922573981E-4</v>
      </c>
      <c r="AI77" s="8">
        <f>IF($A77=AI$1,0,IF(SUM(IMshareM!AI$2:AI$78)-IMshareM!AI$35&gt;0,IMshareM!AI77/(SUM(IMshareM!AI$2:AI$78)-IMshareM!AI$35),0))</f>
        <v>4.0995414280034223E-6</v>
      </c>
      <c r="AJ77" s="8">
        <f>IF($A77=AJ$1,0,IF(SUM(IMshareM!AJ$2:AJ$78)-IMshareM!AJ$36&gt;0,IMshareM!AJ77/(SUM(IMshareM!AJ$2:AJ$78)-IMshareM!AJ$36),0))</f>
        <v>1.8144871347579699E-4</v>
      </c>
      <c r="AK77" s="8">
        <f>IF($A77=AK$1,0,IF(SUM(IMshareM!AK$2:AK$78)-IMshareM!AK$37&gt;0,IMshareM!AK77/(SUM(IMshareM!AK$2:AK$78)-IMshareM!AK$37),0))</f>
        <v>5.8566814732966261E-7</v>
      </c>
      <c r="AL77" s="8">
        <f>IF($A77=AL$1,0,IF(SUM(IMshareM!AL$2:AL$78)-IMshareM!AL$38&gt;0,IMshareM!AL77/(SUM(IMshareM!AL$2:AL$78)-IMshareM!AL$38),0))</f>
        <v>4.3585565021799209E-6</v>
      </c>
      <c r="AM77" s="8">
        <f>IF($A77=AM$1,0,IF(SUM(IMshareM!AM$2:AM$78)-IMshareM!AM$39&gt;0,IMshareM!AM77/(SUM(IMshareM!AM$2:AM$78)-IMshareM!AM$39),0))</f>
        <v>1.5676354486901631E-4</v>
      </c>
      <c r="AN77" s="8">
        <f>IF($A77=AN$1,0,IF(SUM(IMshareM!AN$2:AN$78)-IMshareM!AN$40&gt;0,IMshareM!AN77/(SUM(IMshareM!AN$2:AN$78)-IMshareM!AN$40),0))</f>
        <v>4.7483960222665489E-6</v>
      </c>
      <c r="AO77" s="8">
        <f>IF($A77=AO$1,0,IF(SUM(IMshareM!AO$2:AO$78)-IMshareM!AO$41&gt;0,IMshareM!AO77/(SUM(IMshareM!AO$2:AO$78)-IMshareM!AO$41),0))</f>
        <v>1.4187301937563647E-4</v>
      </c>
      <c r="AP77" s="8">
        <f>IF($A77=AP$1,0,IF(SUM(IMshareM!AP$2:AP$78)-IMshareM!AP$42&gt;0,IMshareM!AP77/(SUM(IMshareM!AP$2:AP$78)-IMshareM!AP$42),0))</f>
        <v>0</v>
      </c>
      <c r="AQ77" s="8">
        <f>IF($A77=AQ$1,0,IF(SUM(IMshareM!AQ$2:AQ$78)-IMshareM!AQ$43&gt;0,IMshareM!AQ77/(SUM(IMshareM!AQ$2:AQ$78)-IMshareM!AQ$43),0))</f>
        <v>1.589380239073259E-4</v>
      </c>
      <c r="AR77" s="8">
        <f>IF($A77=AR$1,0,IF(SUM(IMshareM!AR$2:AR$78)-IMshareM!AR$44&gt;0,IMshareM!AR77/(SUM(IMshareM!AR$2:AR$78)-IMshareM!AR$44),0))</f>
        <v>0</v>
      </c>
      <c r="AS77" s="8">
        <f>IF($A77=AS$1,0,IF(SUM(IMshareM!AS$2:AS$78)-IMshareM!AS$45&gt;0,IMshareM!AS77/(SUM(IMshareM!AS$2:AS$78)-IMshareM!AS$45),0))</f>
        <v>0</v>
      </c>
      <c r="AT77" s="8">
        <f>IF($A77=AT$1,0,IF(SUM(IMshareM!AT$2:AT$78)-IMshareM!AT$46&gt;0,IMshareM!AT77/(SUM(IMshareM!AT$2:AT$78)-IMshareM!AT$46),0))</f>
        <v>0</v>
      </c>
      <c r="AU77" s="8">
        <f>IF($A77=AU$1,0,IF(SUM(IMshareM!AU$2:AU$78)-IMshareM!AU$47&gt;0,IMshareM!AU77/(SUM(IMshareM!AU$2:AU$78)-IMshareM!AU$47),0))</f>
        <v>5.0628725745883389E-4</v>
      </c>
      <c r="AV77" s="8">
        <f>IF($A77=AV$1,0,IF(SUM(IMshareM!AV$2:AV$78)-IMshareM!AV$48&gt;0,IMshareM!AV77/(SUM(IMshareM!AV$2:AV$78)-IMshareM!AV$48),0))</f>
        <v>6.4643352708725565E-4</v>
      </c>
      <c r="AW77" s="8">
        <f>IF($A77=AW$1,0,IF(SUM(IMshareM!AW$2:AW$78)-IMshareM!AW$49&gt;0,IMshareM!AW77/(SUM(IMshareM!AW$2:AW$78)-IMshareM!AW$49),0))</f>
        <v>6.7022294802266202E-7</v>
      </c>
      <c r="AX77" s="8">
        <f>IF($A77=AX$1,0,IF(SUM(IMshareM!AX$2:AX$78)-IMshareM!AX$50&gt;0,IMshareM!AX77/(SUM(IMshareM!AX$2:AX$78)-IMshareM!AX$50),0))</f>
        <v>0</v>
      </c>
      <c r="AY77" s="8">
        <f>IF($A77=AY$1,0,IF(SUM(IMshareM!AY$2:AY$78)-IMshareM!AY$51&gt;0,IMshareM!AY77/(SUM(IMshareM!AY$2:AY$78)-IMshareM!AY$51),0))</f>
        <v>0</v>
      </c>
      <c r="AZ77" s="8">
        <f>IF($A77=AZ$1,0,IF(SUM(IMshareM!AZ$2:AZ$78)-IMshareM!AZ$52&gt;0,IMshareM!AZ77/(SUM(IMshareM!AZ$2:AZ$78)-IMshareM!AZ$52),0))</f>
        <v>1.6247125396174027E-6</v>
      </c>
      <c r="BA77" s="8">
        <f>IF($A77=BA$1,0,IF(SUM(IMshareM!BA$2:BA$78)-IMshareM!BA$53&gt;0,IMshareM!BA77/(SUM(IMshareM!BA$2:BA$78)-IMshareM!BA$53),0))</f>
        <v>1.3383166168792066E-3</v>
      </c>
      <c r="BB77" s="8">
        <f>IF($A77=BB$1,0,IF(SUM(IMshareM!BB$2:BB$78)-IMshareM!BB$54&gt;0,IMshareM!BB77/(SUM(IMshareM!BB$2:BB$78)-IMshareM!BB$54),0))</f>
        <v>1.7937652073734563E-4</v>
      </c>
      <c r="BC77" s="8">
        <f>IF($A77=BC$1,0,IF(SUM(IMshareM!BC$2:BC$78)-IMshareM!BC$55&gt;0,IMshareM!BC77/(SUM(IMshareM!BC$2:BC$78)-IMshareM!BC$55),0))</f>
        <v>9.4058587477307727E-5</v>
      </c>
      <c r="BD77" s="8">
        <f>IF($A77=BD$1,0,IF(SUM(IMshareM!BD$2:BD$78)-IMshareM!BD$56&gt;0,IMshareM!BD77/(SUM(IMshareM!BD$2:BD$78)-IMshareM!BD$56),0))</f>
        <v>6.4578838381356589E-4</v>
      </c>
      <c r="BE77" s="8">
        <f>IF($A77=BE$1,0,IF(SUM(IMshareM!BE$2:BE$78)-IMshareM!BE$57&gt;0,IMshareM!BE77/(SUM(IMshareM!BE$2:BE$78)-IMshareM!BE$57),0))</f>
        <v>1.6209863436842E-4</v>
      </c>
      <c r="BF77" s="8">
        <f>IF($A77=BF$1,0,IF(SUM(IMshareM!BF$2:BF$78)-IMshareM!BF$58&gt;0,IMshareM!BF77/(SUM(IMshareM!BF$2:BF$78)-IMshareM!BF$58),0))</f>
        <v>5.3257678759756311E-4</v>
      </c>
      <c r="BG77" s="8">
        <f>IF($A77=BG$1,0,IF(SUM(IMshareM!BG$2:BG$78)-IMshareM!BG$59&gt;0,IMshareM!BG77/(SUM(IMshareM!BG$2:BG$78)-IMshareM!BG$59),0))</f>
        <v>1.3217468130587824E-4</v>
      </c>
      <c r="BH77" s="8">
        <f>IF($A77=BH$1,0,IF(SUM(IMshareM!BH$2:BH$78)-IMshareM!BH$60&gt;0,IMshareM!BH77/(SUM(IMshareM!BH$2:BH$78)-IMshareM!BH$60),0))</f>
        <v>1.139035733737545E-6</v>
      </c>
      <c r="BI77" s="8">
        <f>IF($A77=BI$1,0,IF(SUM(IMshareM!BI$2:BI$78)-IMshareM!BI$61&gt;0,IMshareM!BI77/(SUM(IMshareM!BI$2:BI$78)-IMshareM!BI$61),0))</f>
        <v>7.0492410474260482E-8</v>
      </c>
      <c r="BJ77" s="8">
        <f>IF($A77=BJ$1,0,IF(SUM(IMshareM!BJ$2:BJ$78)-IMshareM!BJ$62&gt;0,IMshareM!BJ77/(SUM(IMshareM!BJ$2:BJ$78)-IMshareM!BJ$62),0))</f>
        <v>2.8743597566248478E-4</v>
      </c>
      <c r="BK77" s="8">
        <f>IF($A77=BK$1,0,IF(SUM(IMshareM!BK$2:BK$78)-IMshareM!BK$63&gt;0,IMshareM!BK77/(SUM(IMshareM!BK$2:BK$78)-IMshareM!BK$63),0))</f>
        <v>7.2417754940746115E-5</v>
      </c>
      <c r="BL77" s="8">
        <f>IF($A77=BL$1,0,IF(SUM(IMshareM!BL$2:BL$78)-IMshareM!BL$64&gt;0,IMshareM!BL77/(SUM(IMshareM!BL$2:BL$78)-IMshareM!BL$64),0))</f>
        <v>8.7880554852995803E-5</v>
      </c>
      <c r="BM77" s="8">
        <f>IF($A77=BM$1,0,IF(SUM(IMshareM!BM$2:BM$78)-IMshareM!BM$65&gt;0,IMshareM!BM77/(SUM(IMshareM!BM$2:BM$78)-IMshareM!BM$65),0))</f>
        <v>3.766082713499549E-3</v>
      </c>
      <c r="BN77" s="8">
        <f>IF($A77=BN$1,0,IF(SUM(IMshareM!BN$2:BN$78)-IMshareM!BN$66&gt;0,IMshareM!BN77/(SUM(IMshareM!BN$2:BN$78)-IMshareM!BN$66),0))</f>
        <v>2.5951085049787951E-6</v>
      </c>
      <c r="BO77" s="8">
        <f>IF($A77=BO$1,0,IF(SUM(IMshareM!BO$2:BO$78)-IMshareM!BO$67&gt;0,IMshareM!BO77/(SUM(IMshareM!BO$2:BO$78)-IMshareM!BO$67),0))</f>
        <v>5.4003616228040239E-6</v>
      </c>
      <c r="BP77" s="8">
        <f>IF($A77=BP$1,0,IF(SUM(IMshareM!BP$2:BP$78)-IMshareM!BP$68&gt;0,IMshareM!BP77/(SUM(IMshareM!BP$2:BP$78)-IMshareM!BP$68),0))</f>
        <v>1.9872162952577747E-6</v>
      </c>
      <c r="BQ77" s="8">
        <f>IF($A77=BQ$1,0,IF(SUM(IMshareM!BQ$2:BQ$78)-IMshareM!BQ$69&gt;0,IMshareM!BQ77/(SUM(IMshareM!BQ$2:BQ$78)-IMshareM!BQ$69),0))</f>
        <v>3.0472915868493793E-5</v>
      </c>
      <c r="BR77" s="8">
        <f>IF($A77=BR$1,0,IF(SUM(IMshareM!BR$2:BR$78)-IMshareM!BR$70&gt;0,IMshareM!BR77/(SUM(IMshareM!BR$2:BR$78)-IMshareM!BR$70),0))</f>
        <v>3.6093184270531454E-4</v>
      </c>
      <c r="BS77" s="8">
        <f>IF($A77=BS$1,0,IF(SUM(IMshareM!BS$2:BS$78)-IMshareM!BS$71&gt;0,IMshareM!BS77/(SUM(IMshareM!BS$2:BS$78)-IMshareM!BS$71),0))</f>
        <v>7.342966033347207E-7</v>
      </c>
      <c r="BT77" s="8">
        <f>IF($A77=BT$1,0,IF(SUM(IMshareM!BT$2:BT$78)-IMshareM!BT$72&gt;0,IMshareM!BT77/(SUM(IMshareM!BT$2:BT$78)-IMshareM!BT$72),0))</f>
        <v>8.89748716636893E-5</v>
      </c>
      <c r="BU77" s="8">
        <f>IF($A77=BU$1,0,IF(SUM(IMshareM!BU$2:BU$78)-IMshareM!BU$73&gt;0,IMshareM!BU77/(SUM(IMshareM!BU$2:BU$78)-IMshareM!BU$73),0))</f>
        <v>3.7593591999428828E-7</v>
      </c>
      <c r="BV77" s="8">
        <f>IF($A77=BV$1,0,IF(SUM(IMshareM!BV$2:BV$78)-IMshareM!BV$74&gt;0,IMshareM!BV77/(SUM(IMshareM!BV$2:BV$78)-IMshareM!BV$74),0))</f>
        <v>4.6854153155592818E-5</v>
      </c>
      <c r="BW77" s="8">
        <f>IF($A77=BW$1,0,IF(SUM(IMshareM!BW$2:BW$78)-IMshareM!BW$75&gt;0,IMshareM!BW77/(SUM(IMshareM!BW$2:BW$78)-IMshareM!BW$75),0))</f>
        <v>1.8803764078139155E-4</v>
      </c>
      <c r="BX77" s="8">
        <f>IF($A77=BX$1,0,IF(SUM(IMshareM!BX$2:BX$78)-IMshareM!BX$76&gt;0,IMshareM!BX77/(SUM(IMshareM!BX$2:BX$78)-IMshareM!BX$76),0))</f>
        <v>4.4188900584317906E-5</v>
      </c>
      <c r="BY77" s="8">
        <f>IF($A77=BY$1,0,IF(SUM(IMshareM!BY$2:BY$78)-IMshareM!BY$77&gt;0,IMshareM!BY77/(SUM(IMshareM!BY$2:BY$78)-IMshareM!BY$77),0))</f>
        <v>0</v>
      </c>
      <c r="BZ77" s="8">
        <f>IF($A77=BZ$1,0,IF(SUM(IMshareM!BZ$2:BZ$78)-IMshareM!BZ$78&gt;0,IMshareM!BZ77/(SUM(IMshareM!BZ$2:BZ$78)-IMshareM!BZ$78),0))</f>
        <v>3.7232640900676343E-2</v>
      </c>
    </row>
    <row r="78" spans="1:78">
      <c r="A78" s="4" t="s">
        <v>223</v>
      </c>
      <c r="B78" s="8">
        <f>IF($A78=B$1,0,IF(SUM(IMshareM!B$2:B$78)-IMshareM!B$2&gt;0,IMshareM!B78/(SUM(IMshareM!B$2:B$78)-IMshareM!B$2),0))</f>
        <v>6.5679309043510732E-5</v>
      </c>
      <c r="C78" s="8">
        <f>IF($A78=C$1,0,IF(SUM(IMshareM!C$2:C$78)-IMshareM!C$3&gt;0,IMshareM!C78/(SUM(IMshareM!C$2:C$78)-IMshareM!C$3),0))</f>
        <v>3.0839216068067978E-3</v>
      </c>
      <c r="D78" s="8">
        <f>IF($A78=D$1,0,IF(SUM(IMshareM!D$2:D$78)-IMshareM!D$4&gt;0,IMshareM!D78/(SUM(IMshareM!D$2:D$78)-IMshareM!D$4),0))</f>
        <v>6.8622900757474275E-3</v>
      </c>
      <c r="E78" s="8">
        <f>IF($A78=E$1,0,IF(SUM(IMshareM!E$2:E$78)-IMshareM!E$5&gt;0,IMshareM!E78/(SUM(IMshareM!E$2:E$78)-IMshareM!E$5),0))</f>
        <v>2.2236938343104222E-4</v>
      </c>
      <c r="F78" s="8">
        <f>IF($A78=F$1,0,IF(SUM(IMshareM!F$2:F$78)-IMshareM!F$6&gt;0,IMshareM!F78/(SUM(IMshareM!F$2:F$78)-IMshareM!F$6),0))</f>
        <v>2.8968980052128264E-3</v>
      </c>
      <c r="G78" s="8">
        <f>IF($A78=G$1,0,IF(SUM(IMshareM!G$2:G$78)-IMshareM!G$7&gt;0,IMshareM!G78/(SUM(IMshareM!G$2:G$78)-IMshareM!G$7),0))</f>
        <v>3.7055581630913311E-3</v>
      </c>
      <c r="H78" s="8">
        <f>IF($A78=H$1,0,IF(SUM(IMshareM!H$2:H$78)-IMshareM!H$8&gt;0,IMshareM!H78/(SUM(IMshareM!H$2:H$78)-IMshareM!H$8),0))</f>
        <v>4.8324366690642604E-3</v>
      </c>
      <c r="I78" s="8">
        <f>IF($A78=I$1,0,IF(SUM(IMshareM!I$2:I$78)-IMshareM!I$9&gt;0,IMshareM!I78/(SUM(IMshareM!I$2:I$78)-IMshareM!I$9),0))</f>
        <v>1.5335991924886419E-2</v>
      </c>
      <c r="J78" s="8">
        <f>IF($A78=J$1,0,IF(SUM(IMshareM!J$2:J$78)-IMshareM!J$10&gt;0,IMshareM!J78/(SUM(IMshareM!J$2:J$78)-IMshareM!J$10),0))</f>
        <v>4.7399676399020206E-3</v>
      </c>
      <c r="K78" s="8">
        <f>IF($A78=K$1,0,IF(SUM(IMshareM!K$2:K$78)-IMshareM!K$11&gt;0,IMshareM!K78/(SUM(IMshareM!K$2:K$78)-IMshareM!K$11),0))</f>
        <v>4.0741519276896428E-3</v>
      </c>
      <c r="L78" s="8">
        <f>IF($A78=L$1,0,IF(SUM(IMshareM!L$2:L$78)-IMshareM!L$12&gt;0,IMshareM!L78/(SUM(IMshareM!L$2:L$78)-IMshareM!L$12),0))</f>
        <v>6.909055095795401E-3</v>
      </c>
      <c r="M78" s="8">
        <f>IF($A78=M$1,0,IF(SUM(IMshareM!M$2:M$78)-IMshareM!M$13&gt;0,IMshareM!M78/(SUM(IMshareM!M$2:M$78)-IMshareM!M$13),0))</f>
        <v>2.7943074816897187E-3</v>
      </c>
      <c r="N78" s="8">
        <f>IF($A78=N$1,0,IF(SUM(IMshareM!N$2:N$78)-IMshareM!N$14&gt;0,IMshareM!N78/(SUM(IMshareM!N$2:N$78)-IMshareM!N$14),0))</f>
        <v>1.000732548067574E-2</v>
      </c>
      <c r="O78" s="8">
        <f>IF($A78=O$1,0,IF(SUM(IMshareM!O$2:O$78)-IMshareM!O$15&gt;0,IMshareM!O78/(SUM(IMshareM!O$2:O$78)-IMshareM!O$15),0))</f>
        <v>7.0852508134824535E-2</v>
      </c>
      <c r="P78" s="8">
        <f>IF($A78=P$1,0,IF(SUM(IMshareM!P$2:P$78)-IMshareM!P$16&gt;0,IMshareM!P78/(SUM(IMshareM!P$2:P$78)-IMshareM!P$16),0))</f>
        <v>2.771013990409521E-2</v>
      </c>
      <c r="Q78" s="8">
        <f>IF($A78=Q$1,0,IF(SUM(IMshareM!Q$2:Q$78)-IMshareM!Q$17&gt;0,IMshareM!Q78/(SUM(IMshareM!Q$2:Q$78)-IMshareM!Q$17),0))</f>
        <v>4.9529015380618616E-3</v>
      </c>
      <c r="R78" s="8">
        <f>IF($A78=R$1,0,IF(SUM(IMshareM!R$2:R$78)-IMshareM!R$18&gt;0,IMshareM!R78/(SUM(IMshareM!R$2:R$78)-IMshareM!R$18),0))</f>
        <v>1.7776964703509795E-2</v>
      </c>
      <c r="S78" s="8">
        <f>IF($A78=S$1,0,IF(SUM(IMshareM!S$2:S$78)-IMshareM!S$19&gt;0,IMshareM!S78/(SUM(IMshareM!S$2:S$78)-IMshareM!S$19),0))</f>
        <v>7.2151044978857933E-3</v>
      </c>
      <c r="T78" s="8">
        <f>IF($A78=T$1,0,IF(SUM(IMshareM!T$2:T$78)-IMshareM!T$20&gt;0,IMshareM!T78/(SUM(IMshareM!T$2:T$78)-IMshareM!T$20),0))</f>
        <v>1.2858873034048283E-2</v>
      </c>
      <c r="U78" s="8">
        <f>IF($A78=U$1,0,IF(SUM(IMshareM!U$2:U$78)-IMshareM!U$21&gt;0,IMshareM!U78/(SUM(IMshareM!U$2:U$78)-IMshareM!U$21),0))</f>
        <v>4.6955713899515854E-2</v>
      </c>
      <c r="V78" s="8">
        <f>IF($A78=V$1,0,IF(SUM(IMshareM!V$2:V$78)-IMshareM!V$22&gt;0,IMshareM!V78/(SUM(IMshareM!V$2:V$78)-IMshareM!V$22),0))</f>
        <v>7.9883469733123772E-3</v>
      </c>
      <c r="W78" s="8">
        <f>IF($A78=W$1,0,IF(SUM(IMshareM!W$2:W$78)-IMshareM!W$23&gt;0,IMshareM!W78/(SUM(IMshareM!W$2:W$78)-IMshareM!W$23),0))</f>
        <v>6.7503715366494807E-3</v>
      </c>
      <c r="X78" s="8">
        <f>IF($A78=X$1,0,IF(SUM(IMshareM!X$2:X$78)-IMshareM!X$24&gt;0,IMshareM!X78/(SUM(IMshareM!X$2:X$78)-IMshareM!X$24),0))</f>
        <v>1.6140792904983284E-2</v>
      </c>
      <c r="Y78" s="8">
        <f>IF($A78=Y$1,0,IF(SUM(IMshareM!Y$2:Y$78)-IMshareM!Y$25&gt;0,IMshareM!Y78/(SUM(IMshareM!Y$2:Y$78)-IMshareM!Y$25),0))</f>
        <v>3.9291254425350225E-2</v>
      </c>
      <c r="Z78" s="8">
        <f>IF($A78=Z$1,0,IF(SUM(IMshareM!Z$2:Z$78)-IMshareM!Z$26&gt;0,IMshareM!Z78/(SUM(IMshareM!Z$2:Z$78)-IMshareM!Z$26),0))</f>
        <v>2.4841637178251455E-4</v>
      </c>
      <c r="AA78" s="8">
        <f>IF($A78=AA$1,0,IF(SUM(IMshareM!AA$2:AA$78)-IMshareM!AA$27&gt;0,IMshareM!AA78/(SUM(IMshareM!AA$2:AA$78)-IMshareM!AA$27),0))</f>
        <v>1.1623149022971785E-2</v>
      </c>
      <c r="AB78" s="8">
        <f>IF($A78=AB$1,0,IF(SUM(IMshareM!AB$2:AB$78)-IMshareM!AB$28&gt;0,IMshareM!AB78/(SUM(IMshareM!AB$2:AB$78)-IMshareM!AB$28),0))</f>
        <v>5.2155958658992516E-3</v>
      </c>
      <c r="AC78" s="8">
        <f>IF($A78=AC$1,0,IF(SUM(IMshareM!AC$2:AC$78)-IMshareM!AC$29&gt;0,IMshareM!AC78/(SUM(IMshareM!AC$2:AC$78)-IMshareM!AC$29),0))</f>
        <v>4.1467925262359678E-3</v>
      </c>
      <c r="AD78" s="8">
        <f>IF($A78=AD$1,0,IF(SUM(IMshareM!AD$2:AD$78)-IMshareM!AD$30&gt;0,IMshareM!AD78/(SUM(IMshareM!AD$2:AD$78)-IMshareM!AD$30),0))</f>
        <v>1.052487019931422E-4</v>
      </c>
      <c r="AE78" s="8">
        <f>IF($A78=AE$1,0,IF(SUM(IMshareM!AE$2:AE$78)-IMshareM!AE$31&gt;0,IMshareM!AE78/(SUM(IMshareM!AE$2:AE$78)-IMshareM!AE$31),0))</f>
        <v>3.745398229099744E-3</v>
      </c>
      <c r="AF78" s="8">
        <f>IF($A78=AF$1,0,IF(SUM(IMshareM!AF$2:AF$78)-IMshareM!AF$32&gt;0,IMshareM!AF78/(SUM(IMshareM!AF$2:AF$78)-IMshareM!AF$32),0))</f>
        <v>7.0821028127549021E-2</v>
      </c>
      <c r="AG78" s="8">
        <f>IF($A78=AG$1,0,IF(SUM(IMshareM!AG$2:AG$78)-IMshareM!AG$33&gt;0,IMshareM!AG78/(SUM(IMshareM!AG$2:AG$78)-IMshareM!AG$33),0))</f>
        <v>4.2240721347687601E-4</v>
      </c>
      <c r="AH78" s="8">
        <f>IF($A78=AH$1,0,IF(SUM(IMshareM!AH$2:AH$78)-IMshareM!AH$34&gt;0,IMshareM!AH78/(SUM(IMshareM!AH$2:AH$78)-IMshareM!AH$34),0))</f>
        <v>4.7296254948372826E-3</v>
      </c>
      <c r="AI78" s="8">
        <f>IF($A78=AI$1,0,IF(SUM(IMshareM!AI$2:AI$78)-IMshareM!AI$35&gt;0,IMshareM!AI78/(SUM(IMshareM!AI$2:AI$78)-IMshareM!AI$35),0))</f>
        <v>2.3621709154286806E-3</v>
      </c>
      <c r="AJ78" s="8">
        <f>IF($A78=AJ$1,0,IF(SUM(IMshareM!AJ$2:AJ$78)-IMshareM!AJ$36&gt;0,IMshareM!AJ78/(SUM(IMshareM!AJ$2:AJ$78)-IMshareM!AJ$36),0))</f>
        <v>4.9848212937025002E-3</v>
      </c>
      <c r="AK78" s="8">
        <f>IF($A78=AK$1,0,IF(SUM(IMshareM!AK$2:AK$78)-IMshareM!AK$37&gt;0,IMshareM!AK78/(SUM(IMshareM!AK$2:AK$78)-IMshareM!AK$37),0))</f>
        <v>1.0535722075843746E-3</v>
      </c>
      <c r="AL78" s="8">
        <f>IF($A78=AL$1,0,IF(SUM(IMshareM!AL$2:AL$78)-IMshareM!AL$38&gt;0,IMshareM!AL78/(SUM(IMshareM!AL$2:AL$78)-IMshareM!AL$38),0))</f>
        <v>3.0425949327471714E-2</v>
      </c>
      <c r="AM78" s="8">
        <f>IF($A78=AM$1,0,IF(SUM(IMshareM!AM$2:AM$78)-IMshareM!AM$39&gt;0,IMshareM!AM78/(SUM(IMshareM!AM$2:AM$78)-IMshareM!AM$39),0))</f>
        <v>1.0121306708855389E-3</v>
      </c>
      <c r="AN78" s="8">
        <f>IF($A78=AN$1,0,IF(SUM(IMshareM!AN$2:AN$78)-IMshareM!AN$40&gt;0,IMshareM!AN78/(SUM(IMshareM!AN$2:AN$78)-IMshareM!AN$40),0))</f>
        <v>4.7477818669138878E-4</v>
      </c>
      <c r="AO78" s="8">
        <f>IF($A78=AO$1,0,IF(SUM(IMshareM!AO$2:AO$78)-IMshareM!AO$41&gt;0,IMshareM!AO78/(SUM(IMshareM!AO$2:AO$78)-IMshareM!AO$41),0))</f>
        <v>1.6886476656535976E-4</v>
      </c>
      <c r="AP78" s="8">
        <f>IF($A78=AP$1,0,IF(SUM(IMshareM!AP$2:AP$78)-IMshareM!AP$42&gt;0,IMshareM!AP78/(SUM(IMshareM!AP$2:AP$78)-IMshareM!AP$42),0))</f>
        <v>0</v>
      </c>
      <c r="AQ78" s="8">
        <f>IF($A78=AQ$1,0,IF(SUM(IMshareM!AQ$2:AQ$78)-IMshareM!AQ$43&gt;0,IMshareM!AQ78/(SUM(IMshareM!AQ$2:AQ$78)-IMshareM!AQ$43),0))</f>
        <v>8.0132046007012068E-5</v>
      </c>
      <c r="AR78" s="8">
        <f>IF($A78=AR$1,0,IF(SUM(IMshareM!AR$2:AR$78)-IMshareM!AR$44&gt;0,IMshareM!AR78/(SUM(IMshareM!AR$2:AR$78)-IMshareM!AR$44),0))</f>
        <v>0</v>
      </c>
      <c r="AS78" s="8">
        <f>IF($A78=AS$1,0,IF(SUM(IMshareM!AS$2:AS$78)-IMshareM!AS$45&gt;0,IMshareM!AS78/(SUM(IMshareM!AS$2:AS$78)-IMshareM!AS$45),0))</f>
        <v>3.7810452249816581E-4</v>
      </c>
      <c r="AT78" s="8">
        <f>IF($A78=AT$1,0,IF(SUM(IMshareM!AT$2:AT$78)-IMshareM!AT$46&gt;0,IMshareM!AT78/(SUM(IMshareM!AT$2:AT$78)-IMshareM!AT$46),0))</f>
        <v>8.9398070991341408E-2</v>
      </c>
      <c r="AU78" s="8">
        <f>IF($A78=AU$1,0,IF(SUM(IMshareM!AU$2:AU$78)-IMshareM!AU$47&gt;0,IMshareM!AU78/(SUM(IMshareM!AU$2:AU$78)-IMshareM!AU$47),0))</f>
        <v>4.1032583397535022E-4</v>
      </c>
      <c r="AV78" s="8">
        <f>IF($A78=AV$1,0,IF(SUM(IMshareM!AV$2:AV$78)-IMshareM!AV$48&gt;0,IMshareM!AV78/(SUM(IMshareM!AV$2:AV$78)-IMshareM!AV$48),0))</f>
        <v>8.4468609266664008E-4</v>
      </c>
      <c r="AW78" s="8">
        <f>IF($A78=AW$1,0,IF(SUM(IMshareM!AW$2:AW$78)-IMshareM!AW$49&gt;0,IMshareM!AW78/(SUM(IMshareM!AW$2:AW$78)-IMshareM!AW$49),0))</f>
        <v>8.8759951112780575E-4</v>
      </c>
      <c r="AX78" s="8">
        <f>IF($A78=AX$1,0,IF(SUM(IMshareM!AX$2:AX$78)-IMshareM!AX$50&gt;0,IMshareM!AX78/(SUM(IMshareM!AX$2:AX$78)-IMshareM!AX$50),0))</f>
        <v>1.8391924026027955E-5</v>
      </c>
      <c r="AY78" s="8">
        <f>IF($A78=AY$1,0,IF(SUM(IMshareM!AY$2:AY$78)-IMshareM!AY$51&gt;0,IMshareM!AY78/(SUM(IMshareM!AY$2:AY$78)-IMshareM!AY$51),0))</f>
        <v>5.5019419653584164E-5</v>
      </c>
      <c r="AZ78" s="8">
        <f>IF($A78=AZ$1,0,IF(SUM(IMshareM!AZ$2:AZ$78)-IMshareM!AZ$52&gt;0,IMshareM!AZ78/(SUM(IMshareM!AZ$2:AZ$78)-IMshareM!AZ$52),0))</f>
        <v>8.2604837572223156E-4</v>
      </c>
      <c r="BA78" s="8">
        <f>IF($A78=BA$1,0,IF(SUM(IMshareM!BA$2:BA$78)-IMshareM!BA$53&gt;0,IMshareM!BA78/(SUM(IMshareM!BA$2:BA$78)-IMshareM!BA$53),0))</f>
        <v>2.0733018052664829E-3</v>
      </c>
      <c r="BB78" s="8">
        <f>IF($A78=BB$1,0,IF(SUM(IMshareM!BB$2:BB$78)-IMshareM!BB$54&gt;0,IMshareM!BB78/(SUM(IMshareM!BB$2:BB$78)-IMshareM!BB$54),0))</f>
        <v>5.7798565218816662E-3</v>
      </c>
      <c r="BC78" s="8">
        <f>IF($A78=BC$1,0,IF(SUM(IMshareM!BC$2:BC$78)-IMshareM!BC$55&gt;0,IMshareM!BC78/(SUM(IMshareM!BC$2:BC$78)-IMshareM!BC$55),0))</f>
        <v>1.027441571316003E-3</v>
      </c>
      <c r="BD78" s="8">
        <f>IF($A78=BD$1,0,IF(SUM(IMshareM!BD$2:BD$78)-IMshareM!BD$56&gt;0,IMshareM!BD78/(SUM(IMshareM!BD$2:BD$78)-IMshareM!BD$56),0))</f>
        <v>1.4406408065518667E-3</v>
      </c>
      <c r="BE78" s="8">
        <f>IF($A78=BE$1,0,IF(SUM(IMshareM!BE$2:BE$78)-IMshareM!BE$57&gt;0,IMshareM!BE78/(SUM(IMshareM!BE$2:BE$78)-IMshareM!BE$57),0))</f>
        <v>1.096994595215493E-2</v>
      </c>
      <c r="BF78" s="8">
        <f>IF($A78=BF$1,0,IF(SUM(IMshareM!BF$2:BF$78)-IMshareM!BF$58&gt;0,IMshareM!BF78/(SUM(IMshareM!BF$2:BF$78)-IMshareM!BF$58),0))</f>
        <v>9.2690736813677707E-4</v>
      </c>
      <c r="BG78" s="8">
        <f>IF($A78=BG$1,0,IF(SUM(IMshareM!BG$2:BG$78)-IMshareM!BG$59&gt;0,IMshareM!BG78/(SUM(IMshareM!BG$2:BG$78)-IMshareM!BG$59),0))</f>
        <v>3.6026065971000065E-4</v>
      </c>
      <c r="BH78" s="8">
        <f>IF($A78=BH$1,0,IF(SUM(IMshareM!BH$2:BH$78)-IMshareM!BH$60&gt;0,IMshareM!BH78/(SUM(IMshareM!BH$2:BH$78)-IMshareM!BH$60),0))</f>
        <v>7.0089008694924088E-3</v>
      </c>
      <c r="BI78" s="8">
        <f>IF($A78=BI$1,0,IF(SUM(IMshareM!BI$2:BI$78)-IMshareM!BI$61&gt;0,IMshareM!BI78/(SUM(IMshareM!BI$2:BI$78)-IMshareM!BI$61),0))</f>
        <v>1.3620948746804187E-3</v>
      </c>
      <c r="BJ78" s="8">
        <f>IF($A78=BJ$1,0,IF(SUM(IMshareM!BJ$2:BJ$78)-IMshareM!BJ$62&gt;0,IMshareM!BJ78/(SUM(IMshareM!BJ$2:BJ$78)-IMshareM!BJ$62),0))</f>
        <v>7.3635024694998566E-3</v>
      </c>
      <c r="BK78" s="8">
        <f>IF($A78=BK$1,0,IF(SUM(IMshareM!BK$2:BK$78)-IMshareM!BK$63&gt;0,IMshareM!BK78/(SUM(IMshareM!BK$2:BK$78)-IMshareM!BK$63),0))</f>
        <v>6.1935453449981992E-3</v>
      </c>
      <c r="BL78" s="8">
        <f>IF($A78=BL$1,0,IF(SUM(IMshareM!BL$2:BL$78)-IMshareM!BL$64&gt;0,IMshareM!BL78/(SUM(IMshareM!BL$2:BL$78)-IMshareM!BL$64),0))</f>
        <v>0.12581339934079169</v>
      </c>
      <c r="BM78" s="8">
        <f>IF($A78=BM$1,0,IF(SUM(IMshareM!BM$2:BM$78)-IMshareM!BM$65&gt;0,IMshareM!BM78/(SUM(IMshareM!BM$2:BM$78)-IMshareM!BM$65),0))</f>
        <v>7.2369473134711246E-2</v>
      </c>
      <c r="BN78" s="8">
        <f>IF($A78=BN$1,0,IF(SUM(IMshareM!BN$2:BN$78)-IMshareM!BN$66&gt;0,IMshareM!BN78/(SUM(IMshareM!BN$2:BN$78)-IMshareM!BN$66),0))</f>
        <v>2.61278939247717E-3</v>
      </c>
      <c r="BO78" s="8">
        <f>IF($A78=BO$1,0,IF(SUM(IMshareM!BO$2:BO$78)-IMshareM!BO$67&gt;0,IMshareM!BO78/(SUM(IMshareM!BO$2:BO$78)-IMshareM!BO$67),0))</f>
        <v>5.5144487306406857E-2</v>
      </c>
      <c r="BP78" s="8">
        <f>IF($A78=BP$1,0,IF(SUM(IMshareM!BP$2:BP$78)-IMshareM!BP$68&gt;0,IMshareM!BP78/(SUM(IMshareM!BP$2:BP$78)-IMshareM!BP$68),0))</f>
        <v>5.2901927124660852E-2</v>
      </c>
      <c r="BQ78" s="8">
        <f>IF($A78=BQ$1,0,IF(SUM(IMshareM!BQ$2:BQ$78)-IMshareM!BQ$69&gt;0,IMshareM!BQ78/(SUM(IMshareM!BQ$2:BQ$78)-IMshareM!BQ$69),0))</f>
        <v>9.125793288386165E-2</v>
      </c>
      <c r="BR78" s="8">
        <f>IF($A78=BR$1,0,IF(SUM(IMshareM!BR$2:BR$78)-IMshareM!BR$70&gt;0,IMshareM!BR78/(SUM(IMshareM!BR$2:BR$78)-IMshareM!BR$70),0))</f>
        <v>3.3016275715389083E-3</v>
      </c>
      <c r="BS78" s="8">
        <f>IF($A78=BS$1,0,IF(SUM(IMshareM!BS$2:BS$78)-IMshareM!BS$71&gt;0,IMshareM!BS78/(SUM(IMshareM!BS$2:BS$78)-IMshareM!BS$71),0))</f>
        <v>5.5946959362596672E-3</v>
      </c>
      <c r="BT78" s="8">
        <f>IF($A78=BT$1,0,IF(SUM(IMshareM!BT$2:BT$78)-IMshareM!BT$72&gt;0,IMshareM!BT78/(SUM(IMshareM!BT$2:BT$78)-IMshareM!BT$72),0))</f>
        <v>1.2113856360812679E-2</v>
      </c>
      <c r="BU78" s="8">
        <f>IF($A78=BU$1,0,IF(SUM(IMshareM!BU$2:BU$78)-IMshareM!BU$73&gt;0,IMshareM!BU78/(SUM(IMshareM!BU$2:BU$78)-IMshareM!BU$73),0))</f>
        <v>4.7905268356901085E-4</v>
      </c>
      <c r="BV78" s="8">
        <f>IF($A78=BV$1,0,IF(SUM(IMshareM!BV$2:BV$78)-IMshareM!BV$74&gt;0,IMshareM!BV78/(SUM(IMshareM!BV$2:BV$78)-IMshareM!BV$74),0))</f>
        <v>1.2525328822525749E-2</v>
      </c>
      <c r="BW78" s="8">
        <f>IF($A78=BW$1,0,IF(SUM(IMshareM!BW$2:BW$78)-IMshareM!BW$75&gt;0,IMshareM!BW78/(SUM(IMshareM!BW$2:BW$78)-IMshareM!BW$75),0))</f>
        <v>4.6641008059810241E-3</v>
      </c>
      <c r="BX78" s="8">
        <f>IF($A78=BX$1,0,IF(SUM(IMshareM!BX$2:BX$78)-IMshareM!BX$76&gt;0,IMshareM!BX78/(SUM(IMshareM!BX$2:BX$78)-IMshareM!BX$76),0))</f>
        <v>3.5505638446724252E-6</v>
      </c>
      <c r="BY78" s="8">
        <f>IF($A78=BY$1,0,IF(SUM(IMshareM!BY$2:BY$78)-IMshareM!BY$77&gt;0,IMshareM!BY78/(SUM(IMshareM!BY$2:BY$78)-IMshareM!BY$77),0))</f>
        <v>2.5330956187215928E-2</v>
      </c>
      <c r="BZ78" s="8">
        <f>IF($A78=BZ$1,0,IF(SUM(IMshareM!BZ$2:BZ$78)-IMshareM!BZ$78&gt;0,IMshareM!BZ78/(SUM(IMshareM!BZ$2:BZ$78)-IMshareM!BZ$78),0))</f>
        <v>0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Z78"/>
  <sheetViews>
    <sheetView showGridLines="0" workbookViewId="0"/>
  </sheetViews>
  <sheetFormatPr defaultRowHeight="13.8"/>
  <cols>
    <col min="1" max="1" width="22" customWidth="1"/>
    <col min="2" max="78" width="11" customWidth="1"/>
  </cols>
  <sheetData>
    <row r="1" spans="1:78">
      <c r="A1" s="1" t="s">
        <v>389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8">
        <f>IF($A2=B$1,0,IF(SUM(IMshareM!B$2:B$78)-IMshareM!B$2&gt;0,IMshareM!B2/(SUM(IMshareM!B$2:B$78)-IMshareM!B$2),0))</f>
        <v>0</v>
      </c>
      <c r="C2" s="8">
        <f>IF($A2=C$1,0,IF(SUM(IMshareM!C$2:C$78)-IMshareM!C$3&gt;0,IMshareM!C2/(SUM(IMshareM!C$2:C$78)-IMshareM!C$3),0))</f>
        <v>0</v>
      </c>
      <c r="D2" s="8">
        <f>IF($A2=D$1,0,IF(SUM(IMshareM!D$2:D$78)-IMshareM!D$4&gt;0,IMshareM!D2/(SUM(IMshareM!D$2:D$78)-IMshareM!D$4),0))</f>
        <v>1.1955596474922231E-7</v>
      </c>
      <c r="E2" s="8">
        <f>IF($A2=E$1,0,IF(SUM(IMshareM!E$2:E$78)-IMshareM!E$5&gt;0,IMshareM!E2/(SUM(IMshareM!E$2:E$78)-IMshareM!E$5),0))</f>
        <v>8.7815507899035351E-6</v>
      </c>
      <c r="F2" s="8">
        <f>IF($A2=F$1,0,IF(SUM(IMshareM!F$2:F$78)-IMshareM!F$6&gt;0,IMshareM!F2/(SUM(IMshareM!F$2:F$78)-IMshareM!F$6),0))</f>
        <v>0</v>
      </c>
      <c r="G2" s="8">
        <f>IF($A2=G$1,0,IF(SUM(IMshareM!G$2:G$78)-IMshareM!G$7&gt;0,IMshareM!G2/(SUM(IMshareM!G$2:G$78)-IMshareM!G$7),0))</f>
        <v>0</v>
      </c>
      <c r="H2" s="8">
        <f>IF($A2=H$1,0,IF(SUM(IMshareM!H$2:H$78)-IMshareM!H$8&gt;0,IMshareM!H2/(SUM(IMshareM!H$2:H$78)-IMshareM!H$8),0))</f>
        <v>0</v>
      </c>
      <c r="I2" s="8">
        <f>IF($A2=I$1,0,IF(SUM(IMshareM!I$2:I$78)-IMshareM!I$9&gt;0,IMshareM!I2/(SUM(IMshareM!I$2:I$78)-IMshareM!I$9),0))</f>
        <v>4.1029260470003331E-3</v>
      </c>
      <c r="J2" s="8">
        <f>IF($A2=J$1,0,IF(SUM(IMshareM!J$2:J$78)-IMshareM!J$10&gt;0,IMshareM!J2/(SUM(IMshareM!J$2:J$78)-IMshareM!J$10),0))</f>
        <v>0</v>
      </c>
      <c r="K2" s="8">
        <f>IF($A2=K$1,0,IF(SUM(IMshareM!K$2:K$78)-IMshareM!K$11&gt;0,IMshareM!K2/(SUM(IMshareM!K$2:K$78)-IMshareM!K$11),0))</f>
        <v>3.0356164743208683E-4</v>
      </c>
      <c r="L2" s="8">
        <f>IF($A2=L$1,0,IF(SUM(IMshareM!L$2:L$78)-IMshareM!L$12&gt;0,IMshareM!L2/(SUM(IMshareM!L$2:L$78)-IMshareM!L$12),0))</f>
        <v>3.51109187801045E-6</v>
      </c>
      <c r="M2" s="8">
        <f>IF($A2=M$1,0,IF(SUM(IMshareM!M$2:M$78)-IMshareM!M$13&gt;0,IMshareM!M2/(SUM(IMshareM!M$2:M$78)-IMshareM!M$13),0))</f>
        <v>5.4236243409640553E-4</v>
      </c>
      <c r="N2" s="8">
        <f>IF($A2=N$1,0,IF(SUM(IMshareM!N$2:N$78)-IMshareM!N$14&gt;0,IMshareM!N2/(SUM(IMshareM!N$2:N$78)-IMshareM!N$14),0))</f>
        <v>1.447842819665602E-8</v>
      </c>
      <c r="O2" s="8">
        <f>IF($A2=O$1,0,IF(SUM(IMshareM!O$2:O$78)-IMshareM!O$15&gt;0,IMshareM!O2/(SUM(IMshareM!O$2:O$78)-IMshareM!O$15),0))</f>
        <v>0</v>
      </c>
      <c r="P2" s="8">
        <f>IF($A2=P$1,0,IF(SUM(IMshareM!P$2:P$78)-IMshareM!P$16&gt;0,IMshareM!P2/(SUM(IMshareM!P$2:P$78)-IMshareM!P$16),0))</f>
        <v>0</v>
      </c>
      <c r="Q2" s="8">
        <f>IF($A2=Q$1,0,IF(SUM(IMshareM!Q$2:Q$78)-IMshareM!Q$17&gt;0,IMshareM!Q2/(SUM(IMshareM!Q$2:Q$78)-IMshareM!Q$17),0))</f>
        <v>4.9809763047056234E-3</v>
      </c>
      <c r="R2" s="8">
        <f>IF($A2=R$1,0,IF(SUM(IMshareM!R$2:R$78)-IMshareM!R$18&gt;0,IMshareM!R2/(SUM(IMshareM!R$2:R$78)-IMshareM!R$18),0))</f>
        <v>3.4552015692054848E-4</v>
      </c>
      <c r="S2" s="8">
        <f>IF($A2=S$1,0,IF(SUM(IMshareM!S$2:S$78)-IMshareM!S$19&gt;0,IMshareM!S2/(SUM(IMshareM!S$2:S$78)-IMshareM!S$19),0))</f>
        <v>0</v>
      </c>
      <c r="T2" s="8">
        <f>IF($A2=T$1,0,IF(SUM(IMshareM!T$2:T$78)-IMshareM!T$20&gt;0,IMshareM!T2/(SUM(IMshareM!T$2:T$78)-IMshareM!T$20),0))</f>
        <v>3.0646653780302106E-7</v>
      </c>
      <c r="U2" s="8">
        <f>IF($A2=U$1,0,IF(SUM(IMshareM!U$2:U$78)-IMshareM!U$21&gt;0,IMshareM!U2/(SUM(IMshareM!U$2:U$78)-IMshareM!U$21),0))</f>
        <v>7.3716386926821343E-6</v>
      </c>
      <c r="V2" s="8">
        <f>IF($A2=V$1,0,IF(SUM(IMshareM!V$2:V$78)-IMshareM!V$22&gt;0,IMshareM!V2/(SUM(IMshareM!V$2:V$78)-IMshareM!V$22),0))</f>
        <v>0</v>
      </c>
      <c r="W2" s="8">
        <f>IF($A2=W$1,0,IF(SUM(IMshareM!W$2:W$78)-IMshareM!W$23&gt;0,IMshareM!W2/(SUM(IMshareM!W$2:W$78)-IMshareM!W$23),0))</f>
        <v>0</v>
      </c>
      <c r="X2" s="8">
        <f>IF($A2=X$1,0,IF(SUM(IMshareM!X$2:X$78)-IMshareM!X$24&gt;0,IMshareM!X2/(SUM(IMshareM!X$2:X$78)-IMshareM!X$24),0))</f>
        <v>2.7026574125143197E-5</v>
      </c>
      <c r="Y2" s="8">
        <f>IF($A2=Y$1,0,IF(SUM(IMshareM!Y$2:Y$78)-IMshareM!Y$25&gt;0,IMshareM!Y2/(SUM(IMshareM!Y$2:Y$78)-IMshareM!Y$25),0))</f>
        <v>4.4566353101509146E-5</v>
      </c>
      <c r="Z2" s="8">
        <f>IF($A2=Z$1,0,IF(SUM(IMshareM!Z$2:Z$78)-IMshareM!Z$26&gt;0,IMshareM!Z2/(SUM(IMshareM!Z$2:Z$78)-IMshareM!Z$26),0))</f>
        <v>3.1126536801240111E-6</v>
      </c>
      <c r="AA2" s="8">
        <f>IF($A2=AA$1,0,IF(SUM(IMshareM!AA$2:AA$78)-IMshareM!AA$27&gt;0,IMshareM!AA2/(SUM(IMshareM!AA$2:AA$78)-IMshareM!AA$27),0))</f>
        <v>8.7235043365432048E-6</v>
      </c>
      <c r="AB2" s="8">
        <f>IF($A2=AB$1,0,IF(SUM(IMshareM!AB$2:AB$78)-IMshareM!AB$28&gt;0,IMshareM!AB2/(SUM(IMshareM!AB$2:AB$78)-IMshareM!AB$28),0))</f>
        <v>7.8595337388581755E-7</v>
      </c>
      <c r="AC2" s="8">
        <f>IF($A2=AC$1,0,IF(SUM(IMshareM!AC$2:AC$78)-IMshareM!AC$29&gt;0,IMshareM!AC2/(SUM(IMshareM!AC$2:AC$78)-IMshareM!AC$29),0))</f>
        <v>0</v>
      </c>
      <c r="AD2" s="8">
        <f>IF($A2=AD$1,0,IF(SUM(IMshareM!AD$2:AD$78)-IMshareM!AD$30&gt;0,IMshareM!AD2/(SUM(IMshareM!AD$2:AD$78)-IMshareM!AD$30),0))</f>
        <v>0</v>
      </c>
      <c r="AE2" s="8">
        <f>IF($A2=AE$1,0,IF(SUM(IMshareM!AE$2:AE$78)-IMshareM!AE$31&gt;0,IMshareM!AE2/(SUM(IMshareM!AE$2:AE$78)-IMshareM!AE$31),0))</f>
        <v>0</v>
      </c>
      <c r="AF2" s="8">
        <f>IF($A2=AF$1,0,IF(SUM(IMshareM!AF$2:AF$78)-IMshareM!AF$32&gt;0,IMshareM!AF2/(SUM(IMshareM!AF$2:AF$78)-IMshareM!AF$32),0))</f>
        <v>0</v>
      </c>
      <c r="AG2" s="8">
        <f>IF($A2=AG$1,0,IF(SUM(IMshareM!AG$2:AG$78)-IMshareM!AG$33&gt;0,IMshareM!AG2/(SUM(IMshareM!AG$2:AG$78)-IMshareM!AG$33),0))</f>
        <v>7.9035286635831933E-6</v>
      </c>
      <c r="AH2" s="8">
        <f>IF($A2=AH$1,0,IF(SUM(IMshareM!AH$2:AH$78)-IMshareM!AH$34&gt;0,IMshareM!AH2/(SUM(IMshareM!AH$2:AH$78)-IMshareM!AH$34),0))</f>
        <v>6.5876186038021648E-6</v>
      </c>
      <c r="AI2" s="8">
        <f>IF($A2=AI$1,0,IF(SUM(IMshareM!AI$2:AI$78)-IMshareM!AI$35&gt;0,IMshareM!AI2/(SUM(IMshareM!AI$2:AI$78)-IMshareM!AI$35),0))</f>
        <v>0</v>
      </c>
      <c r="AJ2" s="8">
        <f>IF($A2=AJ$1,0,IF(SUM(IMshareM!AJ$2:AJ$78)-IMshareM!AJ$36&gt;0,IMshareM!AJ2/(SUM(IMshareM!AJ$2:AJ$78)-IMshareM!AJ$36),0))</f>
        <v>0</v>
      </c>
      <c r="AK2" s="8">
        <f>IF($A2=AK$1,0,IF(SUM(IMshareM!AK$2:AK$78)-IMshareM!AK$37&gt;0,IMshareM!AK2/(SUM(IMshareM!AK$2:AK$78)-IMshareM!AK$37),0))</f>
        <v>0</v>
      </c>
      <c r="AL2" s="8">
        <f>IF($A2=AL$1,0,IF(SUM(IMshareM!AL$2:AL$78)-IMshareM!AL$38&gt;0,IMshareM!AL2/(SUM(IMshareM!AL$2:AL$78)-IMshareM!AL$38),0))</f>
        <v>2.2490496608770985E-6</v>
      </c>
      <c r="AM2" s="8">
        <f>IF($A2=AM$1,0,IF(SUM(IMshareM!AM$2:AM$78)-IMshareM!AM$39&gt;0,IMshareM!AM2/(SUM(IMshareM!AM$2:AM$78)-IMshareM!AM$39),0))</f>
        <v>0</v>
      </c>
      <c r="AN2" s="8">
        <f>IF($A2=AN$1,0,IF(SUM(IMshareM!AN$2:AN$78)-IMshareM!AN$40&gt;0,IMshareM!AN2/(SUM(IMshareM!AN$2:AN$78)-IMshareM!AN$40),0))</f>
        <v>0</v>
      </c>
      <c r="AO2" s="8">
        <f>IF($A2=AO$1,0,IF(SUM(IMshareM!AO$2:AO$78)-IMshareM!AO$41&gt;0,IMshareM!AO2/(SUM(IMshareM!AO$2:AO$78)-IMshareM!AO$41),0))</f>
        <v>0</v>
      </c>
      <c r="AP2" s="8">
        <f>IF($A2=AP$1,0,IF(SUM(IMshareM!AP$2:AP$78)-IMshareM!AP$42&gt;0,IMshareM!AP2/(SUM(IMshareM!AP$2:AP$78)-IMshareM!AP$42),0))</f>
        <v>0</v>
      </c>
      <c r="AQ2" s="8">
        <f>IF($A2=AQ$1,0,IF(SUM(IMshareM!AQ$2:AQ$78)-IMshareM!AQ$43&gt;0,IMshareM!AQ2/(SUM(IMshareM!AQ$2:AQ$78)-IMshareM!AQ$43),0))</f>
        <v>0</v>
      </c>
      <c r="AR2" s="8">
        <f>IF($A2=AR$1,0,IF(SUM(IMshareM!AR$2:AR$78)-IMshareM!AR$44&gt;0,IMshareM!AR2/(SUM(IMshareM!AR$2:AR$78)-IMshareM!AR$44),0))</f>
        <v>0</v>
      </c>
      <c r="AS2" s="8">
        <f>IF($A2=AS$1,0,IF(SUM(IMshareM!AS$2:AS$78)-IMshareM!AS$45&gt;0,IMshareM!AS2/(SUM(IMshareM!AS$2:AS$78)-IMshareM!AS$45),0))</f>
        <v>0</v>
      </c>
      <c r="AT2" s="8">
        <f>IF($A2=AT$1,0,IF(SUM(IMshareM!AT$2:AT$78)-IMshareM!AT$46&gt;0,IMshareM!AT2/(SUM(IMshareM!AT$2:AT$78)-IMshareM!AT$46),0))</f>
        <v>0</v>
      </c>
      <c r="AU2" s="8">
        <f>IF($A2=AU$1,0,IF(SUM(IMshareM!AU$2:AU$78)-IMshareM!AU$47&gt;0,IMshareM!AU2/(SUM(IMshareM!AU$2:AU$78)-IMshareM!AU$47),0))</f>
        <v>0</v>
      </c>
      <c r="AV2" s="8">
        <f>IF($A2=AV$1,0,IF(SUM(IMshareM!AV$2:AV$78)-IMshareM!AV$48&gt;0,IMshareM!AV2/(SUM(IMshareM!AV$2:AV$78)-IMshareM!AV$48),0))</f>
        <v>0</v>
      </c>
      <c r="AW2" s="8">
        <f>IF($A2=AW$1,0,IF(SUM(IMshareM!AW$2:AW$78)-IMshareM!AW$49&gt;0,IMshareM!AW2/(SUM(IMshareM!AW$2:AW$78)-IMshareM!AW$49),0))</f>
        <v>7.169082854036776E-6</v>
      </c>
      <c r="AX2" s="8">
        <f>IF($A2=AX$1,0,IF(SUM(IMshareM!AX$2:AX$78)-IMshareM!AX$50&gt;0,IMshareM!AX2/(SUM(IMshareM!AX$2:AX$78)-IMshareM!AX$50),0))</f>
        <v>0</v>
      </c>
      <c r="AY2" s="8">
        <f>IF($A2=AY$1,0,IF(SUM(IMshareM!AY$2:AY$78)-IMshareM!AY$51&gt;0,IMshareM!AY2/(SUM(IMshareM!AY$2:AY$78)-IMshareM!AY$51),0))</f>
        <v>0</v>
      </c>
      <c r="AZ2" s="8">
        <f>IF($A2=AZ$1,0,IF(SUM(IMshareM!AZ$2:AZ$78)-IMshareM!AZ$52&gt;0,IMshareM!AZ2/(SUM(IMshareM!AZ$2:AZ$78)-IMshareM!AZ$52),0))</f>
        <v>0</v>
      </c>
      <c r="BA2" s="8">
        <f>IF($A2=BA$1,0,IF(SUM(IMshareM!BA$2:BA$78)-IMshareM!BA$53&gt;0,IMshareM!BA2/(SUM(IMshareM!BA$2:BA$78)-IMshareM!BA$53),0))</f>
        <v>0</v>
      </c>
      <c r="BB2" s="8">
        <f>IF($A2=BB$1,0,IF(SUM(IMshareM!BB$2:BB$78)-IMshareM!BB$54&gt;0,IMshareM!BB2/(SUM(IMshareM!BB$2:BB$78)-IMshareM!BB$54),0))</f>
        <v>4.6787999948754197E-7</v>
      </c>
      <c r="BC2" s="8">
        <f>IF($A2=BC$1,0,IF(SUM(IMshareM!BC$2:BC$78)-IMshareM!BC$55&gt;0,IMshareM!BC2/(SUM(IMshareM!BC$2:BC$78)-IMshareM!BC$55),0))</f>
        <v>0</v>
      </c>
      <c r="BD2" s="8">
        <f>IF($A2=BD$1,0,IF(SUM(IMshareM!BD$2:BD$78)-IMshareM!BD$56&gt;0,IMshareM!BD2/(SUM(IMshareM!BD$2:BD$78)-IMshareM!BD$56),0))</f>
        <v>1.0288196393904988E-5</v>
      </c>
      <c r="BE2" s="8">
        <f>IF($A2=BE$1,0,IF(SUM(IMshareM!BE$2:BE$78)-IMshareM!BE$57&gt;0,IMshareM!BE2/(SUM(IMshareM!BE$2:BE$78)-IMshareM!BE$57),0))</f>
        <v>0</v>
      </c>
      <c r="BF2" s="8">
        <f>IF($A2=BF$1,0,IF(SUM(IMshareM!BF$2:BF$78)-IMshareM!BF$58&gt;0,IMshareM!BF2/(SUM(IMshareM!BF$2:BF$78)-IMshareM!BF$58),0))</f>
        <v>4.7403852147939198E-4</v>
      </c>
      <c r="BG2" s="8">
        <f>IF($A2=BG$1,0,IF(SUM(IMshareM!BG$2:BG$78)-IMshareM!BG$59&gt;0,IMshareM!BG2/(SUM(IMshareM!BG$2:BG$78)-IMshareM!BG$59),0))</f>
        <v>0</v>
      </c>
      <c r="BH2" s="8">
        <f>IF($A2=BH$1,0,IF(SUM(IMshareM!BH$2:BH$78)-IMshareM!BH$60&gt;0,IMshareM!BH2/(SUM(IMshareM!BH$2:BH$78)-IMshareM!BH$60),0))</f>
        <v>0</v>
      </c>
      <c r="BI2" s="8">
        <f>IF($A2=BI$1,0,IF(SUM(IMshareM!BI$2:BI$78)-IMshareM!BI$61&gt;0,IMshareM!BI2/(SUM(IMshareM!BI$2:BI$78)-IMshareM!BI$61),0))</f>
        <v>0</v>
      </c>
      <c r="BJ2" s="8">
        <f>IF($A2=BJ$1,0,IF(SUM(IMshareM!BJ$2:BJ$78)-IMshareM!BJ$62&gt;0,IMshareM!BJ2/(SUM(IMshareM!BJ$2:BJ$78)-IMshareM!BJ$62),0))</f>
        <v>4.8352821937200616E-7</v>
      </c>
      <c r="BK2" s="8">
        <f>IF($A2=BK$1,0,IF(SUM(IMshareM!BK$2:BK$78)-IMshareM!BK$63&gt;0,IMshareM!BK2/(SUM(IMshareM!BK$2:BK$78)-IMshareM!BK$63),0))</f>
        <v>0</v>
      </c>
      <c r="BL2" s="8">
        <f>IF($A2=BL$1,0,IF(SUM(IMshareM!BL$2:BL$78)-IMshareM!BL$64&gt;0,IMshareM!BL2/(SUM(IMshareM!BL$2:BL$78)-IMshareM!BL$64),0))</f>
        <v>0</v>
      </c>
      <c r="BM2" s="8">
        <f>IF($A2=BM$1,0,IF(SUM(IMshareM!BM$2:BM$78)-IMshareM!BM$65&gt;0,IMshareM!BM2/(SUM(IMshareM!BM$2:BM$78)-IMshareM!BM$65),0))</f>
        <v>0</v>
      </c>
      <c r="BN2" s="8">
        <f>IF($A2=BN$1,0,IF(SUM(IMshareM!BN$2:BN$78)-IMshareM!BN$66&gt;0,IMshareM!BN2/(SUM(IMshareM!BN$2:BN$78)-IMshareM!BN$66),0))</f>
        <v>0</v>
      </c>
      <c r="BO2" s="8">
        <f>IF($A2=BO$1,0,IF(SUM(IMshareM!BO$2:BO$78)-IMshareM!BO$67&gt;0,IMshareM!BO2/(SUM(IMshareM!BO$2:BO$78)-IMshareM!BO$67),0))</f>
        <v>0</v>
      </c>
      <c r="BP2" s="8">
        <f>IF($A2=BP$1,0,IF(SUM(IMshareM!BP$2:BP$78)-IMshareM!BP$68&gt;0,IMshareM!BP2/(SUM(IMshareM!BP$2:BP$78)-IMshareM!BP$68),0))</f>
        <v>0</v>
      </c>
      <c r="BQ2" s="8">
        <f>IF($A2=BQ$1,0,IF(SUM(IMshareM!BQ$2:BQ$78)-IMshareM!BQ$69&gt;0,IMshareM!BQ2/(SUM(IMshareM!BQ$2:BQ$78)-IMshareM!BQ$69),0))</f>
        <v>1.2743219414132237E-5</v>
      </c>
      <c r="BR2" s="8">
        <f>IF($A2=BR$1,0,IF(SUM(IMshareM!BR$2:BR$78)-IMshareM!BR$70&gt;0,IMshareM!BR2/(SUM(IMshareM!BR$2:BR$78)-IMshareM!BR$70),0))</f>
        <v>4.8657078235829545E-8</v>
      </c>
      <c r="BS2" s="8">
        <f>IF($A2=BS$1,0,IF(SUM(IMshareM!BS$2:BS$78)-IMshareM!BS$71&gt;0,IMshareM!BS2/(SUM(IMshareM!BS$2:BS$78)-IMshareM!BS$71),0))</f>
        <v>0</v>
      </c>
      <c r="BT2" s="8">
        <f>IF($A2=BT$1,0,IF(SUM(IMshareM!BT$2:BT$78)-IMshareM!BT$72&gt;0,IMshareM!BT2/(SUM(IMshareM!BT$2:BT$78)-IMshareM!BT$72),0))</f>
        <v>0</v>
      </c>
      <c r="BU2" s="8">
        <f>IF($A2=BU$1,0,IF(SUM(IMshareM!BU$2:BU$78)-IMshareM!BU$73&gt;0,IMshareM!BU2/(SUM(IMshareM!BU$2:BU$78)-IMshareM!BU$73),0))</f>
        <v>1.0252427667557864E-7</v>
      </c>
      <c r="BV2" s="8">
        <f>IF($A2=BV$1,0,IF(SUM(IMshareM!BV$2:BV$78)-IMshareM!BV$74&gt;0,IMshareM!BV2/(SUM(IMshareM!BV$2:BV$78)-IMshareM!BV$74),0))</f>
        <v>3.2559443950849039E-6</v>
      </c>
      <c r="BW2" s="8">
        <f>IF($A2=BW$1,0,IF(SUM(IMshareM!BW$2:BW$78)-IMshareM!BW$75&gt;0,IMshareM!BW2/(SUM(IMshareM!BW$2:BW$78)-IMshareM!BW$75),0))</f>
        <v>2.5665576849038191E-5</v>
      </c>
      <c r="BX2" s="8">
        <f>IF($A2=BX$1,0,IF(SUM(IMshareM!BX$2:BX$78)-IMshareM!BX$76&gt;0,IMshareM!BX2/(SUM(IMshareM!BX$2:BX$78)-IMshareM!BX$76),0))</f>
        <v>0</v>
      </c>
      <c r="BY2" s="8">
        <f>IF($A2=BY$1,0,IF(SUM(IMshareM!BY$2:BY$78)-IMshareM!BY$77&gt;0,IMshareM!BY2/(SUM(IMshareM!BY$2:BY$78)-IMshareM!BY$77),0))</f>
        <v>0</v>
      </c>
      <c r="BZ2" s="8">
        <f>IF($A2=BZ$1,0,IF(SUM(IMshareM!BZ$2:BZ$78)-IMshareM!BZ$78&gt;0,IMshareM!BZ2/(SUM(IMshareM!BZ$2:BZ$78)-IMshareM!BZ$78),0))</f>
        <v>1.9581396337752893E-4</v>
      </c>
    </row>
    <row r="3" spans="1:78">
      <c r="A3" s="4" t="s">
        <v>72</v>
      </c>
      <c r="B3" s="8">
        <f>IF($A3=B$1,0,IF(SUM(IMshareM!B$2:B$78)-IMshareM!B$2&gt;0,IMshareM!B3/(SUM(IMshareM!B$2:B$78)-IMshareM!B$2),0))</f>
        <v>6.9878270454691056E-5</v>
      </c>
      <c r="C3" s="8">
        <f>IF($A3=C$1,0,IF(SUM(IMshareM!C$2:C$78)-IMshareM!C$3&gt;0,IMshareM!C3/(SUM(IMshareM!C$2:C$78)-IMshareM!C$3),0))</f>
        <v>0</v>
      </c>
      <c r="D3" s="8">
        <f>IF($A3=D$1,0,IF(SUM(IMshareM!D$2:D$78)-IMshareM!D$4&gt;0,IMshareM!D3/(SUM(IMshareM!D$2:D$78)-IMshareM!D$4),0))</f>
        <v>3.6909522623427243E-5</v>
      </c>
      <c r="E3" s="8">
        <f>IF($A3=E$1,0,IF(SUM(IMshareM!E$2:E$78)-IMshareM!E$5&gt;0,IMshareM!E3/(SUM(IMshareM!E$2:E$78)-IMshareM!E$5),0))</f>
        <v>5.1713351602605935E-5</v>
      </c>
      <c r="F3" s="8">
        <f>IF($A3=F$1,0,IF(SUM(IMshareM!F$2:F$78)-IMshareM!F$6&gt;0,IMshareM!F3/(SUM(IMshareM!F$2:F$78)-IMshareM!F$6),0))</f>
        <v>1.2389208809352208E-6</v>
      </c>
      <c r="G3" s="8">
        <f>IF($A3=G$1,0,IF(SUM(IMshareM!G$2:G$78)-IMshareM!G$7&gt;0,IMshareM!G3/(SUM(IMshareM!G$2:G$78)-IMshareM!G$7),0))</f>
        <v>1.7075471565416058E-5</v>
      </c>
      <c r="H3" s="8">
        <f>IF($A3=H$1,0,IF(SUM(IMshareM!H$2:H$78)-IMshareM!H$8&gt;0,IMshareM!H3/(SUM(IMshareM!H$2:H$78)-IMshareM!H$8),0))</f>
        <v>0</v>
      </c>
      <c r="I3" s="8">
        <f>IF($A3=I$1,0,IF(SUM(IMshareM!I$2:I$78)-IMshareM!I$9&gt;0,IMshareM!I3/(SUM(IMshareM!I$2:I$78)-IMshareM!I$9),0))</f>
        <v>2.127452740716864E-4</v>
      </c>
      <c r="J3" s="8">
        <f>IF($A3=J$1,0,IF(SUM(IMshareM!J$2:J$78)-IMshareM!J$10&gt;0,IMshareM!J3/(SUM(IMshareM!J$2:J$78)-IMshareM!J$10),0))</f>
        <v>8.6840821530320309E-4</v>
      </c>
      <c r="K3" s="8">
        <f>IF($A3=K$1,0,IF(SUM(IMshareM!K$2:K$78)-IMshareM!K$11&gt;0,IMshareM!K3/(SUM(IMshareM!K$2:K$78)-IMshareM!K$11),0))</f>
        <v>4.3814644250960936E-3</v>
      </c>
      <c r="L3" s="8">
        <f>IF($A3=L$1,0,IF(SUM(IMshareM!L$2:L$78)-IMshareM!L$12&gt;0,IMshareM!L3/(SUM(IMshareM!L$2:L$78)-IMshareM!L$12),0))</f>
        <v>9.4830612574647852E-5</v>
      </c>
      <c r="M3" s="8">
        <f>IF($A3=M$1,0,IF(SUM(IMshareM!M$2:M$78)-IMshareM!M$13&gt;0,IMshareM!M3/(SUM(IMshareM!M$2:M$78)-IMshareM!M$13),0))</f>
        <v>7.6678652350113896E-5</v>
      </c>
      <c r="N3" s="8">
        <f>IF($A3=N$1,0,IF(SUM(IMshareM!N$2:N$78)-IMshareM!N$14&gt;0,IMshareM!N3/(SUM(IMshareM!N$2:N$78)-IMshareM!N$14),0))</f>
        <v>2.7930842579156008E-4</v>
      </c>
      <c r="O3" s="8">
        <f>IF($A3=O$1,0,IF(SUM(IMshareM!O$2:O$78)-IMshareM!O$15&gt;0,IMshareM!O3/(SUM(IMshareM!O$2:O$78)-IMshareM!O$15),0))</f>
        <v>4.1361960580701008E-3</v>
      </c>
      <c r="P3" s="8">
        <f>IF($A3=P$1,0,IF(SUM(IMshareM!P$2:P$78)-IMshareM!P$16&gt;0,IMshareM!P3/(SUM(IMshareM!P$2:P$78)-IMshareM!P$16),0))</f>
        <v>2.012308340974566E-4</v>
      </c>
      <c r="Q3" s="8">
        <f>IF($A3=Q$1,0,IF(SUM(IMshareM!Q$2:Q$78)-IMshareM!Q$17&gt;0,IMshareM!Q3/(SUM(IMshareM!Q$2:Q$78)-IMshareM!Q$17),0))</f>
        <v>1.8034948651630047E-3</v>
      </c>
      <c r="R3" s="8">
        <f>IF($A3=R$1,0,IF(SUM(IMshareM!R$2:R$78)-IMshareM!R$18&gt;0,IMshareM!R3/(SUM(IMshareM!R$2:R$78)-IMshareM!R$18),0))</f>
        <v>2.1380233382253504E-4</v>
      </c>
      <c r="S3" s="8">
        <f>IF($A3=S$1,0,IF(SUM(IMshareM!S$2:S$78)-IMshareM!S$19&gt;0,IMshareM!S3/(SUM(IMshareM!S$2:S$78)-IMshareM!S$19),0))</f>
        <v>2.1017033839446347E-3</v>
      </c>
      <c r="T3" s="8">
        <f>IF($A3=T$1,0,IF(SUM(IMshareM!T$2:T$78)-IMshareM!T$20&gt;0,IMshareM!T3/(SUM(IMshareM!T$2:T$78)-IMshareM!T$20),0))</f>
        <v>6.6805874409336043E-5</v>
      </c>
      <c r="U3" s="8">
        <f>IF($A3=U$1,0,IF(SUM(IMshareM!U$2:U$78)-IMshareM!U$21&gt;0,IMshareM!U3/(SUM(IMshareM!U$2:U$78)-IMshareM!U$21),0))</f>
        <v>9.0509471932232805E-5</v>
      </c>
      <c r="V3" s="8">
        <f>IF($A3=V$1,0,IF(SUM(IMshareM!V$2:V$78)-IMshareM!V$22&gt;0,IMshareM!V3/(SUM(IMshareM!V$2:V$78)-IMshareM!V$22),0))</f>
        <v>2.6791541925055802E-4</v>
      </c>
      <c r="W3" s="8">
        <f>IF($A3=W$1,0,IF(SUM(IMshareM!W$2:W$78)-IMshareM!W$23&gt;0,IMshareM!W3/(SUM(IMshareM!W$2:W$78)-IMshareM!W$23),0))</f>
        <v>9.7113858865462155E-4</v>
      </c>
      <c r="X3" s="8">
        <f>IF($A3=X$1,0,IF(SUM(IMshareM!X$2:X$78)-IMshareM!X$24&gt;0,IMshareM!X3/(SUM(IMshareM!X$2:X$78)-IMshareM!X$24),0))</f>
        <v>1.0518177601972346E-4</v>
      </c>
      <c r="Y3" s="8">
        <f>IF($A3=Y$1,0,IF(SUM(IMshareM!Y$2:Y$78)-IMshareM!Y$25&gt;0,IMshareM!Y3/(SUM(IMshareM!Y$2:Y$78)-IMshareM!Y$25),0))</f>
        <v>1.9075910359283912E-4</v>
      </c>
      <c r="Z3" s="8">
        <f>IF($A3=Z$1,0,IF(SUM(IMshareM!Z$2:Z$78)-IMshareM!Z$26&gt;0,IMshareM!Z3/(SUM(IMshareM!Z$2:Z$78)-IMshareM!Z$26),0))</f>
        <v>1.5344990268357847E-4</v>
      </c>
      <c r="AA3" s="8">
        <f>IF($A3=AA$1,0,IF(SUM(IMshareM!AA$2:AA$78)-IMshareM!AA$27&gt;0,IMshareM!AA3/(SUM(IMshareM!AA$2:AA$78)-IMshareM!AA$27),0))</f>
        <v>9.8601368251999559E-5</v>
      </c>
      <c r="AB3" s="8">
        <f>IF($A3=AB$1,0,IF(SUM(IMshareM!AB$2:AB$78)-IMshareM!AB$28&gt;0,IMshareM!AB3/(SUM(IMshareM!AB$2:AB$78)-IMshareM!AB$28),0))</f>
        <v>1.0505336258927382E-3</v>
      </c>
      <c r="AC3" s="8">
        <f>IF($A3=AC$1,0,IF(SUM(IMshareM!AC$2:AC$78)-IMshareM!AC$29&gt;0,IMshareM!AC3/(SUM(IMshareM!AC$2:AC$78)-IMshareM!AC$29),0))</f>
        <v>1.8535242536525912E-3</v>
      </c>
      <c r="AD3" s="8">
        <f>IF($A3=AD$1,0,IF(SUM(IMshareM!AD$2:AD$78)-IMshareM!AD$30&gt;0,IMshareM!AD3/(SUM(IMshareM!AD$2:AD$78)-IMshareM!AD$30),0))</f>
        <v>1.5259608904547481E-5</v>
      </c>
      <c r="AE3" s="8">
        <f>IF($A3=AE$1,0,IF(SUM(IMshareM!AE$2:AE$78)-IMshareM!AE$31&gt;0,IMshareM!AE3/(SUM(IMshareM!AE$2:AE$78)-IMshareM!AE$31),0))</f>
        <v>1.4703402555340679E-4</v>
      </c>
      <c r="AF3" s="8">
        <f>IF($A3=AF$1,0,IF(SUM(IMshareM!AF$2:AF$78)-IMshareM!AF$32&gt;0,IMshareM!AF3/(SUM(IMshareM!AF$2:AF$78)-IMshareM!AF$32),0))</f>
        <v>3.723207616328155E-7</v>
      </c>
      <c r="AG3" s="8">
        <f>IF($A3=AG$1,0,IF(SUM(IMshareM!AG$2:AG$78)-IMshareM!AG$33&gt;0,IMshareM!AG3/(SUM(IMshareM!AG$2:AG$78)-IMshareM!AG$33),0))</f>
        <v>3.7330726630552648E-3</v>
      </c>
      <c r="AH3" s="8">
        <f>IF($A3=AH$1,0,IF(SUM(IMshareM!AH$2:AH$78)-IMshareM!AH$34&gt;0,IMshareM!AH3/(SUM(IMshareM!AH$2:AH$78)-IMshareM!AH$34),0))</f>
        <v>7.8896426136938216E-4</v>
      </c>
      <c r="AI3" s="8">
        <f>IF($A3=AI$1,0,IF(SUM(IMshareM!AI$2:AI$78)-IMshareM!AI$35&gt;0,IMshareM!AI3/(SUM(IMshareM!AI$2:AI$78)-IMshareM!AI$35),0))</f>
        <v>1.1067149687117011E-4</v>
      </c>
      <c r="AJ3" s="8">
        <f>IF($A3=AJ$1,0,IF(SUM(IMshareM!AJ$2:AJ$78)-IMshareM!AJ$36&gt;0,IMshareM!AJ3/(SUM(IMshareM!AJ$2:AJ$78)-IMshareM!AJ$36),0))</f>
        <v>3.0304432462782988E-5</v>
      </c>
      <c r="AK3" s="8">
        <f>IF($A3=AK$1,0,IF(SUM(IMshareM!AK$2:AK$78)-IMshareM!AK$37&gt;0,IMshareM!AK3/(SUM(IMshareM!AK$2:AK$78)-IMshareM!AK$37),0))</f>
        <v>2.7392877397193732E-4</v>
      </c>
      <c r="AL3" s="8">
        <f>IF($A3=AL$1,0,IF(SUM(IMshareM!AL$2:AL$78)-IMshareM!AL$38&gt;0,IMshareM!AL3/(SUM(IMshareM!AL$2:AL$78)-IMshareM!AL$38),0))</f>
        <v>1.6152931208110794E-4</v>
      </c>
      <c r="AM3" s="8">
        <f>IF($A3=AM$1,0,IF(SUM(IMshareM!AM$2:AM$78)-IMshareM!AM$39&gt;0,IMshareM!AM3/(SUM(IMshareM!AM$2:AM$78)-IMshareM!AM$39),0))</f>
        <v>0</v>
      </c>
      <c r="AN3" s="8">
        <f>IF($A3=AN$1,0,IF(SUM(IMshareM!AN$2:AN$78)-IMshareM!AN$40&gt;0,IMshareM!AN3/(SUM(IMshareM!AN$2:AN$78)-IMshareM!AN$40),0))</f>
        <v>1.6223325610228217E-4</v>
      </c>
      <c r="AO3" s="8">
        <f>IF($A3=AO$1,0,IF(SUM(IMshareM!AO$2:AO$78)-IMshareM!AO$41&gt;0,IMshareM!AO3/(SUM(IMshareM!AO$2:AO$78)-IMshareM!AO$41),0))</f>
        <v>7.9969935874693734E-5</v>
      </c>
      <c r="AP3" s="8">
        <f>IF($A3=AP$1,0,IF(SUM(IMshareM!AP$2:AP$78)-IMshareM!AP$42&gt;0,IMshareM!AP3/(SUM(IMshareM!AP$2:AP$78)-IMshareM!AP$42),0))</f>
        <v>7.2070178211443086E-4</v>
      </c>
      <c r="AQ3" s="8">
        <f>IF($A3=AQ$1,0,IF(SUM(IMshareM!AQ$2:AQ$78)-IMshareM!AQ$43&gt;0,IMshareM!AQ3/(SUM(IMshareM!AQ$2:AQ$78)-IMshareM!AQ$43),0))</f>
        <v>2.279525771821201E-5</v>
      </c>
      <c r="AR3" s="8">
        <f>IF($A3=AR$1,0,IF(SUM(IMshareM!AR$2:AR$78)-IMshareM!AR$44&gt;0,IMshareM!AR3/(SUM(IMshareM!AR$2:AR$78)-IMshareM!AR$44),0))</f>
        <v>1.16885911786538E-2</v>
      </c>
      <c r="AS3" s="8">
        <f>IF($A3=AS$1,0,IF(SUM(IMshareM!AS$2:AS$78)-IMshareM!AS$45&gt;0,IMshareM!AS3/(SUM(IMshareM!AS$2:AS$78)-IMshareM!AS$45),0))</f>
        <v>4.5817966421499804E-5</v>
      </c>
      <c r="AT3" s="8">
        <f>IF($A3=AT$1,0,IF(SUM(IMshareM!AT$2:AT$78)-IMshareM!AT$46&gt;0,IMshareM!AT3/(SUM(IMshareM!AT$2:AT$78)-IMshareM!AT$46),0))</f>
        <v>4.3437525295848126E-6</v>
      </c>
      <c r="AU3" s="8">
        <f>IF($A3=AU$1,0,IF(SUM(IMshareM!AU$2:AU$78)-IMshareM!AU$47&gt;0,IMshareM!AU3/(SUM(IMshareM!AU$2:AU$78)-IMshareM!AU$47),0))</f>
        <v>0</v>
      </c>
      <c r="AV3" s="8">
        <f>IF($A3=AV$1,0,IF(SUM(IMshareM!AV$2:AV$78)-IMshareM!AV$48&gt;0,IMshareM!AV3/(SUM(IMshareM!AV$2:AV$78)-IMshareM!AV$48),0))</f>
        <v>8.9661613253802128E-6</v>
      </c>
      <c r="AW3" s="8">
        <f>IF($A3=AW$1,0,IF(SUM(IMshareM!AW$2:AW$78)-IMshareM!AW$49&gt;0,IMshareM!AW3/(SUM(IMshareM!AW$2:AW$78)-IMshareM!AW$49),0))</f>
        <v>6.2864190490137783E-5</v>
      </c>
      <c r="AX3" s="8">
        <f>IF($A3=AX$1,0,IF(SUM(IMshareM!AX$2:AX$78)-IMshareM!AX$50&gt;0,IMshareM!AX3/(SUM(IMshareM!AX$2:AX$78)-IMshareM!AX$50),0))</f>
        <v>5.6396534499360279E-5</v>
      </c>
      <c r="AY3" s="8">
        <f>IF($A3=AY$1,0,IF(SUM(IMshareM!AY$2:AY$78)-IMshareM!AY$51&gt;0,IMshareM!AY3/(SUM(IMshareM!AY$2:AY$78)-IMshareM!AY$51),0))</f>
        <v>0</v>
      </c>
      <c r="AZ3" s="8">
        <f>IF($A3=AZ$1,0,IF(SUM(IMshareM!AZ$2:AZ$78)-IMshareM!AZ$52&gt;0,IMshareM!AZ3/(SUM(IMshareM!AZ$2:AZ$78)-IMshareM!AZ$52),0))</f>
        <v>7.9511393546510681E-4</v>
      </c>
      <c r="BA3" s="8">
        <f>IF($A3=BA$1,0,IF(SUM(IMshareM!BA$2:BA$78)-IMshareM!BA$53&gt;0,IMshareM!BA3/(SUM(IMshareM!BA$2:BA$78)-IMshareM!BA$53),0))</f>
        <v>1.1786900464399335E-3</v>
      </c>
      <c r="BB3" s="8">
        <f>IF($A3=BB$1,0,IF(SUM(IMshareM!BB$2:BB$78)-IMshareM!BB$54&gt;0,IMshareM!BB3/(SUM(IMshareM!BB$2:BB$78)-IMshareM!BB$54),0))</f>
        <v>6.9329233841739701E-3</v>
      </c>
      <c r="BC3" s="8">
        <f>IF($A3=BC$1,0,IF(SUM(IMshareM!BC$2:BC$78)-IMshareM!BC$55&gt;0,IMshareM!BC3/(SUM(IMshareM!BC$2:BC$78)-IMshareM!BC$55),0))</f>
        <v>1.1044004341547559E-4</v>
      </c>
      <c r="BD3" s="8">
        <f>IF($A3=BD$1,0,IF(SUM(IMshareM!BD$2:BD$78)-IMshareM!BD$56&gt;0,IMshareM!BD3/(SUM(IMshareM!BD$2:BD$78)-IMshareM!BD$56),0))</f>
        <v>8.2656407129956977E-2</v>
      </c>
      <c r="BE3" s="8">
        <f>IF($A3=BE$1,0,IF(SUM(IMshareM!BE$2:BE$78)-IMshareM!BE$57&gt;0,IMshareM!BE3/(SUM(IMshareM!BE$2:BE$78)-IMshareM!BE$57),0))</f>
        <v>2.9636224954513869E-3</v>
      </c>
      <c r="BF3" s="8">
        <f>IF($A3=BF$1,0,IF(SUM(IMshareM!BF$2:BF$78)-IMshareM!BF$58&gt;0,IMshareM!BF3/(SUM(IMshareM!BF$2:BF$78)-IMshareM!BF$58),0))</f>
        <v>1.4608146813503309E-3</v>
      </c>
      <c r="BG3" s="8">
        <f>IF($A3=BG$1,0,IF(SUM(IMshareM!BG$2:BG$78)-IMshareM!BG$59&gt;0,IMshareM!BG3/(SUM(IMshareM!BG$2:BG$78)-IMshareM!BG$59),0))</f>
        <v>1.3755558290907413E-3</v>
      </c>
      <c r="BH3" s="8">
        <f>IF($A3=BH$1,0,IF(SUM(IMshareM!BH$2:BH$78)-IMshareM!BH$60&gt;0,IMshareM!BH3/(SUM(IMshareM!BH$2:BH$78)-IMshareM!BH$60),0))</f>
        <v>2.0999585978743229E-4</v>
      </c>
      <c r="BI3" s="8">
        <f>IF($A3=BI$1,0,IF(SUM(IMshareM!BI$2:BI$78)-IMshareM!BI$61&gt;0,IMshareM!BI3/(SUM(IMshareM!BI$2:BI$78)-IMshareM!BI$61),0))</f>
        <v>9.5799088769807794E-6</v>
      </c>
      <c r="BJ3" s="8">
        <f>IF($A3=BJ$1,0,IF(SUM(IMshareM!BJ$2:BJ$78)-IMshareM!BJ$62&gt;0,IMshareM!BJ3/(SUM(IMshareM!BJ$2:BJ$78)-IMshareM!BJ$62),0))</f>
        <v>2.0546847232133834E-5</v>
      </c>
      <c r="BK3" s="8">
        <f>IF($A3=BK$1,0,IF(SUM(IMshareM!BK$2:BK$78)-IMshareM!BK$63&gt;0,IMshareM!BK3/(SUM(IMshareM!BK$2:BK$78)-IMshareM!BK$63),0))</f>
        <v>1.6261550578629122E-3</v>
      </c>
      <c r="BL3" s="8">
        <f>IF($A3=BL$1,0,IF(SUM(IMshareM!BL$2:BL$78)-IMshareM!BL$64&gt;0,IMshareM!BL3/(SUM(IMshareM!BL$2:BL$78)-IMshareM!BL$64),0))</f>
        <v>8.6941349033032797E-4</v>
      </c>
      <c r="BM3" s="8">
        <f>IF($A3=BM$1,0,IF(SUM(IMshareM!BM$2:BM$78)-IMshareM!BM$65&gt;0,IMshareM!BM3/(SUM(IMshareM!BM$2:BM$78)-IMshareM!BM$65),0))</f>
        <v>1.7336303970714396E-3</v>
      </c>
      <c r="BN3" s="8">
        <f>IF($A3=BN$1,0,IF(SUM(IMshareM!BN$2:BN$78)-IMshareM!BN$66&gt;0,IMshareM!BN3/(SUM(IMshareM!BN$2:BN$78)-IMshareM!BN$66),0))</f>
        <v>8.2713274588264607E-4</v>
      </c>
      <c r="BO3" s="8">
        <f>IF($A3=BO$1,0,IF(SUM(IMshareM!BO$2:BO$78)-IMshareM!BO$67&gt;0,IMshareM!BO3/(SUM(IMshareM!BO$2:BO$78)-IMshareM!BO$67),0))</f>
        <v>1.8861728871428843E-6</v>
      </c>
      <c r="BP3" s="8">
        <f>IF($A3=BP$1,0,IF(SUM(IMshareM!BP$2:BP$78)-IMshareM!BP$68&gt;0,IMshareM!BP3/(SUM(IMshareM!BP$2:BP$78)-IMshareM!BP$68),0))</f>
        <v>6.3039279191643482E-5</v>
      </c>
      <c r="BQ3" s="8">
        <f>IF($A3=BQ$1,0,IF(SUM(IMshareM!BQ$2:BQ$78)-IMshareM!BQ$69&gt;0,IMshareM!BQ3/(SUM(IMshareM!BQ$2:BQ$78)-IMshareM!BQ$69),0))</f>
        <v>3.5113109742013925E-4</v>
      </c>
      <c r="BR3" s="8">
        <f>IF($A3=BR$1,0,IF(SUM(IMshareM!BR$2:BR$78)-IMshareM!BR$70&gt;0,IMshareM!BR3/(SUM(IMshareM!BR$2:BR$78)-IMshareM!BR$70),0))</f>
        <v>7.4851322038911212E-3</v>
      </c>
      <c r="BS3" s="8">
        <f>IF($A3=BS$1,0,IF(SUM(IMshareM!BS$2:BS$78)-IMshareM!BS$71&gt;0,IMshareM!BS3/(SUM(IMshareM!BS$2:BS$78)-IMshareM!BS$71),0))</f>
        <v>5.5484038895222905E-5</v>
      </c>
      <c r="BT3" s="8">
        <f>IF($A3=BT$1,0,IF(SUM(IMshareM!BT$2:BT$78)-IMshareM!BT$72&gt;0,IMshareM!BT3/(SUM(IMshareM!BT$2:BT$78)-IMshareM!BT$72),0))</f>
        <v>3.8721513763131546E-6</v>
      </c>
      <c r="BU3" s="8">
        <f>IF($A3=BU$1,0,IF(SUM(IMshareM!BU$2:BU$78)-IMshareM!BU$73&gt;0,IMshareM!BU3/(SUM(IMshareM!BU$2:BU$78)-IMshareM!BU$73),0))</f>
        <v>1.3028098395291495E-4</v>
      </c>
      <c r="BV3" s="8">
        <f>IF($A3=BV$1,0,IF(SUM(IMshareM!BV$2:BV$78)-IMshareM!BV$74&gt;0,IMshareM!BV3/(SUM(IMshareM!BV$2:BV$78)-IMshareM!BV$74),0))</f>
        <v>0</v>
      </c>
      <c r="BW3" s="8">
        <f>IF($A3=BW$1,0,IF(SUM(IMshareM!BW$2:BW$78)-IMshareM!BW$75&gt;0,IMshareM!BW3/(SUM(IMshareM!BW$2:BW$78)-IMshareM!BW$75),0))</f>
        <v>5.9306398957659613E-4</v>
      </c>
      <c r="BX3" s="8">
        <f>IF($A3=BX$1,0,IF(SUM(IMshareM!BX$2:BX$78)-IMshareM!BX$76&gt;0,IMshareM!BX3/(SUM(IMshareM!BX$2:BX$78)-IMshareM!BX$76),0))</f>
        <v>9.0752112668144835E-5</v>
      </c>
      <c r="BY3" s="8">
        <f>IF($A3=BY$1,0,IF(SUM(IMshareM!BY$2:BY$78)-IMshareM!BY$77&gt;0,IMshareM!BY3/(SUM(IMshareM!BY$2:BY$78)-IMshareM!BY$77),0))</f>
        <v>1.0726089869536122E-3</v>
      </c>
      <c r="BZ3" s="8">
        <f>IF($A3=BZ$1,0,IF(SUM(IMshareM!BZ$2:BZ$78)-IMshareM!BZ$78&gt;0,IMshareM!BZ3/(SUM(IMshareM!BZ$2:BZ$78)-IMshareM!BZ$78),0))</f>
        <v>2.0190815654869691E-3</v>
      </c>
    </row>
    <row r="4" spans="1:78">
      <c r="A4" s="4" t="s">
        <v>74</v>
      </c>
      <c r="B4" s="8">
        <f>IF($A4=B$1,0,IF(SUM(IMshareM!B$2:B$78)-IMshareM!B$2&gt;0,IMshareM!B4/(SUM(IMshareM!B$2:B$78)-IMshareM!B$2),0))</f>
        <v>1.998935725117322E-3</v>
      </c>
      <c r="C4" s="8">
        <f>IF($A4=C$1,0,IF(SUM(IMshareM!C$2:C$78)-IMshareM!C$3&gt;0,IMshareM!C4/(SUM(IMshareM!C$2:C$78)-IMshareM!C$3),0))</f>
        <v>2.5425627779212339E-3</v>
      </c>
      <c r="D4" s="8">
        <f>IF($A4=D$1,0,IF(SUM(IMshareM!D$2:D$78)-IMshareM!D$4&gt;0,IMshareM!D4/(SUM(IMshareM!D$2:D$78)-IMshareM!D$4),0))</f>
        <v>0</v>
      </c>
      <c r="E4" s="8">
        <f>IF($A4=E$1,0,IF(SUM(IMshareM!E$2:E$78)-IMshareM!E$5&gt;0,IMshareM!E4/(SUM(IMshareM!E$2:E$78)-IMshareM!E$5),0))</f>
        <v>3.3592313377694646E-3</v>
      </c>
      <c r="F4" s="8">
        <f>IF($A4=F$1,0,IF(SUM(IMshareM!F$2:F$78)-IMshareM!F$6&gt;0,IMshareM!F4/(SUM(IMshareM!F$2:F$78)-IMshareM!F$6),0))</f>
        <v>1.7795156314169586E-3</v>
      </c>
      <c r="G4" s="8">
        <f>IF($A4=G$1,0,IF(SUM(IMshareM!G$2:G$78)-IMshareM!G$7&gt;0,IMshareM!G4/(SUM(IMshareM!G$2:G$78)-IMshareM!G$7),0))</f>
        <v>1.5388249383168856E-2</v>
      </c>
      <c r="H4" s="8">
        <f>IF($A4=H$1,0,IF(SUM(IMshareM!H$2:H$78)-IMshareM!H$8&gt;0,IMshareM!H4/(SUM(IMshareM!H$2:H$78)-IMshareM!H$8),0))</f>
        <v>2.032990796743283E-2</v>
      </c>
      <c r="I4" s="8">
        <f>IF($A4=I$1,0,IF(SUM(IMshareM!I$2:I$78)-IMshareM!I$9&gt;0,IMshareM!I4/(SUM(IMshareM!I$2:I$78)-IMshareM!I$9),0))</f>
        <v>6.6398614909908889E-3</v>
      </c>
      <c r="J4" s="8">
        <f>IF($A4=J$1,0,IF(SUM(IMshareM!J$2:J$78)-IMshareM!J$10&gt;0,IMshareM!J4/(SUM(IMshareM!J$2:J$78)-IMshareM!J$10),0))</f>
        <v>4.2092229666714442E-4</v>
      </c>
      <c r="K4" s="8">
        <f>IF($A4=K$1,0,IF(SUM(IMshareM!K$2:K$78)-IMshareM!K$11&gt;0,IMshareM!K4/(SUM(IMshareM!K$2:K$78)-IMshareM!K$11),0))</f>
        <v>7.3288422379484807E-3</v>
      </c>
      <c r="L4" s="8">
        <f>IF($A4=L$1,0,IF(SUM(IMshareM!L$2:L$78)-IMshareM!L$12&gt;0,IMshareM!L4/(SUM(IMshareM!L$2:L$78)-IMshareM!L$12),0))</f>
        <v>5.3370449448799873E-2</v>
      </c>
      <c r="M4" s="8">
        <f>IF($A4=M$1,0,IF(SUM(IMshareM!M$2:M$78)-IMshareM!M$13&gt;0,IMshareM!M4/(SUM(IMshareM!M$2:M$78)-IMshareM!M$13),0))</f>
        <v>2.7656798191954174E-4</v>
      </c>
      <c r="N4" s="8">
        <f>IF($A4=N$1,0,IF(SUM(IMshareM!N$2:N$78)-IMshareM!N$14&gt;0,IMshareM!N4/(SUM(IMshareM!N$2:N$78)-IMshareM!N$14),0))</f>
        <v>1.268576906151595E-2</v>
      </c>
      <c r="O4" s="8">
        <f>IF($A4=O$1,0,IF(SUM(IMshareM!O$2:O$78)-IMshareM!O$15&gt;0,IMshareM!O4/(SUM(IMshareM!O$2:O$78)-IMshareM!O$15),0))</f>
        <v>5.146300720445026E-4</v>
      </c>
      <c r="P4" s="8">
        <f>IF($A4=P$1,0,IF(SUM(IMshareM!P$2:P$78)-IMshareM!P$16&gt;0,IMshareM!P4/(SUM(IMshareM!P$2:P$78)-IMshareM!P$16),0))</f>
        <v>1.5526296182955779E-4</v>
      </c>
      <c r="Q4" s="8">
        <f>IF($A4=Q$1,0,IF(SUM(IMshareM!Q$2:Q$78)-IMshareM!Q$17&gt;0,IMshareM!Q4/(SUM(IMshareM!Q$2:Q$78)-IMshareM!Q$17),0))</f>
        <v>6.593379212791597E-4</v>
      </c>
      <c r="R4" s="8">
        <f>IF($A4=R$1,0,IF(SUM(IMshareM!R$2:R$78)-IMshareM!R$18&gt;0,IMshareM!R4/(SUM(IMshareM!R$2:R$78)-IMshareM!R$18),0))</f>
        <v>2.7284182398109556E-3</v>
      </c>
      <c r="S4" s="8">
        <f>IF($A4=S$1,0,IF(SUM(IMshareM!S$2:S$78)-IMshareM!S$19&gt;0,IMshareM!S4/(SUM(IMshareM!S$2:S$78)-IMshareM!S$19),0))</f>
        <v>1.9251156077506606E-3</v>
      </c>
      <c r="T4" s="8">
        <f>IF($A4=T$1,0,IF(SUM(IMshareM!T$2:T$78)-IMshareM!T$20&gt;0,IMshareM!T4/(SUM(IMshareM!T$2:T$78)-IMshareM!T$20),0))</f>
        <v>2.2762997467737234E-2</v>
      </c>
      <c r="U4" s="8">
        <f>IF($A4=U$1,0,IF(SUM(IMshareM!U$2:U$78)-IMshareM!U$21&gt;0,IMshareM!U4/(SUM(IMshareM!U$2:U$78)-IMshareM!U$21),0))</f>
        <v>2.2223378566153484E-2</v>
      </c>
      <c r="V4" s="8">
        <f>IF($A4=V$1,0,IF(SUM(IMshareM!V$2:V$78)-IMshareM!V$22&gt;0,IMshareM!V4/(SUM(IMshareM!V$2:V$78)-IMshareM!V$22),0))</f>
        <v>1.0578968796627281E-2</v>
      </c>
      <c r="W4" s="8">
        <f>IF($A4=W$1,0,IF(SUM(IMshareM!W$2:W$78)-IMshareM!W$23&gt;0,IMshareM!W4/(SUM(IMshareM!W$2:W$78)-IMshareM!W$23),0))</f>
        <v>8.0544000553114297E-4</v>
      </c>
      <c r="X4" s="8">
        <f>IF($A4=X$1,0,IF(SUM(IMshareM!X$2:X$78)-IMshareM!X$24&gt;0,IMshareM!X4/(SUM(IMshareM!X$2:X$78)-IMshareM!X$24),0))</f>
        <v>2.8394145379735076E-2</v>
      </c>
      <c r="Y4" s="8">
        <f>IF($A4=Y$1,0,IF(SUM(IMshareM!Y$2:Y$78)-IMshareM!Y$25&gt;0,IMshareM!Y4/(SUM(IMshareM!Y$2:Y$78)-IMshareM!Y$25),0))</f>
        <v>5.8454928627134223E-3</v>
      </c>
      <c r="Z4" s="8">
        <f>IF($A4=Z$1,0,IF(SUM(IMshareM!Z$2:Z$78)-IMshareM!Z$26&gt;0,IMshareM!Z4/(SUM(IMshareM!Z$2:Z$78)-IMshareM!Z$26),0))</f>
        <v>2.5628535862445383E-2</v>
      </c>
      <c r="AA4" s="8">
        <f>IF($A4=AA$1,0,IF(SUM(IMshareM!AA$2:AA$78)-IMshareM!AA$27&gt;0,IMshareM!AA4/(SUM(IMshareM!AA$2:AA$78)-IMshareM!AA$27),0))</f>
        <v>6.782490895649757E-3</v>
      </c>
      <c r="AB4" s="8">
        <f>IF($A4=AB$1,0,IF(SUM(IMshareM!AB$2:AB$78)-IMshareM!AB$28&gt;0,IMshareM!AB4/(SUM(IMshareM!AB$2:AB$78)-IMshareM!AB$28),0))</f>
        <v>1.7402593398297493E-2</v>
      </c>
      <c r="AC4" s="8">
        <f>IF($A4=AC$1,0,IF(SUM(IMshareM!AC$2:AC$78)-IMshareM!AC$29&gt;0,IMshareM!AC4/(SUM(IMshareM!AC$2:AC$78)-IMshareM!AC$29),0))</f>
        <v>7.4512056562449289E-3</v>
      </c>
      <c r="AD4" s="8">
        <f>IF($A4=AD$1,0,IF(SUM(IMshareM!AD$2:AD$78)-IMshareM!AD$30&gt;0,IMshareM!AD4/(SUM(IMshareM!AD$2:AD$78)-IMshareM!AD$30),0))</f>
        <v>1.195825132461422E-4</v>
      </c>
      <c r="AE4" s="8">
        <f>IF($A4=AE$1,0,IF(SUM(IMshareM!AE$2:AE$78)-IMshareM!AE$31&gt;0,IMshareM!AE4/(SUM(IMshareM!AE$2:AE$78)-IMshareM!AE$31),0))</f>
        <v>0.14644816359950741</v>
      </c>
      <c r="AF4" s="8">
        <f>IF($A4=AF$1,0,IF(SUM(IMshareM!AF$2:AF$78)-IMshareM!AF$32&gt;0,IMshareM!AF4/(SUM(IMshareM!AF$2:AF$78)-IMshareM!AF$32),0))</f>
        <v>5.4572658901715199E-2</v>
      </c>
      <c r="AG4" s="8">
        <f>IF($A4=AG$1,0,IF(SUM(IMshareM!AG$2:AG$78)-IMshareM!AG$33&gt;0,IMshareM!AG4/(SUM(IMshareM!AG$2:AG$78)-IMshareM!AG$33),0))</f>
        <v>6.3494417835171309E-4</v>
      </c>
      <c r="AH4" s="8">
        <f>IF($A4=AH$1,0,IF(SUM(IMshareM!AH$2:AH$78)-IMshareM!AH$34&gt;0,IMshareM!AH4/(SUM(IMshareM!AH$2:AH$78)-IMshareM!AH$34),0))</f>
        <v>5.7717474378708054E-3</v>
      </c>
      <c r="AI4" s="8">
        <f>IF($A4=AI$1,0,IF(SUM(IMshareM!AI$2:AI$78)-IMshareM!AI$35&gt;0,IMshareM!AI4/(SUM(IMshareM!AI$2:AI$78)-IMshareM!AI$35),0))</f>
        <v>6.2397406726781535E-4</v>
      </c>
      <c r="AJ4" s="8">
        <f>IF($A4=AJ$1,0,IF(SUM(IMshareM!AJ$2:AJ$78)-IMshareM!AJ$36&gt;0,IMshareM!AJ4/(SUM(IMshareM!AJ$2:AJ$78)-IMshareM!AJ$36),0))</f>
        <v>7.505032412779869E-2</v>
      </c>
      <c r="AK4" s="8">
        <f>IF($A4=AK$1,0,IF(SUM(IMshareM!AK$2:AK$78)-IMshareM!AK$37&gt;0,IMshareM!AK4/(SUM(IMshareM!AK$2:AK$78)-IMshareM!AK$37),0))</f>
        <v>4.8211464219060961E-3</v>
      </c>
      <c r="AL4" s="8">
        <f>IF($A4=AL$1,0,IF(SUM(IMshareM!AL$2:AL$78)-IMshareM!AL$38&gt;0,IMshareM!AL4/(SUM(IMshareM!AL$2:AL$78)-IMshareM!AL$38),0))</f>
        <v>1.4831635206022301E-2</v>
      </c>
      <c r="AM4" s="8">
        <f>IF($A4=AM$1,0,IF(SUM(IMshareM!AM$2:AM$78)-IMshareM!AM$39&gt;0,IMshareM!AM4/(SUM(IMshareM!AM$2:AM$78)-IMshareM!AM$39),0))</f>
        <v>3.9141241879349017E-3</v>
      </c>
      <c r="AN4" s="8">
        <f>IF($A4=AN$1,0,IF(SUM(IMshareM!AN$2:AN$78)-IMshareM!AN$40&gt;0,IMshareM!AN4/(SUM(IMshareM!AN$2:AN$78)-IMshareM!AN$40),0))</f>
        <v>1.3265226602685858E-3</v>
      </c>
      <c r="AO4" s="8">
        <f>IF($A4=AO$1,0,IF(SUM(IMshareM!AO$2:AO$78)-IMshareM!AO$41&gt;0,IMshareM!AO4/(SUM(IMshareM!AO$2:AO$78)-IMshareM!AO$41),0))</f>
        <v>1.8562545442808677E-3</v>
      </c>
      <c r="AP4" s="8">
        <f>IF($A4=AP$1,0,IF(SUM(IMshareM!AP$2:AP$78)-IMshareM!AP$42&gt;0,IMshareM!AP4/(SUM(IMshareM!AP$2:AP$78)-IMshareM!AP$42),0))</f>
        <v>7.9999981790611699E-4</v>
      </c>
      <c r="AQ4" s="8">
        <f>IF($A4=AQ$1,0,IF(SUM(IMshareM!AQ$2:AQ$78)-IMshareM!AQ$43&gt;0,IMshareM!AQ4/(SUM(IMshareM!AQ$2:AQ$78)-IMshareM!AQ$43),0))</f>
        <v>1.527706654134062E-3</v>
      </c>
      <c r="AR4" s="8">
        <f>IF($A4=AR$1,0,IF(SUM(IMshareM!AR$2:AR$78)-IMshareM!AR$44&gt;0,IMshareM!AR4/(SUM(IMshareM!AR$2:AR$78)-IMshareM!AR$44),0))</f>
        <v>0</v>
      </c>
      <c r="AS4" s="8">
        <f>IF($A4=AS$1,0,IF(SUM(IMshareM!AS$2:AS$78)-IMshareM!AS$45&gt;0,IMshareM!AS4/(SUM(IMshareM!AS$2:AS$78)-IMshareM!AS$45),0))</f>
        <v>6.3991277251352835E-3</v>
      </c>
      <c r="AT4" s="8">
        <f>IF($A4=AT$1,0,IF(SUM(IMshareM!AT$2:AT$78)-IMshareM!AT$46&gt;0,IMshareM!AT4/(SUM(IMshareM!AT$2:AT$78)-IMshareM!AT$46),0))</f>
        <v>1.006245524967515E-3</v>
      </c>
      <c r="AU4" s="8">
        <f>IF($A4=AU$1,0,IF(SUM(IMshareM!AU$2:AU$78)-IMshareM!AU$47&gt;0,IMshareM!AU4/(SUM(IMshareM!AU$2:AU$78)-IMshareM!AU$47),0))</f>
        <v>1.3154865764119009E-2</v>
      </c>
      <c r="AV4" s="8">
        <f>IF($A4=AV$1,0,IF(SUM(IMshareM!AV$2:AV$78)-IMshareM!AV$48&gt;0,IMshareM!AV4/(SUM(IMshareM!AV$2:AV$78)-IMshareM!AV$48),0))</f>
        <v>4.6800046118593095E-3</v>
      </c>
      <c r="AW4" s="8">
        <f>IF($A4=AW$1,0,IF(SUM(IMshareM!AW$2:AW$78)-IMshareM!AW$49&gt;0,IMshareM!AW4/(SUM(IMshareM!AW$2:AW$78)-IMshareM!AW$49),0))</f>
        <v>6.1618687183629985E-3</v>
      </c>
      <c r="AX4" s="8">
        <f>IF($A4=AX$1,0,IF(SUM(IMshareM!AX$2:AX$78)-IMshareM!AX$50&gt;0,IMshareM!AX4/(SUM(IMshareM!AX$2:AX$78)-IMshareM!AX$50),0))</f>
        <v>3.937580337548332E-4</v>
      </c>
      <c r="AY4" s="8">
        <f>IF($A4=AY$1,0,IF(SUM(IMshareM!AY$2:AY$78)-IMshareM!AY$51&gt;0,IMshareM!AY4/(SUM(IMshareM!AY$2:AY$78)-IMshareM!AY$51),0))</f>
        <v>4.2080799191229626E-4</v>
      </c>
      <c r="AZ4" s="8">
        <f>IF($A4=AZ$1,0,IF(SUM(IMshareM!AZ$2:AZ$78)-IMshareM!AZ$52&gt;0,IMshareM!AZ4/(SUM(IMshareM!AZ$2:AZ$78)-IMshareM!AZ$52),0))</f>
        <v>1.3769721867791383E-3</v>
      </c>
      <c r="BA4" s="8">
        <f>IF($A4=BA$1,0,IF(SUM(IMshareM!BA$2:BA$78)-IMshareM!BA$53&gt;0,IMshareM!BA4/(SUM(IMshareM!BA$2:BA$78)-IMshareM!BA$53),0))</f>
        <v>1.6418077009431656E-3</v>
      </c>
      <c r="BB4" s="8">
        <f>IF($A4=BB$1,0,IF(SUM(IMshareM!BB$2:BB$78)-IMshareM!BB$54&gt;0,IMshareM!BB4/(SUM(IMshareM!BB$2:BB$78)-IMshareM!BB$54),0))</f>
        <v>3.6395927194562781E-3</v>
      </c>
      <c r="BC4" s="8">
        <f>IF($A4=BC$1,0,IF(SUM(IMshareM!BC$2:BC$78)-IMshareM!BC$55&gt;0,IMshareM!BC4/(SUM(IMshareM!BC$2:BC$78)-IMshareM!BC$55),0))</f>
        <v>9.6560014629046113E-3</v>
      </c>
      <c r="BD4" s="8">
        <f>IF($A4=BD$1,0,IF(SUM(IMshareM!BD$2:BD$78)-IMshareM!BD$56&gt;0,IMshareM!BD4/(SUM(IMshareM!BD$2:BD$78)-IMshareM!BD$56),0))</f>
        <v>9.9062598502915444E-3</v>
      </c>
      <c r="BE4" s="8">
        <f>IF($A4=BE$1,0,IF(SUM(IMshareM!BE$2:BE$78)-IMshareM!BE$57&gt;0,IMshareM!BE4/(SUM(IMshareM!BE$2:BE$78)-IMshareM!BE$57),0))</f>
        <v>5.9249895572476225E-4</v>
      </c>
      <c r="BF4" s="8">
        <f>IF($A4=BF$1,0,IF(SUM(IMshareM!BF$2:BF$78)-IMshareM!BF$58&gt;0,IMshareM!BF4/(SUM(IMshareM!BF$2:BF$78)-IMshareM!BF$58),0))</f>
        <v>3.77395032206516E-3</v>
      </c>
      <c r="BG4" s="8">
        <f>IF($A4=BG$1,0,IF(SUM(IMshareM!BG$2:BG$78)-IMshareM!BG$59&gt;0,IMshareM!BG4/(SUM(IMshareM!BG$2:BG$78)-IMshareM!BG$59),0))</f>
        <v>2.2989480642724848E-4</v>
      </c>
      <c r="BH4" s="8">
        <f>IF($A4=BH$1,0,IF(SUM(IMshareM!BH$2:BH$78)-IMshareM!BH$60&gt;0,IMshareM!BH4/(SUM(IMshareM!BH$2:BH$78)-IMshareM!BH$60),0))</f>
        <v>9.8863553918631074E-3</v>
      </c>
      <c r="BI4" s="8">
        <f>IF($A4=BI$1,0,IF(SUM(IMshareM!BI$2:BI$78)-IMshareM!BI$61&gt;0,IMshareM!BI4/(SUM(IMshareM!BI$2:BI$78)-IMshareM!BI$61),0))</f>
        <v>2.8171021570190754E-3</v>
      </c>
      <c r="BJ4" s="8">
        <f>IF($A4=BJ$1,0,IF(SUM(IMshareM!BJ$2:BJ$78)-IMshareM!BJ$62&gt;0,IMshareM!BJ4/(SUM(IMshareM!BJ$2:BJ$78)-IMshareM!BJ$62),0))</f>
        <v>5.0390780770090911E-2</v>
      </c>
      <c r="BK4" s="8">
        <f>IF($A4=BK$1,0,IF(SUM(IMshareM!BK$2:BK$78)-IMshareM!BK$63&gt;0,IMshareM!BK4/(SUM(IMshareM!BK$2:BK$78)-IMshareM!BK$63),0))</f>
        <v>1.5510769551121413E-3</v>
      </c>
      <c r="BL4" s="8">
        <f>IF($A4=BL$1,0,IF(SUM(IMshareM!BL$2:BL$78)-IMshareM!BL$64&gt;0,IMshareM!BL4/(SUM(IMshareM!BL$2:BL$78)-IMshareM!BL$64),0))</f>
        <v>1.602519537414518E-3</v>
      </c>
      <c r="BM4" s="8">
        <f>IF($A4=BM$1,0,IF(SUM(IMshareM!BM$2:BM$78)-IMshareM!BM$65&gt;0,IMshareM!BM4/(SUM(IMshareM!BM$2:BM$78)-IMshareM!BM$65),0))</f>
        <v>8.1467769680451505E-5</v>
      </c>
      <c r="BN4" s="8">
        <f>IF($A4=BN$1,0,IF(SUM(IMshareM!BN$2:BN$78)-IMshareM!BN$66&gt;0,IMshareM!BN4/(SUM(IMshareM!BN$2:BN$78)-IMshareM!BN$66),0))</f>
        <v>1.951735625613651E-3</v>
      </c>
      <c r="BO4" s="8">
        <f>IF($A4=BO$1,0,IF(SUM(IMshareM!BO$2:BO$78)-IMshareM!BO$67&gt;0,IMshareM!BO4/(SUM(IMshareM!BO$2:BO$78)-IMshareM!BO$67),0))</f>
        <v>2.0191104867309424E-2</v>
      </c>
      <c r="BP4" s="8">
        <f>IF($A4=BP$1,0,IF(SUM(IMshareM!BP$2:BP$78)-IMshareM!BP$68&gt;0,IMshareM!BP4/(SUM(IMshareM!BP$2:BP$78)-IMshareM!BP$68),0))</f>
        <v>4.0525391915875182E-2</v>
      </c>
      <c r="BQ4" s="8">
        <f>IF($A4=BQ$1,0,IF(SUM(IMshareM!BQ$2:BQ$78)-IMshareM!BQ$69&gt;0,IMshareM!BQ4/(SUM(IMshareM!BQ$2:BQ$78)-IMshareM!BQ$69),0))</f>
        <v>4.3623363801944624E-3</v>
      </c>
      <c r="BR4" s="8">
        <f>IF($A4=BR$1,0,IF(SUM(IMshareM!BR$2:BR$78)-IMshareM!BR$70&gt;0,IMshareM!BR4/(SUM(IMshareM!BR$2:BR$78)-IMshareM!BR$70),0))</f>
        <v>1.1395118754994097E-3</v>
      </c>
      <c r="BS4" s="8">
        <f>IF($A4=BS$1,0,IF(SUM(IMshareM!BS$2:BS$78)-IMshareM!BS$71&gt;0,IMshareM!BS4/(SUM(IMshareM!BS$2:BS$78)-IMshareM!BS$71),0))</f>
        <v>1.7623671269308935E-3</v>
      </c>
      <c r="BT4" s="8">
        <f>IF($A4=BT$1,0,IF(SUM(IMshareM!BT$2:BT$78)-IMshareM!BT$72&gt;0,IMshareM!BT4/(SUM(IMshareM!BT$2:BT$78)-IMshareM!BT$72),0))</f>
        <v>8.3414576759645066E-3</v>
      </c>
      <c r="BU4" s="8">
        <f>IF($A4=BU$1,0,IF(SUM(IMshareM!BU$2:BU$78)-IMshareM!BU$73&gt;0,IMshareM!BU4/(SUM(IMshareM!BU$2:BU$78)-IMshareM!BU$73),0))</f>
        <v>1.5846641819509215E-3</v>
      </c>
      <c r="BV4" s="8">
        <f>IF($A4=BV$1,0,IF(SUM(IMshareM!BV$2:BV$78)-IMshareM!BV$74&gt;0,IMshareM!BV4/(SUM(IMshareM!BV$2:BV$78)-IMshareM!BV$74),0))</f>
        <v>3.385315156061078E-3</v>
      </c>
      <c r="BW4" s="8">
        <f>IF($A4=BW$1,0,IF(SUM(IMshareM!BW$2:BW$78)-IMshareM!BW$75&gt;0,IMshareM!BW4/(SUM(IMshareM!BW$2:BW$78)-IMshareM!BW$75),0))</f>
        <v>7.4214032015209527E-3</v>
      </c>
      <c r="BX4" s="8">
        <f>IF($A4=BX$1,0,IF(SUM(IMshareM!BX$2:BX$78)-IMshareM!BX$76&gt;0,IMshareM!BX4/(SUM(IMshareM!BX$2:BX$78)-IMshareM!BX$76),0))</f>
        <v>1.2384241041749735E-3</v>
      </c>
      <c r="BY4" s="8">
        <f>IF($A4=BY$1,0,IF(SUM(IMshareM!BY$2:BY$78)-IMshareM!BY$77&gt;0,IMshareM!BY4/(SUM(IMshareM!BY$2:BY$78)-IMshareM!BY$77),0))</f>
        <v>6.1763203322470137E-3</v>
      </c>
      <c r="BZ4" s="8">
        <f>IF($A4=BZ$1,0,IF(SUM(IMshareM!BZ$2:BZ$78)-IMshareM!BZ$78&gt;0,IMshareM!BZ4/(SUM(IMshareM!BZ$2:BZ$78)-IMshareM!BZ$78),0))</f>
        <v>6.8179870064373968E-3</v>
      </c>
    </row>
    <row r="5" spans="1:78">
      <c r="A5" s="4" t="s">
        <v>77</v>
      </c>
      <c r="B5" s="8">
        <f>IF($A5=B$1,0,IF(SUM(IMshareM!B$2:B$78)-IMshareM!B$2&gt;0,IMshareM!B5/(SUM(IMshareM!B$2:B$78)-IMshareM!B$2),0))</f>
        <v>1.6790761714944341E-4</v>
      </c>
      <c r="C5" s="8">
        <f>IF($A5=C$1,0,IF(SUM(IMshareM!C$2:C$78)-IMshareM!C$3&gt;0,IMshareM!C5/(SUM(IMshareM!C$2:C$78)-IMshareM!C$3),0))</f>
        <v>1.655371498779399E-3</v>
      </c>
      <c r="D5" s="8">
        <f>IF($A5=D$1,0,IF(SUM(IMshareM!D$2:D$78)-IMshareM!D$4&gt;0,IMshareM!D5/(SUM(IMshareM!D$2:D$78)-IMshareM!D$4),0))</f>
        <v>2.9797628546281201E-4</v>
      </c>
      <c r="E5" s="8">
        <f>IF($A5=E$1,0,IF(SUM(IMshareM!E$2:E$78)-IMshareM!E$5&gt;0,IMshareM!E5/(SUM(IMshareM!E$2:E$78)-IMshareM!E$5),0))</f>
        <v>0</v>
      </c>
      <c r="F5" s="8">
        <f>IF($A5=F$1,0,IF(SUM(IMshareM!F$2:F$78)-IMshareM!F$6&gt;0,IMshareM!F5/(SUM(IMshareM!F$2:F$78)-IMshareM!F$6),0))</f>
        <v>1.5126063677634606E-3</v>
      </c>
      <c r="G5" s="8">
        <f>IF($A5=G$1,0,IF(SUM(IMshareM!G$2:G$78)-IMshareM!G$7&gt;0,IMshareM!G5/(SUM(IMshareM!G$2:G$78)-IMshareM!G$7),0))</f>
        <v>1.5819991599794155E-3</v>
      </c>
      <c r="H5" s="8">
        <f>IF($A5=H$1,0,IF(SUM(IMshareM!H$2:H$78)-IMshareM!H$8&gt;0,IMshareM!H5/(SUM(IMshareM!H$2:H$78)-IMshareM!H$8),0))</f>
        <v>3.1652061637275523E-4</v>
      </c>
      <c r="I5" s="8">
        <f>IF($A5=I$1,0,IF(SUM(IMshareM!I$2:I$78)-IMshareM!I$9&gt;0,IMshareM!I5/(SUM(IMshareM!I$2:I$78)-IMshareM!I$9),0))</f>
        <v>2.411274834293623E-3</v>
      </c>
      <c r="J5" s="8">
        <f>IF($A5=J$1,0,IF(SUM(IMshareM!J$2:J$78)-IMshareM!J$10&gt;0,IMshareM!J5/(SUM(IMshareM!J$2:J$78)-IMshareM!J$10),0))</f>
        <v>1.7761991569820751E-4</v>
      </c>
      <c r="K5" s="8">
        <f>IF($A5=K$1,0,IF(SUM(IMshareM!K$2:K$78)-IMshareM!K$11&gt;0,IMshareM!K5/(SUM(IMshareM!K$2:K$78)-IMshareM!K$11),0))</f>
        <v>2.5468414491443888E-4</v>
      </c>
      <c r="L5" s="8">
        <f>IF($A5=L$1,0,IF(SUM(IMshareM!L$2:L$78)-IMshareM!L$12&gt;0,IMshareM!L5/(SUM(IMshareM!L$2:L$78)-IMshareM!L$12),0))</f>
        <v>2.3879632003109253E-3</v>
      </c>
      <c r="M5" s="8">
        <f>IF($A5=M$1,0,IF(SUM(IMshareM!M$2:M$78)-IMshareM!M$13&gt;0,IMshareM!M5/(SUM(IMshareM!M$2:M$78)-IMshareM!M$13),0))</f>
        <v>2.1288978203518104E-4</v>
      </c>
      <c r="N5" s="8">
        <f>IF($A5=N$1,0,IF(SUM(IMshareM!N$2:N$78)-IMshareM!N$14&gt;0,IMshareM!N5/(SUM(IMshareM!N$2:N$78)-IMshareM!N$14),0))</f>
        <v>2.1305272529229601E-4</v>
      </c>
      <c r="O5" s="8">
        <f>IF($A5=O$1,0,IF(SUM(IMshareM!O$2:O$78)-IMshareM!O$15&gt;0,IMshareM!O5/(SUM(IMshareM!O$2:O$78)-IMshareM!O$15),0))</f>
        <v>6.3339681910586859E-3</v>
      </c>
      <c r="P5" s="8">
        <f>IF($A5=P$1,0,IF(SUM(IMshareM!P$2:P$78)-IMshareM!P$16&gt;0,IMshareM!P5/(SUM(IMshareM!P$2:P$78)-IMshareM!P$16),0))</f>
        <v>1.456649830628194E-2</v>
      </c>
      <c r="Q5" s="8">
        <f>IF($A5=Q$1,0,IF(SUM(IMshareM!Q$2:Q$78)-IMshareM!Q$17&gt;0,IMshareM!Q5/(SUM(IMshareM!Q$2:Q$78)-IMshareM!Q$17),0))</f>
        <v>4.8331312246830955E-4</v>
      </c>
      <c r="R5" s="8">
        <f>IF($A5=R$1,0,IF(SUM(IMshareM!R$2:R$78)-IMshareM!R$18&gt;0,IMshareM!R5/(SUM(IMshareM!R$2:R$78)-IMshareM!R$18),0))</f>
        <v>5.4230485908314063E-4</v>
      </c>
      <c r="S5" s="8">
        <f>IF($A5=S$1,0,IF(SUM(IMshareM!S$2:S$78)-IMshareM!S$19&gt;0,IMshareM!S5/(SUM(IMshareM!S$2:S$78)-IMshareM!S$19),0))</f>
        <v>1.0981689439779249E-2</v>
      </c>
      <c r="T5" s="8">
        <f>IF($A5=T$1,0,IF(SUM(IMshareM!T$2:T$78)-IMshareM!T$20&gt;0,IMshareM!T5/(SUM(IMshareM!T$2:T$78)-IMshareM!T$20),0))</f>
        <v>5.9845444711071054E-4</v>
      </c>
      <c r="U5" s="8">
        <f>IF($A5=U$1,0,IF(SUM(IMshareM!U$2:U$78)-IMshareM!U$21&gt;0,IMshareM!U5/(SUM(IMshareM!U$2:U$78)-IMshareM!U$21),0))</f>
        <v>2.2156817907580642E-3</v>
      </c>
      <c r="V5" s="8">
        <f>IF($A5=V$1,0,IF(SUM(IMshareM!V$2:V$78)-IMshareM!V$22&gt;0,IMshareM!V5/(SUM(IMshareM!V$2:V$78)-IMshareM!V$22),0))</f>
        <v>2.4676558048791269E-3</v>
      </c>
      <c r="W5" s="8">
        <f>IF($A5=W$1,0,IF(SUM(IMshareM!W$2:W$78)-IMshareM!W$23&gt;0,IMshareM!W5/(SUM(IMshareM!W$2:W$78)-IMshareM!W$23),0))</f>
        <v>2.017249016395811E-3</v>
      </c>
      <c r="X5" s="8">
        <f>IF($A5=X$1,0,IF(SUM(IMshareM!X$2:X$78)-IMshareM!X$24&gt;0,IMshareM!X5/(SUM(IMshareM!X$2:X$78)-IMshareM!X$24),0))</f>
        <v>3.8772841746727181E-3</v>
      </c>
      <c r="Y5" s="8">
        <f>IF($A5=Y$1,0,IF(SUM(IMshareM!Y$2:Y$78)-IMshareM!Y$25&gt;0,IMshareM!Y5/(SUM(IMshareM!Y$2:Y$78)-IMshareM!Y$25),0))</f>
        <v>5.7282954928132308E-3</v>
      </c>
      <c r="Z5" s="8">
        <f>IF($A5=Z$1,0,IF(SUM(IMshareM!Z$2:Z$78)-IMshareM!Z$26&gt;0,IMshareM!Z5/(SUM(IMshareM!Z$2:Z$78)-IMshareM!Z$26),0))</f>
        <v>2.7641267151432185E-3</v>
      </c>
      <c r="AA5" s="8">
        <f>IF($A5=AA$1,0,IF(SUM(IMshareM!AA$2:AA$78)-IMshareM!AA$27&gt;0,IMshareM!AA5/(SUM(IMshareM!AA$2:AA$78)-IMshareM!AA$27),0))</f>
        <v>1.2662577931801195E-2</v>
      </c>
      <c r="AB5" s="8">
        <f>IF($A5=AB$1,0,IF(SUM(IMshareM!AB$2:AB$78)-IMshareM!AB$28&gt;0,IMshareM!AB5/(SUM(IMshareM!AB$2:AB$78)-IMshareM!AB$28),0))</f>
        <v>2.4256257825205595E-3</v>
      </c>
      <c r="AC5" s="8">
        <f>IF($A5=AC$1,0,IF(SUM(IMshareM!AC$2:AC$78)-IMshareM!AC$29&gt;0,IMshareM!AC5/(SUM(IMshareM!AC$2:AC$78)-IMshareM!AC$29),0))</f>
        <v>9.2382010406522313E-3</v>
      </c>
      <c r="AD5" s="8">
        <f>IF($A5=AD$1,0,IF(SUM(IMshareM!AD$2:AD$78)-IMshareM!AD$30&gt;0,IMshareM!AD5/(SUM(IMshareM!AD$2:AD$78)-IMshareM!AD$30),0))</f>
        <v>3.126105236518697E-4</v>
      </c>
      <c r="AE5" s="8">
        <f>IF($A5=AE$1,0,IF(SUM(IMshareM!AE$2:AE$78)-IMshareM!AE$31&gt;0,IMshareM!AE5/(SUM(IMshareM!AE$2:AE$78)-IMshareM!AE$31),0))</f>
        <v>4.3848680609884427E-3</v>
      </c>
      <c r="AF5" s="8">
        <f>IF($A5=AF$1,0,IF(SUM(IMshareM!AF$2:AF$78)-IMshareM!AF$32&gt;0,IMshareM!AF5/(SUM(IMshareM!AF$2:AF$78)-IMshareM!AF$32),0))</f>
        <v>8.9633722701268478E-4</v>
      </c>
      <c r="AG5" s="8">
        <f>IF($A5=AG$1,0,IF(SUM(IMshareM!AG$2:AG$78)-IMshareM!AG$33&gt;0,IMshareM!AG5/(SUM(IMshareM!AG$2:AG$78)-IMshareM!AG$33),0))</f>
        <v>2.2457422582844027E-4</v>
      </c>
      <c r="AH5" s="8">
        <f>IF($A5=AH$1,0,IF(SUM(IMshareM!AH$2:AH$78)-IMshareM!AH$34&gt;0,IMshareM!AH5/(SUM(IMshareM!AH$2:AH$78)-IMshareM!AH$34),0))</f>
        <v>8.3506785700087609E-3</v>
      </c>
      <c r="AI5" s="8">
        <f>IF($A5=AI$1,0,IF(SUM(IMshareM!AI$2:AI$78)-IMshareM!AI$35&gt;0,IMshareM!AI5/(SUM(IMshareM!AI$2:AI$78)-IMshareM!AI$35),0))</f>
        <v>3.9221422543387514E-3</v>
      </c>
      <c r="AJ5" s="8">
        <f>IF($A5=AJ$1,0,IF(SUM(IMshareM!AJ$2:AJ$78)-IMshareM!AJ$36&gt;0,IMshareM!AJ5/(SUM(IMshareM!AJ$2:AJ$78)-IMshareM!AJ$36),0))</f>
        <v>5.1349968306278124E-3</v>
      </c>
      <c r="AK5" s="8">
        <f>IF($A5=AK$1,0,IF(SUM(IMshareM!AK$2:AK$78)-IMshareM!AK$37&gt;0,IMshareM!AK5/(SUM(IMshareM!AK$2:AK$78)-IMshareM!AK$37),0))</f>
        <v>2.9373593147452347E-3</v>
      </c>
      <c r="AL5" s="8">
        <f>IF($A5=AL$1,0,IF(SUM(IMshareM!AL$2:AL$78)-IMshareM!AL$38&gt;0,IMshareM!AL5/(SUM(IMshareM!AL$2:AL$78)-IMshareM!AL$38),0))</f>
        <v>9.5426388011969482E-3</v>
      </c>
      <c r="AM5" s="8">
        <f>IF($A5=AM$1,0,IF(SUM(IMshareM!AM$2:AM$78)-IMshareM!AM$39&gt;0,IMshareM!AM5/(SUM(IMshareM!AM$2:AM$78)-IMshareM!AM$39),0))</f>
        <v>4.3418724681774249E-3</v>
      </c>
      <c r="AN5" s="8">
        <f>IF($A5=AN$1,0,IF(SUM(IMshareM!AN$2:AN$78)-IMshareM!AN$40&gt;0,IMshareM!AN5/(SUM(IMshareM!AN$2:AN$78)-IMshareM!AN$40),0))</f>
        <v>2.0702140206826564E-4</v>
      </c>
      <c r="AO5" s="8">
        <f>IF($A5=AO$1,0,IF(SUM(IMshareM!AO$2:AO$78)-IMshareM!AO$41&gt;0,IMshareM!AO5/(SUM(IMshareM!AO$2:AO$78)-IMshareM!AO$41),0))</f>
        <v>2.0434357267417125E-3</v>
      </c>
      <c r="AP5" s="8">
        <f>IF($A5=AP$1,0,IF(SUM(IMshareM!AP$2:AP$78)-IMshareM!AP$42&gt;0,IMshareM!AP5/(SUM(IMshareM!AP$2:AP$78)-IMshareM!AP$42),0))</f>
        <v>4.583837287255804E-4</v>
      </c>
      <c r="AQ5" s="8">
        <f>IF($A5=AQ$1,0,IF(SUM(IMshareM!AQ$2:AQ$78)-IMshareM!AQ$43&gt;0,IMshareM!AQ5/(SUM(IMshareM!AQ$2:AQ$78)-IMshareM!AQ$43),0))</f>
        <v>1.015144137680617E-4</v>
      </c>
      <c r="AR5" s="8">
        <f>IF($A5=AR$1,0,IF(SUM(IMshareM!AR$2:AR$78)-IMshareM!AR$44&gt;0,IMshareM!AR5/(SUM(IMshareM!AR$2:AR$78)-IMshareM!AR$44),0))</f>
        <v>0</v>
      </c>
      <c r="AS5" s="8">
        <f>IF($A5=AS$1,0,IF(SUM(IMshareM!AS$2:AS$78)-IMshareM!AS$45&gt;0,IMshareM!AS5/(SUM(IMshareM!AS$2:AS$78)-IMshareM!AS$45),0))</f>
        <v>4.9842868493099038E-3</v>
      </c>
      <c r="AT5" s="8">
        <f>IF($A5=AT$1,0,IF(SUM(IMshareM!AT$2:AT$78)-IMshareM!AT$46&gt;0,IMshareM!AT5/(SUM(IMshareM!AT$2:AT$78)-IMshareM!AT$46),0))</f>
        <v>5.0359638332312051E-2</v>
      </c>
      <c r="AU5" s="8">
        <f>IF($A5=AU$1,0,IF(SUM(IMshareM!AU$2:AU$78)-IMshareM!AU$47&gt;0,IMshareM!AU5/(SUM(IMshareM!AU$2:AU$78)-IMshareM!AU$47),0))</f>
        <v>8.6619845165325955E-3</v>
      </c>
      <c r="AV5" s="8">
        <f>IF($A5=AV$1,0,IF(SUM(IMshareM!AV$2:AV$78)-IMshareM!AV$48&gt;0,IMshareM!AV5/(SUM(IMshareM!AV$2:AV$78)-IMshareM!AV$48),0))</f>
        <v>2.287098202151307E-3</v>
      </c>
      <c r="AW5" s="8">
        <f>IF($A5=AW$1,0,IF(SUM(IMshareM!AW$2:AW$78)-IMshareM!AW$49&gt;0,IMshareM!AW5/(SUM(IMshareM!AW$2:AW$78)-IMshareM!AW$49),0))</f>
        <v>1.4374280774816396E-5</v>
      </c>
      <c r="AX5" s="8">
        <f>IF($A5=AX$1,0,IF(SUM(IMshareM!AX$2:AX$78)-IMshareM!AX$50&gt;0,IMshareM!AX5/(SUM(IMshareM!AX$2:AX$78)-IMshareM!AX$50),0))</f>
        <v>5.713296030906167E-4</v>
      </c>
      <c r="AY5" s="8">
        <f>IF($A5=AY$1,0,IF(SUM(IMshareM!AY$2:AY$78)-IMshareM!AY$51&gt;0,IMshareM!AY5/(SUM(IMshareM!AY$2:AY$78)-IMshareM!AY$51),0))</f>
        <v>0</v>
      </c>
      <c r="AZ5" s="8">
        <f>IF($A5=AZ$1,0,IF(SUM(IMshareM!AZ$2:AZ$78)-IMshareM!AZ$52&gt;0,IMshareM!AZ5/(SUM(IMshareM!AZ$2:AZ$78)-IMshareM!AZ$52),0))</f>
        <v>1.2657498204433223E-2</v>
      </c>
      <c r="BA5" s="8">
        <f>IF($A5=BA$1,0,IF(SUM(IMshareM!BA$2:BA$78)-IMshareM!BA$53&gt;0,IMshareM!BA5/(SUM(IMshareM!BA$2:BA$78)-IMshareM!BA$53),0))</f>
        <v>5.2977441174418679E-3</v>
      </c>
      <c r="BB5" s="8">
        <f>IF($A5=BB$1,0,IF(SUM(IMshareM!BB$2:BB$78)-IMshareM!BB$54&gt;0,IMshareM!BB5/(SUM(IMshareM!BB$2:BB$78)-IMshareM!BB$54),0))</f>
        <v>1.6945535209881794E-2</v>
      </c>
      <c r="BC5" s="8">
        <f>IF($A5=BC$1,0,IF(SUM(IMshareM!BC$2:BC$78)-IMshareM!BC$55&gt;0,IMshareM!BC5/(SUM(IMshareM!BC$2:BC$78)-IMshareM!BC$55),0))</f>
        <v>4.2993540170545054E-3</v>
      </c>
      <c r="BD5" s="8">
        <f>IF($A5=BD$1,0,IF(SUM(IMshareM!BD$2:BD$78)-IMshareM!BD$56&gt;0,IMshareM!BD5/(SUM(IMshareM!BD$2:BD$78)-IMshareM!BD$56),0))</f>
        <v>3.6619729072374721E-3</v>
      </c>
      <c r="BE5" s="8">
        <f>IF($A5=BE$1,0,IF(SUM(IMshareM!BE$2:BE$78)-IMshareM!BE$57&gt;0,IMshareM!BE5/(SUM(IMshareM!BE$2:BE$78)-IMshareM!BE$57),0))</f>
        <v>2.828902638432372E-3</v>
      </c>
      <c r="BF5" s="8">
        <f>IF($A5=BF$1,0,IF(SUM(IMshareM!BF$2:BF$78)-IMshareM!BF$58&gt;0,IMshareM!BF5/(SUM(IMshareM!BF$2:BF$78)-IMshareM!BF$58),0))</f>
        <v>3.9710756679416402E-4</v>
      </c>
      <c r="BG5" s="8">
        <f>IF($A5=BG$1,0,IF(SUM(IMshareM!BG$2:BG$78)-IMshareM!BG$59&gt;0,IMshareM!BG5/(SUM(IMshareM!BG$2:BG$78)-IMshareM!BG$59),0))</f>
        <v>8.6105278619272242E-4</v>
      </c>
      <c r="BH5" s="8">
        <f>IF($A5=BH$1,0,IF(SUM(IMshareM!BH$2:BH$78)-IMshareM!BH$60&gt;0,IMshareM!BH5/(SUM(IMshareM!BH$2:BH$78)-IMshareM!BH$60),0))</f>
        <v>5.3355780087936341E-4</v>
      </c>
      <c r="BI5" s="8">
        <f>IF($A5=BI$1,0,IF(SUM(IMshareM!BI$2:BI$78)-IMshareM!BI$61&gt;0,IMshareM!BI5/(SUM(IMshareM!BI$2:BI$78)-IMshareM!BI$61),0))</f>
        <v>1.6649549040976808E-2</v>
      </c>
      <c r="BJ5" s="8">
        <f>IF($A5=BJ$1,0,IF(SUM(IMshareM!BJ$2:BJ$78)-IMshareM!BJ$62&gt;0,IMshareM!BJ5/(SUM(IMshareM!BJ$2:BJ$78)-IMshareM!BJ$62),0))</f>
        <v>4.1047707894067836E-3</v>
      </c>
      <c r="BK5" s="8">
        <f>IF($A5=BK$1,0,IF(SUM(IMshareM!BK$2:BK$78)-IMshareM!BK$63&gt;0,IMshareM!BK5/(SUM(IMshareM!BK$2:BK$78)-IMshareM!BK$63),0))</f>
        <v>2.4603626533509686E-3</v>
      </c>
      <c r="BL5" s="8">
        <f>IF($A5=BL$1,0,IF(SUM(IMshareM!BL$2:BL$78)-IMshareM!BL$64&gt;0,IMshareM!BL5/(SUM(IMshareM!BL$2:BL$78)-IMshareM!BL$64),0))</f>
        <v>3.486898920597553E-3</v>
      </c>
      <c r="BM5" s="8">
        <f>IF($A5=BM$1,0,IF(SUM(IMshareM!BM$2:BM$78)-IMshareM!BM$65&gt;0,IMshareM!BM5/(SUM(IMshareM!BM$2:BM$78)-IMshareM!BM$65),0))</f>
        <v>9.1034653433342081E-3</v>
      </c>
      <c r="BN5" s="8">
        <f>IF($A5=BN$1,0,IF(SUM(IMshareM!BN$2:BN$78)-IMshareM!BN$66&gt;0,IMshareM!BN5/(SUM(IMshareM!BN$2:BN$78)-IMshareM!BN$66),0))</f>
        <v>3.7668673024904059E-4</v>
      </c>
      <c r="BO5" s="8">
        <f>IF($A5=BO$1,0,IF(SUM(IMshareM!BO$2:BO$78)-IMshareM!BO$67&gt;0,IMshareM!BO5/(SUM(IMshareM!BO$2:BO$78)-IMshareM!BO$67),0))</f>
        <v>1.5405682091804133E-4</v>
      </c>
      <c r="BP5" s="8">
        <f>IF($A5=BP$1,0,IF(SUM(IMshareM!BP$2:BP$78)-IMshareM!BP$68&gt;0,IMshareM!BP5/(SUM(IMshareM!BP$2:BP$78)-IMshareM!BP$68),0))</f>
        <v>2.8466977754717111E-4</v>
      </c>
      <c r="BQ5" s="8">
        <f>IF($A5=BQ$1,0,IF(SUM(IMshareM!BQ$2:BQ$78)-IMshareM!BQ$69&gt;0,IMshareM!BQ5/(SUM(IMshareM!BQ$2:BQ$78)-IMshareM!BQ$69),0))</f>
        <v>9.1539253295713791E-3</v>
      </c>
      <c r="BR5" s="8">
        <f>IF($A5=BR$1,0,IF(SUM(IMshareM!BR$2:BR$78)-IMshareM!BR$70&gt;0,IMshareM!BR5/(SUM(IMshareM!BR$2:BR$78)-IMshareM!BR$70),0))</f>
        <v>2.1058314857352175E-3</v>
      </c>
      <c r="BS5" s="8">
        <f>IF($A5=BS$1,0,IF(SUM(IMshareM!BS$2:BS$78)-IMshareM!BS$71&gt;0,IMshareM!BS5/(SUM(IMshareM!BS$2:BS$78)-IMshareM!BS$71),0))</f>
        <v>3.7461217439946747E-3</v>
      </c>
      <c r="BT5" s="8">
        <f>IF($A5=BT$1,0,IF(SUM(IMshareM!BT$2:BT$78)-IMshareM!BT$72&gt;0,IMshareM!BT5/(SUM(IMshareM!BT$2:BT$78)-IMshareM!BT$72),0))</f>
        <v>7.4164473306095988E-4</v>
      </c>
      <c r="BU5" s="8">
        <f>IF($A5=BU$1,0,IF(SUM(IMshareM!BU$2:BU$78)-IMshareM!BU$73&gt;0,IMshareM!BU5/(SUM(IMshareM!BU$2:BU$78)-IMshareM!BU$73),0))</f>
        <v>2.2614606863076097E-4</v>
      </c>
      <c r="BV5" s="8">
        <f>IF($A5=BV$1,0,IF(SUM(IMshareM!BV$2:BV$78)-IMshareM!BV$74&gt;0,IMshareM!BV5/(SUM(IMshareM!BV$2:BV$78)-IMshareM!BV$74),0))</f>
        <v>1.4573820985172229E-3</v>
      </c>
      <c r="BW5" s="8">
        <f>IF($A5=BW$1,0,IF(SUM(IMshareM!BW$2:BW$78)-IMshareM!BW$75&gt;0,IMshareM!BW5/(SUM(IMshareM!BW$2:BW$78)-IMshareM!BW$75),0))</f>
        <v>4.2032136297749434E-4</v>
      </c>
      <c r="BX5" s="8">
        <f>IF($A5=BX$1,0,IF(SUM(IMshareM!BX$2:BX$78)-IMshareM!BX$76&gt;0,IMshareM!BX5/(SUM(IMshareM!BX$2:BX$78)-IMshareM!BX$76),0))</f>
        <v>1.1644144123325144E-4</v>
      </c>
      <c r="BY5" s="8">
        <f>IF($A5=BY$1,0,IF(SUM(IMshareM!BY$2:BY$78)-IMshareM!BY$77&gt;0,IMshareM!BY5/(SUM(IMshareM!BY$2:BY$78)-IMshareM!BY$77),0))</f>
        <v>7.5372644254542188E-4</v>
      </c>
      <c r="BZ5" s="8">
        <f>IF($A5=BZ$1,0,IF(SUM(IMshareM!BZ$2:BZ$78)-IMshareM!BZ$78&gt;0,IMshareM!BZ5/(SUM(IMshareM!BZ$2:BZ$78)-IMshareM!BZ$78),0))</f>
        <v>4.4022063568187452E-3</v>
      </c>
    </row>
    <row r="6" spans="1:78">
      <c r="A6" s="4" t="s">
        <v>79</v>
      </c>
      <c r="B6" s="8">
        <f>IF($A6=B$1,0,IF(SUM(IMshareM!B$2:B$78)-IMshareM!B$2&gt;0,IMshareM!B6/(SUM(IMshareM!B$2:B$78)-IMshareM!B$2),0))</f>
        <v>0</v>
      </c>
      <c r="C6" s="8">
        <f>IF($A6=C$1,0,IF(SUM(IMshareM!C$2:C$78)-IMshareM!C$3&gt;0,IMshareM!C6/(SUM(IMshareM!C$2:C$78)-IMshareM!C$3),0))</f>
        <v>0</v>
      </c>
      <c r="D6" s="8">
        <f>IF($A6=D$1,0,IF(SUM(IMshareM!D$2:D$78)-IMshareM!D$4&gt;0,IMshareM!D6/(SUM(IMshareM!D$2:D$78)-IMshareM!D$4),0))</f>
        <v>4.3645819188067467E-6</v>
      </c>
      <c r="E6" s="8">
        <f>IF($A6=E$1,0,IF(SUM(IMshareM!E$2:E$78)-IMshareM!E$5&gt;0,IMshareM!E6/(SUM(IMshareM!E$2:E$78)-IMshareM!E$5),0))</f>
        <v>0</v>
      </c>
      <c r="F6" s="8">
        <f>IF($A6=F$1,0,IF(SUM(IMshareM!F$2:F$78)-IMshareM!F$6&gt;0,IMshareM!F6/(SUM(IMshareM!F$2:F$78)-IMshareM!F$6),0))</f>
        <v>0</v>
      </c>
      <c r="G6" s="8">
        <f>IF($A6=G$1,0,IF(SUM(IMshareM!G$2:G$78)-IMshareM!G$7&gt;0,IMshareM!G6/(SUM(IMshareM!G$2:G$78)-IMshareM!G$7),0))</f>
        <v>4.644595319449822E-6</v>
      </c>
      <c r="H6" s="8">
        <f>IF($A6=H$1,0,IF(SUM(IMshareM!H$2:H$78)-IMshareM!H$8&gt;0,IMshareM!H6/(SUM(IMshareM!H$2:H$78)-IMshareM!H$8),0))</f>
        <v>0</v>
      </c>
      <c r="I6" s="8">
        <f>IF($A6=I$1,0,IF(SUM(IMshareM!I$2:I$78)-IMshareM!I$9&gt;0,IMshareM!I6/(SUM(IMshareM!I$2:I$78)-IMshareM!I$9),0))</f>
        <v>0</v>
      </c>
      <c r="J6" s="8">
        <f>IF($A6=J$1,0,IF(SUM(IMshareM!J$2:J$78)-IMshareM!J$10&gt;0,IMshareM!J6/(SUM(IMshareM!J$2:J$78)-IMshareM!J$10),0))</f>
        <v>0</v>
      </c>
      <c r="K6" s="8">
        <f>IF($A6=K$1,0,IF(SUM(IMshareM!K$2:K$78)-IMshareM!K$11&gt;0,IMshareM!K6/(SUM(IMshareM!K$2:K$78)-IMshareM!K$11),0))</f>
        <v>8.8902905389183953E-7</v>
      </c>
      <c r="L6" s="8">
        <f>IF($A6=L$1,0,IF(SUM(IMshareM!L$2:L$78)-IMshareM!L$12&gt;0,IMshareM!L6/(SUM(IMshareM!L$2:L$78)-IMshareM!L$12),0))</f>
        <v>0</v>
      </c>
      <c r="M6" s="8">
        <f>IF($A6=M$1,0,IF(SUM(IMshareM!M$2:M$78)-IMshareM!M$13&gt;0,IMshareM!M6/(SUM(IMshareM!M$2:M$78)-IMshareM!M$13),0))</f>
        <v>0</v>
      </c>
      <c r="N6" s="8">
        <f>IF($A6=N$1,0,IF(SUM(IMshareM!N$2:N$78)-IMshareM!N$14&gt;0,IMshareM!N6/(SUM(IMshareM!N$2:N$78)-IMshareM!N$14),0))</f>
        <v>1.1179759639184551E-6</v>
      </c>
      <c r="O6" s="8">
        <f>IF($A6=O$1,0,IF(SUM(IMshareM!O$2:O$78)-IMshareM!O$15&gt;0,IMshareM!O6/(SUM(IMshareM!O$2:O$78)-IMshareM!O$15),0))</f>
        <v>0</v>
      </c>
      <c r="P6" s="8">
        <f>IF($A6=P$1,0,IF(SUM(IMshareM!P$2:P$78)-IMshareM!P$16&gt;0,IMshareM!P6/(SUM(IMshareM!P$2:P$78)-IMshareM!P$16),0))</f>
        <v>0</v>
      </c>
      <c r="Q6" s="8">
        <f>IF($A6=Q$1,0,IF(SUM(IMshareM!Q$2:Q$78)-IMshareM!Q$17&gt;0,IMshareM!Q6/(SUM(IMshareM!Q$2:Q$78)-IMshareM!Q$17),0))</f>
        <v>0</v>
      </c>
      <c r="R6" s="8">
        <f>IF($A6=R$1,0,IF(SUM(IMshareM!R$2:R$78)-IMshareM!R$18&gt;0,IMshareM!R6/(SUM(IMshareM!R$2:R$78)-IMshareM!R$18),0))</f>
        <v>0</v>
      </c>
      <c r="S6" s="8">
        <f>IF($A6=S$1,0,IF(SUM(IMshareM!S$2:S$78)-IMshareM!S$19&gt;0,IMshareM!S6/(SUM(IMshareM!S$2:S$78)-IMshareM!S$19),0))</f>
        <v>0</v>
      </c>
      <c r="T6" s="8">
        <f>IF($A6=T$1,0,IF(SUM(IMshareM!T$2:T$78)-IMshareM!T$20&gt;0,IMshareM!T6/(SUM(IMshareM!T$2:T$78)-IMshareM!T$20),0))</f>
        <v>0</v>
      </c>
      <c r="U6" s="8">
        <f>IF($A6=U$1,0,IF(SUM(IMshareM!U$2:U$78)-IMshareM!U$21&gt;0,IMshareM!U6/(SUM(IMshareM!U$2:U$78)-IMshareM!U$21),0))</f>
        <v>1.0082007833404352E-6</v>
      </c>
      <c r="V6" s="8">
        <f>IF($A6=V$1,0,IF(SUM(IMshareM!V$2:V$78)-IMshareM!V$22&gt;0,IMshareM!V6/(SUM(IMshareM!V$2:V$78)-IMshareM!V$22),0))</f>
        <v>5.2293800631803474E-6</v>
      </c>
      <c r="W6" s="8">
        <f>IF($A6=W$1,0,IF(SUM(IMshareM!W$2:W$78)-IMshareM!W$23&gt;0,IMshareM!W6/(SUM(IMshareM!W$2:W$78)-IMshareM!W$23),0))</f>
        <v>0</v>
      </c>
      <c r="X6" s="8">
        <f>IF($A6=X$1,0,IF(SUM(IMshareM!X$2:X$78)-IMshareM!X$24&gt;0,IMshareM!X6/(SUM(IMshareM!X$2:X$78)-IMshareM!X$24),0))</f>
        <v>1.9436041136920942E-7</v>
      </c>
      <c r="Y6" s="8">
        <f>IF($A6=Y$1,0,IF(SUM(IMshareM!Y$2:Y$78)-IMshareM!Y$25&gt;0,IMshareM!Y6/(SUM(IMshareM!Y$2:Y$78)-IMshareM!Y$25),0))</f>
        <v>0</v>
      </c>
      <c r="Z6" s="8">
        <f>IF($A6=Z$1,0,IF(SUM(IMshareM!Z$2:Z$78)-IMshareM!Z$26&gt;0,IMshareM!Z6/(SUM(IMshareM!Z$2:Z$78)-IMshareM!Z$26),0))</f>
        <v>0</v>
      </c>
      <c r="AA6" s="8">
        <f>IF($A6=AA$1,0,IF(SUM(IMshareM!AA$2:AA$78)-IMshareM!AA$27&gt;0,IMshareM!AA6/(SUM(IMshareM!AA$2:AA$78)-IMshareM!AA$27),0))</f>
        <v>1.2347053596828686E-8</v>
      </c>
      <c r="AB6" s="8">
        <f>IF($A6=AB$1,0,IF(SUM(IMshareM!AB$2:AB$78)-IMshareM!AB$28&gt;0,IMshareM!AB6/(SUM(IMshareM!AB$2:AB$78)-IMshareM!AB$28),0))</f>
        <v>2.0648331770452655E-6</v>
      </c>
      <c r="AC6" s="8">
        <f>IF($A6=AC$1,0,IF(SUM(IMshareM!AC$2:AC$78)-IMshareM!AC$29&gt;0,IMshareM!AC6/(SUM(IMshareM!AC$2:AC$78)-IMshareM!AC$29),0))</f>
        <v>0</v>
      </c>
      <c r="AD6" s="8">
        <f>IF($A6=AD$1,0,IF(SUM(IMshareM!AD$2:AD$78)-IMshareM!AD$30&gt;0,IMshareM!AD6/(SUM(IMshareM!AD$2:AD$78)-IMshareM!AD$30),0))</f>
        <v>0</v>
      </c>
      <c r="AE6" s="8">
        <f>IF($A6=AE$1,0,IF(SUM(IMshareM!AE$2:AE$78)-IMshareM!AE$31&gt;0,IMshareM!AE6/(SUM(IMshareM!AE$2:AE$78)-IMshareM!AE$31),0))</f>
        <v>0</v>
      </c>
      <c r="AF6" s="8">
        <f>IF($A6=AF$1,0,IF(SUM(IMshareM!AF$2:AF$78)-IMshareM!AF$32&gt;0,IMshareM!AF6/(SUM(IMshareM!AF$2:AF$78)-IMshareM!AF$32),0))</f>
        <v>0</v>
      </c>
      <c r="AG6" s="8">
        <f>IF($A6=AG$1,0,IF(SUM(IMshareM!AG$2:AG$78)-IMshareM!AG$33&gt;0,IMshareM!AG6/(SUM(IMshareM!AG$2:AG$78)-IMshareM!AG$33),0))</f>
        <v>6.222337969862563E-6</v>
      </c>
      <c r="AH6" s="8">
        <f>IF($A6=AH$1,0,IF(SUM(IMshareM!AH$2:AH$78)-IMshareM!AH$34&gt;0,IMshareM!AH6/(SUM(IMshareM!AH$2:AH$78)-IMshareM!AH$34),0))</f>
        <v>7.3750493925817541E-5</v>
      </c>
      <c r="AI6" s="8">
        <f>IF($A6=AI$1,0,IF(SUM(IMshareM!AI$2:AI$78)-IMshareM!AI$35&gt;0,IMshareM!AI6/(SUM(IMshareM!AI$2:AI$78)-IMshareM!AI$35),0))</f>
        <v>9.565609387630554E-7</v>
      </c>
      <c r="AJ6" s="8">
        <f>IF($A6=AJ$1,0,IF(SUM(IMshareM!AJ$2:AJ$78)-IMshareM!AJ$36&gt;0,IMshareM!AJ6/(SUM(IMshareM!AJ$2:AJ$78)-IMshareM!AJ$36),0))</f>
        <v>0</v>
      </c>
      <c r="AK6" s="8">
        <f>IF($A6=AK$1,0,IF(SUM(IMshareM!AK$2:AK$78)-IMshareM!AK$37&gt;0,IMshareM!AK6/(SUM(IMshareM!AK$2:AK$78)-IMshareM!AK$37),0))</f>
        <v>0</v>
      </c>
      <c r="AL6" s="8">
        <f>IF($A6=AL$1,0,IF(SUM(IMshareM!AL$2:AL$78)-IMshareM!AL$38&gt;0,IMshareM!AL6/(SUM(IMshareM!AL$2:AL$78)-IMshareM!AL$38),0))</f>
        <v>0</v>
      </c>
      <c r="AM6" s="8">
        <f>IF($A6=AM$1,0,IF(SUM(IMshareM!AM$2:AM$78)-IMshareM!AM$39&gt;0,IMshareM!AM6/(SUM(IMshareM!AM$2:AM$78)-IMshareM!AM$39),0))</f>
        <v>0</v>
      </c>
      <c r="AN6" s="8">
        <f>IF($A6=AN$1,0,IF(SUM(IMshareM!AN$2:AN$78)-IMshareM!AN$40&gt;0,IMshareM!AN6/(SUM(IMshareM!AN$2:AN$78)-IMshareM!AN$40),0))</f>
        <v>0</v>
      </c>
      <c r="AO6" s="8">
        <f>IF($A6=AO$1,0,IF(SUM(IMshareM!AO$2:AO$78)-IMshareM!AO$41&gt;0,IMshareM!AO6/(SUM(IMshareM!AO$2:AO$78)-IMshareM!AO$41),0))</f>
        <v>0</v>
      </c>
      <c r="AP6" s="8">
        <f>IF($A6=AP$1,0,IF(SUM(IMshareM!AP$2:AP$78)-IMshareM!AP$42&gt;0,IMshareM!AP6/(SUM(IMshareM!AP$2:AP$78)-IMshareM!AP$42),0))</f>
        <v>0</v>
      </c>
      <c r="AQ6" s="8">
        <f>IF($A6=AQ$1,0,IF(SUM(IMshareM!AQ$2:AQ$78)-IMshareM!AQ$43&gt;0,IMshareM!AQ6/(SUM(IMshareM!AQ$2:AQ$78)-IMshareM!AQ$43),0))</f>
        <v>2.8239711257733389E-7</v>
      </c>
      <c r="AR6" s="8">
        <f>IF($A6=AR$1,0,IF(SUM(IMshareM!AR$2:AR$78)-IMshareM!AR$44&gt;0,IMshareM!AR6/(SUM(IMshareM!AR$2:AR$78)-IMshareM!AR$44),0))</f>
        <v>0</v>
      </c>
      <c r="AS6" s="8">
        <f>IF($A6=AS$1,0,IF(SUM(IMshareM!AS$2:AS$78)-IMshareM!AS$45&gt;0,IMshareM!AS6/(SUM(IMshareM!AS$2:AS$78)-IMshareM!AS$45),0))</f>
        <v>0</v>
      </c>
      <c r="AT6" s="8">
        <f>IF($A6=AT$1,0,IF(SUM(IMshareM!AT$2:AT$78)-IMshareM!AT$46&gt;0,IMshareM!AT6/(SUM(IMshareM!AT$2:AT$78)-IMshareM!AT$46),0))</f>
        <v>0</v>
      </c>
      <c r="AU6" s="8">
        <f>IF($A6=AU$1,0,IF(SUM(IMshareM!AU$2:AU$78)-IMshareM!AU$47&gt;0,IMshareM!AU6/(SUM(IMshareM!AU$2:AU$78)-IMshareM!AU$47),0))</f>
        <v>0</v>
      </c>
      <c r="AV6" s="8">
        <f>IF($A6=AV$1,0,IF(SUM(IMshareM!AV$2:AV$78)-IMshareM!AV$48&gt;0,IMshareM!AV6/(SUM(IMshareM!AV$2:AV$78)-IMshareM!AV$48),0))</f>
        <v>0</v>
      </c>
      <c r="AW6" s="8">
        <f>IF($A6=AW$1,0,IF(SUM(IMshareM!AW$2:AW$78)-IMshareM!AW$49&gt;0,IMshareM!AW6/(SUM(IMshareM!AW$2:AW$78)-IMshareM!AW$49),0))</f>
        <v>0</v>
      </c>
      <c r="AX6" s="8">
        <f>IF($A6=AX$1,0,IF(SUM(IMshareM!AX$2:AX$78)-IMshareM!AX$50&gt;0,IMshareM!AX6/(SUM(IMshareM!AX$2:AX$78)-IMshareM!AX$50),0))</f>
        <v>0</v>
      </c>
      <c r="AY6" s="8">
        <f>IF($A6=AY$1,0,IF(SUM(IMshareM!AY$2:AY$78)-IMshareM!AY$51&gt;0,IMshareM!AY6/(SUM(IMshareM!AY$2:AY$78)-IMshareM!AY$51),0))</f>
        <v>0</v>
      </c>
      <c r="AZ6" s="8">
        <f>IF($A6=AZ$1,0,IF(SUM(IMshareM!AZ$2:AZ$78)-IMshareM!AZ$52&gt;0,IMshareM!AZ6/(SUM(IMshareM!AZ$2:AZ$78)-IMshareM!AZ$52),0))</f>
        <v>0</v>
      </c>
      <c r="BA6" s="8">
        <f>IF($A6=BA$1,0,IF(SUM(IMshareM!BA$2:BA$78)-IMshareM!BA$53&gt;0,IMshareM!BA6/(SUM(IMshareM!BA$2:BA$78)-IMshareM!BA$53),0))</f>
        <v>1.6080204625813486E-3</v>
      </c>
      <c r="BB6" s="8">
        <f>IF($A6=BB$1,0,IF(SUM(IMshareM!BB$2:BB$78)-IMshareM!BB$54&gt;0,IMshareM!BB6/(SUM(IMshareM!BB$2:BB$78)-IMshareM!BB$54),0))</f>
        <v>4.5998533543334102E-5</v>
      </c>
      <c r="BC6" s="8">
        <f>IF($A6=BC$1,0,IF(SUM(IMshareM!BC$2:BC$78)-IMshareM!BC$55&gt;0,IMshareM!BC6/(SUM(IMshareM!BC$2:BC$78)-IMshareM!BC$55),0))</f>
        <v>3.2168973231879801E-6</v>
      </c>
      <c r="BD6" s="8">
        <f>IF($A6=BD$1,0,IF(SUM(IMshareM!BD$2:BD$78)-IMshareM!BD$56&gt;0,IMshareM!BD6/(SUM(IMshareM!BD$2:BD$78)-IMshareM!BD$56),0))</f>
        <v>0</v>
      </c>
      <c r="BE6" s="8">
        <f>IF($A6=BE$1,0,IF(SUM(IMshareM!BE$2:BE$78)-IMshareM!BE$57&gt;0,IMshareM!BE6/(SUM(IMshareM!BE$2:BE$78)-IMshareM!BE$57),0))</f>
        <v>0</v>
      </c>
      <c r="BF6" s="8">
        <f>IF($A6=BF$1,0,IF(SUM(IMshareM!BF$2:BF$78)-IMshareM!BF$58&gt;0,IMshareM!BF6/(SUM(IMshareM!BF$2:BF$78)-IMshareM!BF$58),0))</f>
        <v>0</v>
      </c>
      <c r="BG6" s="8">
        <f>IF($A6=BG$1,0,IF(SUM(IMshareM!BG$2:BG$78)-IMshareM!BG$59&gt;0,IMshareM!BG6/(SUM(IMshareM!BG$2:BG$78)-IMshareM!BG$59),0))</f>
        <v>0</v>
      </c>
      <c r="BH6" s="8">
        <f>IF($A6=BH$1,0,IF(SUM(IMshareM!BH$2:BH$78)-IMshareM!BH$60&gt;0,IMshareM!BH6/(SUM(IMshareM!BH$2:BH$78)-IMshareM!BH$60),0))</f>
        <v>0</v>
      </c>
      <c r="BI6" s="8">
        <f>IF($A6=BI$1,0,IF(SUM(IMshareM!BI$2:BI$78)-IMshareM!BI$61&gt;0,IMshareM!BI6/(SUM(IMshareM!BI$2:BI$78)-IMshareM!BI$61),0))</f>
        <v>0</v>
      </c>
      <c r="BJ6" s="8">
        <f>IF($A6=BJ$1,0,IF(SUM(IMshareM!BJ$2:BJ$78)-IMshareM!BJ$62&gt;0,IMshareM!BJ6/(SUM(IMshareM!BJ$2:BJ$78)-IMshareM!BJ$62),0))</f>
        <v>0</v>
      </c>
      <c r="BK6" s="8">
        <f>IF($A6=BK$1,0,IF(SUM(IMshareM!BK$2:BK$78)-IMshareM!BK$63&gt;0,IMshareM!BK6/(SUM(IMshareM!BK$2:BK$78)-IMshareM!BK$63),0))</f>
        <v>0</v>
      </c>
      <c r="BL6" s="8">
        <f>IF($A6=BL$1,0,IF(SUM(IMshareM!BL$2:BL$78)-IMshareM!BL$64&gt;0,IMshareM!BL6/(SUM(IMshareM!BL$2:BL$78)-IMshareM!BL$64),0))</f>
        <v>0</v>
      </c>
      <c r="BM6" s="8">
        <f>IF($A6=BM$1,0,IF(SUM(IMshareM!BM$2:BM$78)-IMshareM!BM$65&gt;0,IMshareM!BM6/(SUM(IMshareM!BM$2:BM$78)-IMshareM!BM$65),0))</f>
        <v>0</v>
      </c>
      <c r="BN6" s="8">
        <f>IF($A6=BN$1,0,IF(SUM(IMshareM!BN$2:BN$78)-IMshareM!BN$66&gt;0,IMshareM!BN6/(SUM(IMshareM!BN$2:BN$78)-IMshareM!BN$66),0))</f>
        <v>3.1890729025764379E-6</v>
      </c>
      <c r="BO6" s="8">
        <f>IF($A6=BO$1,0,IF(SUM(IMshareM!BO$2:BO$78)-IMshareM!BO$67&gt;0,IMshareM!BO6/(SUM(IMshareM!BO$2:BO$78)-IMshareM!BO$67),0))</f>
        <v>2.5583030468423958E-8</v>
      </c>
      <c r="BP6" s="8">
        <f>IF($A6=BP$1,0,IF(SUM(IMshareM!BP$2:BP$78)-IMshareM!BP$68&gt;0,IMshareM!BP6/(SUM(IMshareM!BP$2:BP$78)-IMshareM!BP$68),0))</f>
        <v>0</v>
      </c>
      <c r="BQ6" s="8">
        <f>IF($A6=BQ$1,0,IF(SUM(IMshareM!BQ$2:BQ$78)-IMshareM!BQ$69&gt;0,IMshareM!BQ6/(SUM(IMshareM!BQ$2:BQ$78)-IMshareM!BQ$69),0))</f>
        <v>0</v>
      </c>
      <c r="BR6" s="8">
        <f>IF($A6=BR$1,0,IF(SUM(IMshareM!BR$2:BR$78)-IMshareM!BR$70&gt;0,IMshareM!BR6/(SUM(IMshareM!BR$2:BR$78)-IMshareM!BR$70),0))</f>
        <v>1.7155592400207387E-7</v>
      </c>
      <c r="BS6" s="8">
        <f>IF($A6=BS$1,0,IF(SUM(IMshareM!BS$2:BS$78)-IMshareM!BS$71&gt;0,IMshareM!BS6/(SUM(IMshareM!BS$2:BS$78)-IMshareM!BS$71),0))</f>
        <v>0</v>
      </c>
      <c r="BT6" s="8">
        <f>IF($A6=BT$1,0,IF(SUM(IMshareM!BT$2:BT$78)-IMshareM!BT$72&gt;0,IMshareM!BT6/(SUM(IMshareM!BT$2:BT$78)-IMshareM!BT$72),0))</f>
        <v>0</v>
      </c>
      <c r="BU6" s="8">
        <f>IF($A6=BU$1,0,IF(SUM(IMshareM!BU$2:BU$78)-IMshareM!BU$73&gt;0,IMshareM!BU6/(SUM(IMshareM!BU$2:BU$78)-IMshareM!BU$73),0))</f>
        <v>0</v>
      </c>
      <c r="BV6" s="8">
        <f>IF($A6=BV$1,0,IF(SUM(IMshareM!BV$2:BV$78)-IMshareM!BV$74&gt;0,IMshareM!BV6/(SUM(IMshareM!BV$2:BV$78)-IMshareM!BV$74),0))</f>
        <v>0</v>
      </c>
      <c r="BW6" s="8">
        <f>IF($A6=BW$1,0,IF(SUM(IMshareM!BW$2:BW$78)-IMshareM!BW$75&gt;0,IMshareM!BW6/(SUM(IMshareM!BW$2:BW$78)-IMshareM!BW$75),0))</f>
        <v>2.5275123685762866E-5</v>
      </c>
      <c r="BX6" s="8">
        <f>IF($A6=BX$1,0,IF(SUM(IMshareM!BX$2:BX$78)-IMshareM!BX$76&gt;0,IMshareM!BX6/(SUM(IMshareM!BX$2:BX$78)-IMshareM!BX$76),0))</f>
        <v>0</v>
      </c>
      <c r="BY6" s="8">
        <f>IF($A6=BY$1,0,IF(SUM(IMshareM!BY$2:BY$78)-IMshareM!BY$77&gt;0,IMshareM!BY6/(SUM(IMshareM!BY$2:BY$78)-IMshareM!BY$77),0))</f>
        <v>0</v>
      </c>
      <c r="BZ6" s="8">
        <f>IF($A6=BZ$1,0,IF(SUM(IMshareM!BZ$2:BZ$78)-IMshareM!BZ$78&gt;0,IMshareM!BZ6/(SUM(IMshareM!BZ$2:BZ$78)-IMshareM!BZ$78),0))</f>
        <v>3.6914066983555996E-5</v>
      </c>
    </row>
    <row r="7" spans="1:78">
      <c r="A7" s="4" t="s">
        <v>81</v>
      </c>
      <c r="B7" s="8">
        <f>IF($A7=B$1,0,IF(SUM(IMshareM!B$2:B$78)-IMshareM!B$2&gt;0,IMshareM!B7/(SUM(IMshareM!B$2:B$78)-IMshareM!B$2),0))</f>
        <v>7.9758740116940324E-4</v>
      </c>
      <c r="C7" s="8">
        <f>IF($A7=C$1,0,IF(SUM(IMshareM!C$2:C$78)-IMshareM!C$3&gt;0,IMshareM!C7/(SUM(IMshareM!C$2:C$78)-IMshareM!C$3),0))</f>
        <v>8.376773482083905E-5</v>
      </c>
      <c r="D7" s="8">
        <f>IF($A7=D$1,0,IF(SUM(IMshareM!D$2:D$78)-IMshareM!D$4&gt;0,IMshareM!D7/(SUM(IMshareM!D$2:D$78)-IMshareM!D$4),0))</f>
        <v>5.219580736198757E-4</v>
      </c>
      <c r="E7" s="8">
        <f>IF($A7=E$1,0,IF(SUM(IMshareM!E$2:E$78)-IMshareM!E$5&gt;0,IMshareM!E7/(SUM(IMshareM!E$2:E$78)-IMshareM!E$5),0))</f>
        <v>1.1105342946319521E-3</v>
      </c>
      <c r="F7" s="8">
        <f>IF($A7=F$1,0,IF(SUM(IMshareM!F$2:F$78)-IMshareM!F$6&gt;0,IMshareM!F7/(SUM(IMshareM!F$2:F$78)-IMshareM!F$6),0))</f>
        <v>0</v>
      </c>
      <c r="G7" s="8">
        <f>IF($A7=G$1,0,IF(SUM(IMshareM!G$2:G$78)-IMshareM!G$7&gt;0,IMshareM!G7/(SUM(IMshareM!G$2:G$78)-IMshareM!G$7),0))</f>
        <v>0</v>
      </c>
      <c r="H7" s="8">
        <f>IF($A7=H$1,0,IF(SUM(IMshareM!H$2:H$78)-IMshareM!H$8&gt;0,IMshareM!H7/(SUM(IMshareM!H$2:H$78)-IMshareM!H$8),0))</f>
        <v>5.5562423599918027E-4</v>
      </c>
      <c r="I7" s="8">
        <f>IF($A7=I$1,0,IF(SUM(IMshareM!I$2:I$78)-IMshareM!I$9&gt;0,IMshareM!I7/(SUM(IMshareM!I$2:I$78)-IMshareM!I$9),0))</f>
        <v>2.0073776953598391E-4</v>
      </c>
      <c r="J7" s="8">
        <f>IF($A7=J$1,0,IF(SUM(IMshareM!J$2:J$78)-IMshareM!J$10&gt;0,IMshareM!J7/(SUM(IMshareM!J$2:J$78)-IMshareM!J$10),0))</f>
        <v>0</v>
      </c>
      <c r="K7" s="8">
        <f>IF($A7=K$1,0,IF(SUM(IMshareM!K$2:K$78)-IMshareM!K$11&gt;0,IMshareM!K7/(SUM(IMshareM!K$2:K$78)-IMshareM!K$11),0))</f>
        <v>5.91440162569903E-4</v>
      </c>
      <c r="L7" s="8">
        <f>IF($A7=L$1,0,IF(SUM(IMshareM!L$2:L$78)-IMshareM!L$12&gt;0,IMshareM!L7/(SUM(IMshareM!L$2:L$78)-IMshareM!L$12),0))</f>
        <v>4.9937413979032072E-4</v>
      </c>
      <c r="M7" s="8">
        <f>IF($A7=M$1,0,IF(SUM(IMshareM!M$2:M$78)-IMshareM!M$13&gt;0,IMshareM!M7/(SUM(IMshareM!M$2:M$78)-IMshareM!M$13),0))</f>
        <v>2.1427794645763647E-5</v>
      </c>
      <c r="N7" s="8">
        <f>IF($A7=N$1,0,IF(SUM(IMshareM!N$2:N$78)-IMshareM!N$14&gt;0,IMshareM!N7/(SUM(IMshareM!N$2:N$78)-IMshareM!N$14),0))</f>
        <v>1.3098605032658311E-3</v>
      </c>
      <c r="O7" s="8">
        <f>IF($A7=O$1,0,IF(SUM(IMshareM!O$2:O$78)-IMshareM!O$15&gt;0,IMshareM!O7/(SUM(IMshareM!O$2:O$78)-IMshareM!O$15),0))</f>
        <v>0</v>
      </c>
      <c r="P7" s="8">
        <f>IF($A7=P$1,0,IF(SUM(IMshareM!P$2:P$78)-IMshareM!P$16&gt;0,IMshareM!P7/(SUM(IMshareM!P$2:P$78)-IMshareM!P$16),0))</f>
        <v>0</v>
      </c>
      <c r="Q7" s="8">
        <f>IF($A7=Q$1,0,IF(SUM(IMshareM!Q$2:Q$78)-IMshareM!Q$17&gt;0,IMshareM!Q7/(SUM(IMshareM!Q$2:Q$78)-IMshareM!Q$17),0))</f>
        <v>3.2774726240199426E-4</v>
      </c>
      <c r="R7" s="8">
        <f>IF($A7=R$1,0,IF(SUM(IMshareM!R$2:R$78)-IMshareM!R$18&gt;0,IMshareM!R7/(SUM(IMshareM!R$2:R$78)-IMshareM!R$18),0))</f>
        <v>2.5040152564187535E-3</v>
      </c>
      <c r="S7" s="8">
        <f>IF($A7=S$1,0,IF(SUM(IMshareM!S$2:S$78)-IMshareM!S$19&gt;0,IMshareM!S7/(SUM(IMshareM!S$2:S$78)-IMshareM!S$19),0))</f>
        <v>6.7743592705336449E-5</v>
      </c>
      <c r="T7" s="8">
        <f>IF($A7=T$1,0,IF(SUM(IMshareM!T$2:T$78)-IMshareM!T$20&gt;0,IMshareM!T7/(SUM(IMshareM!T$2:T$78)-IMshareM!T$20),0))</f>
        <v>9.2265250031906051E-3</v>
      </c>
      <c r="U7" s="8">
        <f>IF($A7=U$1,0,IF(SUM(IMshareM!U$2:U$78)-IMshareM!U$21&gt;0,IMshareM!U7/(SUM(IMshareM!U$2:U$78)-IMshareM!U$21),0))</f>
        <v>2.6940533010018563E-3</v>
      </c>
      <c r="V7" s="8">
        <f>IF($A7=V$1,0,IF(SUM(IMshareM!V$2:V$78)-IMshareM!V$22&gt;0,IMshareM!V7/(SUM(IMshareM!V$2:V$78)-IMshareM!V$22),0))</f>
        <v>9.7469819602610688E-4</v>
      </c>
      <c r="W7" s="8">
        <f>IF($A7=W$1,0,IF(SUM(IMshareM!W$2:W$78)-IMshareM!W$23&gt;0,IMshareM!W7/(SUM(IMshareM!W$2:W$78)-IMshareM!W$23),0))</f>
        <v>1.4351920479482741E-3</v>
      </c>
      <c r="X7" s="8">
        <f>IF($A7=X$1,0,IF(SUM(IMshareM!X$2:X$78)-IMshareM!X$24&gt;0,IMshareM!X7/(SUM(IMshareM!X$2:X$78)-IMshareM!X$24),0))</f>
        <v>9.3515328874768579E-4</v>
      </c>
      <c r="Y7" s="8">
        <f>IF($A7=Y$1,0,IF(SUM(IMshareM!Y$2:Y$78)-IMshareM!Y$25&gt;0,IMshareM!Y7/(SUM(IMshareM!Y$2:Y$78)-IMshareM!Y$25),0))</f>
        <v>1.3716877977266533E-3</v>
      </c>
      <c r="Z7" s="8">
        <f>IF($A7=Z$1,0,IF(SUM(IMshareM!Z$2:Z$78)-IMshareM!Z$26&gt;0,IMshareM!Z7/(SUM(IMshareM!Z$2:Z$78)-IMshareM!Z$26),0))</f>
        <v>5.618933295789357E-4</v>
      </c>
      <c r="AA7" s="8">
        <f>IF($A7=AA$1,0,IF(SUM(IMshareM!AA$2:AA$78)-IMshareM!AA$27&gt;0,IMshareM!AA7/(SUM(IMshareM!AA$2:AA$78)-IMshareM!AA$27),0))</f>
        <v>1.1825351807924335E-3</v>
      </c>
      <c r="AB7" s="8">
        <f>IF($A7=AB$1,0,IF(SUM(IMshareM!AB$2:AB$78)-IMshareM!AB$28&gt;0,IMshareM!AB7/(SUM(IMshareM!AB$2:AB$78)-IMshareM!AB$28),0))</f>
        <v>1.6598592976253242E-3</v>
      </c>
      <c r="AC7" s="8">
        <f>IF($A7=AC$1,0,IF(SUM(IMshareM!AC$2:AC$78)-IMshareM!AC$29&gt;0,IMshareM!AC7/(SUM(IMshareM!AC$2:AC$78)-IMshareM!AC$29),0))</f>
        <v>7.0131164275719941E-3</v>
      </c>
      <c r="AD7" s="8">
        <f>IF($A7=AD$1,0,IF(SUM(IMshareM!AD$2:AD$78)-IMshareM!AD$30&gt;0,IMshareM!AD7/(SUM(IMshareM!AD$2:AD$78)-IMshareM!AD$30),0))</f>
        <v>1.6877411152241669E-5</v>
      </c>
      <c r="AE7" s="8">
        <f>IF($A7=AE$1,0,IF(SUM(IMshareM!AE$2:AE$78)-IMshareM!AE$31&gt;0,IMshareM!AE7/(SUM(IMshareM!AE$2:AE$78)-IMshareM!AE$31),0))</f>
        <v>6.5226708467519448E-5</v>
      </c>
      <c r="AF7" s="8">
        <f>IF($A7=AF$1,0,IF(SUM(IMshareM!AF$2:AF$78)-IMshareM!AF$32&gt;0,IMshareM!AF7/(SUM(IMshareM!AF$2:AF$78)-IMshareM!AF$32),0))</f>
        <v>1.4183753910322366E-5</v>
      </c>
      <c r="AG7" s="8">
        <f>IF($A7=AG$1,0,IF(SUM(IMshareM!AG$2:AG$78)-IMshareM!AG$33&gt;0,IMshareM!AG7/(SUM(IMshareM!AG$2:AG$78)-IMshareM!AG$33),0))</f>
        <v>4.0203646417077825E-5</v>
      </c>
      <c r="AH7" s="8">
        <f>IF($A7=AH$1,0,IF(SUM(IMshareM!AH$2:AH$78)-IMshareM!AH$34&gt;0,IMshareM!AH7/(SUM(IMshareM!AH$2:AH$78)-IMshareM!AH$34),0))</f>
        <v>9.7976183411942574E-5</v>
      </c>
      <c r="AI7" s="8">
        <f>IF($A7=AI$1,0,IF(SUM(IMshareM!AI$2:AI$78)-IMshareM!AI$35&gt;0,IMshareM!AI7/(SUM(IMshareM!AI$2:AI$78)-IMshareM!AI$35),0))</f>
        <v>1.9246937664819832E-4</v>
      </c>
      <c r="AJ7" s="8">
        <f>IF($A7=AJ$1,0,IF(SUM(IMshareM!AJ$2:AJ$78)-IMshareM!AJ$36&gt;0,IMshareM!AJ7/(SUM(IMshareM!AJ$2:AJ$78)-IMshareM!AJ$36),0))</f>
        <v>1.0765203945788684E-3</v>
      </c>
      <c r="AK7" s="8">
        <f>IF($A7=AK$1,0,IF(SUM(IMshareM!AK$2:AK$78)-IMshareM!AK$37&gt;0,IMshareM!AK7/(SUM(IMshareM!AK$2:AK$78)-IMshareM!AK$37),0))</f>
        <v>7.5857198946074935E-5</v>
      </c>
      <c r="AL7" s="8">
        <f>IF($A7=AL$1,0,IF(SUM(IMshareM!AL$2:AL$78)-IMshareM!AL$38&gt;0,IMshareM!AL7/(SUM(IMshareM!AL$2:AL$78)-IMshareM!AL$38),0))</f>
        <v>1.0725604455920192E-2</v>
      </c>
      <c r="AM7" s="8">
        <f>IF($A7=AM$1,0,IF(SUM(IMshareM!AM$2:AM$78)-IMshareM!AM$39&gt;0,IMshareM!AM7/(SUM(IMshareM!AM$2:AM$78)-IMshareM!AM$39),0))</f>
        <v>3.6631808497775972E-4</v>
      </c>
      <c r="AN7" s="8">
        <f>IF($A7=AN$1,0,IF(SUM(IMshareM!AN$2:AN$78)-IMshareM!AN$40&gt;0,IMshareM!AN7/(SUM(IMshareM!AN$2:AN$78)-IMshareM!AN$40),0))</f>
        <v>3.0991777382862834E-4</v>
      </c>
      <c r="AO7" s="8">
        <f>IF($A7=AO$1,0,IF(SUM(IMshareM!AO$2:AO$78)-IMshareM!AO$41&gt;0,IMshareM!AO7/(SUM(IMshareM!AO$2:AO$78)-IMshareM!AO$41),0))</f>
        <v>1.1629154853223737E-3</v>
      </c>
      <c r="AP7" s="8">
        <f>IF($A7=AP$1,0,IF(SUM(IMshareM!AP$2:AP$78)-IMshareM!AP$42&gt;0,IMshareM!AP7/(SUM(IMshareM!AP$2:AP$78)-IMshareM!AP$42),0))</f>
        <v>0</v>
      </c>
      <c r="AQ7" s="8">
        <f>IF($A7=AQ$1,0,IF(SUM(IMshareM!AQ$2:AQ$78)-IMshareM!AQ$43&gt;0,IMshareM!AQ7/(SUM(IMshareM!AQ$2:AQ$78)-IMshareM!AQ$43),0))</f>
        <v>2.4057769517187651E-4</v>
      </c>
      <c r="AR7" s="8">
        <f>IF($A7=AR$1,0,IF(SUM(IMshareM!AR$2:AR$78)-IMshareM!AR$44&gt;0,IMshareM!AR7/(SUM(IMshareM!AR$2:AR$78)-IMshareM!AR$44),0))</f>
        <v>0</v>
      </c>
      <c r="AS7" s="8">
        <f>IF($A7=AS$1,0,IF(SUM(IMshareM!AS$2:AS$78)-IMshareM!AS$45&gt;0,IMshareM!AS7/(SUM(IMshareM!AS$2:AS$78)-IMshareM!AS$45),0))</f>
        <v>2.0799081371023954E-4</v>
      </c>
      <c r="AT7" s="8">
        <f>IF($A7=AT$1,0,IF(SUM(IMshareM!AT$2:AT$78)-IMshareM!AT$46&gt;0,IMshareM!AT7/(SUM(IMshareM!AT$2:AT$78)-IMshareM!AT$46),0))</f>
        <v>5.5473828526248242E-5</v>
      </c>
      <c r="AU7" s="8">
        <f>IF($A7=AU$1,0,IF(SUM(IMshareM!AU$2:AU$78)-IMshareM!AU$47&gt;0,IMshareM!AU7/(SUM(IMshareM!AU$2:AU$78)-IMshareM!AU$47),0))</f>
        <v>8.3784427835578658E-4</v>
      </c>
      <c r="AV7" s="8">
        <f>IF($A7=AV$1,0,IF(SUM(IMshareM!AV$2:AV$78)-IMshareM!AV$48&gt;0,IMshareM!AV7/(SUM(IMshareM!AV$2:AV$78)-IMshareM!AV$48),0))</f>
        <v>1.3712921581963484E-4</v>
      </c>
      <c r="AW7" s="8">
        <f>IF($A7=AW$1,0,IF(SUM(IMshareM!AW$2:AW$78)-IMshareM!AW$49&gt;0,IMshareM!AW7/(SUM(IMshareM!AW$2:AW$78)-IMshareM!AW$49),0))</f>
        <v>4.6655517059391749E-5</v>
      </c>
      <c r="AX7" s="8">
        <f>IF($A7=AX$1,0,IF(SUM(IMshareM!AX$2:AX$78)-IMshareM!AX$50&gt;0,IMshareM!AX7/(SUM(IMshareM!AX$2:AX$78)-IMshareM!AX$50),0))</f>
        <v>0</v>
      </c>
      <c r="AY7" s="8">
        <f>IF($A7=AY$1,0,IF(SUM(IMshareM!AY$2:AY$78)-IMshareM!AY$51&gt;0,IMshareM!AY7/(SUM(IMshareM!AY$2:AY$78)-IMshareM!AY$51),0))</f>
        <v>0</v>
      </c>
      <c r="AZ7" s="8">
        <f>IF($A7=AZ$1,0,IF(SUM(IMshareM!AZ$2:AZ$78)-IMshareM!AZ$52&gt;0,IMshareM!AZ7/(SUM(IMshareM!AZ$2:AZ$78)-IMshareM!AZ$52),0))</f>
        <v>1.7723337415499605E-4</v>
      </c>
      <c r="BA7" s="8">
        <f>IF($A7=BA$1,0,IF(SUM(IMshareM!BA$2:BA$78)-IMshareM!BA$53&gt;0,IMshareM!BA7/(SUM(IMshareM!BA$2:BA$78)-IMshareM!BA$53),0))</f>
        <v>0</v>
      </c>
      <c r="BB7" s="8">
        <f>IF($A7=BB$1,0,IF(SUM(IMshareM!BB$2:BB$78)-IMshareM!BB$54&gt;0,IMshareM!BB7/(SUM(IMshareM!BB$2:BB$78)-IMshareM!BB$54),0))</f>
        <v>3.4527980188358322E-3</v>
      </c>
      <c r="BC7" s="8">
        <f>IF($A7=BC$1,0,IF(SUM(IMshareM!BC$2:BC$78)-IMshareM!BC$55&gt;0,IMshareM!BC7/(SUM(IMshareM!BC$2:BC$78)-IMshareM!BC$55),0))</f>
        <v>1.390256204990223E-2</v>
      </c>
      <c r="BD7" s="8">
        <f>IF($A7=BD$1,0,IF(SUM(IMshareM!BD$2:BD$78)-IMshareM!BD$56&gt;0,IMshareM!BD7/(SUM(IMshareM!BD$2:BD$78)-IMshareM!BD$56),0))</f>
        <v>1.4434841321626748E-3</v>
      </c>
      <c r="BE7" s="8">
        <f>IF($A7=BE$1,0,IF(SUM(IMshareM!BE$2:BE$78)-IMshareM!BE$57&gt;0,IMshareM!BE7/(SUM(IMshareM!BE$2:BE$78)-IMshareM!BE$57),0))</f>
        <v>3.360760871865534E-6</v>
      </c>
      <c r="BF7" s="8">
        <f>IF($A7=BF$1,0,IF(SUM(IMshareM!BF$2:BF$78)-IMshareM!BF$58&gt;0,IMshareM!BF7/(SUM(IMshareM!BF$2:BF$78)-IMshareM!BF$58),0))</f>
        <v>3.8196655480235152E-5</v>
      </c>
      <c r="BG7" s="8">
        <f>IF($A7=BG$1,0,IF(SUM(IMshareM!BG$2:BG$78)-IMshareM!BG$59&gt;0,IMshareM!BG7/(SUM(IMshareM!BG$2:BG$78)-IMshareM!BG$59),0))</f>
        <v>6.5844957697840223E-5</v>
      </c>
      <c r="BH7" s="8">
        <f>IF($A7=BH$1,0,IF(SUM(IMshareM!BH$2:BH$78)-IMshareM!BH$60&gt;0,IMshareM!BH7/(SUM(IMshareM!BH$2:BH$78)-IMshareM!BH$60),0))</f>
        <v>1.0454145756953661E-3</v>
      </c>
      <c r="BI7" s="8">
        <f>IF($A7=BI$1,0,IF(SUM(IMshareM!BI$2:BI$78)-IMshareM!BI$61&gt;0,IMshareM!BI7/(SUM(IMshareM!BI$2:BI$78)-IMshareM!BI$61),0))</f>
        <v>1.5119994473158587E-5</v>
      </c>
      <c r="BJ7" s="8">
        <f>IF($A7=BJ$1,0,IF(SUM(IMshareM!BJ$2:BJ$78)-IMshareM!BJ$62&gt;0,IMshareM!BJ7/(SUM(IMshareM!BJ$2:BJ$78)-IMshareM!BJ$62),0))</f>
        <v>9.2290464426799865E-4</v>
      </c>
      <c r="BK7" s="8">
        <f>IF($A7=BK$1,0,IF(SUM(IMshareM!BK$2:BK$78)-IMshareM!BK$63&gt;0,IMshareM!BK7/(SUM(IMshareM!BK$2:BK$78)-IMshareM!BK$63),0))</f>
        <v>3.3747179786714106E-3</v>
      </c>
      <c r="BL7" s="8">
        <f>IF($A7=BL$1,0,IF(SUM(IMshareM!BL$2:BL$78)-IMshareM!BL$64&gt;0,IMshareM!BL7/(SUM(IMshareM!BL$2:BL$78)-IMshareM!BL$64),0))</f>
        <v>1.9131237442504171E-4</v>
      </c>
      <c r="BM7" s="8">
        <f>IF($A7=BM$1,0,IF(SUM(IMshareM!BM$2:BM$78)-IMshareM!BM$65&gt;0,IMshareM!BM7/(SUM(IMshareM!BM$2:BM$78)-IMshareM!BM$65),0))</f>
        <v>0</v>
      </c>
      <c r="BN7" s="8">
        <f>IF($A7=BN$1,0,IF(SUM(IMshareM!BN$2:BN$78)-IMshareM!BN$66&gt;0,IMshareM!BN7/(SUM(IMshareM!BN$2:BN$78)-IMshareM!BN$66),0))</f>
        <v>2.6764433178030602E-4</v>
      </c>
      <c r="BO7" s="8">
        <f>IF($A7=BO$1,0,IF(SUM(IMshareM!BO$2:BO$78)-IMshareM!BO$67&gt;0,IMshareM!BO7/(SUM(IMshareM!BO$2:BO$78)-IMshareM!BO$67),0))</f>
        <v>7.5919151151030903E-4</v>
      </c>
      <c r="BP7" s="8">
        <f>IF($A7=BP$1,0,IF(SUM(IMshareM!BP$2:BP$78)-IMshareM!BP$68&gt;0,IMshareM!BP7/(SUM(IMshareM!BP$2:BP$78)-IMshareM!BP$68),0))</f>
        <v>4.0564938533839943E-4</v>
      </c>
      <c r="BQ7" s="8">
        <f>IF($A7=BQ$1,0,IF(SUM(IMshareM!BQ$2:BQ$78)-IMshareM!BQ$69&gt;0,IMshareM!BQ7/(SUM(IMshareM!BQ$2:BQ$78)-IMshareM!BQ$69),0))</f>
        <v>3.0556023632369902E-4</v>
      </c>
      <c r="BR7" s="8">
        <f>IF($A7=BR$1,0,IF(SUM(IMshareM!BR$2:BR$78)-IMshareM!BR$70&gt;0,IMshareM!BR7/(SUM(IMshareM!BR$2:BR$78)-IMshareM!BR$70),0))</f>
        <v>2.3630789460676955E-4</v>
      </c>
      <c r="BS7" s="8">
        <f>IF($A7=BS$1,0,IF(SUM(IMshareM!BS$2:BS$78)-IMshareM!BS$71&gt;0,IMshareM!BS7/(SUM(IMshareM!BS$2:BS$78)-IMshareM!BS$71),0))</f>
        <v>2.5945830551971473E-3</v>
      </c>
      <c r="BT7" s="8">
        <f>IF($A7=BT$1,0,IF(SUM(IMshareM!BT$2:BT$78)-IMshareM!BT$72&gt;0,IMshareM!BT7/(SUM(IMshareM!BT$2:BT$78)-IMshareM!BT$72),0))</f>
        <v>2.193810164951807E-3</v>
      </c>
      <c r="BU7" s="8">
        <f>IF($A7=BU$1,0,IF(SUM(IMshareM!BU$2:BU$78)-IMshareM!BU$73&gt;0,IMshareM!BU7/(SUM(IMshareM!BU$2:BU$78)-IMshareM!BU$73),0))</f>
        <v>5.8363297304996715E-4</v>
      </c>
      <c r="BV7" s="8">
        <f>IF($A7=BV$1,0,IF(SUM(IMshareM!BV$2:BV$78)-IMshareM!BV$74&gt;0,IMshareM!BV7/(SUM(IMshareM!BV$2:BV$78)-IMshareM!BV$74),0))</f>
        <v>3.083139394473577E-3</v>
      </c>
      <c r="BW7" s="8">
        <f>IF($A7=BW$1,0,IF(SUM(IMshareM!BW$2:BW$78)-IMshareM!BW$75&gt;0,IMshareM!BW7/(SUM(IMshareM!BW$2:BW$78)-IMshareM!BW$75),0))</f>
        <v>1.3772679309462726E-4</v>
      </c>
      <c r="BX7" s="8">
        <f>IF($A7=BX$1,0,IF(SUM(IMshareM!BX$2:BX$78)-IMshareM!BX$76&gt;0,IMshareM!BX7/(SUM(IMshareM!BX$2:BX$78)-IMshareM!BX$76),0))</f>
        <v>1.2235208825862407E-4</v>
      </c>
      <c r="BY7" s="8">
        <f>IF($A7=BY$1,0,IF(SUM(IMshareM!BY$2:BY$78)-IMshareM!BY$77&gt;0,IMshareM!BY7/(SUM(IMshareM!BY$2:BY$78)-IMshareM!BY$77),0))</f>
        <v>5.1073447066829719E-4</v>
      </c>
      <c r="BZ7" s="8">
        <f>IF($A7=BZ$1,0,IF(SUM(IMshareM!BZ$2:BZ$78)-IMshareM!BZ$78&gt;0,IMshareM!BZ7/(SUM(IMshareM!BZ$2:BZ$78)-IMshareM!BZ$78),0))</f>
        <v>6.0268361819872389E-4</v>
      </c>
    </row>
    <row r="8" spans="1:78">
      <c r="A8" s="4" t="s">
        <v>83</v>
      </c>
      <c r="B8" s="8">
        <f>IF($A8=B$1,0,IF(SUM(IMshareM!B$2:B$78)-IMshareM!B$2&gt;0,IMshareM!B8/(SUM(IMshareM!B$2:B$78)-IMshareM!B$2),0))</f>
        <v>0</v>
      </c>
      <c r="C8" s="8">
        <f>IF($A8=C$1,0,IF(SUM(IMshareM!C$2:C$78)-IMshareM!C$3&gt;0,IMshareM!C8/(SUM(IMshareM!C$2:C$78)-IMshareM!C$3),0))</f>
        <v>0</v>
      </c>
      <c r="D8" s="8">
        <f>IF($A8=D$1,0,IF(SUM(IMshareM!D$2:D$78)-IMshareM!D$4&gt;0,IMshareM!D8/(SUM(IMshareM!D$2:D$78)-IMshareM!D$4),0))</f>
        <v>1.0804631175003933E-4</v>
      </c>
      <c r="E8" s="8">
        <f>IF($A8=E$1,0,IF(SUM(IMshareM!E$2:E$78)-IMshareM!E$5&gt;0,IMshareM!E8/(SUM(IMshareM!E$2:E$78)-IMshareM!E$5),0))</f>
        <v>0</v>
      </c>
      <c r="F8" s="8">
        <f>IF($A8=F$1,0,IF(SUM(IMshareM!F$2:F$78)-IMshareM!F$6&gt;0,IMshareM!F8/(SUM(IMshareM!F$2:F$78)-IMshareM!F$6),0))</f>
        <v>0</v>
      </c>
      <c r="G8" s="8">
        <f>IF($A8=G$1,0,IF(SUM(IMshareM!G$2:G$78)-IMshareM!G$7&gt;0,IMshareM!G8/(SUM(IMshareM!G$2:G$78)-IMshareM!G$7),0))</f>
        <v>3.1175634667234947E-4</v>
      </c>
      <c r="H8" s="8">
        <f>IF($A8=H$1,0,IF(SUM(IMshareM!H$2:H$78)-IMshareM!H$8&gt;0,IMshareM!H8/(SUM(IMshareM!H$2:H$78)-IMshareM!H$8),0))</f>
        <v>0</v>
      </c>
      <c r="I8" s="8">
        <f>IF($A8=I$1,0,IF(SUM(IMshareM!I$2:I$78)-IMshareM!I$9&gt;0,IMshareM!I8/(SUM(IMshareM!I$2:I$78)-IMshareM!I$9),0))</f>
        <v>5.5985314074401386E-6</v>
      </c>
      <c r="J8" s="8">
        <f>IF($A8=J$1,0,IF(SUM(IMshareM!J$2:J$78)-IMshareM!J$10&gt;0,IMshareM!J8/(SUM(IMshareM!J$2:J$78)-IMshareM!J$10),0))</f>
        <v>0</v>
      </c>
      <c r="K8" s="8">
        <f>IF($A8=K$1,0,IF(SUM(IMshareM!K$2:K$78)-IMshareM!K$11&gt;0,IMshareM!K8/(SUM(IMshareM!K$2:K$78)-IMshareM!K$11),0))</f>
        <v>0</v>
      </c>
      <c r="L8" s="8">
        <f>IF($A8=L$1,0,IF(SUM(IMshareM!L$2:L$78)-IMshareM!L$12&gt;0,IMshareM!L8/(SUM(IMshareM!L$2:L$78)-IMshareM!L$12),0))</f>
        <v>8.9727886301822319E-6</v>
      </c>
      <c r="M8" s="8">
        <f>IF($A8=M$1,0,IF(SUM(IMshareM!M$2:M$78)-IMshareM!M$13&gt;0,IMshareM!M8/(SUM(IMshareM!M$2:M$78)-IMshareM!M$13),0))</f>
        <v>0</v>
      </c>
      <c r="N8" s="8">
        <f>IF($A8=N$1,0,IF(SUM(IMshareM!N$2:N$78)-IMshareM!N$14&gt;0,IMshareM!N8/(SUM(IMshareM!N$2:N$78)-IMshareM!N$14),0))</f>
        <v>5.4897373578987401E-6</v>
      </c>
      <c r="O8" s="8">
        <f>IF($A8=O$1,0,IF(SUM(IMshareM!O$2:O$78)-IMshareM!O$15&gt;0,IMshareM!O8/(SUM(IMshareM!O$2:O$78)-IMshareM!O$15),0))</f>
        <v>0</v>
      </c>
      <c r="P8" s="8">
        <f>IF($A8=P$1,0,IF(SUM(IMshareM!P$2:P$78)-IMshareM!P$16&gt;0,IMshareM!P8/(SUM(IMshareM!P$2:P$78)-IMshareM!P$16),0))</f>
        <v>0</v>
      </c>
      <c r="Q8" s="8">
        <f>IF($A8=Q$1,0,IF(SUM(IMshareM!Q$2:Q$78)-IMshareM!Q$17&gt;0,IMshareM!Q8/(SUM(IMshareM!Q$2:Q$78)-IMshareM!Q$17),0))</f>
        <v>0</v>
      </c>
      <c r="R8" s="8">
        <f>IF($A8=R$1,0,IF(SUM(IMshareM!R$2:R$78)-IMshareM!R$18&gt;0,IMshareM!R8/(SUM(IMshareM!R$2:R$78)-IMshareM!R$18),0))</f>
        <v>0</v>
      </c>
      <c r="S8" s="8">
        <f>IF($A8=S$1,0,IF(SUM(IMshareM!S$2:S$78)-IMshareM!S$19&gt;0,IMshareM!S8/(SUM(IMshareM!S$2:S$78)-IMshareM!S$19),0))</f>
        <v>0</v>
      </c>
      <c r="T8" s="8">
        <f>IF($A8=T$1,0,IF(SUM(IMshareM!T$2:T$78)-IMshareM!T$20&gt;0,IMshareM!T8/(SUM(IMshareM!T$2:T$78)-IMshareM!T$20),0))</f>
        <v>4.4426793958224189E-5</v>
      </c>
      <c r="U8" s="8">
        <f>IF($A8=U$1,0,IF(SUM(IMshareM!U$2:U$78)-IMshareM!U$21&gt;0,IMshareM!U8/(SUM(IMshareM!U$2:U$78)-IMshareM!U$21),0))</f>
        <v>2.7868122994045336E-6</v>
      </c>
      <c r="V8" s="8">
        <f>IF($A8=V$1,0,IF(SUM(IMshareM!V$2:V$78)-IMshareM!V$22&gt;0,IMshareM!V8/(SUM(IMshareM!V$2:V$78)-IMshareM!V$22),0))</f>
        <v>0</v>
      </c>
      <c r="W8" s="8">
        <f>IF($A8=W$1,0,IF(SUM(IMshareM!W$2:W$78)-IMshareM!W$23&gt;0,IMshareM!W8/(SUM(IMshareM!W$2:W$78)-IMshareM!W$23),0))</f>
        <v>0</v>
      </c>
      <c r="X8" s="8">
        <f>IF($A8=X$1,0,IF(SUM(IMshareM!X$2:X$78)-IMshareM!X$24&gt;0,IMshareM!X8/(SUM(IMshareM!X$2:X$78)-IMshareM!X$24),0))</f>
        <v>0</v>
      </c>
      <c r="Y8" s="8">
        <f>IF($A8=Y$1,0,IF(SUM(IMshareM!Y$2:Y$78)-IMshareM!Y$25&gt;0,IMshareM!Y8/(SUM(IMshareM!Y$2:Y$78)-IMshareM!Y$25),0))</f>
        <v>1.4039627722543282E-5</v>
      </c>
      <c r="Z8" s="8">
        <f>IF($A8=Z$1,0,IF(SUM(IMshareM!Z$2:Z$78)-IMshareM!Z$26&gt;0,IMshareM!Z8/(SUM(IMshareM!Z$2:Z$78)-IMshareM!Z$26),0))</f>
        <v>6.0314349382536246E-7</v>
      </c>
      <c r="AA8" s="8">
        <f>IF($A8=AA$1,0,IF(SUM(IMshareM!AA$2:AA$78)-IMshareM!AA$27&gt;0,IMshareM!AA8/(SUM(IMshareM!AA$2:AA$78)-IMshareM!AA$27),0))</f>
        <v>0</v>
      </c>
      <c r="AB8" s="8">
        <f>IF($A8=AB$1,0,IF(SUM(IMshareM!AB$2:AB$78)-IMshareM!AB$28&gt;0,IMshareM!AB8/(SUM(IMshareM!AB$2:AB$78)-IMshareM!AB$28),0))</f>
        <v>0</v>
      </c>
      <c r="AC8" s="8">
        <f>IF($A8=AC$1,0,IF(SUM(IMshareM!AC$2:AC$78)-IMshareM!AC$29&gt;0,IMshareM!AC8/(SUM(IMshareM!AC$2:AC$78)-IMshareM!AC$29),0))</f>
        <v>0</v>
      </c>
      <c r="AD8" s="8">
        <f>IF($A8=AD$1,0,IF(SUM(IMshareM!AD$2:AD$78)-IMshareM!AD$30&gt;0,IMshareM!AD8/(SUM(IMshareM!AD$2:AD$78)-IMshareM!AD$30),0))</f>
        <v>0</v>
      </c>
      <c r="AE8" s="8">
        <f>IF($A8=AE$1,0,IF(SUM(IMshareM!AE$2:AE$78)-IMshareM!AE$31&gt;0,IMshareM!AE8/(SUM(IMshareM!AE$2:AE$78)-IMshareM!AE$31),0))</f>
        <v>0</v>
      </c>
      <c r="AF8" s="8">
        <f>IF($A8=AF$1,0,IF(SUM(IMshareM!AF$2:AF$78)-IMshareM!AF$32&gt;0,IMshareM!AF8/(SUM(IMshareM!AF$2:AF$78)-IMshareM!AF$32),0))</f>
        <v>2.7427258971864542E-5</v>
      </c>
      <c r="AG8" s="8">
        <f>IF($A8=AG$1,0,IF(SUM(IMshareM!AG$2:AG$78)-IMshareM!AG$33&gt;0,IMshareM!AG8/(SUM(IMshareM!AG$2:AG$78)-IMshareM!AG$33),0))</f>
        <v>4.0764043314984694E-5</v>
      </c>
      <c r="AH8" s="8">
        <f>IF($A8=AH$1,0,IF(SUM(IMshareM!AH$2:AH$78)-IMshareM!AH$34&gt;0,IMshareM!AH8/(SUM(IMshareM!AH$2:AH$78)-IMshareM!AH$34),0))</f>
        <v>0</v>
      </c>
      <c r="AI8" s="8">
        <f>IF($A8=AI$1,0,IF(SUM(IMshareM!AI$2:AI$78)-IMshareM!AI$35&gt;0,IMshareM!AI8/(SUM(IMshareM!AI$2:AI$78)-IMshareM!AI$35),0))</f>
        <v>1.1285797748863572E-5</v>
      </c>
      <c r="AJ8" s="8">
        <f>IF($A8=AJ$1,0,IF(SUM(IMshareM!AJ$2:AJ$78)-IMshareM!AJ$36&gt;0,IMshareM!AJ8/(SUM(IMshareM!AJ$2:AJ$78)-IMshareM!AJ$36),0))</f>
        <v>0</v>
      </c>
      <c r="AK8" s="8">
        <f>IF($A8=AK$1,0,IF(SUM(IMshareM!AK$2:AK$78)-IMshareM!AK$37&gt;0,IMshareM!AK8/(SUM(IMshareM!AK$2:AK$78)-IMshareM!AK$37),0))</f>
        <v>0</v>
      </c>
      <c r="AL8" s="8">
        <f>IF($A8=AL$1,0,IF(SUM(IMshareM!AL$2:AL$78)-IMshareM!AL$38&gt;0,IMshareM!AL8/(SUM(IMshareM!AL$2:AL$78)-IMshareM!AL$38),0))</f>
        <v>3.9791208325181486E-6</v>
      </c>
      <c r="AM8" s="8">
        <f>IF($A8=AM$1,0,IF(SUM(IMshareM!AM$2:AM$78)-IMshareM!AM$39&gt;0,IMshareM!AM8/(SUM(IMshareM!AM$2:AM$78)-IMshareM!AM$39),0))</f>
        <v>0</v>
      </c>
      <c r="AN8" s="8">
        <f>IF($A8=AN$1,0,IF(SUM(IMshareM!AN$2:AN$78)-IMshareM!AN$40&gt;0,IMshareM!AN8/(SUM(IMshareM!AN$2:AN$78)-IMshareM!AN$40),0))</f>
        <v>0</v>
      </c>
      <c r="AO8" s="8">
        <f>IF($A8=AO$1,0,IF(SUM(IMshareM!AO$2:AO$78)-IMshareM!AO$41&gt;0,IMshareM!AO8/(SUM(IMshareM!AO$2:AO$78)-IMshareM!AO$41),0))</f>
        <v>2.6615851345779128E-3</v>
      </c>
      <c r="AP8" s="8">
        <f>IF($A8=AP$1,0,IF(SUM(IMshareM!AP$2:AP$78)-IMshareM!AP$42&gt;0,IMshareM!AP8/(SUM(IMshareM!AP$2:AP$78)-IMshareM!AP$42),0))</f>
        <v>0</v>
      </c>
      <c r="AQ8" s="8">
        <f>IF($A8=AQ$1,0,IF(SUM(IMshareM!AQ$2:AQ$78)-IMshareM!AQ$43&gt;0,IMshareM!AQ8/(SUM(IMshareM!AQ$2:AQ$78)-IMshareM!AQ$43),0))</f>
        <v>2.1725811487234601E-6</v>
      </c>
      <c r="AR8" s="8">
        <f>IF($A8=AR$1,0,IF(SUM(IMshareM!AR$2:AR$78)-IMshareM!AR$44&gt;0,IMshareM!AR8/(SUM(IMshareM!AR$2:AR$78)-IMshareM!AR$44),0))</f>
        <v>0</v>
      </c>
      <c r="AS8" s="8">
        <f>IF($A8=AS$1,0,IF(SUM(IMshareM!AS$2:AS$78)-IMshareM!AS$45&gt;0,IMshareM!AS8/(SUM(IMshareM!AS$2:AS$78)-IMshareM!AS$45),0))</f>
        <v>5.9074838225908633E-3</v>
      </c>
      <c r="AT8" s="8">
        <f>IF($A8=AT$1,0,IF(SUM(IMshareM!AT$2:AT$78)-IMshareM!AT$46&gt;0,IMshareM!AT8/(SUM(IMshareM!AT$2:AT$78)-IMshareM!AT$46),0))</f>
        <v>0</v>
      </c>
      <c r="AU8" s="8">
        <f>IF($A8=AU$1,0,IF(SUM(IMshareM!AU$2:AU$78)-IMshareM!AU$47&gt;0,IMshareM!AU8/(SUM(IMshareM!AU$2:AU$78)-IMshareM!AU$47),0))</f>
        <v>9.1642589283033918E-4</v>
      </c>
      <c r="AV8" s="8">
        <f>IF($A8=AV$1,0,IF(SUM(IMshareM!AV$2:AV$78)-IMshareM!AV$48&gt;0,IMshareM!AV8/(SUM(IMshareM!AV$2:AV$78)-IMshareM!AV$48),0))</f>
        <v>0</v>
      </c>
      <c r="AW8" s="8">
        <f>IF($A8=AW$1,0,IF(SUM(IMshareM!AW$2:AW$78)-IMshareM!AW$49&gt;0,IMshareM!AW8/(SUM(IMshareM!AW$2:AW$78)-IMshareM!AW$49),0))</f>
        <v>0</v>
      </c>
      <c r="AX8" s="8">
        <f>IF($A8=AX$1,0,IF(SUM(IMshareM!AX$2:AX$78)-IMshareM!AX$50&gt;0,IMshareM!AX8/(SUM(IMshareM!AX$2:AX$78)-IMshareM!AX$50),0))</f>
        <v>5.086258926820327E-6</v>
      </c>
      <c r="AY8" s="8">
        <f>IF($A8=AY$1,0,IF(SUM(IMshareM!AY$2:AY$78)-IMshareM!AY$51&gt;0,IMshareM!AY8/(SUM(IMshareM!AY$2:AY$78)-IMshareM!AY$51),0))</f>
        <v>0</v>
      </c>
      <c r="AZ8" s="8">
        <f>IF($A8=AZ$1,0,IF(SUM(IMshareM!AZ$2:AZ$78)-IMshareM!AZ$52&gt;0,IMshareM!AZ8/(SUM(IMshareM!AZ$2:AZ$78)-IMshareM!AZ$52),0))</f>
        <v>0</v>
      </c>
      <c r="BA8" s="8">
        <f>IF($A8=BA$1,0,IF(SUM(IMshareM!BA$2:BA$78)-IMshareM!BA$53&gt;0,IMshareM!BA8/(SUM(IMshareM!BA$2:BA$78)-IMshareM!BA$53),0))</f>
        <v>0</v>
      </c>
      <c r="BB8" s="8">
        <f>IF($A8=BB$1,0,IF(SUM(IMshareM!BB$2:BB$78)-IMshareM!BB$54&gt;0,IMshareM!BB8/(SUM(IMshareM!BB$2:BB$78)-IMshareM!BB$54),0))</f>
        <v>0</v>
      </c>
      <c r="BC8" s="8">
        <f>IF($A8=BC$1,0,IF(SUM(IMshareM!BC$2:BC$78)-IMshareM!BC$55&gt;0,IMshareM!BC8/(SUM(IMshareM!BC$2:BC$78)-IMshareM!BC$55),0))</f>
        <v>4.9523722694678691E-6</v>
      </c>
      <c r="BD8" s="8">
        <f>IF($A8=BD$1,0,IF(SUM(IMshareM!BD$2:BD$78)-IMshareM!BD$56&gt;0,IMshareM!BD8/(SUM(IMshareM!BD$2:BD$78)-IMshareM!BD$56),0))</f>
        <v>0</v>
      </c>
      <c r="BE8" s="8">
        <f>IF($A8=BE$1,0,IF(SUM(IMshareM!BE$2:BE$78)-IMshareM!BE$57&gt;0,IMshareM!BE8/(SUM(IMshareM!BE$2:BE$78)-IMshareM!BE$57),0))</f>
        <v>0</v>
      </c>
      <c r="BF8" s="8">
        <f>IF($A8=BF$1,0,IF(SUM(IMshareM!BF$2:BF$78)-IMshareM!BF$58&gt;0,IMshareM!BF8/(SUM(IMshareM!BF$2:BF$78)-IMshareM!BF$58),0))</f>
        <v>0</v>
      </c>
      <c r="BG8" s="8">
        <f>IF($A8=BG$1,0,IF(SUM(IMshareM!BG$2:BG$78)-IMshareM!BG$59&gt;0,IMshareM!BG8/(SUM(IMshareM!BG$2:BG$78)-IMshareM!BG$59),0))</f>
        <v>0</v>
      </c>
      <c r="BH8" s="8">
        <f>IF($A8=BH$1,0,IF(SUM(IMshareM!BH$2:BH$78)-IMshareM!BH$60&gt;0,IMshareM!BH8/(SUM(IMshareM!BH$2:BH$78)-IMshareM!BH$60),0))</f>
        <v>2.4725584226393159E-6</v>
      </c>
      <c r="BI8" s="8">
        <f>IF($A8=BI$1,0,IF(SUM(IMshareM!BI$2:BI$78)-IMshareM!BI$61&gt;0,IMshareM!BI8/(SUM(IMshareM!BI$2:BI$78)-IMshareM!BI$61),0))</f>
        <v>0</v>
      </c>
      <c r="BJ8" s="8">
        <f>IF($A8=BJ$1,0,IF(SUM(IMshareM!BJ$2:BJ$78)-IMshareM!BJ$62&gt;0,IMshareM!BJ8/(SUM(IMshareM!BJ$2:BJ$78)-IMshareM!BJ$62),0))</f>
        <v>0</v>
      </c>
      <c r="BK8" s="8">
        <f>IF($A8=BK$1,0,IF(SUM(IMshareM!BK$2:BK$78)-IMshareM!BK$63&gt;0,IMshareM!BK8/(SUM(IMshareM!BK$2:BK$78)-IMshareM!BK$63),0))</f>
        <v>0</v>
      </c>
      <c r="BL8" s="8">
        <f>IF($A8=BL$1,0,IF(SUM(IMshareM!BL$2:BL$78)-IMshareM!BL$64&gt;0,IMshareM!BL8/(SUM(IMshareM!BL$2:BL$78)-IMshareM!BL$64),0))</f>
        <v>0</v>
      </c>
      <c r="BM8" s="8">
        <f>IF($A8=BM$1,0,IF(SUM(IMshareM!BM$2:BM$78)-IMshareM!BM$65&gt;0,IMshareM!BM8/(SUM(IMshareM!BM$2:BM$78)-IMshareM!BM$65),0))</f>
        <v>6.4506530246981591E-4</v>
      </c>
      <c r="BN8" s="8">
        <f>IF($A8=BN$1,0,IF(SUM(IMshareM!BN$2:BN$78)-IMshareM!BN$66&gt;0,IMshareM!BN8/(SUM(IMshareM!BN$2:BN$78)-IMshareM!BN$66),0))</f>
        <v>0</v>
      </c>
      <c r="BO8" s="8">
        <f>IF($A8=BO$1,0,IF(SUM(IMshareM!BO$2:BO$78)-IMshareM!BO$67&gt;0,IMshareM!BO8/(SUM(IMshareM!BO$2:BO$78)-IMshareM!BO$67),0))</f>
        <v>0</v>
      </c>
      <c r="BP8" s="8">
        <f>IF($A8=BP$1,0,IF(SUM(IMshareM!BP$2:BP$78)-IMshareM!BP$68&gt;0,IMshareM!BP8/(SUM(IMshareM!BP$2:BP$78)-IMshareM!BP$68),0))</f>
        <v>1.9491133359952006E-3</v>
      </c>
      <c r="BQ8" s="8">
        <f>IF($A8=BQ$1,0,IF(SUM(IMshareM!BQ$2:BQ$78)-IMshareM!BQ$69&gt;0,IMshareM!BQ8/(SUM(IMshareM!BQ$2:BQ$78)-IMshareM!BQ$69),0))</f>
        <v>0</v>
      </c>
      <c r="BR8" s="8">
        <f>IF($A8=BR$1,0,IF(SUM(IMshareM!BR$2:BR$78)-IMshareM!BR$70&gt;0,IMshareM!BR8/(SUM(IMshareM!BR$2:BR$78)-IMshareM!BR$70),0))</f>
        <v>0</v>
      </c>
      <c r="BS8" s="8">
        <f>IF($A8=BS$1,0,IF(SUM(IMshareM!BS$2:BS$78)-IMshareM!BS$71&gt;0,IMshareM!BS8/(SUM(IMshareM!BS$2:BS$78)-IMshareM!BS$71),0))</f>
        <v>0</v>
      </c>
      <c r="BT8" s="8">
        <f>IF($A8=BT$1,0,IF(SUM(IMshareM!BT$2:BT$78)-IMshareM!BT$72&gt;0,IMshareM!BT8/(SUM(IMshareM!BT$2:BT$78)-IMshareM!BT$72),0))</f>
        <v>7.1503737925919875E-7</v>
      </c>
      <c r="BU8" s="8">
        <f>IF($A8=BU$1,0,IF(SUM(IMshareM!BU$2:BU$78)-IMshareM!BU$73&gt;0,IMshareM!BU8/(SUM(IMshareM!BU$2:BU$78)-IMshareM!BU$73),0))</f>
        <v>0</v>
      </c>
      <c r="BV8" s="8">
        <f>IF($A8=BV$1,0,IF(SUM(IMshareM!BV$2:BV$78)-IMshareM!BV$74&gt;0,IMshareM!BV8/(SUM(IMshareM!BV$2:BV$78)-IMshareM!BV$74),0))</f>
        <v>3.9161162235107974E-3</v>
      </c>
      <c r="BW8" s="8">
        <f>IF($A8=BW$1,0,IF(SUM(IMshareM!BW$2:BW$78)-IMshareM!BW$75&gt;0,IMshareM!BW8/(SUM(IMshareM!BW$2:BW$78)-IMshareM!BW$75),0))</f>
        <v>3.9295527610960286E-6</v>
      </c>
      <c r="BX8" s="8">
        <f>IF($A8=BX$1,0,IF(SUM(IMshareM!BX$2:BX$78)-IMshareM!BX$76&gt;0,IMshareM!BX8/(SUM(IMshareM!BX$2:BX$78)-IMshareM!BX$76),0))</f>
        <v>1.5293996442693735E-5</v>
      </c>
      <c r="BY8" s="8">
        <f>IF($A8=BY$1,0,IF(SUM(IMshareM!BY$2:BY$78)-IMshareM!BY$77&gt;0,IMshareM!BY8/(SUM(IMshareM!BY$2:BY$78)-IMshareM!BY$77),0))</f>
        <v>0</v>
      </c>
      <c r="BZ8" s="8">
        <f>IF($A8=BZ$1,0,IF(SUM(IMshareM!BZ$2:BZ$78)-IMshareM!BZ$78&gt;0,IMshareM!BZ8/(SUM(IMshareM!BZ$2:BZ$78)-IMshareM!BZ$78),0))</f>
        <v>2.3988742623632528E-4</v>
      </c>
    </row>
    <row r="9" spans="1:78">
      <c r="A9" s="4" t="s">
        <v>85</v>
      </c>
      <c r="B9" s="8">
        <f>IF($A9=B$1,0,IF(SUM(IMshareM!B$2:B$78)-IMshareM!B$2&gt;0,IMshareM!B9/(SUM(IMshareM!B$2:B$78)-IMshareM!B$2),0))</f>
        <v>0.15759139122707619</v>
      </c>
      <c r="C9" s="8">
        <f>IF($A9=C$1,0,IF(SUM(IMshareM!C$2:C$78)-IMshareM!C$3&gt;0,IMshareM!C9/(SUM(IMshareM!C$2:C$78)-IMshareM!C$3),0))</f>
        <v>2.238911229292093E-2</v>
      </c>
      <c r="D9" s="8">
        <f>IF($A9=D$1,0,IF(SUM(IMshareM!D$2:D$78)-IMshareM!D$4&gt;0,IMshareM!D9/(SUM(IMshareM!D$2:D$78)-IMshareM!D$4),0))</f>
        <v>6.3750801943661083E-3</v>
      </c>
      <c r="E9" s="8">
        <f>IF($A9=E$1,0,IF(SUM(IMshareM!E$2:E$78)-IMshareM!E$5&gt;0,IMshareM!E9/(SUM(IMshareM!E$2:E$78)-IMshareM!E$5),0))</f>
        <v>4.5471381237313598E-2</v>
      </c>
      <c r="F9" s="8">
        <f>IF($A9=F$1,0,IF(SUM(IMshareM!F$2:F$78)-IMshareM!F$6&gt;0,IMshareM!F9/(SUM(IMshareM!F$2:F$78)-IMshareM!F$6),0))</f>
        <v>1.3474746932649819E-4</v>
      </c>
      <c r="G9" s="8">
        <f>IF($A9=G$1,0,IF(SUM(IMshareM!G$2:G$78)-IMshareM!G$7&gt;0,IMshareM!G9/(SUM(IMshareM!G$2:G$78)-IMshareM!G$7),0))</f>
        <v>1.6010350019347965E-5</v>
      </c>
      <c r="H9" s="8">
        <f>IF($A9=H$1,0,IF(SUM(IMshareM!H$2:H$78)-IMshareM!H$8&gt;0,IMshareM!H9/(SUM(IMshareM!H$2:H$78)-IMshareM!H$8),0))</f>
        <v>0</v>
      </c>
      <c r="I9" s="8">
        <f>IF($A9=I$1,0,IF(SUM(IMshareM!I$2:I$78)-IMshareM!I$9&gt;0,IMshareM!I9/(SUM(IMshareM!I$2:I$78)-IMshareM!I$9),0))</f>
        <v>0</v>
      </c>
      <c r="J9" s="8">
        <f>IF($A9=J$1,0,IF(SUM(IMshareM!J$2:J$78)-IMshareM!J$10&gt;0,IMshareM!J9/(SUM(IMshareM!J$2:J$78)-IMshareM!J$10),0))</f>
        <v>7.1786735009447527E-3</v>
      </c>
      <c r="K9" s="8">
        <f>IF($A9=K$1,0,IF(SUM(IMshareM!K$2:K$78)-IMshareM!K$11&gt;0,IMshareM!K9/(SUM(IMshareM!K$2:K$78)-IMshareM!K$11),0))</f>
        <v>3.9434636662275313E-2</v>
      </c>
      <c r="L9" s="8">
        <f>IF($A9=L$1,0,IF(SUM(IMshareM!L$2:L$78)-IMshareM!L$12&gt;0,IMshareM!L9/(SUM(IMshareM!L$2:L$78)-IMshareM!L$12),0))</f>
        <v>5.1392213780899502E-3</v>
      </c>
      <c r="M9" s="8">
        <f>IF($A9=M$1,0,IF(SUM(IMshareM!M$2:M$78)-IMshareM!M$13&gt;0,IMshareM!M9/(SUM(IMshareM!M$2:M$78)-IMshareM!M$13),0))</f>
        <v>3.0728465197764555E-2</v>
      </c>
      <c r="N9" s="8">
        <f>IF($A9=N$1,0,IF(SUM(IMshareM!N$2:N$78)-IMshareM!N$14&gt;0,IMshareM!N9/(SUM(IMshareM!N$2:N$78)-IMshareM!N$14),0))</f>
        <v>2.8056003764773368E-3</v>
      </c>
      <c r="O9" s="8">
        <f>IF($A9=O$1,0,IF(SUM(IMshareM!O$2:O$78)-IMshareM!O$15&gt;0,IMshareM!O9/(SUM(IMshareM!O$2:O$78)-IMshareM!O$15),0))</f>
        <v>6.1988397146368911E-2</v>
      </c>
      <c r="P9" s="8">
        <f>IF($A9=P$1,0,IF(SUM(IMshareM!P$2:P$78)-IMshareM!P$16&gt;0,IMshareM!P9/(SUM(IMshareM!P$2:P$78)-IMshareM!P$16),0))</f>
        <v>1.4206904539907169E-4</v>
      </c>
      <c r="Q9" s="8">
        <f>IF($A9=Q$1,0,IF(SUM(IMshareM!Q$2:Q$78)-IMshareM!Q$17&gt;0,IMshareM!Q9/(SUM(IMshareM!Q$2:Q$78)-IMshareM!Q$17),0))</f>
        <v>0.13433004692282652</v>
      </c>
      <c r="R9" s="8">
        <f>IF($A9=R$1,0,IF(SUM(IMshareM!R$2:R$78)-IMshareM!R$18&gt;0,IMshareM!R9/(SUM(IMshareM!R$2:R$78)-IMshareM!R$18),0))</f>
        <v>4.0957682784559114E-2</v>
      </c>
      <c r="S9" s="8">
        <f>IF($A9=S$1,0,IF(SUM(IMshareM!S$2:S$78)-IMshareM!S$19&gt;0,IMshareM!S9/(SUM(IMshareM!S$2:S$78)-IMshareM!S$19),0))</f>
        <v>4.9279327293681912E-3</v>
      </c>
      <c r="T9" s="8">
        <f>IF($A9=T$1,0,IF(SUM(IMshareM!T$2:T$78)-IMshareM!T$20&gt;0,IMshareM!T9/(SUM(IMshareM!T$2:T$78)-IMshareM!T$20),0))</f>
        <v>6.8793373754184005E-4</v>
      </c>
      <c r="U9" s="8">
        <f>IF($A9=U$1,0,IF(SUM(IMshareM!U$2:U$78)-IMshareM!U$21&gt;0,IMshareM!U9/(SUM(IMshareM!U$2:U$78)-IMshareM!U$21),0))</f>
        <v>1.5074239276675734E-2</v>
      </c>
      <c r="V9" s="8">
        <f>IF($A9=V$1,0,IF(SUM(IMshareM!V$2:V$78)-IMshareM!V$22&gt;0,IMshareM!V9/(SUM(IMshareM!V$2:V$78)-IMshareM!V$22),0))</f>
        <v>1.164973646710679E-4</v>
      </c>
      <c r="W9" s="8">
        <f>IF($A9=W$1,0,IF(SUM(IMshareM!W$2:W$78)-IMshareM!W$23&gt;0,IMshareM!W9/(SUM(IMshareM!W$2:W$78)-IMshareM!W$23),0))</f>
        <v>3.8488077344576738E-2</v>
      </c>
      <c r="X9" s="8">
        <f>IF($A9=X$1,0,IF(SUM(IMshareM!X$2:X$78)-IMshareM!X$24&gt;0,IMshareM!X9/(SUM(IMshareM!X$2:X$78)-IMshareM!X$24),0))</f>
        <v>2.0457932148549601E-2</v>
      </c>
      <c r="Y9" s="8">
        <f>IF($A9=Y$1,0,IF(SUM(IMshareM!Y$2:Y$78)-IMshareM!Y$25&gt;0,IMshareM!Y9/(SUM(IMshareM!Y$2:Y$78)-IMshareM!Y$25),0))</f>
        <v>1.4640870836045543E-3</v>
      </c>
      <c r="Z9" s="8">
        <f>IF($A9=Z$1,0,IF(SUM(IMshareM!Z$2:Z$78)-IMshareM!Z$26&gt;0,IMshareM!Z9/(SUM(IMshareM!Z$2:Z$78)-IMshareM!Z$26),0))</f>
        <v>1.8488728148777347E-2</v>
      </c>
      <c r="AA9" s="8">
        <f>IF($A9=AA$1,0,IF(SUM(IMshareM!AA$2:AA$78)-IMshareM!AA$27&gt;0,IMshareM!AA9/(SUM(IMshareM!AA$2:AA$78)-IMshareM!AA$27),0))</f>
        <v>9.4235391173822167E-3</v>
      </c>
      <c r="AB9" s="8">
        <f>IF($A9=AB$1,0,IF(SUM(IMshareM!AB$2:AB$78)-IMshareM!AB$28&gt;0,IMshareM!AB9/(SUM(IMshareM!AB$2:AB$78)-IMshareM!AB$28),0))</f>
        <v>2.2202310036246793E-2</v>
      </c>
      <c r="AC9" s="8">
        <f>IF($A9=AC$1,0,IF(SUM(IMshareM!AC$2:AC$78)-IMshareM!AC$29&gt;0,IMshareM!AC9/(SUM(IMshareM!AC$2:AC$78)-IMshareM!AC$29),0))</f>
        <v>8.2053413902291109E-3</v>
      </c>
      <c r="AD9" s="8">
        <f>IF($A9=AD$1,0,IF(SUM(IMshareM!AD$2:AD$78)-IMshareM!AD$30&gt;0,IMshareM!AD9/(SUM(IMshareM!AD$2:AD$78)-IMshareM!AD$30),0))</f>
        <v>5.3928578691624508E-6</v>
      </c>
      <c r="AE9" s="8">
        <f>IF($A9=AE$1,0,IF(SUM(IMshareM!AE$2:AE$78)-IMshareM!AE$31&gt;0,IMshareM!AE9/(SUM(IMshareM!AE$2:AE$78)-IMshareM!AE$31),0))</f>
        <v>4.7542104212966002E-4</v>
      </c>
      <c r="AF9" s="8">
        <f>IF($A9=AF$1,0,IF(SUM(IMshareM!AF$2:AF$78)-IMshareM!AF$32&gt;0,IMshareM!AF9/(SUM(IMshareM!AF$2:AF$78)-IMshareM!AF$32),0))</f>
        <v>4.8108954867149347E-4</v>
      </c>
      <c r="AG9" s="8">
        <f>IF($A9=AG$1,0,IF(SUM(IMshareM!AG$2:AG$78)-IMshareM!AG$33&gt;0,IMshareM!AG9/(SUM(IMshareM!AG$2:AG$78)-IMshareM!AG$33),0))</f>
        <v>3.9457577788341459E-3</v>
      </c>
      <c r="AH9" s="8">
        <f>IF($A9=AH$1,0,IF(SUM(IMshareM!AH$2:AH$78)-IMshareM!AH$34&gt;0,IMshareM!AH9/(SUM(IMshareM!AH$2:AH$78)-IMshareM!AH$34),0))</f>
        <v>7.4667209675225079E-3</v>
      </c>
      <c r="AI9" s="8">
        <f>IF($A9=AI$1,0,IF(SUM(IMshareM!AI$2:AI$78)-IMshareM!AI$35&gt;0,IMshareM!AI9/(SUM(IMshareM!AI$2:AI$78)-IMshareM!AI$35),0))</f>
        <v>1.2483822063221392E-3</v>
      </c>
      <c r="AJ9" s="8">
        <f>IF($A9=AJ$1,0,IF(SUM(IMshareM!AJ$2:AJ$78)-IMshareM!AJ$36&gt;0,IMshareM!AJ9/(SUM(IMshareM!AJ$2:AJ$78)-IMshareM!AJ$36),0))</f>
        <v>1.1893356831380142E-3</v>
      </c>
      <c r="AK9" s="8">
        <f>IF($A9=AK$1,0,IF(SUM(IMshareM!AK$2:AK$78)-IMshareM!AK$37&gt;0,IMshareM!AK9/(SUM(IMshareM!AK$2:AK$78)-IMshareM!AK$37),0))</f>
        <v>3.0448236799188406E-2</v>
      </c>
      <c r="AL9" s="8">
        <f>IF($A9=AL$1,0,IF(SUM(IMshareM!AL$2:AL$78)-IMshareM!AL$38&gt;0,IMshareM!AL9/(SUM(IMshareM!AL$2:AL$78)-IMshareM!AL$38),0))</f>
        <v>1.9036125833527654E-2</v>
      </c>
      <c r="AM9" s="8">
        <f>IF($A9=AM$1,0,IF(SUM(IMshareM!AM$2:AM$78)-IMshareM!AM$39&gt;0,IMshareM!AM9/(SUM(IMshareM!AM$2:AM$78)-IMshareM!AM$39),0))</f>
        <v>4.2295720390923768E-2</v>
      </c>
      <c r="AN9" s="8">
        <f>IF($A9=AN$1,0,IF(SUM(IMshareM!AN$2:AN$78)-IMshareM!AN$40&gt;0,IMshareM!AN9/(SUM(IMshareM!AN$2:AN$78)-IMshareM!AN$40),0))</f>
        <v>1.6220145595802155E-3</v>
      </c>
      <c r="AO9" s="8">
        <f>IF($A9=AO$1,0,IF(SUM(IMshareM!AO$2:AO$78)-IMshareM!AO$41&gt;0,IMshareM!AO9/(SUM(IMshareM!AO$2:AO$78)-IMshareM!AO$41),0))</f>
        <v>7.1009133322341399E-3</v>
      </c>
      <c r="AP9" s="8">
        <f>IF($A9=AP$1,0,IF(SUM(IMshareM!AP$2:AP$78)-IMshareM!AP$42&gt;0,IMshareM!AP9/(SUM(IMshareM!AP$2:AP$78)-IMshareM!AP$42),0))</f>
        <v>9.067767668423885E-4</v>
      </c>
      <c r="AQ9" s="8">
        <f>IF($A9=AQ$1,0,IF(SUM(IMshareM!AQ$2:AQ$78)-IMshareM!AQ$43&gt;0,IMshareM!AQ9/(SUM(IMshareM!AQ$2:AQ$78)-IMshareM!AQ$43),0))</f>
        <v>3.8764500157449449E-3</v>
      </c>
      <c r="AR9" s="8">
        <f>IF($A9=AR$1,0,IF(SUM(IMshareM!AR$2:AR$78)-IMshareM!AR$44&gt;0,IMshareM!AR9/(SUM(IMshareM!AR$2:AR$78)-IMshareM!AR$44),0))</f>
        <v>0</v>
      </c>
      <c r="AS9" s="8">
        <f>IF($A9=AS$1,0,IF(SUM(IMshareM!AS$2:AS$78)-IMshareM!AS$45&gt;0,IMshareM!AS9/(SUM(IMshareM!AS$2:AS$78)-IMshareM!AS$45),0))</f>
        <v>2.9771795191501213E-3</v>
      </c>
      <c r="AT9" s="8">
        <f>IF($A9=AT$1,0,IF(SUM(IMshareM!AT$2:AT$78)-IMshareM!AT$46&gt;0,IMshareM!AT9/(SUM(IMshareM!AT$2:AT$78)-IMshareM!AT$46),0))</f>
        <v>9.995720050027016E-4</v>
      </c>
      <c r="AU9" s="8">
        <f>IF($A9=AU$1,0,IF(SUM(IMshareM!AU$2:AU$78)-IMshareM!AU$47&gt;0,IMshareM!AU9/(SUM(IMshareM!AU$2:AU$78)-IMshareM!AU$47),0))</f>
        <v>2.778532033458363E-3</v>
      </c>
      <c r="AV9" s="8">
        <f>IF($A9=AV$1,0,IF(SUM(IMshareM!AV$2:AV$78)-IMshareM!AV$48&gt;0,IMshareM!AV9/(SUM(IMshareM!AV$2:AV$78)-IMshareM!AV$48),0))</f>
        <v>1.9471867271447733E-2</v>
      </c>
      <c r="AW9" s="8">
        <f>IF($A9=AW$1,0,IF(SUM(IMshareM!AW$2:AW$78)-IMshareM!AW$49&gt;0,IMshareM!AW9/(SUM(IMshareM!AW$2:AW$78)-IMshareM!AW$49),0))</f>
        <v>4.7513680960569737E-3</v>
      </c>
      <c r="AX9" s="8">
        <f>IF($A9=AX$1,0,IF(SUM(IMshareM!AX$2:AX$78)-IMshareM!AX$50&gt;0,IMshareM!AX9/(SUM(IMshareM!AX$2:AX$78)-IMshareM!AX$50),0))</f>
        <v>1.4486241627465726E-4</v>
      </c>
      <c r="AY9" s="8">
        <f>IF($A9=AY$1,0,IF(SUM(IMshareM!AY$2:AY$78)-IMshareM!AY$51&gt;0,IMshareM!AY9/(SUM(IMshareM!AY$2:AY$78)-IMshareM!AY$51),0))</f>
        <v>3.8837237402530002E-5</v>
      </c>
      <c r="AZ9" s="8">
        <f>IF($A9=AZ$1,0,IF(SUM(IMshareM!AZ$2:AZ$78)-IMshareM!AZ$52&gt;0,IMshareM!AZ9/(SUM(IMshareM!AZ$2:AZ$78)-IMshareM!AZ$52),0))</f>
        <v>2.140368679541494E-3</v>
      </c>
      <c r="BA9" s="8">
        <f>IF($A9=BA$1,0,IF(SUM(IMshareM!BA$2:BA$78)-IMshareM!BA$53&gt;0,IMshareM!BA9/(SUM(IMshareM!BA$2:BA$78)-IMshareM!BA$53),0))</f>
        <v>2.4699092622386784E-3</v>
      </c>
      <c r="BB9" s="8">
        <f>IF($A9=BB$1,0,IF(SUM(IMshareM!BB$2:BB$78)-IMshareM!BB$54&gt;0,IMshareM!BB9/(SUM(IMshareM!BB$2:BB$78)-IMshareM!BB$54),0))</f>
        <v>1.6503430814175063E-3</v>
      </c>
      <c r="BC9" s="8">
        <f>IF($A9=BC$1,0,IF(SUM(IMshareM!BC$2:BC$78)-IMshareM!BC$55&gt;0,IMshareM!BC9/(SUM(IMshareM!BC$2:BC$78)-IMshareM!BC$55),0))</f>
        <v>4.1560805092579426E-3</v>
      </c>
      <c r="BD9" s="8">
        <f>IF($A9=BD$1,0,IF(SUM(IMshareM!BD$2:BD$78)-IMshareM!BD$56&gt;0,IMshareM!BD9/(SUM(IMshareM!BD$2:BD$78)-IMshareM!BD$56),0))</f>
        <v>4.6865602545450934E-2</v>
      </c>
      <c r="BE9" s="8">
        <f>IF($A9=BE$1,0,IF(SUM(IMshareM!BE$2:BE$78)-IMshareM!BE$57&gt;0,IMshareM!BE9/(SUM(IMshareM!BE$2:BE$78)-IMshareM!BE$57),0))</f>
        <v>4.2579204288515551E-3</v>
      </c>
      <c r="BF9" s="8">
        <f>IF($A9=BF$1,0,IF(SUM(IMshareM!BF$2:BF$78)-IMshareM!BF$58&gt;0,IMshareM!BF9/(SUM(IMshareM!BF$2:BF$78)-IMshareM!BF$58),0))</f>
        <v>0.17021972624344919</v>
      </c>
      <c r="BG9" s="8">
        <f>IF($A9=BG$1,0,IF(SUM(IMshareM!BG$2:BG$78)-IMshareM!BG$59&gt;0,IMshareM!BG9/(SUM(IMshareM!BG$2:BG$78)-IMshareM!BG$59),0))</f>
        <v>5.5519552340307964E-3</v>
      </c>
      <c r="BH9" s="8">
        <f>IF($A9=BH$1,0,IF(SUM(IMshareM!BH$2:BH$78)-IMshareM!BH$60&gt;0,IMshareM!BH9/(SUM(IMshareM!BH$2:BH$78)-IMshareM!BH$60),0))</f>
        <v>1.651213555034682E-3</v>
      </c>
      <c r="BI9" s="8">
        <f>IF($A9=BI$1,0,IF(SUM(IMshareM!BI$2:BI$78)-IMshareM!BI$61&gt;0,IMshareM!BI9/(SUM(IMshareM!BI$2:BI$78)-IMshareM!BI$61),0))</f>
        <v>6.6094232509761172E-3</v>
      </c>
      <c r="BJ9" s="8">
        <f>IF($A9=BJ$1,0,IF(SUM(IMshareM!BJ$2:BJ$78)-IMshareM!BJ$62&gt;0,IMshareM!BJ9/(SUM(IMshareM!BJ$2:BJ$78)-IMshareM!BJ$62),0))</f>
        <v>4.8188237855984172E-4</v>
      </c>
      <c r="BK9" s="8">
        <f>IF($A9=BK$1,0,IF(SUM(IMshareM!BK$2:BK$78)-IMshareM!BK$63&gt;0,IMshareM!BK9/(SUM(IMshareM!BK$2:BK$78)-IMshareM!BK$63),0))</f>
        <v>1.4329964620403072E-2</v>
      </c>
      <c r="BL9" s="8">
        <f>IF($A9=BL$1,0,IF(SUM(IMshareM!BL$2:BL$78)-IMshareM!BL$64&gt;0,IMshareM!BL9/(SUM(IMshareM!BL$2:BL$78)-IMshareM!BL$64),0))</f>
        <v>2.1710827998492679E-2</v>
      </c>
      <c r="BM9" s="8">
        <f>IF($A9=BM$1,0,IF(SUM(IMshareM!BM$2:BM$78)-IMshareM!BM$65&gt;0,IMshareM!BM9/(SUM(IMshareM!BM$2:BM$78)-IMshareM!BM$65),0))</f>
        <v>1.7285689720596367E-2</v>
      </c>
      <c r="BN9" s="8">
        <f>IF($A9=BN$1,0,IF(SUM(IMshareM!BN$2:BN$78)-IMshareM!BN$66&gt;0,IMshareM!BN9/(SUM(IMshareM!BN$2:BN$78)-IMshareM!BN$66),0))</f>
        <v>5.4034427140542494E-3</v>
      </c>
      <c r="BO9" s="8">
        <f>IF($A9=BO$1,0,IF(SUM(IMshareM!BO$2:BO$78)-IMshareM!BO$67&gt;0,IMshareM!BO9/(SUM(IMshareM!BO$2:BO$78)-IMshareM!BO$67),0))</f>
        <v>1.4253163311553262E-4</v>
      </c>
      <c r="BP9" s="8">
        <f>IF($A9=BP$1,0,IF(SUM(IMshareM!BP$2:BP$78)-IMshareM!BP$68&gt;0,IMshareM!BP9/(SUM(IMshareM!BP$2:BP$78)-IMshareM!BP$68),0))</f>
        <v>1.1765855470044523E-2</v>
      </c>
      <c r="BQ9" s="8">
        <f>IF($A9=BQ$1,0,IF(SUM(IMshareM!BQ$2:BQ$78)-IMshareM!BQ$69&gt;0,IMshareM!BQ9/(SUM(IMshareM!BQ$2:BQ$78)-IMshareM!BQ$69),0))</f>
        <v>2.9370488608882094E-2</v>
      </c>
      <c r="BR9" s="8">
        <f>IF($A9=BR$1,0,IF(SUM(IMshareM!BR$2:BR$78)-IMshareM!BR$70&gt;0,IMshareM!BR9/(SUM(IMshareM!BR$2:BR$78)-IMshareM!BR$70),0))</f>
        <v>1.2094947402253088E-3</v>
      </c>
      <c r="BS9" s="8">
        <f>IF($A9=BS$1,0,IF(SUM(IMshareM!BS$2:BS$78)-IMshareM!BS$71&gt;0,IMshareM!BS9/(SUM(IMshareM!BS$2:BS$78)-IMshareM!BS$71),0))</f>
        <v>1.7283896444541032E-2</v>
      </c>
      <c r="BT9" s="8">
        <f>IF($A9=BT$1,0,IF(SUM(IMshareM!BT$2:BT$78)-IMshareM!BT$72&gt;0,IMshareM!BT9/(SUM(IMshareM!BT$2:BT$78)-IMshareM!BT$72),0))</f>
        <v>1.2280691503392151E-2</v>
      </c>
      <c r="BU9" s="8">
        <f>IF($A9=BU$1,0,IF(SUM(IMshareM!BU$2:BU$78)-IMshareM!BU$73&gt;0,IMshareM!BU9/(SUM(IMshareM!BU$2:BU$78)-IMshareM!BU$73),0))</f>
        <v>1.3320311618804724E-3</v>
      </c>
      <c r="BV9" s="8">
        <f>IF($A9=BV$1,0,IF(SUM(IMshareM!BV$2:BV$78)-IMshareM!BV$74&gt;0,IMshareM!BV9/(SUM(IMshareM!BV$2:BV$78)-IMshareM!BV$74),0))</f>
        <v>1.0961601857259371E-2</v>
      </c>
      <c r="BW9" s="8">
        <f>IF($A9=BW$1,0,IF(SUM(IMshareM!BW$2:BW$78)-IMshareM!BW$75&gt;0,IMshareM!BW9/(SUM(IMshareM!BW$2:BW$78)-IMshareM!BW$75),0))</f>
        <v>2.8386568490456201E-2</v>
      </c>
      <c r="BX9" s="8">
        <f>IF($A9=BX$1,0,IF(SUM(IMshareM!BX$2:BX$78)-IMshareM!BX$76&gt;0,IMshareM!BX9/(SUM(IMshareM!BX$2:BX$78)-IMshareM!BX$76),0))</f>
        <v>6.9225922896568688E-4</v>
      </c>
      <c r="BY9" s="8">
        <f>IF($A9=BY$1,0,IF(SUM(IMshareM!BY$2:BY$78)-IMshareM!BY$77&gt;0,IMshareM!BY9/(SUM(IMshareM!BY$2:BY$78)-IMshareM!BY$77),0))</f>
        <v>0.11199600151384773</v>
      </c>
      <c r="BZ9" s="8">
        <f>IF($A9=BZ$1,0,IF(SUM(IMshareM!BZ$2:BZ$78)-IMshareM!BZ$78&gt;0,IMshareM!BZ9/(SUM(IMshareM!BZ$2:BZ$78)-IMshareM!BZ$78),0))</f>
        <v>3.6672823854366432E-2</v>
      </c>
    </row>
    <row r="10" spans="1:78">
      <c r="A10" s="4" t="s">
        <v>87</v>
      </c>
      <c r="B10" s="8">
        <f>IF($A10=B$1,0,IF(SUM(IMshareM!B$2:B$78)-IMshareM!B$2&gt;0,IMshareM!B10/(SUM(IMshareM!B$2:B$78)-IMshareM!B$2),0))</f>
        <v>0</v>
      </c>
      <c r="C10" s="8">
        <f>IF($A10=C$1,0,IF(SUM(IMshareM!C$2:C$78)-IMshareM!C$3&gt;0,IMshareM!C10/(SUM(IMshareM!C$2:C$78)-IMshareM!C$3),0))</f>
        <v>2.2158253605847599E-5</v>
      </c>
      <c r="D10" s="8">
        <f>IF($A10=D$1,0,IF(SUM(IMshareM!D$2:D$78)-IMshareM!D$4&gt;0,IMshareM!D10/(SUM(IMshareM!D$2:D$78)-IMshareM!D$4),0))</f>
        <v>0</v>
      </c>
      <c r="E10" s="8">
        <f>IF($A10=E$1,0,IF(SUM(IMshareM!E$2:E$78)-IMshareM!E$5&gt;0,IMshareM!E10/(SUM(IMshareM!E$2:E$78)-IMshareM!E$5),0))</f>
        <v>0</v>
      </c>
      <c r="F10" s="8">
        <f>IF($A10=F$1,0,IF(SUM(IMshareM!F$2:F$78)-IMshareM!F$6&gt;0,IMshareM!F10/(SUM(IMshareM!F$2:F$78)-IMshareM!F$6),0))</f>
        <v>0</v>
      </c>
      <c r="G10" s="8">
        <f>IF($A10=G$1,0,IF(SUM(IMshareM!G$2:G$78)-IMshareM!G$7&gt;0,IMshareM!G10/(SUM(IMshareM!G$2:G$78)-IMshareM!G$7),0))</f>
        <v>0</v>
      </c>
      <c r="H10" s="8">
        <f>IF($A10=H$1,0,IF(SUM(IMshareM!H$2:H$78)-IMshareM!H$8&gt;0,IMshareM!H10/(SUM(IMshareM!H$2:H$78)-IMshareM!H$8),0))</f>
        <v>0</v>
      </c>
      <c r="I10" s="8">
        <f>IF($A10=I$1,0,IF(SUM(IMshareM!I$2:I$78)-IMshareM!I$9&gt;0,IMshareM!I10/(SUM(IMshareM!I$2:I$78)-IMshareM!I$9),0))</f>
        <v>0</v>
      </c>
      <c r="J10" s="8">
        <f>IF($A10=J$1,0,IF(SUM(IMshareM!J$2:J$78)-IMshareM!J$10&gt;0,IMshareM!J10/(SUM(IMshareM!J$2:J$78)-IMshareM!J$10),0))</f>
        <v>0</v>
      </c>
      <c r="K10" s="8">
        <f>IF($A10=K$1,0,IF(SUM(IMshareM!K$2:K$78)-IMshareM!K$11&gt;0,IMshareM!K10/(SUM(IMshareM!K$2:K$78)-IMshareM!K$11),0))</f>
        <v>0</v>
      </c>
      <c r="L10" s="8">
        <f>IF($A10=L$1,0,IF(SUM(IMshareM!L$2:L$78)-IMshareM!L$12&gt;0,IMshareM!L10/(SUM(IMshareM!L$2:L$78)-IMshareM!L$12),0))</f>
        <v>0</v>
      </c>
      <c r="M10" s="8">
        <f>IF($A10=M$1,0,IF(SUM(IMshareM!M$2:M$78)-IMshareM!M$13&gt;0,IMshareM!M10/(SUM(IMshareM!M$2:M$78)-IMshareM!M$13),0))</f>
        <v>0</v>
      </c>
      <c r="N10" s="8">
        <f>IF($A10=N$1,0,IF(SUM(IMshareM!N$2:N$78)-IMshareM!N$14&gt;0,IMshareM!N10/(SUM(IMshareM!N$2:N$78)-IMshareM!N$14),0))</f>
        <v>0</v>
      </c>
      <c r="O10" s="8">
        <f>IF($A10=O$1,0,IF(SUM(IMshareM!O$2:O$78)-IMshareM!O$15&gt;0,IMshareM!O10/(SUM(IMshareM!O$2:O$78)-IMshareM!O$15),0))</f>
        <v>0</v>
      </c>
      <c r="P10" s="8">
        <f>IF($A10=P$1,0,IF(SUM(IMshareM!P$2:P$78)-IMshareM!P$16&gt;0,IMshareM!P10/(SUM(IMshareM!P$2:P$78)-IMshareM!P$16),0))</f>
        <v>0</v>
      </c>
      <c r="Q10" s="8">
        <f>IF($A10=Q$1,0,IF(SUM(IMshareM!Q$2:Q$78)-IMshareM!Q$17&gt;0,IMshareM!Q10/(SUM(IMshareM!Q$2:Q$78)-IMshareM!Q$17),0))</f>
        <v>0</v>
      </c>
      <c r="R10" s="8">
        <f>IF($A10=R$1,0,IF(SUM(IMshareM!R$2:R$78)-IMshareM!R$18&gt;0,IMshareM!R10/(SUM(IMshareM!R$2:R$78)-IMshareM!R$18),0))</f>
        <v>0</v>
      </c>
      <c r="S10" s="8">
        <f>IF($A10=S$1,0,IF(SUM(IMshareM!S$2:S$78)-IMshareM!S$19&gt;0,IMshareM!S10/(SUM(IMshareM!S$2:S$78)-IMshareM!S$19),0))</f>
        <v>0</v>
      </c>
      <c r="T10" s="8">
        <f>IF($A10=T$1,0,IF(SUM(IMshareM!T$2:T$78)-IMshareM!T$20&gt;0,IMshareM!T10/(SUM(IMshareM!T$2:T$78)-IMshareM!T$20),0))</f>
        <v>0</v>
      </c>
      <c r="U10" s="8">
        <f>IF($A10=U$1,0,IF(SUM(IMshareM!U$2:U$78)-IMshareM!U$21&gt;0,IMshareM!U10/(SUM(IMshareM!U$2:U$78)-IMshareM!U$21),0))</f>
        <v>9.4824266741926729E-7</v>
      </c>
      <c r="V10" s="8">
        <f>IF($A10=V$1,0,IF(SUM(IMshareM!V$2:V$78)-IMshareM!V$22&gt;0,IMshareM!V10/(SUM(IMshareM!V$2:V$78)-IMshareM!V$22),0))</f>
        <v>0</v>
      </c>
      <c r="W10" s="8">
        <f>IF($A10=W$1,0,IF(SUM(IMshareM!W$2:W$78)-IMshareM!W$23&gt;0,IMshareM!W10/(SUM(IMshareM!W$2:W$78)-IMshareM!W$23),0))</f>
        <v>0</v>
      </c>
      <c r="X10" s="8">
        <f>IF($A10=X$1,0,IF(SUM(IMshareM!X$2:X$78)-IMshareM!X$24&gt;0,IMshareM!X10/(SUM(IMshareM!X$2:X$78)-IMshareM!X$24),0))</f>
        <v>0</v>
      </c>
      <c r="Y10" s="8">
        <f>IF($A10=Y$1,0,IF(SUM(IMshareM!Y$2:Y$78)-IMshareM!Y$25&gt;0,IMshareM!Y10/(SUM(IMshareM!Y$2:Y$78)-IMshareM!Y$25),0))</f>
        <v>0</v>
      </c>
      <c r="Z10" s="8">
        <f>IF($A10=Z$1,0,IF(SUM(IMshareM!Z$2:Z$78)-IMshareM!Z$26&gt;0,IMshareM!Z10/(SUM(IMshareM!Z$2:Z$78)-IMshareM!Z$26),0))</f>
        <v>0</v>
      </c>
      <c r="AA10" s="8">
        <f>IF($A10=AA$1,0,IF(SUM(IMshareM!AA$2:AA$78)-IMshareM!AA$27&gt;0,IMshareM!AA10/(SUM(IMshareM!AA$2:AA$78)-IMshareM!AA$27),0))</f>
        <v>4.5591986841453739E-5</v>
      </c>
      <c r="AB10" s="8">
        <f>IF($A10=AB$1,0,IF(SUM(IMshareM!AB$2:AB$78)-IMshareM!AB$28&gt;0,IMshareM!AB10/(SUM(IMshareM!AB$2:AB$78)-IMshareM!AB$28),0))</f>
        <v>4.7233941304695099E-9</v>
      </c>
      <c r="AC10" s="8">
        <f>IF($A10=AC$1,0,IF(SUM(IMshareM!AC$2:AC$78)-IMshareM!AC$29&gt;0,IMshareM!AC10/(SUM(IMshareM!AC$2:AC$78)-IMshareM!AC$29),0))</f>
        <v>0</v>
      </c>
      <c r="AD10" s="8">
        <f>IF($A10=AD$1,0,IF(SUM(IMshareM!AD$2:AD$78)-IMshareM!AD$30&gt;0,IMshareM!AD10/(SUM(IMshareM!AD$2:AD$78)-IMshareM!AD$30),0))</f>
        <v>0</v>
      </c>
      <c r="AE10" s="8">
        <f>IF($A10=AE$1,0,IF(SUM(IMshareM!AE$2:AE$78)-IMshareM!AE$31&gt;0,IMshareM!AE10/(SUM(IMshareM!AE$2:AE$78)-IMshareM!AE$31),0))</f>
        <v>0</v>
      </c>
      <c r="AF10" s="8">
        <f>IF($A10=AF$1,0,IF(SUM(IMshareM!AF$2:AF$78)-IMshareM!AF$32&gt;0,IMshareM!AF10/(SUM(IMshareM!AF$2:AF$78)-IMshareM!AF$32),0))</f>
        <v>0</v>
      </c>
      <c r="AG10" s="8">
        <f>IF($A10=AG$1,0,IF(SUM(IMshareM!AG$2:AG$78)-IMshareM!AG$33&gt;0,IMshareM!AG10/(SUM(IMshareM!AG$2:AG$78)-IMshareM!AG$33),0))</f>
        <v>1.8807414266880235E-5</v>
      </c>
      <c r="AH10" s="8">
        <f>IF($A10=AH$1,0,IF(SUM(IMshareM!AH$2:AH$78)-IMshareM!AH$34&gt;0,IMshareM!AH10/(SUM(IMshareM!AH$2:AH$78)-IMshareM!AH$34),0))</f>
        <v>0</v>
      </c>
      <c r="AI10" s="8">
        <f>IF($A10=AI$1,0,IF(SUM(IMshareM!AI$2:AI$78)-IMshareM!AI$35&gt;0,IMshareM!AI10/(SUM(IMshareM!AI$2:AI$78)-IMshareM!AI$35),0))</f>
        <v>0</v>
      </c>
      <c r="AJ10" s="8">
        <f>IF($A10=AJ$1,0,IF(SUM(IMshareM!AJ$2:AJ$78)-IMshareM!AJ$36&gt;0,IMshareM!AJ10/(SUM(IMshareM!AJ$2:AJ$78)-IMshareM!AJ$36),0))</f>
        <v>0</v>
      </c>
      <c r="AK10" s="8">
        <f>IF($A10=AK$1,0,IF(SUM(IMshareM!AK$2:AK$78)-IMshareM!AK$37&gt;0,IMshareM!AK10/(SUM(IMshareM!AK$2:AK$78)-IMshareM!AK$37),0))</f>
        <v>0</v>
      </c>
      <c r="AL10" s="8">
        <f>IF($A10=AL$1,0,IF(SUM(IMshareM!AL$2:AL$78)-IMshareM!AL$38&gt;0,IMshareM!AL10/(SUM(IMshareM!AL$2:AL$78)-IMshareM!AL$38),0))</f>
        <v>0</v>
      </c>
      <c r="AM10" s="8">
        <f>IF($A10=AM$1,0,IF(SUM(IMshareM!AM$2:AM$78)-IMshareM!AM$39&gt;0,IMshareM!AM10/(SUM(IMshareM!AM$2:AM$78)-IMshareM!AM$39),0))</f>
        <v>0</v>
      </c>
      <c r="AN10" s="8">
        <f>IF($A10=AN$1,0,IF(SUM(IMshareM!AN$2:AN$78)-IMshareM!AN$40&gt;0,IMshareM!AN10/(SUM(IMshareM!AN$2:AN$78)-IMshareM!AN$40),0))</f>
        <v>6.8922179421674365E-9</v>
      </c>
      <c r="AO10" s="8">
        <f>IF($A10=AO$1,0,IF(SUM(IMshareM!AO$2:AO$78)-IMshareM!AO$41&gt;0,IMshareM!AO10/(SUM(IMshareM!AO$2:AO$78)-IMshareM!AO$41),0))</f>
        <v>0</v>
      </c>
      <c r="AP10" s="8">
        <f>IF($A10=AP$1,0,IF(SUM(IMshareM!AP$2:AP$78)-IMshareM!AP$42&gt;0,IMshareM!AP10/(SUM(IMshareM!AP$2:AP$78)-IMshareM!AP$42),0))</f>
        <v>0</v>
      </c>
      <c r="AQ10" s="8">
        <f>IF($A10=AQ$1,0,IF(SUM(IMshareM!AQ$2:AQ$78)-IMshareM!AQ$43&gt;0,IMshareM!AQ10/(SUM(IMshareM!AQ$2:AQ$78)-IMshareM!AQ$43),0))</f>
        <v>3.1061195299248642E-8</v>
      </c>
      <c r="AR10" s="8">
        <f>IF($A10=AR$1,0,IF(SUM(IMshareM!AR$2:AR$78)-IMshareM!AR$44&gt;0,IMshareM!AR10/(SUM(IMshareM!AR$2:AR$78)-IMshareM!AR$44),0))</f>
        <v>0</v>
      </c>
      <c r="AS10" s="8">
        <f>IF($A10=AS$1,0,IF(SUM(IMshareM!AS$2:AS$78)-IMshareM!AS$45&gt;0,IMshareM!AS10/(SUM(IMshareM!AS$2:AS$78)-IMshareM!AS$45),0))</f>
        <v>0</v>
      </c>
      <c r="AT10" s="8">
        <f>IF($A10=AT$1,0,IF(SUM(IMshareM!AT$2:AT$78)-IMshareM!AT$46&gt;0,IMshareM!AT10/(SUM(IMshareM!AT$2:AT$78)-IMshareM!AT$46),0))</f>
        <v>0</v>
      </c>
      <c r="AU10" s="8">
        <f>IF($A10=AU$1,0,IF(SUM(IMshareM!AU$2:AU$78)-IMshareM!AU$47&gt;0,IMshareM!AU10/(SUM(IMshareM!AU$2:AU$78)-IMshareM!AU$47),0))</f>
        <v>0</v>
      </c>
      <c r="AV10" s="8">
        <f>IF($A10=AV$1,0,IF(SUM(IMshareM!AV$2:AV$78)-IMshareM!AV$48&gt;0,IMshareM!AV10/(SUM(IMshareM!AV$2:AV$78)-IMshareM!AV$48),0))</f>
        <v>0</v>
      </c>
      <c r="AW10" s="8">
        <f>IF($A10=AW$1,0,IF(SUM(IMshareM!AW$2:AW$78)-IMshareM!AW$49&gt;0,IMshareM!AW10/(SUM(IMshareM!AW$2:AW$78)-IMshareM!AW$49),0))</f>
        <v>0</v>
      </c>
      <c r="AX10" s="8">
        <f>IF($A10=AX$1,0,IF(SUM(IMshareM!AX$2:AX$78)-IMshareM!AX$50&gt;0,IMshareM!AX10/(SUM(IMshareM!AX$2:AX$78)-IMshareM!AX$50),0))</f>
        <v>0</v>
      </c>
      <c r="AY10" s="8">
        <f>IF($A10=AY$1,0,IF(SUM(IMshareM!AY$2:AY$78)-IMshareM!AY$51&gt;0,IMshareM!AY10/(SUM(IMshareM!AY$2:AY$78)-IMshareM!AY$51),0))</f>
        <v>0</v>
      </c>
      <c r="AZ10" s="8">
        <f>IF($A10=AZ$1,0,IF(SUM(IMshareM!AZ$2:AZ$78)-IMshareM!AZ$52&gt;0,IMshareM!AZ10/(SUM(IMshareM!AZ$2:AZ$78)-IMshareM!AZ$52),0))</f>
        <v>6.399506115366907E-5</v>
      </c>
      <c r="BA10" s="8">
        <f>IF($A10=BA$1,0,IF(SUM(IMshareM!BA$2:BA$78)-IMshareM!BA$53&gt;0,IMshareM!BA10/(SUM(IMshareM!BA$2:BA$78)-IMshareM!BA$53),0))</f>
        <v>0</v>
      </c>
      <c r="BB10" s="8">
        <f>IF($A10=BB$1,0,IF(SUM(IMshareM!BB$2:BB$78)-IMshareM!BB$54&gt;0,IMshareM!BB10/(SUM(IMshareM!BB$2:BB$78)-IMshareM!BB$54),0))</f>
        <v>2.1775464731087669E-5</v>
      </c>
      <c r="BC10" s="8">
        <f>IF($A10=BC$1,0,IF(SUM(IMshareM!BC$2:BC$78)-IMshareM!BC$55&gt;0,IMshareM!BC10/(SUM(IMshareM!BC$2:BC$78)-IMshareM!BC$55),0))</f>
        <v>0</v>
      </c>
      <c r="BD10" s="8">
        <f>IF($A10=BD$1,0,IF(SUM(IMshareM!BD$2:BD$78)-IMshareM!BD$56&gt;0,IMshareM!BD10/(SUM(IMshareM!BD$2:BD$78)-IMshareM!BD$56),0))</f>
        <v>0</v>
      </c>
      <c r="BE10" s="8">
        <f>IF($A10=BE$1,0,IF(SUM(IMshareM!BE$2:BE$78)-IMshareM!BE$57&gt;0,IMshareM!BE10/(SUM(IMshareM!BE$2:BE$78)-IMshareM!BE$57),0))</f>
        <v>0</v>
      </c>
      <c r="BF10" s="8">
        <f>IF($A10=BF$1,0,IF(SUM(IMshareM!BF$2:BF$78)-IMshareM!BF$58&gt;0,IMshareM!BF10/(SUM(IMshareM!BF$2:BF$78)-IMshareM!BF$58),0))</f>
        <v>0</v>
      </c>
      <c r="BG10" s="8">
        <f>IF($A10=BG$1,0,IF(SUM(IMshareM!BG$2:BG$78)-IMshareM!BG$59&gt;0,IMshareM!BG10/(SUM(IMshareM!BG$2:BG$78)-IMshareM!BG$59),0))</f>
        <v>0</v>
      </c>
      <c r="BH10" s="8">
        <f>IF($A10=BH$1,0,IF(SUM(IMshareM!BH$2:BH$78)-IMshareM!BH$60&gt;0,IMshareM!BH10/(SUM(IMshareM!BH$2:BH$78)-IMshareM!BH$60),0))</f>
        <v>0</v>
      </c>
      <c r="BI10" s="8">
        <f>IF($A10=BI$1,0,IF(SUM(IMshareM!BI$2:BI$78)-IMshareM!BI$61&gt;0,IMshareM!BI10/(SUM(IMshareM!BI$2:BI$78)-IMshareM!BI$61),0))</f>
        <v>0</v>
      </c>
      <c r="BJ10" s="8">
        <f>IF($A10=BJ$1,0,IF(SUM(IMshareM!BJ$2:BJ$78)-IMshareM!BJ$62&gt;0,IMshareM!BJ10/(SUM(IMshareM!BJ$2:BJ$78)-IMshareM!BJ$62),0))</f>
        <v>0</v>
      </c>
      <c r="BK10" s="8">
        <f>IF($A10=BK$1,0,IF(SUM(IMshareM!BK$2:BK$78)-IMshareM!BK$63&gt;0,IMshareM!BK10/(SUM(IMshareM!BK$2:BK$78)-IMshareM!BK$63),0))</f>
        <v>0</v>
      </c>
      <c r="BL10" s="8">
        <f>IF($A10=BL$1,0,IF(SUM(IMshareM!BL$2:BL$78)-IMshareM!BL$64&gt;0,IMshareM!BL10/(SUM(IMshareM!BL$2:BL$78)-IMshareM!BL$64),0))</f>
        <v>0</v>
      </c>
      <c r="BM10" s="8">
        <f>IF($A10=BM$1,0,IF(SUM(IMshareM!BM$2:BM$78)-IMshareM!BM$65&gt;0,IMshareM!BM10/(SUM(IMshareM!BM$2:BM$78)-IMshareM!BM$65),0))</f>
        <v>0</v>
      </c>
      <c r="BN10" s="8">
        <f>IF($A10=BN$1,0,IF(SUM(IMshareM!BN$2:BN$78)-IMshareM!BN$66&gt;0,IMshareM!BN10/(SUM(IMshareM!BN$2:BN$78)-IMshareM!BN$66),0))</f>
        <v>3.3599547740089289E-5</v>
      </c>
      <c r="BO10" s="8">
        <f>IF($A10=BO$1,0,IF(SUM(IMshareM!BO$2:BO$78)-IMshareM!BO$67&gt;0,IMshareM!BO10/(SUM(IMshareM!BO$2:BO$78)-IMshareM!BO$67),0))</f>
        <v>0</v>
      </c>
      <c r="BP10" s="8">
        <f>IF($A10=BP$1,0,IF(SUM(IMshareM!BP$2:BP$78)-IMshareM!BP$68&gt;0,IMshareM!BP10/(SUM(IMshareM!BP$2:BP$78)-IMshareM!BP$68),0))</f>
        <v>0</v>
      </c>
      <c r="BQ10" s="8">
        <f>IF($A10=BQ$1,0,IF(SUM(IMshareM!BQ$2:BQ$78)-IMshareM!BQ$69&gt;0,IMshareM!BQ10/(SUM(IMshareM!BQ$2:BQ$78)-IMshareM!BQ$69),0))</f>
        <v>0</v>
      </c>
      <c r="BR10" s="8">
        <f>IF($A10=BR$1,0,IF(SUM(IMshareM!BR$2:BR$78)-IMshareM!BR$70&gt;0,IMshareM!BR10/(SUM(IMshareM!BR$2:BR$78)-IMshareM!BR$70),0))</f>
        <v>1.3164311062095758E-6</v>
      </c>
      <c r="BS10" s="8">
        <f>IF($A10=BS$1,0,IF(SUM(IMshareM!BS$2:BS$78)-IMshareM!BS$71&gt;0,IMshareM!BS10/(SUM(IMshareM!BS$2:BS$78)-IMshareM!BS$71),0))</f>
        <v>0</v>
      </c>
      <c r="BT10" s="8">
        <f>IF($A10=BT$1,0,IF(SUM(IMshareM!BT$2:BT$78)-IMshareM!BT$72&gt;0,IMshareM!BT10/(SUM(IMshareM!BT$2:BT$78)-IMshareM!BT$72),0))</f>
        <v>0</v>
      </c>
      <c r="BU10" s="8">
        <f>IF($A10=BU$1,0,IF(SUM(IMshareM!BU$2:BU$78)-IMshareM!BU$73&gt;0,IMshareM!BU10/(SUM(IMshareM!BU$2:BU$78)-IMshareM!BU$73),0))</f>
        <v>0</v>
      </c>
      <c r="BV10" s="8">
        <f>IF($A10=BV$1,0,IF(SUM(IMshareM!BV$2:BV$78)-IMshareM!BV$74&gt;0,IMshareM!BV10/(SUM(IMshareM!BV$2:BV$78)-IMshareM!BV$74),0))</f>
        <v>0</v>
      </c>
      <c r="BW10" s="8">
        <f>IF($A10=BW$1,0,IF(SUM(IMshareM!BW$2:BW$78)-IMshareM!BW$75&gt;0,IMshareM!BW10/(SUM(IMshareM!BW$2:BW$78)-IMshareM!BW$75),0))</f>
        <v>2.9268542104696853E-7</v>
      </c>
      <c r="BX10" s="8">
        <f>IF($A10=BX$1,0,IF(SUM(IMshareM!BX$2:BX$78)-IMshareM!BX$76&gt;0,IMshareM!BX10/(SUM(IMshareM!BX$2:BX$78)-IMshareM!BX$76),0))</f>
        <v>1.7288965271925116E-6</v>
      </c>
      <c r="BY10" s="8">
        <f>IF($A10=BY$1,0,IF(SUM(IMshareM!BY$2:BY$78)-IMshareM!BY$77&gt;0,IMshareM!BY10/(SUM(IMshareM!BY$2:BY$78)-IMshareM!BY$77),0))</f>
        <v>0</v>
      </c>
      <c r="BZ10" s="8">
        <f>IF($A10=BZ$1,0,IF(SUM(IMshareM!BZ$2:BZ$78)-IMshareM!BZ$78&gt;0,IMshareM!BZ10/(SUM(IMshareM!BZ$2:BZ$78)-IMshareM!BZ$78),0))</f>
        <v>7.6932464254242128E-7</v>
      </c>
    </row>
    <row r="11" spans="1:78">
      <c r="A11" s="4" t="s">
        <v>89</v>
      </c>
      <c r="B11" s="8">
        <f>IF($A11=B$1,0,IF(SUM(IMshareM!B$2:B$78)-IMshareM!B$2&gt;0,IMshareM!B11/(SUM(IMshareM!B$2:B$78)-IMshareM!B$2),0))</f>
        <v>9.4707628506675182E-4</v>
      </c>
      <c r="C11" s="8">
        <f>IF($A11=C$1,0,IF(SUM(IMshareM!C$2:C$78)-IMshareM!C$3&gt;0,IMshareM!C11/(SUM(IMshareM!C$2:C$78)-IMshareM!C$3),0))</f>
        <v>4.7417982861695388E-3</v>
      </c>
      <c r="D11" s="8">
        <f>IF($A11=D$1,0,IF(SUM(IMshareM!D$2:D$78)-IMshareM!D$4&gt;0,IMshareM!D11/(SUM(IMshareM!D$2:D$78)-IMshareM!D$4),0))</f>
        <v>1.34151978838878E-3</v>
      </c>
      <c r="E11" s="8">
        <f>IF($A11=E$1,0,IF(SUM(IMshareM!E$2:E$78)-IMshareM!E$5&gt;0,IMshareM!E11/(SUM(IMshareM!E$2:E$78)-IMshareM!E$5),0))</f>
        <v>3.2454419226566633E-3</v>
      </c>
      <c r="F11" s="8">
        <f>IF($A11=F$1,0,IF(SUM(IMshareM!F$2:F$78)-IMshareM!F$6&gt;0,IMshareM!F11/(SUM(IMshareM!F$2:F$78)-IMshareM!F$6),0))</f>
        <v>1.0077175885889558E-5</v>
      </c>
      <c r="G11" s="8">
        <f>IF($A11=G$1,0,IF(SUM(IMshareM!G$2:G$78)-IMshareM!G$7&gt;0,IMshareM!G11/(SUM(IMshareM!G$2:G$78)-IMshareM!G$7),0))</f>
        <v>1.2678220164047036E-4</v>
      </c>
      <c r="H11" s="8">
        <f>IF($A11=H$1,0,IF(SUM(IMshareM!H$2:H$78)-IMshareM!H$8&gt;0,IMshareM!H11/(SUM(IMshareM!H$2:H$78)-IMshareM!H$8),0))</f>
        <v>2.4485572091477247E-4</v>
      </c>
      <c r="I11" s="8">
        <f>IF($A11=I$1,0,IF(SUM(IMshareM!I$2:I$78)-IMshareM!I$9&gt;0,IMshareM!I11/(SUM(IMshareM!I$2:I$78)-IMshareM!I$9),0))</f>
        <v>3.1804326538571932E-4</v>
      </c>
      <c r="J11" s="8">
        <f>IF($A11=J$1,0,IF(SUM(IMshareM!J$2:J$78)-IMshareM!J$10&gt;0,IMshareM!J11/(SUM(IMshareM!J$2:J$78)-IMshareM!J$10),0))</f>
        <v>7.4193332241416282E-4</v>
      </c>
      <c r="K11" s="8">
        <f>IF($A11=K$1,0,IF(SUM(IMshareM!K$2:K$78)-IMshareM!K$11&gt;0,IMshareM!K11/(SUM(IMshareM!K$2:K$78)-IMshareM!K$11),0))</f>
        <v>0</v>
      </c>
      <c r="L11" s="8">
        <f>IF($A11=L$1,0,IF(SUM(IMshareM!L$2:L$78)-IMshareM!L$12&gt;0,IMshareM!L11/(SUM(IMshareM!L$2:L$78)-IMshareM!L$12),0))</f>
        <v>1.1127869444849162E-3</v>
      </c>
      <c r="M11" s="8">
        <f>IF($A11=M$1,0,IF(SUM(IMshareM!M$2:M$78)-IMshareM!M$13&gt;0,IMshareM!M11/(SUM(IMshareM!M$2:M$78)-IMshareM!M$13),0))</f>
        <v>9.7094073424910292E-4</v>
      </c>
      <c r="N11" s="8">
        <f>IF($A11=N$1,0,IF(SUM(IMshareM!N$2:N$78)-IMshareM!N$14&gt;0,IMshareM!N11/(SUM(IMshareM!N$2:N$78)-IMshareM!N$14),0))</f>
        <v>6.4392230267499781E-4</v>
      </c>
      <c r="O11" s="8">
        <f>IF($A11=O$1,0,IF(SUM(IMshareM!O$2:O$78)-IMshareM!O$15&gt;0,IMshareM!O11/(SUM(IMshareM!O$2:O$78)-IMshareM!O$15),0))</f>
        <v>3.8231140441423412E-4</v>
      </c>
      <c r="P11" s="8">
        <f>IF($A11=P$1,0,IF(SUM(IMshareM!P$2:P$78)-IMshareM!P$16&gt;0,IMshareM!P11/(SUM(IMshareM!P$2:P$78)-IMshareM!P$16),0))</f>
        <v>0</v>
      </c>
      <c r="Q11" s="8">
        <f>IF($A11=Q$1,0,IF(SUM(IMshareM!Q$2:Q$78)-IMshareM!Q$17&gt;0,IMshareM!Q11/(SUM(IMshareM!Q$2:Q$78)-IMshareM!Q$17),0))</f>
        <v>4.7487956510078669E-4</v>
      </c>
      <c r="R11" s="8">
        <f>IF($A11=R$1,0,IF(SUM(IMshareM!R$2:R$78)-IMshareM!R$18&gt;0,IMshareM!R11/(SUM(IMshareM!R$2:R$78)-IMshareM!R$18),0))</f>
        <v>4.3020440035272476E-3</v>
      </c>
      <c r="S11" s="8">
        <f>IF($A11=S$1,0,IF(SUM(IMshareM!S$2:S$78)-IMshareM!S$19&gt;0,IMshareM!S11/(SUM(IMshareM!S$2:S$78)-IMshareM!S$19),0))</f>
        <v>4.977506564772384E-5</v>
      </c>
      <c r="T11" s="8">
        <f>IF($A11=T$1,0,IF(SUM(IMshareM!T$2:T$78)-IMshareM!T$20&gt;0,IMshareM!T11/(SUM(IMshareM!T$2:T$78)-IMshareM!T$20),0))</f>
        <v>3.7486284584916399E-4</v>
      </c>
      <c r="U11" s="8">
        <f>IF($A11=U$1,0,IF(SUM(IMshareM!U$2:U$78)-IMshareM!U$21&gt;0,IMshareM!U11/(SUM(IMshareM!U$2:U$78)-IMshareM!U$21),0))</f>
        <v>6.1424119177199751E-3</v>
      </c>
      <c r="V11" s="8">
        <f>IF($A11=V$1,0,IF(SUM(IMshareM!V$2:V$78)-IMshareM!V$22&gt;0,IMshareM!V11/(SUM(IMshareM!V$2:V$78)-IMshareM!V$22),0))</f>
        <v>1.4970251851850171E-2</v>
      </c>
      <c r="W11" s="8">
        <f>IF($A11=W$1,0,IF(SUM(IMshareM!W$2:W$78)-IMshareM!W$23&gt;0,IMshareM!W11/(SUM(IMshareM!W$2:W$78)-IMshareM!W$23),0))</f>
        <v>1.138284560244417E-4</v>
      </c>
      <c r="X11" s="8">
        <f>IF($A11=X$1,0,IF(SUM(IMshareM!X$2:X$78)-IMshareM!X$24&gt;0,IMshareM!X11/(SUM(IMshareM!X$2:X$78)-IMshareM!X$24),0))</f>
        <v>8.5618090591226481E-4</v>
      </c>
      <c r="Y11" s="8">
        <f>IF($A11=Y$1,0,IF(SUM(IMshareM!Y$2:Y$78)-IMshareM!Y$25&gt;0,IMshareM!Y11/(SUM(IMshareM!Y$2:Y$78)-IMshareM!Y$25),0))</f>
        <v>7.4217739241699667E-3</v>
      </c>
      <c r="Z11" s="8">
        <f>IF($A11=Z$1,0,IF(SUM(IMshareM!Z$2:Z$78)-IMshareM!Z$26&gt;0,IMshareM!Z11/(SUM(IMshareM!Z$2:Z$78)-IMshareM!Z$26),0))</f>
        <v>2.5325588646167737E-4</v>
      </c>
      <c r="AA11" s="8">
        <f>IF($A11=AA$1,0,IF(SUM(IMshareM!AA$2:AA$78)-IMshareM!AA$27&gt;0,IMshareM!AA11/(SUM(IMshareM!AA$2:AA$78)-IMshareM!AA$27),0))</f>
        <v>1.0943891328648616E-3</v>
      </c>
      <c r="AB11" s="8">
        <f>IF($A11=AB$1,0,IF(SUM(IMshareM!AB$2:AB$78)-IMshareM!AB$28&gt;0,IMshareM!AB11/(SUM(IMshareM!AB$2:AB$78)-IMshareM!AB$28),0))</f>
        <v>1.4852841601344032E-2</v>
      </c>
      <c r="AC11" s="8">
        <f>IF($A11=AC$1,0,IF(SUM(IMshareM!AC$2:AC$78)-IMshareM!AC$29&gt;0,IMshareM!AC11/(SUM(IMshareM!AC$2:AC$78)-IMshareM!AC$29),0))</f>
        <v>2.399256823336678E-4</v>
      </c>
      <c r="AD11" s="8">
        <f>IF($A11=AD$1,0,IF(SUM(IMshareM!AD$2:AD$78)-IMshareM!AD$30&gt;0,IMshareM!AD11/(SUM(IMshareM!AD$2:AD$78)-IMshareM!AD$30),0))</f>
        <v>2.5557658384939581E-5</v>
      </c>
      <c r="AE11" s="8">
        <f>IF($A11=AE$1,0,IF(SUM(IMshareM!AE$2:AE$78)-IMshareM!AE$31&gt;0,IMshareM!AE11/(SUM(IMshareM!AE$2:AE$78)-IMshareM!AE$31),0))</f>
        <v>2.3957118786738999E-4</v>
      </c>
      <c r="AF11" s="8">
        <f>IF($A11=AF$1,0,IF(SUM(IMshareM!AF$2:AF$78)-IMshareM!AF$32&gt;0,IMshareM!AF11/(SUM(IMshareM!AF$2:AF$78)-IMshareM!AF$32),0))</f>
        <v>1.3854777953775158E-4</v>
      </c>
      <c r="AG11" s="8">
        <f>IF($A11=AG$1,0,IF(SUM(IMshareM!AG$2:AG$78)-IMshareM!AG$33&gt;0,IMshareM!AG11/(SUM(IMshareM!AG$2:AG$78)-IMshareM!AG$33),0))</f>
        <v>1.5866446515657203E-3</v>
      </c>
      <c r="AH11" s="8">
        <f>IF($A11=AH$1,0,IF(SUM(IMshareM!AH$2:AH$78)-IMshareM!AH$34&gt;0,IMshareM!AH11/(SUM(IMshareM!AH$2:AH$78)-IMshareM!AH$34),0))</f>
        <v>1.0673992795794407E-3</v>
      </c>
      <c r="AI11" s="8">
        <f>IF($A11=AI$1,0,IF(SUM(IMshareM!AI$2:AI$78)-IMshareM!AI$35&gt;0,IMshareM!AI11/(SUM(IMshareM!AI$2:AI$78)-IMshareM!AI$35),0))</f>
        <v>6.2496278760931399E-4</v>
      </c>
      <c r="AJ11" s="8">
        <f>IF($A11=AJ$1,0,IF(SUM(IMshareM!AJ$2:AJ$78)-IMshareM!AJ$36&gt;0,IMshareM!AJ11/(SUM(IMshareM!AJ$2:AJ$78)-IMshareM!AJ$36),0))</f>
        <v>3.8523350757378406E-3</v>
      </c>
      <c r="AK11" s="8">
        <f>IF($A11=AK$1,0,IF(SUM(IMshareM!AK$2:AK$78)-IMshareM!AK$37&gt;0,IMshareM!AK11/(SUM(IMshareM!AK$2:AK$78)-IMshareM!AK$37),0))</f>
        <v>1.3907153140113734E-3</v>
      </c>
      <c r="AL11" s="8">
        <f>IF($A11=AL$1,0,IF(SUM(IMshareM!AL$2:AL$78)-IMshareM!AL$38&gt;0,IMshareM!AL11/(SUM(IMshareM!AL$2:AL$78)-IMshareM!AL$38),0))</f>
        <v>4.2352335292803237E-4</v>
      </c>
      <c r="AM11" s="8">
        <f>IF($A11=AM$1,0,IF(SUM(IMshareM!AM$2:AM$78)-IMshareM!AM$39&gt;0,IMshareM!AM11/(SUM(IMshareM!AM$2:AM$78)-IMshareM!AM$39),0))</f>
        <v>3.6284990212002641E-3</v>
      </c>
      <c r="AN11" s="8">
        <f>IF($A11=AN$1,0,IF(SUM(IMshareM!AN$2:AN$78)-IMshareM!AN$40&gt;0,IMshareM!AN11/(SUM(IMshareM!AN$2:AN$78)-IMshareM!AN$40),0))</f>
        <v>7.9899354873606537E-3</v>
      </c>
      <c r="AO11" s="8">
        <f>IF($A11=AO$1,0,IF(SUM(IMshareM!AO$2:AO$78)-IMshareM!AO$41&gt;0,IMshareM!AO11/(SUM(IMshareM!AO$2:AO$78)-IMshareM!AO$41),0))</f>
        <v>2.2038408857415225E-4</v>
      </c>
      <c r="AP11" s="8">
        <f>IF($A11=AP$1,0,IF(SUM(IMshareM!AP$2:AP$78)-IMshareM!AP$42&gt;0,IMshareM!AP11/(SUM(IMshareM!AP$2:AP$78)-IMshareM!AP$42),0))</f>
        <v>0</v>
      </c>
      <c r="AQ11" s="8">
        <f>IF($A11=AQ$1,0,IF(SUM(IMshareM!AQ$2:AQ$78)-IMshareM!AQ$43&gt;0,IMshareM!AQ11/(SUM(IMshareM!AQ$2:AQ$78)-IMshareM!AQ$43),0))</f>
        <v>3.2363296957641652E-4</v>
      </c>
      <c r="AR11" s="8">
        <f>IF($A11=AR$1,0,IF(SUM(IMshareM!AR$2:AR$78)-IMshareM!AR$44&gt;0,IMshareM!AR11/(SUM(IMshareM!AR$2:AR$78)-IMshareM!AR$44),0))</f>
        <v>6.2575014986767527E-5</v>
      </c>
      <c r="AS11" s="8">
        <f>IF($A11=AS$1,0,IF(SUM(IMshareM!AS$2:AS$78)-IMshareM!AS$45&gt;0,IMshareM!AS11/(SUM(IMshareM!AS$2:AS$78)-IMshareM!AS$45),0))</f>
        <v>1.3374203491683348E-4</v>
      </c>
      <c r="AT11" s="8">
        <f>IF($A11=AT$1,0,IF(SUM(IMshareM!AT$2:AT$78)-IMshareM!AT$46&gt;0,IMshareM!AT11/(SUM(IMshareM!AT$2:AT$78)-IMshareM!AT$46),0))</f>
        <v>1.139634641166174E-3</v>
      </c>
      <c r="AU11" s="8">
        <f>IF($A11=AU$1,0,IF(SUM(IMshareM!AU$2:AU$78)-IMshareM!AU$47&gt;0,IMshareM!AU11/(SUM(IMshareM!AU$2:AU$78)-IMshareM!AU$47),0))</f>
        <v>9.1201522873942786E-4</v>
      </c>
      <c r="AV11" s="8">
        <f>IF($A11=AV$1,0,IF(SUM(IMshareM!AV$2:AV$78)-IMshareM!AV$48&gt;0,IMshareM!AV11/(SUM(IMshareM!AV$2:AV$78)-IMshareM!AV$48),0))</f>
        <v>1.9941697059380992E-4</v>
      </c>
      <c r="AW11" s="8">
        <f>IF($A11=AW$1,0,IF(SUM(IMshareM!AW$2:AW$78)-IMshareM!AW$49&gt;0,IMshareM!AW11/(SUM(IMshareM!AW$2:AW$78)-IMshareM!AW$49),0))</f>
        <v>1.4592427942272416E-2</v>
      </c>
      <c r="AX11" s="8">
        <f>IF($A11=AX$1,0,IF(SUM(IMshareM!AX$2:AX$78)-IMshareM!AX$50&gt;0,IMshareM!AX11/(SUM(IMshareM!AX$2:AX$78)-IMshareM!AX$50),0))</f>
        <v>1.6194644404406617E-5</v>
      </c>
      <c r="AY11" s="8">
        <f>IF($A11=AY$1,0,IF(SUM(IMshareM!AY$2:AY$78)-IMshareM!AY$51&gt;0,IMshareM!AY11/(SUM(IMshareM!AY$2:AY$78)-IMshareM!AY$51),0))</f>
        <v>2.9759525098029048E-5</v>
      </c>
      <c r="AZ11" s="8">
        <f>IF($A11=AZ$1,0,IF(SUM(IMshareM!AZ$2:AZ$78)-IMshareM!AZ$52&gt;0,IMshareM!AZ11/(SUM(IMshareM!AZ$2:AZ$78)-IMshareM!AZ$52),0))</f>
        <v>2.8519211387924058E-3</v>
      </c>
      <c r="BA11" s="8">
        <f>IF($A11=BA$1,0,IF(SUM(IMshareM!BA$2:BA$78)-IMshareM!BA$53&gt;0,IMshareM!BA11/(SUM(IMshareM!BA$2:BA$78)-IMshareM!BA$53),0))</f>
        <v>6.4019334056989211E-4</v>
      </c>
      <c r="BB11" s="8">
        <f>IF($A11=BB$1,0,IF(SUM(IMshareM!BB$2:BB$78)-IMshareM!BB$54&gt;0,IMshareM!BB11/(SUM(IMshareM!BB$2:BB$78)-IMshareM!BB$54),0))</f>
        <v>2.5516224125470186E-3</v>
      </c>
      <c r="BC11" s="8">
        <f>IF($A11=BC$1,0,IF(SUM(IMshareM!BC$2:BC$78)-IMshareM!BC$55&gt;0,IMshareM!BC11/(SUM(IMshareM!BC$2:BC$78)-IMshareM!BC$55),0))</f>
        <v>6.3350822779571006E-3</v>
      </c>
      <c r="BD11" s="8">
        <f>IF($A11=BD$1,0,IF(SUM(IMshareM!BD$2:BD$78)-IMshareM!BD$56&gt;0,IMshareM!BD11/(SUM(IMshareM!BD$2:BD$78)-IMshareM!BD$56),0))</f>
        <v>3.0268608162382022E-3</v>
      </c>
      <c r="BE11" s="8">
        <f>IF($A11=BE$1,0,IF(SUM(IMshareM!BE$2:BE$78)-IMshareM!BE$57&gt;0,IMshareM!BE11/(SUM(IMshareM!BE$2:BE$78)-IMshareM!BE$57),0))</f>
        <v>2.427168459882654E-3</v>
      </c>
      <c r="BF11" s="8">
        <f>IF($A11=BF$1,0,IF(SUM(IMshareM!BF$2:BF$78)-IMshareM!BF$58&gt;0,IMshareM!BF11/(SUM(IMshareM!BF$2:BF$78)-IMshareM!BF$58),0))</f>
        <v>1.8849078161967249E-3</v>
      </c>
      <c r="BG11" s="8">
        <f>IF($A11=BG$1,0,IF(SUM(IMshareM!BG$2:BG$78)-IMshareM!BG$59&gt;0,IMshareM!BG11/(SUM(IMshareM!BG$2:BG$78)-IMshareM!BG$59),0))</f>
        <v>6.5736428016452652E-5</v>
      </c>
      <c r="BH11" s="8">
        <f>IF($A11=BH$1,0,IF(SUM(IMshareM!BH$2:BH$78)-IMshareM!BH$60&gt;0,IMshareM!BH11/(SUM(IMshareM!BH$2:BH$78)-IMshareM!BH$60),0))</f>
        <v>3.3867007388289632E-3</v>
      </c>
      <c r="BI11" s="8">
        <f>IF($A11=BI$1,0,IF(SUM(IMshareM!BI$2:BI$78)-IMshareM!BI$61&gt;0,IMshareM!BI11/(SUM(IMshareM!BI$2:BI$78)-IMshareM!BI$61),0))</f>
        <v>1.3571180723444625E-4</v>
      </c>
      <c r="BJ11" s="8">
        <f>IF($A11=BJ$1,0,IF(SUM(IMshareM!BJ$2:BJ$78)-IMshareM!BJ$62&gt;0,IMshareM!BJ11/(SUM(IMshareM!BJ$2:BJ$78)-IMshareM!BJ$62),0))</f>
        <v>9.0462143393832059E-4</v>
      </c>
      <c r="BK11" s="8">
        <f>IF($A11=BK$1,0,IF(SUM(IMshareM!BK$2:BK$78)-IMshareM!BK$63&gt;0,IMshareM!BK11/(SUM(IMshareM!BK$2:BK$78)-IMshareM!BK$63),0))</f>
        <v>9.936413690935006E-5</v>
      </c>
      <c r="BL11" s="8">
        <f>IF($A11=BL$1,0,IF(SUM(IMshareM!BL$2:BL$78)-IMshareM!BL$64&gt;0,IMshareM!BL11/(SUM(IMshareM!BL$2:BL$78)-IMshareM!BL$64),0))</f>
        <v>4.0406132188705243E-3</v>
      </c>
      <c r="BM11" s="8">
        <f>IF($A11=BM$1,0,IF(SUM(IMshareM!BM$2:BM$78)-IMshareM!BM$65&gt;0,IMshareM!BM11/(SUM(IMshareM!BM$2:BM$78)-IMshareM!BM$65),0))</f>
        <v>6.0612944946227259E-4</v>
      </c>
      <c r="BN11" s="8">
        <f>IF($A11=BN$1,0,IF(SUM(IMshareM!BN$2:BN$78)-IMshareM!BN$66&gt;0,IMshareM!BN11/(SUM(IMshareM!BN$2:BN$78)-IMshareM!BN$66),0))</f>
        <v>1.472945392092758E-3</v>
      </c>
      <c r="BO11" s="8">
        <f>IF($A11=BO$1,0,IF(SUM(IMshareM!BO$2:BO$78)-IMshareM!BO$67&gt;0,IMshareM!BO11/(SUM(IMshareM!BO$2:BO$78)-IMshareM!BO$67),0))</f>
        <v>1.4402010345486953E-4</v>
      </c>
      <c r="BP11" s="8">
        <f>IF($A11=BP$1,0,IF(SUM(IMshareM!BP$2:BP$78)-IMshareM!BP$68&gt;0,IMshareM!BP11/(SUM(IMshareM!BP$2:BP$78)-IMshareM!BP$68),0))</f>
        <v>2.7867951743559393E-4</v>
      </c>
      <c r="BQ11" s="8">
        <f>IF($A11=BQ$1,0,IF(SUM(IMshareM!BQ$2:BQ$78)-IMshareM!BQ$69&gt;0,IMshareM!BQ11/(SUM(IMshareM!BQ$2:BQ$78)-IMshareM!BQ$69),0))</f>
        <v>8.1044103874835453E-4</v>
      </c>
      <c r="BR11" s="8">
        <f>IF($A11=BR$1,0,IF(SUM(IMshareM!BR$2:BR$78)-IMshareM!BR$70&gt;0,IMshareM!BR11/(SUM(IMshareM!BR$2:BR$78)-IMshareM!BR$70),0))</f>
        <v>1.4856784832078685E-3</v>
      </c>
      <c r="BS11" s="8">
        <f>IF($A11=BS$1,0,IF(SUM(IMshareM!BS$2:BS$78)-IMshareM!BS$71&gt;0,IMshareM!BS11/(SUM(IMshareM!BS$2:BS$78)-IMshareM!BS$71),0))</f>
        <v>9.8705346115757851E-5</v>
      </c>
      <c r="BT11" s="8">
        <f>IF($A11=BT$1,0,IF(SUM(IMshareM!BT$2:BT$78)-IMshareM!BT$72&gt;0,IMshareM!BT11/(SUM(IMshareM!BT$2:BT$78)-IMshareM!BT$72),0))</f>
        <v>5.7621477994838292E-4</v>
      </c>
      <c r="BU11" s="8">
        <f>IF($A11=BU$1,0,IF(SUM(IMshareM!BU$2:BU$78)-IMshareM!BU$73&gt;0,IMshareM!BU11/(SUM(IMshareM!BU$2:BU$78)-IMshareM!BU$73),0))</f>
        <v>2.8404124876108238E-4</v>
      </c>
      <c r="BV11" s="8">
        <f>IF($A11=BV$1,0,IF(SUM(IMshareM!BV$2:BV$78)-IMshareM!BV$74&gt;0,IMshareM!BV11/(SUM(IMshareM!BV$2:BV$78)-IMshareM!BV$74),0))</f>
        <v>1.348709143632659E-3</v>
      </c>
      <c r="BW11" s="8">
        <f>IF($A11=BW$1,0,IF(SUM(IMshareM!BW$2:BW$78)-IMshareM!BW$75&gt;0,IMshareM!BW11/(SUM(IMshareM!BW$2:BW$78)-IMshareM!BW$75),0))</f>
        <v>2.1144281275722637E-2</v>
      </c>
      <c r="BX11" s="8">
        <f>IF($A11=BX$1,0,IF(SUM(IMshareM!BX$2:BX$78)-IMshareM!BX$76&gt;0,IMshareM!BX11/(SUM(IMshareM!BX$2:BX$78)-IMshareM!BX$76),0))</f>
        <v>1.6138898148622607E-5</v>
      </c>
      <c r="BY11" s="8">
        <f>IF($A11=BY$1,0,IF(SUM(IMshareM!BY$2:BY$78)-IMshareM!BY$77&gt;0,IMshareM!BY11/(SUM(IMshareM!BY$2:BY$78)-IMshareM!BY$77),0))</f>
        <v>1.5717037712968884E-3</v>
      </c>
      <c r="BZ11" s="8">
        <f>IF($A11=BZ$1,0,IF(SUM(IMshareM!BZ$2:BZ$78)-IMshareM!BZ$78&gt;0,IMshareM!BZ11/(SUM(IMshareM!BZ$2:BZ$78)-IMshareM!BZ$78),0))</f>
        <v>2.2844681242288356E-3</v>
      </c>
    </row>
    <row r="12" spans="1:78">
      <c r="A12" s="4" t="s">
        <v>91</v>
      </c>
      <c r="B12" s="8">
        <f>IF($A12=B$1,0,IF(SUM(IMshareM!B$2:B$78)-IMshareM!B$2&gt;0,IMshareM!B12/(SUM(IMshareM!B$2:B$78)-IMshareM!B$2),0))</f>
        <v>5.3854236241566442E-3</v>
      </c>
      <c r="C12" s="8">
        <f>IF($A12=C$1,0,IF(SUM(IMshareM!C$2:C$78)-IMshareM!C$3&gt;0,IMshareM!C12/(SUM(IMshareM!C$2:C$78)-IMshareM!C$3),0))</f>
        <v>1.3805758158487679E-2</v>
      </c>
      <c r="D12" s="8">
        <f>IF($A12=D$1,0,IF(SUM(IMshareM!D$2:D$78)-IMshareM!D$4&gt;0,IMshareM!D12/(SUM(IMshareM!D$2:D$78)-IMshareM!D$4),0))</f>
        <v>6.990156730516596E-2</v>
      </c>
      <c r="E12" s="8">
        <f>IF($A12=E$1,0,IF(SUM(IMshareM!E$2:E$78)-IMshareM!E$5&gt;0,IMshareM!E12/(SUM(IMshareM!E$2:E$78)-IMshareM!E$5),0))</f>
        <v>4.3813348657601101E-3</v>
      </c>
      <c r="F12" s="8">
        <f>IF($A12=F$1,0,IF(SUM(IMshareM!F$2:F$78)-IMshareM!F$6&gt;0,IMshareM!F12/(SUM(IMshareM!F$2:F$78)-IMshareM!F$6),0))</f>
        <v>1.2355215697772118E-3</v>
      </c>
      <c r="G12" s="8">
        <f>IF($A12=G$1,0,IF(SUM(IMshareM!G$2:G$78)-IMshareM!G$7&gt;0,IMshareM!G12/(SUM(IMshareM!G$2:G$78)-IMshareM!G$7),0))</f>
        <v>7.3233514868046301E-3</v>
      </c>
      <c r="H12" s="8">
        <f>IF($A12=H$1,0,IF(SUM(IMshareM!H$2:H$78)-IMshareM!H$8&gt;0,IMshareM!H12/(SUM(IMshareM!H$2:H$78)-IMshareM!H$8),0))</f>
        <v>6.7489034816933064E-3</v>
      </c>
      <c r="I12" s="8">
        <f>IF($A12=I$1,0,IF(SUM(IMshareM!I$2:I$78)-IMshareM!I$9&gt;0,IMshareM!I12/(SUM(IMshareM!I$2:I$78)-IMshareM!I$9),0))</f>
        <v>9.7825124324123092E-3</v>
      </c>
      <c r="J12" s="8">
        <f>IF($A12=J$1,0,IF(SUM(IMshareM!J$2:J$78)-IMshareM!J$10&gt;0,IMshareM!J12/(SUM(IMshareM!J$2:J$78)-IMshareM!J$10),0))</f>
        <v>2.2635968438193509E-3</v>
      </c>
      <c r="K12" s="8">
        <f>IF($A12=K$1,0,IF(SUM(IMshareM!K$2:K$78)-IMshareM!K$11&gt;0,IMshareM!K12/(SUM(IMshareM!K$2:K$78)-IMshareM!K$11),0))</f>
        <v>1.056302254173834E-2</v>
      </c>
      <c r="L12" s="8">
        <f>IF($A12=L$1,0,IF(SUM(IMshareM!L$2:L$78)-IMshareM!L$12&gt;0,IMshareM!L12/(SUM(IMshareM!L$2:L$78)-IMshareM!L$12),0))</f>
        <v>0</v>
      </c>
      <c r="M12" s="8">
        <f>IF($A12=M$1,0,IF(SUM(IMshareM!M$2:M$78)-IMshareM!M$13&gt;0,IMshareM!M12/(SUM(IMshareM!M$2:M$78)-IMshareM!M$13),0))</f>
        <v>5.4746986544764625E-4</v>
      </c>
      <c r="N12" s="8">
        <f>IF($A12=N$1,0,IF(SUM(IMshareM!N$2:N$78)-IMshareM!N$14&gt;0,IMshareM!N12/(SUM(IMshareM!N$2:N$78)-IMshareM!N$14),0))</f>
        <v>4.1553987552179511E-2</v>
      </c>
      <c r="O12" s="8">
        <f>IF($A12=O$1,0,IF(SUM(IMshareM!O$2:O$78)-IMshareM!O$15&gt;0,IMshareM!O12/(SUM(IMshareM!O$2:O$78)-IMshareM!O$15),0))</f>
        <v>2.097129002774581E-3</v>
      </c>
      <c r="P12" s="8">
        <f>IF($A12=P$1,0,IF(SUM(IMshareM!P$2:P$78)-IMshareM!P$16&gt;0,IMshareM!P12/(SUM(IMshareM!P$2:P$78)-IMshareM!P$16),0))</f>
        <v>4.6396463537572248E-3</v>
      </c>
      <c r="Q12" s="8">
        <f>IF($A12=Q$1,0,IF(SUM(IMshareM!Q$2:Q$78)-IMshareM!Q$17&gt;0,IMshareM!Q12/(SUM(IMshareM!Q$2:Q$78)-IMshareM!Q$17),0))</f>
        <v>4.2967106856873641E-3</v>
      </c>
      <c r="R12" s="8">
        <f>IF($A12=R$1,0,IF(SUM(IMshareM!R$2:R$78)-IMshareM!R$18&gt;0,IMshareM!R12/(SUM(IMshareM!R$2:R$78)-IMshareM!R$18),0))</f>
        <v>3.9023969976064838E-3</v>
      </c>
      <c r="S12" s="8">
        <f>IF($A12=S$1,0,IF(SUM(IMshareM!S$2:S$78)-IMshareM!S$19&gt;0,IMshareM!S12/(SUM(IMshareM!S$2:S$78)-IMshareM!S$19),0))</f>
        <v>3.6209772089228843E-3</v>
      </c>
      <c r="T12" s="8">
        <f>IF($A12=T$1,0,IF(SUM(IMshareM!T$2:T$78)-IMshareM!T$20&gt;0,IMshareM!T12/(SUM(IMshareM!T$2:T$78)-IMshareM!T$20),0))</f>
        <v>5.1028839133294514E-2</v>
      </c>
      <c r="U12" s="8">
        <f>IF($A12=U$1,0,IF(SUM(IMshareM!U$2:U$78)-IMshareM!U$21&gt;0,IMshareM!U12/(SUM(IMshareM!U$2:U$78)-IMshareM!U$21),0))</f>
        <v>8.6103714857340793E-2</v>
      </c>
      <c r="V12" s="8">
        <f>IF($A12=V$1,0,IF(SUM(IMshareM!V$2:V$78)-IMshareM!V$22&gt;0,IMshareM!V12/(SUM(IMshareM!V$2:V$78)-IMshareM!V$22),0))</f>
        <v>4.1687407936185144E-3</v>
      </c>
      <c r="W12" s="8">
        <f>IF($A12=W$1,0,IF(SUM(IMshareM!W$2:W$78)-IMshareM!W$23&gt;0,IMshareM!W12/(SUM(IMshareM!W$2:W$78)-IMshareM!W$23),0))</f>
        <v>5.03385893110209E-3</v>
      </c>
      <c r="X12" s="8">
        <f>IF($A12=X$1,0,IF(SUM(IMshareM!X$2:X$78)-IMshareM!X$24&gt;0,IMshareM!X12/(SUM(IMshareM!X$2:X$78)-IMshareM!X$24),0))</f>
        <v>2.0849962762689789E-2</v>
      </c>
      <c r="Y12" s="8">
        <f>IF($A12=Y$1,0,IF(SUM(IMshareM!Y$2:Y$78)-IMshareM!Y$25&gt;0,IMshareM!Y12/(SUM(IMshareM!Y$2:Y$78)-IMshareM!Y$25),0))</f>
        <v>0.10451484769237801</v>
      </c>
      <c r="Z12" s="8">
        <f>IF($A12=Z$1,0,IF(SUM(IMshareM!Z$2:Z$78)-IMshareM!Z$26&gt;0,IMshareM!Z12/(SUM(IMshareM!Z$2:Z$78)-IMshareM!Z$26),0))</f>
        <v>4.7547444880165733E-2</v>
      </c>
      <c r="AA12" s="8">
        <f>IF($A12=AA$1,0,IF(SUM(IMshareM!AA$2:AA$78)-IMshareM!AA$27&gt;0,IMshareM!AA12/(SUM(IMshareM!AA$2:AA$78)-IMshareM!AA$27),0))</f>
        <v>2.4504306842558481E-2</v>
      </c>
      <c r="AB12" s="8">
        <f>IF($A12=AB$1,0,IF(SUM(IMshareM!AB$2:AB$78)-IMshareM!AB$28&gt;0,IMshareM!AB12/(SUM(IMshareM!AB$2:AB$78)-IMshareM!AB$28),0))</f>
        <v>4.4270699748616769E-2</v>
      </c>
      <c r="AC12" s="8">
        <f>IF($A12=AC$1,0,IF(SUM(IMshareM!AC$2:AC$78)-IMshareM!AC$29&gt;0,IMshareM!AC12/(SUM(IMshareM!AC$2:AC$78)-IMshareM!AC$29),0))</f>
        <v>2.5923702678004577E-3</v>
      </c>
      <c r="AD12" s="8">
        <f>IF($A12=AD$1,0,IF(SUM(IMshareM!AD$2:AD$78)-IMshareM!AD$30&gt;0,IMshareM!AD12/(SUM(IMshareM!AD$2:AD$78)-IMshareM!AD$30),0))</f>
        <v>2.8616780512525351E-3</v>
      </c>
      <c r="AE12" s="8">
        <f>IF($A12=AE$1,0,IF(SUM(IMshareM!AE$2:AE$78)-IMshareM!AE$31&gt;0,IMshareM!AE12/(SUM(IMshareM!AE$2:AE$78)-IMshareM!AE$31),0))</f>
        <v>1.082385024977636E-2</v>
      </c>
      <c r="AF12" s="8">
        <f>IF($A12=AF$1,0,IF(SUM(IMshareM!AF$2:AF$78)-IMshareM!AF$32&gt;0,IMshareM!AF12/(SUM(IMshareM!AF$2:AF$78)-IMshareM!AF$32),0))</f>
        <v>8.9846945800131934E-3</v>
      </c>
      <c r="AG12" s="8">
        <f>IF($A12=AG$1,0,IF(SUM(IMshareM!AG$2:AG$78)-IMshareM!AG$33&gt;0,IMshareM!AG12/(SUM(IMshareM!AG$2:AG$78)-IMshareM!AG$33),0))</f>
        <v>1.0956355178367442E-3</v>
      </c>
      <c r="AH12" s="8">
        <f>IF($A12=AH$1,0,IF(SUM(IMshareM!AH$2:AH$78)-IMshareM!AH$34&gt;0,IMshareM!AH12/(SUM(IMshareM!AH$2:AH$78)-IMshareM!AH$34),0))</f>
        <v>1.0105585847621735E-2</v>
      </c>
      <c r="AI12" s="8">
        <f>IF($A12=AI$1,0,IF(SUM(IMshareM!AI$2:AI$78)-IMshareM!AI$35&gt;0,IMshareM!AI12/(SUM(IMshareM!AI$2:AI$78)-IMshareM!AI$35),0))</f>
        <v>2.0383667455237064E-2</v>
      </c>
      <c r="AJ12" s="8">
        <f>IF($A12=AJ$1,0,IF(SUM(IMshareM!AJ$2:AJ$78)-IMshareM!AJ$36&gt;0,IMshareM!AJ12/(SUM(IMshareM!AJ$2:AJ$78)-IMshareM!AJ$36),0))</f>
        <v>1.7528989161741251E-2</v>
      </c>
      <c r="AK12" s="8">
        <f>IF($A12=AK$1,0,IF(SUM(IMshareM!AK$2:AK$78)-IMshareM!AK$37&gt;0,IMshareM!AK12/(SUM(IMshareM!AK$2:AK$78)-IMshareM!AK$37),0))</f>
        <v>7.1073981123641883E-2</v>
      </c>
      <c r="AL12" s="8">
        <f>IF($A12=AL$1,0,IF(SUM(IMshareM!AL$2:AL$78)-IMshareM!AL$38&gt;0,IMshareM!AL12/(SUM(IMshareM!AL$2:AL$78)-IMshareM!AL$38),0))</f>
        <v>1.6662692810025404E-2</v>
      </c>
      <c r="AM12" s="8">
        <f>IF($A12=AM$1,0,IF(SUM(IMshareM!AM$2:AM$78)-IMshareM!AM$39&gt;0,IMshareM!AM12/(SUM(IMshareM!AM$2:AM$78)-IMshareM!AM$39),0))</f>
        <v>7.0298775604687464E-3</v>
      </c>
      <c r="AN12" s="8">
        <f>IF($A12=AN$1,0,IF(SUM(IMshareM!AN$2:AN$78)-IMshareM!AN$40&gt;0,IMshareM!AN12/(SUM(IMshareM!AN$2:AN$78)-IMshareM!AN$40),0))</f>
        <v>8.0242294602693581E-3</v>
      </c>
      <c r="AO12" s="8">
        <f>IF($A12=AO$1,0,IF(SUM(IMshareM!AO$2:AO$78)-IMshareM!AO$41&gt;0,IMshareM!AO12/(SUM(IMshareM!AO$2:AO$78)-IMshareM!AO$41),0))</f>
        <v>1.1480458389387889E-2</v>
      </c>
      <c r="AP12" s="8">
        <f>IF($A12=AP$1,0,IF(SUM(IMshareM!AP$2:AP$78)-IMshareM!AP$42&gt;0,IMshareM!AP12/(SUM(IMshareM!AP$2:AP$78)-IMshareM!AP$42),0))</f>
        <v>6.0328979294617419E-5</v>
      </c>
      <c r="AQ12" s="8">
        <f>IF($A12=AQ$1,0,IF(SUM(IMshareM!AQ$2:AQ$78)-IMshareM!AQ$43&gt;0,IMshareM!AQ12/(SUM(IMshareM!AQ$2:AQ$78)-IMshareM!AQ$43),0))</f>
        <v>4.9308934761818713E-3</v>
      </c>
      <c r="AR12" s="8">
        <f>IF($A12=AR$1,0,IF(SUM(IMshareM!AR$2:AR$78)-IMshareM!AR$44&gt;0,IMshareM!AR12/(SUM(IMshareM!AR$2:AR$78)-IMshareM!AR$44),0))</f>
        <v>2.0297715707647199E-4</v>
      </c>
      <c r="AS12" s="8">
        <f>IF($A12=AS$1,0,IF(SUM(IMshareM!AS$2:AS$78)-IMshareM!AS$45&gt;0,IMshareM!AS12/(SUM(IMshareM!AS$2:AS$78)-IMshareM!AS$45),0))</f>
        <v>3.4095140350124853E-3</v>
      </c>
      <c r="AT12" s="8">
        <f>IF($A12=AT$1,0,IF(SUM(IMshareM!AT$2:AT$78)-IMshareM!AT$46&gt;0,IMshareM!AT12/(SUM(IMshareM!AT$2:AT$78)-IMshareM!AT$46),0))</f>
        <v>8.4208841413563537E-3</v>
      </c>
      <c r="AU12" s="8">
        <f>IF($A12=AU$1,0,IF(SUM(IMshareM!AU$2:AU$78)-IMshareM!AU$47&gt;0,IMshareM!AU12/(SUM(IMshareM!AU$2:AU$78)-IMshareM!AU$47),0))</f>
        <v>2.560812252970962E-2</v>
      </c>
      <c r="AV12" s="8">
        <f>IF($A12=AV$1,0,IF(SUM(IMshareM!AV$2:AV$78)-IMshareM!AV$48&gt;0,IMshareM!AV12/(SUM(IMshareM!AV$2:AV$78)-IMshareM!AV$48),0))</f>
        <v>1.991103686609124E-2</v>
      </c>
      <c r="AW12" s="8">
        <f>IF($A12=AW$1,0,IF(SUM(IMshareM!AW$2:AW$78)-IMshareM!AW$49&gt;0,IMshareM!AW12/(SUM(IMshareM!AW$2:AW$78)-IMshareM!AW$49),0))</f>
        <v>1.1619592839478738E-2</v>
      </c>
      <c r="AX12" s="8">
        <f>IF($A12=AX$1,0,IF(SUM(IMshareM!AX$2:AX$78)-IMshareM!AX$50&gt;0,IMshareM!AX12/(SUM(IMshareM!AX$2:AX$78)-IMshareM!AX$50),0))</f>
        <v>8.59806142017909E-3</v>
      </c>
      <c r="AY12" s="8">
        <f>IF($A12=AY$1,0,IF(SUM(IMshareM!AY$2:AY$78)-IMshareM!AY$51&gt;0,IMshareM!AY12/(SUM(IMshareM!AY$2:AY$78)-IMshareM!AY$51),0))</f>
        <v>2.7808031593026718E-4</v>
      </c>
      <c r="AZ12" s="8">
        <f>IF($A12=AZ$1,0,IF(SUM(IMshareM!AZ$2:AZ$78)-IMshareM!AZ$52&gt;0,IMshareM!AZ12/(SUM(IMshareM!AZ$2:AZ$78)-IMshareM!AZ$52),0))</f>
        <v>1.6026265334429177E-2</v>
      </c>
      <c r="BA12" s="8">
        <f>IF($A12=BA$1,0,IF(SUM(IMshareM!BA$2:BA$78)-IMshareM!BA$53&gt;0,IMshareM!BA12/(SUM(IMshareM!BA$2:BA$78)-IMshareM!BA$53),0))</f>
        <v>3.2145499834476343E-2</v>
      </c>
      <c r="BB12" s="8">
        <f>IF($A12=BB$1,0,IF(SUM(IMshareM!BB$2:BB$78)-IMshareM!BB$54&gt;0,IMshareM!BB12/(SUM(IMshareM!BB$2:BB$78)-IMshareM!BB$54),0))</f>
        <v>1.8482176651421291E-2</v>
      </c>
      <c r="BC12" s="8">
        <f>IF($A12=BC$1,0,IF(SUM(IMshareM!BC$2:BC$78)-IMshareM!BC$55&gt;0,IMshareM!BC12/(SUM(IMshareM!BC$2:BC$78)-IMshareM!BC$55),0))</f>
        <v>4.714091460221069E-2</v>
      </c>
      <c r="BD12" s="8">
        <f>IF($A12=BD$1,0,IF(SUM(IMshareM!BD$2:BD$78)-IMshareM!BD$56&gt;0,IMshareM!BD12/(SUM(IMshareM!BD$2:BD$78)-IMshareM!BD$56),0))</f>
        <v>1.7212876533150536E-2</v>
      </c>
      <c r="BE12" s="8">
        <f>IF($A12=BE$1,0,IF(SUM(IMshareM!BE$2:BE$78)-IMshareM!BE$57&gt;0,IMshareM!BE12/(SUM(IMshareM!BE$2:BE$78)-IMshareM!BE$57),0))</f>
        <v>1.1404769210308001E-3</v>
      </c>
      <c r="BF12" s="8">
        <f>IF($A12=BF$1,0,IF(SUM(IMshareM!BF$2:BF$78)-IMshareM!BF$58&gt;0,IMshareM!BF12/(SUM(IMshareM!BF$2:BF$78)-IMshareM!BF$58),0))</f>
        <v>3.0788860198342509E-3</v>
      </c>
      <c r="BG12" s="8">
        <f>IF($A12=BG$1,0,IF(SUM(IMshareM!BG$2:BG$78)-IMshareM!BG$59&gt;0,IMshareM!BG12/(SUM(IMshareM!BG$2:BG$78)-IMshareM!BG$59),0))</f>
        <v>1.1831833511752226E-3</v>
      </c>
      <c r="BH12" s="8">
        <f>IF($A12=BH$1,0,IF(SUM(IMshareM!BH$2:BH$78)-IMshareM!BH$60&gt;0,IMshareM!BH12/(SUM(IMshareM!BH$2:BH$78)-IMshareM!BH$60),0))</f>
        <v>2.2646230520382692E-2</v>
      </c>
      <c r="BI12" s="8">
        <f>IF($A12=BI$1,0,IF(SUM(IMshareM!BI$2:BI$78)-IMshareM!BI$61&gt;0,IMshareM!BI12/(SUM(IMshareM!BI$2:BI$78)-IMshareM!BI$61),0))</f>
        <v>0.13289767060520855</v>
      </c>
      <c r="BJ12" s="8">
        <f>IF($A12=BJ$1,0,IF(SUM(IMshareM!BJ$2:BJ$78)-IMshareM!BJ$62&gt;0,IMshareM!BJ12/(SUM(IMshareM!BJ$2:BJ$78)-IMshareM!BJ$62),0))</f>
        <v>2.5675858268558865E-2</v>
      </c>
      <c r="BK12" s="8">
        <f>IF($A12=BK$1,0,IF(SUM(IMshareM!BK$2:BK$78)-IMshareM!BK$63&gt;0,IMshareM!BK12/(SUM(IMshareM!BK$2:BK$78)-IMshareM!BK$63),0))</f>
        <v>8.8838372197834435E-3</v>
      </c>
      <c r="BL12" s="8">
        <f>IF($A12=BL$1,0,IF(SUM(IMshareM!BL$2:BL$78)-IMshareM!BL$64&gt;0,IMshareM!BL12/(SUM(IMshareM!BL$2:BL$78)-IMshareM!BL$64),0))</f>
        <v>8.3166756981956427E-3</v>
      </c>
      <c r="BM12" s="8">
        <f>IF($A12=BM$1,0,IF(SUM(IMshareM!BM$2:BM$78)-IMshareM!BM$65&gt;0,IMshareM!BM12/(SUM(IMshareM!BM$2:BM$78)-IMshareM!BM$65),0))</f>
        <v>1.5677661038478925E-3</v>
      </c>
      <c r="BN12" s="8">
        <f>IF($A12=BN$1,0,IF(SUM(IMshareM!BN$2:BN$78)-IMshareM!BN$66&gt;0,IMshareM!BN12/(SUM(IMshareM!BN$2:BN$78)-IMshareM!BN$66),0))</f>
        <v>2.3182125367997339E-2</v>
      </c>
      <c r="BO12" s="8">
        <f>IF($A12=BO$1,0,IF(SUM(IMshareM!BO$2:BO$78)-IMshareM!BO$67&gt;0,IMshareM!BO12/(SUM(IMshareM!BO$2:BO$78)-IMshareM!BO$67),0))</f>
        <v>3.287557360368093E-2</v>
      </c>
      <c r="BP12" s="8">
        <f>IF($A12=BP$1,0,IF(SUM(IMshareM!BP$2:BP$78)-IMshareM!BP$68&gt;0,IMshareM!BP12/(SUM(IMshareM!BP$2:BP$78)-IMshareM!BP$68),0))</f>
        <v>1.0497960724947443E-2</v>
      </c>
      <c r="BQ12" s="8">
        <f>IF($A12=BQ$1,0,IF(SUM(IMshareM!BQ$2:BQ$78)-IMshareM!BQ$69&gt;0,IMshareM!BQ12/(SUM(IMshareM!BQ$2:BQ$78)-IMshareM!BQ$69),0))</f>
        <v>9.1174963463175954E-3</v>
      </c>
      <c r="BR12" s="8">
        <f>IF($A12=BR$1,0,IF(SUM(IMshareM!BR$2:BR$78)-IMshareM!BR$70&gt;0,IMshareM!BR12/(SUM(IMshareM!BR$2:BR$78)-IMshareM!BR$70),0))</f>
        <v>4.019580409679732E-3</v>
      </c>
      <c r="BS12" s="8">
        <f>IF($A12=BS$1,0,IF(SUM(IMshareM!BS$2:BS$78)-IMshareM!BS$71&gt;0,IMshareM!BS12/(SUM(IMshareM!BS$2:BS$78)-IMshareM!BS$71),0))</f>
        <v>1.6213282099692684E-2</v>
      </c>
      <c r="BT12" s="8">
        <f>IF($A12=BT$1,0,IF(SUM(IMshareM!BT$2:BT$78)-IMshareM!BT$72&gt;0,IMshareM!BT12/(SUM(IMshareM!BT$2:BT$78)-IMshareM!BT$72),0))</f>
        <v>1.4557851634591459E-2</v>
      </c>
      <c r="BU12" s="8">
        <f>IF($A12=BU$1,0,IF(SUM(IMshareM!BU$2:BU$78)-IMshareM!BU$73&gt;0,IMshareM!BU12/(SUM(IMshareM!BU$2:BU$78)-IMshareM!BU$73),0))</f>
        <v>1.0425183272449994E-2</v>
      </c>
      <c r="BV12" s="8">
        <f>IF($A12=BV$1,0,IF(SUM(IMshareM!BV$2:BV$78)-IMshareM!BV$74&gt;0,IMshareM!BV12/(SUM(IMshareM!BV$2:BV$78)-IMshareM!BV$74),0))</f>
        <v>4.6507466563757947E-2</v>
      </c>
      <c r="BW12" s="8">
        <f>IF($A12=BW$1,0,IF(SUM(IMshareM!BW$2:BW$78)-IMshareM!BW$75&gt;0,IMshareM!BW12/(SUM(IMshareM!BW$2:BW$78)-IMshareM!BW$75),0))</f>
        <v>2.2082952535110958E-2</v>
      </c>
      <c r="BX12" s="8">
        <f>IF($A12=BX$1,0,IF(SUM(IMshareM!BX$2:BX$78)-IMshareM!BX$76&gt;0,IMshareM!BX12/(SUM(IMshareM!BX$2:BX$78)-IMshareM!BX$76),0))</f>
        <v>2.438926896917415E-3</v>
      </c>
      <c r="BY12" s="8">
        <f>IF($A12=BY$1,0,IF(SUM(IMshareM!BY$2:BY$78)-IMshareM!BY$77&gt;0,IMshareM!BY12/(SUM(IMshareM!BY$2:BY$78)-IMshareM!BY$77),0))</f>
        <v>6.5439845417027765E-3</v>
      </c>
      <c r="BZ12" s="8">
        <f>IF($A12=BZ$1,0,IF(SUM(IMshareM!BZ$2:BZ$78)-IMshareM!BZ$78&gt;0,IMshareM!BZ12/(SUM(IMshareM!BZ$2:BZ$78)-IMshareM!BZ$78),0))</f>
        <v>8.5351597100151774E-3</v>
      </c>
    </row>
    <row r="13" spans="1:78">
      <c r="A13" s="4" t="s">
        <v>93</v>
      </c>
      <c r="B13" s="8">
        <f>IF($A13=B$1,0,IF(SUM(IMshareM!B$2:B$78)-IMshareM!B$2&gt;0,IMshareM!B13/(SUM(IMshareM!B$2:B$78)-IMshareM!B$2),0))</f>
        <v>2.244358525943894E-5</v>
      </c>
      <c r="C13" s="8">
        <f>IF($A13=C$1,0,IF(SUM(IMshareM!C$2:C$78)-IMshareM!C$3&gt;0,IMshareM!C13/(SUM(IMshareM!C$2:C$78)-IMshareM!C$3),0))</f>
        <v>1.245876903056675E-4</v>
      </c>
      <c r="D13" s="8">
        <f>IF($A13=D$1,0,IF(SUM(IMshareM!D$2:D$78)-IMshareM!D$4&gt;0,IMshareM!D13/(SUM(IMshareM!D$2:D$78)-IMshareM!D$4),0))</f>
        <v>3.7947482990561505E-6</v>
      </c>
      <c r="E13" s="8">
        <f>IF($A13=E$1,0,IF(SUM(IMshareM!E$2:E$78)-IMshareM!E$5&gt;0,IMshareM!E13/(SUM(IMshareM!E$2:E$78)-IMshareM!E$5),0))</f>
        <v>1.3443066264863933E-6</v>
      </c>
      <c r="F13" s="8">
        <f>IF($A13=F$1,0,IF(SUM(IMshareM!F$2:F$78)-IMshareM!F$6&gt;0,IMshareM!F13/(SUM(IMshareM!F$2:F$78)-IMshareM!F$6),0))</f>
        <v>0</v>
      </c>
      <c r="G13" s="8">
        <f>IF($A13=G$1,0,IF(SUM(IMshareM!G$2:G$78)-IMshareM!G$7&gt;0,IMshareM!G13/(SUM(IMshareM!G$2:G$78)-IMshareM!G$7),0))</f>
        <v>0</v>
      </c>
      <c r="H13" s="8">
        <f>IF($A13=H$1,0,IF(SUM(IMshareM!H$2:H$78)-IMshareM!H$8&gt;0,IMshareM!H13/(SUM(IMshareM!H$2:H$78)-IMshareM!H$8),0))</f>
        <v>0</v>
      </c>
      <c r="I13" s="8">
        <f>IF($A13=I$1,0,IF(SUM(IMshareM!I$2:I$78)-IMshareM!I$9&gt;0,IMshareM!I13/(SUM(IMshareM!I$2:I$78)-IMshareM!I$9),0))</f>
        <v>2.1383558833343259E-4</v>
      </c>
      <c r="J13" s="8">
        <f>IF($A13=J$1,0,IF(SUM(IMshareM!J$2:J$78)-IMshareM!J$10&gt;0,IMshareM!J13/(SUM(IMshareM!J$2:J$78)-IMshareM!J$10),0))</f>
        <v>0</v>
      </c>
      <c r="K13" s="8">
        <f>IF($A13=K$1,0,IF(SUM(IMshareM!K$2:K$78)-IMshareM!K$11&gt;0,IMshareM!K13/(SUM(IMshareM!K$2:K$78)-IMshareM!K$11),0))</f>
        <v>6.018646412962593E-5</v>
      </c>
      <c r="L13" s="8">
        <f>IF($A13=L$1,0,IF(SUM(IMshareM!L$2:L$78)-IMshareM!L$12&gt;0,IMshareM!L13/(SUM(IMshareM!L$2:L$78)-IMshareM!L$12),0))</f>
        <v>9.7896046718626081E-6</v>
      </c>
      <c r="M13" s="8">
        <f>IF($A13=M$1,0,IF(SUM(IMshareM!M$2:M$78)-IMshareM!M$13&gt;0,IMshareM!M13/(SUM(IMshareM!M$2:M$78)-IMshareM!M$13),0))</f>
        <v>0</v>
      </c>
      <c r="N13" s="8">
        <f>IF($A13=N$1,0,IF(SUM(IMshareM!N$2:N$78)-IMshareM!N$14&gt;0,IMshareM!N13/(SUM(IMshareM!N$2:N$78)-IMshareM!N$14),0))</f>
        <v>3.4024306262141642E-8</v>
      </c>
      <c r="O13" s="8">
        <f>IF($A13=O$1,0,IF(SUM(IMshareM!O$2:O$78)-IMshareM!O$15&gt;0,IMshareM!O13/(SUM(IMshareM!O$2:O$78)-IMshareM!O$15),0))</f>
        <v>0</v>
      </c>
      <c r="P13" s="8">
        <f>IF($A13=P$1,0,IF(SUM(IMshareM!P$2:P$78)-IMshareM!P$16&gt;0,IMshareM!P13/(SUM(IMshareM!P$2:P$78)-IMshareM!P$16),0))</f>
        <v>0</v>
      </c>
      <c r="Q13" s="8">
        <f>IF($A13=Q$1,0,IF(SUM(IMshareM!Q$2:Q$78)-IMshareM!Q$17&gt;0,IMshareM!Q13/(SUM(IMshareM!Q$2:Q$78)-IMshareM!Q$17),0))</f>
        <v>1.2767700282369812E-4</v>
      </c>
      <c r="R13" s="8">
        <f>IF($A13=R$1,0,IF(SUM(IMshareM!R$2:R$78)-IMshareM!R$18&gt;0,IMshareM!R13/(SUM(IMshareM!R$2:R$78)-IMshareM!R$18),0))</f>
        <v>8.1499014272608109E-4</v>
      </c>
      <c r="S13" s="8">
        <f>IF($A13=S$1,0,IF(SUM(IMshareM!S$2:S$78)-IMshareM!S$19&gt;0,IMshareM!S13/(SUM(IMshareM!S$2:S$78)-IMshareM!S$19),0))</f>
        <v>0</v>
      </c>
      <c r="T13" s="8">
        <f>IF($A13=T$1,0,IF(SUM(IMshareM!T$2:T$78)-IMshareM!T$20&gt;0,IMshareM!T13/(SUM(IMshareM!T$2:T$78)-IMshareM!T$20),0))</f>
        <v>0</v>
      </c>
      <c r="U13" s="8">
        <f>IF($A13=U$1,0,IF(SUM(IMshareM!U$2:U$78)-IMshareM!U$21&gt;0,IMshareM!U13/(SUM(IMshareM!U$2:U$78)-IMshareM!U$21),0))</f>
        <v>1.6263091213123044E-6</v>
      </c>
      <c r="V13" s="8">
        <f>IF($A13=V$1,0,IF(SUM(IMshareM!V$2:V$78)-IMshareM!V$22&gt;0,IMshareM!V13/(SUM(IMshareM!V$2:V$78)-IMshareM!V$22),0))</f>
        <v>2.2951468811019821E-5</v>
      </c>
      <c r="W13" s="8">
        <f>IF($A13=W$1,0,IF(SUM(IMshareM!W$2:W$78)-IMshareM!W$23&gt;0,IMshareM!W13/(SUM(IMshareM!W$2:W$78)-IMshareM!W$23),0))</f>
        <v>0</v>
      </c>
      <c r="X13" s="8">
        <f>IF($A13=X$1,0,IF(SUM(IMshareM!X$2:X$78)-IMshareM!X$24&gt;0,IMshareM!X13/(SUM(IMshareM!X$2:X$78)-IMshareM!X$24),0))</f>
        <v>4.296188718093295E-5</v>
      </c>
      <c r="Y13" s="8">
        <f>IF($A13=Y$1,0,IF(SUM(IMshareM!Y$2:Y$78)-IMshareM!Y$25&gt;0,IMshareM!Y13/(SUM(IMshareM!Y$2:Y$78)-IMshareM!Y$25),0))</f>
        <v>0</v>
      </c>
      <c r="Z13" s="8">
        <f>IF($A13=Z$1,0,IF(SUM(IMshareM!Z$2:Z$78)-IMshareM!Z$26&gt;0,IMshareM!Z13/(SUM(IMshareM!Z$2:Z$78)-IMshareM!Z$26),0))</f>
        <v>2.8208290800913984E-5</v>
      </c>
      <c r="AA13" s="8">
        <f>IF($A13=AA$1,0,IF(SUM(IMshareM!AA$2:AA$78)-IMshareM!AA$27&gt;0,IMshareM!AA13/(SUM(IMshareM!AA$2:AA$78)-IMshareM!AA$27),0))</f>
        <v>2.388899977229192E-7</v>
      </c>
      <c r="AB13" s="8">
        <f>IF($A13=AB$1,0,IF(SUM(IMshareM!AB$2:AB$78)-IMshareM!AB$28&gt;0,IMshareM!AB13/(SUM(IMshareM!AB$2:AB$78)-IMshareM!AB$28),0))</f>
        <v>7.4581233965238742E-7</v>
      </c>
      <c r="AC13" s="8">
        <f>IF($A13=AC$1,0,IF(SUM(IMshareM!AC$2:AC$78)-IMshareM!AC$29&gt;0,IMshareM!AC13/(SUM(IMshareM!AC$2:AC$78)-IMshareM!AC$29),0))</f>
        <v>0</v>
      </c>
      <c r="AD13" s="8">
        <f>IF($A13=AD$1,0,IF(SUM(IMshareM!AD$2:AD$78)-IMshareM!AD$30&gt;0,IMshareM!AD13/(SUM(IMshareM!AD$2:AD$78)-IMshareM!AD$30),0))</f>
        <v>0</v>
      </c>
      <c r="AE13" s="8">
        <f>IF($A13=AE$1,0,IF(SUM(IMshareM!AE$2:AE$78)-IMshareM!AE$31&gt;0,IMshareM!AE13/(SUM(IMshareM!AE$2:AE$78)-IMshareM!AE$31),0))</f>
        <v>0</v>
      </c>
      <c r="AF13" s="8">
        <f>IF($A13=AF$1,0,IF(SUM(IMshareM!AF$2:AF$78)-IMshareM!AF$32&gt;0,IMshareM!AF13/(SUM(IMshareM!AF$2:AF$78)-IMshareM!AF$32),0))</f>
        <v>0</v>
      </c>
      <c r="AG13" s="8">
        <f>IF($A13=AG$1,0,IF(SUM(IMshareM!AG$2:AG$78)-IMshareM!AG$33&gt;0,IMshareM!AG13/(SUM(IMshareM!AG$2:AG$78)-IMshareM!AG$33),0))</f>
        <v>2.3448101236844926E-5</v>
      </c>
      <c r="AH13" s="8">
        <f>IF($A13=AH$1,0,IF(SUM(IMshareM!AH$2:AH$78)-IMshareM!AH$34&gt;0,IMshareM!AH13/(SUM(IMshareM!AH$2:AH$78)-IMshareM!AH$34),0))</f>
        <v>1.2482912417106435E-5</v>
      </c>
      <c r="AI13" s="8">
        <f>IF($A13=AI$1,0,IF(SUM(IMshareM!AI$2:AI$78)-IMshareM!AI$35&gt;0,IMshareM!AI13/(SUM(IMshareM!AI$2:AI$78)-IMshareM!AI$35),0))</f>
        <v>6.4303538724154549E-8</v>
      </c>
      <c r="AJ13" s="8">
        <f>IF($A13=AJ$1,0,IF(SUM(IMshareM!AJ$2:AJ$78)-IMshareM!AJ$36&gt;0,IMshareM!AJ13/(SUM(IMshareM!AJ$2:AJ$78)-IMshareM!AJ$36),0))</f>
        <v>2.3019099944890722E-4</v>
      </c>
      <c r="AK13" s="8">
        <f>IF($A13=AK$1,0,IF(SUM(IMshareM!AK$2:AK$78)-IMshareM!AK$37&gt;0,IMshareM!AK13/(SUM(IMshareM!AK$2:AK$78)-IMshareM!AK$37),0))</f>
        <v>0</v>
      </c>
      <c r="AL13" s="8">
        <f>IF($A13=AL$1,0,IF(SUM(IMshareM!AL$2:AL$78)-IMshareM!AL$38&gt;0,IMshareM!AL13/(SUM(IMshareM!AL$2:AL$78)-IMshareM!AL$38),0))</f>
        <v>5.5046862819250415E-5</v>
      </c>
      <c r="AM13" s="8">
        <f>IF($A13=AM$1,0,IF(SUM(IMshareM!AM$2:AM$78)-IMshareM!AM$39&gt;0,IMshareM!AM13/(SUM(IMshareM!AM$2:AM$78)-IMshareM!AM$39),0))</f>
        <v>0</v>
      </c>
      <c r="AN13" s="8">
        <f>IF($A13=AN$1,0,IF(SUM(IMshareM!AN$2:AN$78)-IMshareM!AN$40&gt;0,IMshareM!AN13/(SUM(IMshareM!AN$2:AN$78)-IMshareM!AN$40),0))</f>
        <v>8.0231272666030662E-5</v>
      </c>
      <c r="AO13" s="8">
        <f>IF($A13=AO$1,0,IF(SUM(IMshareM!AO$2:AO$78)-IMshareM!AO$41&gt;0,IMshareM!AO13/(SUM(IMshareM!AO$2:AO$78)-IMshareM!AO$41),0))</f>
        <v>0</v>
      </c>
      <c r="AP13" s="8">
        <f>IF($A13=AP$1,0,IF(SUM(IMshareM!AP$2:AP$78)-IMshareM!AP$42&gt;0,IMshareM!AP13/(SUM(IMshareM!AP$2:AP$78)-IMshareM!AP$42),0))</f>
        <v>0</v>
      </c>
      <c r="AQ13" s="8">
        <f>IF($A13=AQ$1,0,IF(SUM(IMshareM!AQ$2:AQ$78)-IMshareM!AQ$43&gt;0,IMshareM!AQ13/(SUM(IMshareM!AQ$2:AQ$78)-IMshareM!AQ$43),0))</f>
        <v>5.0872178006325163E-8</v>
      </c>
      <c r="AR13" s="8">
        <f>IF($A13=AR$1,0,IF(SUM(IMshareM!AR$2:AR$78)-IMshareM!AR$44&gt;0,IMshareM!AR13/(SUM(IMshareM!AR$2:AR$78)-IMshareM!AR$44),0))</f>
        <v>0</v>
      </c>
      <c r="AS13" s="8">
        <f>IF($A13=AS$1,0,IF(SUM(IMshareM!AS$2:AS$78)-IMshareM!AS$45&gt;0,IMshareM!AS13/(SUM(IMshareM!AS$2:AS$78)-IMshareM!AS$45),0))</f>
        <v>0</v>
      </c>
      <c r="AT13" s="8">
        <f>IF($A13=AT$1,0,IF(SUM(IMshareM!AT$2:AT$78)-IMshareM!AT$46&gt;0,IMshareM!AT13/(SUM(IMshareM!AT$2:AT$78)-IMshareM!AT$46),0))</f>
        <v>0</v>
      </c>
      <c r="AU13" s="8">
        <f>IF($A13=AU$1,0,IF(SUM(IMshareM!AU$2:AU$78)-IMshareM!AU$47&gt;0,IMshareM!AU13/(SUM(IMshareM!AU$2:AU$78)-IMshareM!AU$47),0))</f>
        <v>0</v>
      </c>
      <c r="AV13" s="8">
        <f>IF($A13=AV$1,0,IF(SUM(IMshareM!AV$2:AV$78)-IMshareM!AV$48&gt;0,IMshareM!AV13/(SUM(IMshareM!AV$2:AV$78)-IMshareM!AV$48),0))</f>
        <v>0</v>
      </c>
      <c r="AW13" s="8">
        <f>IF($A13=AW$1,0,IF(SUM(IMshareM!AW$2:AW$78)-IMshareM!AW$49&gt;0,IMshareM!AW13/(SUM(IMshareM!AW$2:AW$78)-IMshareM!AW$49),0))</f>
        <v>4.7782116114559791E-4</v>
      </c>
      <c r="AX13" s="8">
        <f>IF($A13=AX$1,0,IF(SUM(IMshareM!AX$2:AX$78)-IMshareM!AX$50&gt;0,IMshareM!AX13/(SUM(IMshareM!AX$2:AX$78)-IMshareM!AX$50),0))</f>
        <v>0</v>
      </c>
      <c r="AY13" s="8">
        <f>IF($A13=AY$1,0,IF(SUM(IMshareM!AY$2:AY$78)-IMshareM!AY$51&gt;0,IMshareM!AY13/(SUM(IMshareM!AY$2:AY$78)-IMshareM!AY$51),0))</f>
        <v>0</v>
      </c>
      <c r="AZ13" s="8">
        <f>IF($A13=AZ$1,0,IF(SUM(IMshareM!AZ$2:AZ$78)-IMshareM!AZ$52&gt;0,IMshareM!AZ13/(SUM(IMshareM!AZ$2:AZ$78)-IMshareM!AZ$52),0))</f>
        <v>9.0981526002103526E-6</v>
      </c>
      <c r="BA13" s="8">
        <f>IF($A13=BA$1,0,IF(SUM(IMshareM!BA$2:BA$78)-IMshareM!BA$53&gt;0,IMshareM!BA13/(SUM(IMshareM!BA$2:BA$78)-IMshareM!BA$53),0))</f>
        <v>0</v>
      </c>
      <c r="BB13" s="8">
        <f>IF($A13=BB$1,0,IF(SUM(IMshareM!BB$2:BB$78)-IMshareM!BB$54&gt;0,IMshareM!BB13/(SUM(IMshareM!BB$2:BB$78)-IMshareM!BB$54),0))</f>
        <v>2.3861588727403339E-6</v>
      </c>
      <c r="BC13" s="8">
        <f>IF($A13=BC$1,0,IF(SUM(IMshareM!BC$2:BC$78)-IMshareM!BC$55&gt;0,IMshareM!BC13/(SUM(IMshareM!BC$2:BC$78)-IMshareM!BC$55),0))</f>
        <v>0</v>
      </c>
      <c r="BD13" s="8">
        <f>IF($A13=BD$1,0,IF(SUM(IMshareM!BD$2:BD$78)-IMshareM!BD$56&gt;0,IMshareM!BD13/(SUM(IMshareM!BD$2:BD$78)-IMshareM!BD$56),0))</f>
        <v>0</v>
      </c>
      <c r="BE13" s="8">
        <f>IF($A13=BE$1,0,IF(SUM(IMshareM!BE$2:BE$78)-IMshareM!BE$57&gt;0,IMshareM!BE13/(SUM(IMshareM!BE$2:BE$78)-IMshareM!BE$57),0))</f>
        <v>1.824615766066103E-5</v>
      </c>
      <c r="BF13" s="8">
        <f>IF($A13=BF$1,0,IF(SUM(IMshareM!BF$2:BF$78)-IMshareM!BF$58&gt;0,IMshareM!BF13/(SUM(IMshareM!BF$2:BF$78)-IMshareM!BF$58),0))</f>
        <v>1.2761050833447699E-3</v>
      </c>
      <c r="BG13" s="8">
        <f>IF($A13=BG$1,0,IF(SUM(IMshareM!BG$2:BG$78)-IMshareM!BG$59&gt;0,IMshareM!BG13/(SUM(IMshareM!BG$2:BG$78)-IMshareM!BG$59),0))</f>
        <v>1.4799830885218633E-5</v>
      </c>
      <c r="BH13" s="8">
        <f>IF($A13=BH$1,0,IF(SUM(IMshareM!BH$2:BH$78)-IMshareM!BH$60&gt;0,IMshareM!BH13/(SUM(IMshareM!BH$2:BH$78)-IMshareM!BH$60),0))</f>
        <v>3.3679920947779639E-6</v>
      </c>
      <c r="BI13" s="8">
        <f>IF($A13=BI$1,0,IF(SUM(IMshareM!BI$2:BI$78)-IMshareM!BI$61&gt;0,IMshareM!BI13/(SUM(IMshareM!BI$2:BI$78)-IMshareM!BI$61),0))</f>
        <v>1.8151770594179256E-5</v>
      </c>
      <c r="BJ13" s="8">
        <f>IF($A13=BJ$1,0,IF(SUM(IMshareM!BJ$2:BJ$78)-IMshareM!BJ$62&gt;0,IMshareM!BJ13/(SUM(IMshareM!BJ$2:BJ$78)-IMshareM!BJ$62),0))</f>
        <v>0</v>
      </c>
      <c r="BK13" s="8">
        <f>IF($A13=BK$1,0,IF(SUM(IMshareM!BK$2:BK$78)-IMshareM!BK$63&gt;0,IMshareM!BK13/(SUM(IMshareM!BK$2:BK$78)-IMshareM!BK$63),0))</f>
        <v>0</v>
      </c>
      <c r="BL13" s="8">
        <f>IF($A13=BL$1,0,IF(SUM(IMshareM!BL$2:BL$78)-IMshareM!BL$64&gt;0,IMshareM!BL13/(SUM(IMshareM!BL$2:BL$78)-IMshareM!BL$64),0))</f>
        <v>0</v>
      </c>
      <c r="BM13" s="8">
        <f>IF($A13=BM$1,0,IF(SUM(IMshareM!BM$2:BM$78)-IMshareM!BM$65&gt;0,IMshareM!BM13/(SUM(IMshareM!BM$2:BM$78)-IMshareM!BM$65),0))</f>
        <v>0</v>
      </c>
      <c r="BN13" s="8">
        <f>IF($A13=BN$1,0,IF(SUM(IMshareM!BN$2:BN$78)-IMshareM!BN$66&gt;0,IMshareM!BN13/(SUM(IMshareM!BN$2:BN$78)-IMshareM!BN$66),0))</f>
        <v>0</v>
      </c>
      <c r="BO13" s="8">
        <f>IF($A13=BO$1,0,IF(SUM(IMshareM!BO$2:BO$78)-IMshareM!BO$67&gt;0,IMshareM!BO13/(SUM(IMshareM!BO$2:BO$78)-IMshareM!BO$67),0))</f>
        <v>0</v>
      </c>
      <c r="BP13" s="8">
        <f>IF($A13=BP$1,0,IF(SUM(IMshareM!BP$2:BP$78)-IMshareM!BP$68&gt;0,IMshareM!BP13/(SUM(IMshareM!BP$2:BP$78)-IMshareM!BP$68),0))</f>
        <v>4.8103105377893141E-7</v>
      </c>
      <c r="BQ13" s="8">
        <f>IF($A13=BQ$1,0,IF(SUM(IMshareM!BQ$2:BQ$78)-IMshareM!BQ$69&gt;0,IMshareM!BQ13/(SUM(IMshareM!BQ$2:BQ$78)-IMshareM!BQ$69),0))</f>
        <v>1.1912140374413316E-5</v>
      </c>
      <c r="BR13" s="8">
        <f>IF($A13=BR$1,0,IF(SUM(IMshareM!BR$2:BR$78)-IMshareM!BR$70&gt;0,IMshareM!BR13/(SUM(IMshareM!BR$2:BR$78)-IMshareM!BR$70),0))</f>
        <v>1.1394864685036048E-6</v>
      </c>
      <c r="BS13" s="8">
        <f>IF($A13=BS$1,0,IF(SUM(IMshareM!BS$2:BS$78)-IMshareM!BS$71&gt;0,IMshareM!BS13/(SUM(IMshareM!BS$2:BS$78)-IMshareM!BS$71),0))</f>
        <v>0</v>
      </c>
      <c r="BT13" s="8">
        <f>IF($A13=BT$1,0,IF(SUM(IMshareM!BT$2:BT$78)-IMshareM!BT$72&gt;0,IMshareM!BT13/(SUM(IMshareM!BT$2:BT$78)-IMshareM!BT$72),0))</f>
        <v>1.6776004591807461E-5</v>
      </c>
      <c r="BU13" s="8">
        <f>IF($A13=BU$1,0,IF(SUM(IMshareM!BU$2:BU$78)-IMshareM!BU$73&gt;0,IMshareM!BU13/(SUM(IMshareM!BU$2:BU$78)-IMshareM!BU$73),0))</f>
        <v>0</v>
      </c>
      <c r="BV13" s="8">
        <f>IF($A13=BV$1,0,IF(SUM(IMshareM!BV$2:BV$78)-IMshareM!BV$74&gt;0,IMshareM!BV13/(SUM(IMshareM!BV$2:BV$78)-IMshareM!BV$74),0))</f>
        <v>0</v>
      </c>
      <c r="BW13" s="8">
        <f>IF($A13=BW$1,0,IF(SUM(IMshareM!BW$2:BW$78)-IMshareM!BW$75&gt;0,IMshareM!BW13/(SUM(IMshareM!BW$2:BW$78)-IMshareM!BW$75),0))</f>
        <v>3.56554554041636E-4</v>
      </c>
      <c r="BX13" s="8">
        <f>IF($A13=BX$1,0,IF(SUM(IMshareM!BX$2:BX$78)-IMshareM!BX$76&gt;0,IMshareM!BX13/(SUM(IMshareM!BX$2:BX$78)-IMshareM!BX$76),0))</f>
        <v>0</v>
      </c>
      <c r="BY13" s="8">
        <f>IF($A13=BY$1,0,IF(SUM(IMshareM!BY$2:BY$78)-IMshareM!BY$77&gt;0,IMshareM!BY13/(SUM(IMshareM!BY$2:BY$78)-IMshareM!BY$77),0))</f>
        <v>7.3939412842885594E-6</v>
      </c>
      <c r="BZ13" s="8">
        <f>IF($A13=BZ$1,0,IF(SUM(IMshareM!BZ$2:BZ$78)-IMshareM!BZ$78&gt;0,IMshareM!BZ13/(SUM(IMshareM!BZ$2:BZ$78)-IMshareM!BZ$78),0))</f>
        <v>1.7773869051174141E-4</v>
      </c>
    </row>
    <row r="14" spans="1:78">
      <c r="A14" s="4" t="s">
        <v>95</v>
      </c>
      <c r="B14" s="8">
        <f>IF($A14=B$1,0,IF(SUM(IMshareM!B$2:B$78)-IMshareM!B$2&gt;0,IMshareM!B14/(SUM(IMshareM!B$2:B$78)-IMshareM!B$2),0))</f>
        <v>0.49734022403201522</v>
      </c>
      <c r="C14" s="8">
        <f>IF($A14=C$1,0,IF(SUM(IMshareM!C$2:C$78)-IMshareM!C$3&gt;0,IMshareM!C14/(SUM(IMshareM!C$2:C$78)-IMshareM!C$3),0))</f>
        <v>0.46671706206280761</v>
      </c>
      <c r="D14" s="8">
        <f>IF($A14=D$1,0,IF(SUM(IMshareM!D$2:D$78)-IMshareM!D$4&gt;0,IMshareM!D14/(SUM(IMshareM!D$2:D$78)-IMshareM!D$4),0))</f>
        <v>0.152402058578434</v>
      </c>
      <c r="E14" s="8">
        <f>IF($A14=E$1,0,IF(SUM(IMshareM!E$2:E$78)-IMshareM!E$5&gt;0,IMshareM!E14/(SUM(IMshareM!E$2:E$78)-IMshareM!E$5),0))</f>
        <v>0.29454224365527026</v>
      </c>
      <c r="F14" s="8">
        <f>IF($A14=F$1,0,IF(SUM(IMshareM!F$2:F$78)-IMshareM!F$6&gt;0,IMshareM!F14/(SUM(IMshareM!F$2:F$78)-IMshareM!F$6),0))</f>
        <v>0.62276234372411032</v>
      </c>
      <c r="G14" s="8">
        <f>IF($A14=G$1,0,IF(SUM(IMshareM!G$2:G$78)-IMshareM!G$7&gt;0,IMshareM!G14/(SUM(IMshareM!G$2:G$78)-IMshareM!G$7),0))</f>
        <v>0.19760276780339656</v>
      </c>
      <c r="H14" s="8">
        <f>IF($A14=H$1,0,IF(SUM(IMshareM!H$2:H$78)-IMshareM!H$8&gt;0,IMshareM!H14/(SUM(IMshareM!H$2:H$78)-IMshareM!H$8),0))</f>
        <v>0.61035110515549695</v>
      </c>
      <c r="I14" s="8">
        <f>IF($A14=I$1,0,IF(SUM(IMshareM!I$2:I$78)-IMshareM!I$9&gt;0,IMshareM!I14/(SUM(IMshareM!I$2:I$78)-IMshareM!I$9),0))</f>
        <v>0.43186544705992502</v>
      </c>
      <c r="J14" s="8">
        <f>IF($A14=J$1,0,IF(SUM(IMshareM!J$2:J$78)-IMshareM!J$10&gt;0,IMshareM!J14/(SUM(IMshareM!J$2:J$78)-IMshareM!J$10),0))</f>
        <v>0.13759796100552141</v>
      </c>
      <c r="K14" s="8">
        <f>IF($A14=K$1,0,IF(SUM(IMshareM!K$2:K$78)-IMshareM!K$11&gt;0,IMshareM!K14/(SUM(IMshareM!K$2:K$78)-IMshareM!K$11),0))</f>
        <v>0.15509035767678989</v>
      </c>
      <c r="L14" s="8">
        <f>IF($A14=L$1,0,IF(SUM(IMshareM!L$2:L$78)-IMshareM!L$12&gt;0,IMshareM!L14/(SUM(IMshareM!L$2:L$78)-IMshareM!L$12),0))</f>
        <v>0.15758627920903373</v>
      </c>
      <c r="M14" s="8">
        <f>IF($A14=M$1,0,IF(SUM(IMshareM!M$2:M$78)-IMshareM!M$13&gt;0,IMshareM!M14/(SUM(IMshareM!M$2:M$78)-IMshareM!M$13),0))</f>
        <v>0.71577327503788235</v>
      </c>
      <c r="N14" s="8">
        <f>IF($A14=N$1,0,IF(SUM(IMshareM!N$2:N$78)-IMshareM!N$14&gt;0,IMshareM!N14/(SUM(IMshareM!N$2:N$78)-IMshareM!N$14),0))</f>
        <v>0</v>
      </c>
      <c r="O14" s="8">
        <f>IF($A14=O$1,0,IF(SUM(IMshareM!O$2:O$78)-IMshareM!O$15&gt;0,IMshareM!O14/(SUM(IMshareM!O$2:O$78)-IMshareM!O$15),0))</f>
        <v>9.2127585340996743E-2</v>
      </c>
      <c r="P14" s="8">
        <f>IF($A14=P$1,0,IF(SUM(IMshareM!P$2:P$78)-IMshareM!P$16&gt;0,IMshareM!P14/(SUM(IMshareM!P$2:P$78)-IMshareM!P$16),0))</f>
        <v>0.20291721754349409</v>
      </c>
      <c r="Q14" s="8">
        <f>IF($A14=Q$1,0,IF(SUM(IMshareM!Q$2:Q$78)-IMshareM!Q$17&gt;0,IMshareM!Q14/(SUM(IMshareM!Q$2:Q$78)-IMshareM!Q$17),0))</f>
        <v>0.38381095843010854</v>
      </c>
      <c r="R14" s="8">
        <f>IF($A14=R$1,0,IF(SUM(IMshareM!R$2:R$78)-IMshareM!R$18&gt;0,IMshareM!R14/(SUM(IMshareM!R$2:R$78)-IMshareM!R$18),0))</f>
        <v>0.24147872680101976</v>
      </c>
      <c r="S14" s="8">
        <f>IF($A14=S$1,0,IF(SUM(IMshareM!S$2:S$78)-IMshareM!S$19&gt;0,IMshareM!S14/(SUM(IMshareM!S$2:S$78)-IMshareM!S$19),0))</f>
        <v>0.31984347908413147</v>
      </c>
      <c r="T14" s="8">
        <f>IF($A14=T$1,0,IF(SUM(IMshareM!T$2:T$78)-IMshareM!T$20&gt;0,IMshareM!T14/(SUM(IMshareM!T$2:T$78)-IMshareM!T$20),0))</f>
        <v>0.19278467952835646</v>
      </c>
      <c r="U14" s="8">
        <f>IF($A14=U$1,0,IF(SUM(IMshareM!U$2:U$78)-IMshareM!U$21&gt;0,IMshareM!U14/(SUM(IMshareM!U$2:U$78)-IMshareM!U$21),0))</f>
        <v>0.20010462682170865</v>
      </c>
      <c r="V14" s="8">
        <f>IF($A14=V$1,0,IF(SUM(IMshareM!V$2:V$78)-IMshareM!V$22&gt;0,IMshareM!V14/(SUM(IMshareM!V$2:V$78)-IMshareM!V$22),0))</f>
        <v>0.20868156513897529</v>
      </c>
      <c r="W14" s="8">
        <f>IF($A14=W$1,0,IF(SUM(IMshareM!W$2:W$78)-IMshareM!W$23&gt;0,IMshareM!W14/(SUM(IMshareM!W$2:W$78)-IMshareM!W$23),0))</f>
        <v>0.48240393058232123</v>
      </c>
      <c r="X14" s="8">
        <f>IF($A14=X$1,0,IF(SUM(IMshareM!X$2:X$78)-IMshareM!X$24&gt;0,IMshareM!X14/(SUM(IMshareM!X$2:X$78)-IMshareM!X$24),0))</f>
        <v>0.21100302075188951</v>
      </c>
      <c r="Y14" s="8">
        <f>IF($A14=Y$1,0,IF(SUM(IMshareM!Y$2:Y$78)-IMshareM!Y$25&gt;0,IMshareM!Y14/(SUM(IMshareM!Y$2:Y$78)-IMshareM!Y$25),0))</f>
        <v>0.17050235682236764</v>
      </c>
      <c r="Z14" s="8">
        <f>IF($A14=Z$1,0,IF(SUM(IMshareM!Z$2:Z$78)-IMshareM!Z$26&gt;0,IMshareM!Z14/(SUM(IMshareM!Z$2:Z$78)-IMshareM!Z$26),0))</f>
        <v>0.36372646395837593</v>
      </c>
      <c r="AA14" s="8">
        <f>IF($A14=AA$1,0,IF(SUM(IMshareM!AA$2:AA$78)-IMshareM!AA$27&gt;0,IMshareM!AA14/(SUM(IMshareM!AA$2:AA$78)-IMshareM!AA$27),0))</f>
        <v>0.19396893932480241</v>
      </c>
      <c r="AB14" s="8">
        <f>IF($A14=AB$1,0,IF(SUM(IMshareM!AB$2:AB$78)-IMshareM!AB$28&gt;0,IMshareM!AB14/(SUM(IMshareM!AB$2:AB$78)-IMshareM!AB$28),0))</f>
        <v>0.17011587621871474</v>
      </c>
      <c r="AC14" s="8">
        <f>IF($A14=AC$1,0,IF(SUM(IMshareM!AC$2:AC$78)-IMshareM!AC$29&gt;0,IMshareM!AC14/(SUM(IMshareM!AC$2:AC$78)-IMshareM!AC$29),0))</f>
        <v>0.32725768011105955</v>
      </c>
      <c r="AD14" s="8">
        <f>IF($A14=AD$1,0,IF(SUM(IMshareM!AD$2:AD$78)-IMshareM!AD$30&gt;0,IMshareM!AD14/(SUM(IMshareM!AD$2:AD$78)-IMshareM!AD$30),0))</f>
        <v>0.70904643598295902</v>
      </c>
      <c r="AE14" s="8">
        <f>IF($A14=AE$1,0,IF(SUM(IMshareM!AE$2:AE$78)-IMshareM!AE$31&gt;0,IMshareM!AE14/(SUM(IMshareM!AE$2:AE$78)-IMshareM!AE$31),0))</f>
        <v>0.1159748656257498</v>
      </c>
      <c r="AF14" s="8">
        <f>IF($A14=AF$1,0,IF(SUM(IMshareM!AF$2:AF$78)-IMshareM!AF$32&gt;0,IMshareM!AF14/(SUM(IMshareM!AF$2:AF$78)-IMshareM!AF$32),0))</f>
        <v>0.10145962257562267</v>
      </c>
      <c r="AG14" s="8">
        <f>IF($A14=AG$1,0,IF(SUM(IMshareM!AG$2:AG$78)-IMshareM!AG$33&gt;0,IMshareM!AG14/(SUM(IMshareM!AG$2:AG$78)-IMshareM!AG$33),0))</f>
        <v>0.6087328807864828</v>
      </c>
      <c r="AH14" s="8">
        <f>IF($A14=AH$1,0,IF(SUM(IMshareM!AH$2:AH$78)-IMshareM!AH$34&gt;0,IMshareM!AH14/(SUM(IMshareM!AH$2:AH$78)-IMshareM!AH$34),0))</f>
        <v>0.54550960830339867</v>
      </c>
      <c r="AI14" s="8">
        <f>IF($A14=AI$1,0,IF(SUM(IMshareM!AI$2:AI$78)-IMshareM!AI$35&gt;0,IMshareM!AI14/(SUM(IMshareM!AI$2:AI$78)-IMshareM!AI$35),0))</f>
        <v>0.16104332299402133</v>
      </c>
      <c r="AJ14" s="8">
        <f>IF($A14=AJ$1,0,IF(SUM(IMshareM!AJ$2:AJ$78)-IMshareM!AJ$36&gt;0,IMshareM!AJ14/(SUM(IMshareM!AJ$2:AJ$78)-IMshareM!AJ$36),0))</f>
        <v>0.11138627150281173</v>
      </c>
      <c r="AK14" s="8">
        <f>IF($A14=AK$1,0,IF(SUM(IMshareM!AK$2:AK$78)-IMshareM!AK$37&gt;0,IMshareM!AK14/(SUM(IMshareM!AK$2:AK$78)-IMshareM!AK$37),0))</f>
        <v>0.2980724346809408</v>
      </c>
      <c r="AL14" s="8">
        <f>IF($A14=AL$1,0,IF(SUM(IMshareM!AL$2:AL$78)-IMshareM!AL$38&gt;0,IMshareM!AL14/(SUM(IMshareM!AL$2:AL$78)-IMshareM!AL$38),0))</f>
        <v>0.31212775813475668</v>
      </c>
      <c r="AM14" s="8">
        <f>IF($A14=AM$1,0,IF(SUM(IMshareM!AM$2:AM$78)-IMshareM!AM$39&gt;0,IMshareM!AM14/(SUM(IMshareM!AM$2:AM$78)-IMshareM!AM$39),0))</f>
        <v>0.3305584143680641</v>
      </c>
      <c r="AN14" s="8">
        <f>IF($A14=AN$1,0,IF(SUM(IMshareM!AN$2:AN$78)-IMshareM!AN$40&gt;0,IMshareM!AN14/(SUM(IMshareM!AN$2:AN$78)-IMshareM!AN$40),0))</f>
        <v>0.4699075074020892</v>
      </c>
      <c r="AO14" s="8">
        <f>IF($A14=AO$1,0,IF(SUM(IMshareM!AO$2:AO$78)-IMshareM!AO$41&gt;0,IMshareM!AO14/(SUM(IMshareM!AO$2:AO$78)-IMshareM!AO$41),0))</f>
        <v>0.12710150205335838</v>
      </c>
      <c r="AP14" s="8">
        <f>IF($A14=AP$1,0,IF(SUM(IMshareM!AP$2:AP$78)-IMshareM!AP$42&gt;0,IMshareM!AP14/(SUM(IMshareM!AP$2:AP$78)-IMshareM!AP$42),0))</f>
        <v>0.62644742743421744</v>
      </c>
      <c r="AQ14" s="8">
        <f>IF($A14=AQ$1,0,IF(SUM(IMshareM!AQ$2:AQ$78)-IMshareM!AQ$43&gt;0,IMshareM!AQ14/(SUM(IMshareM!AQ$2:AQ$78)-IMshareM!AQ$43),0))</f>
        <v>0.36994381854821462</v>
      </c>
      <c r="AR14" s="8">
        <f>IF($A14=AR$1,0,IF(SUM(IMshareM!AR$2:AR$78)-IMshareM!AR$44&gt;0,IMshareM!AR14/(SUM(IMshareM!AR$2:AR$78)-IMshareM!AR$44),0))</f>
        <v>0.4739079487820716</v>
      </c>
      <c r="AS14" s="8">
        <f>IF($A14=AS$1,0,IF(SUM(IMshareM!AS$2:AS$78)-IMshareM!AS$45&gt;0,IMshareM!AS14/(SUM(IMshareM!AS$2:AS$78)-IMshareM!AS$45),0))</f>
        <v>0.17561786349903089</v>
      </c>
      <c r="AT14" s="8">
        <f>IF($A14=AT$1,0,IF(SUM(IMshareM!AT$2:AT$78)-IMshareM!AT$46&gt;0,IMshareM!AT14/(SUM(IMshareM!AT$2:AT$78)-IMshareM!AT$46),0))</f>
        <v>2.0683292685931921E-2</v>
      </c>
      <c r="AU14" s="8">
        <f>IF($A14=AU$1,0,IF(SUM(IMshareM!AU$2:AU$78)-IMshareM!AU$47&gt;0,IMshareM!AU14/(SUM(IMshareM!AU$2:AU$78)-IMshareM!AU$47),0))</f>
        <v>0.119978792283847</v>
      </c>
      <c r="AV14" s="8">
        <f>IF($A14=AV$1,0,IF(SUM(IMshareM!AV$2:AV$78)-IMshareM!AV$48&gt;0,IMshareM!AV14/(SUM(IMshareM!AV$2:AV$78)-IMshareM!AV$48),0))</f>
        <v>0.33136541397990593</v>
      </c>
      <c r="AW14" s="8">
        <f>IF($A14=AW$1,0,IF(SUM(IMshareM!AW$2:AW$78)-IMshareM!AW$49&gt;0,IMshareM!AW14/(SUM(IMshareM!AW$2:AW$78)-IMshareM!AW$49),0))</f>
        <v>0.41498894246900137</v>
      </c>
      <c r="AX14" s="8">
        <f>IF($A14=AX$1,0,IF(SUM(IMshareM!AX$2:AX$78)-IMshareM!AX$50&gt;0,IMshareM!AX14/(SUM(IMshareM!AX$2:AX$78)-IMshareM!AX$50),0))</f>
        <v>0.84054006882844001</v>
      </c>
      <c r="AY14" s="8">
        <f>IF($A14=AY$1,0,IF(SUM(IMshareM!AY$2:AY$78)-IMshareM!AY$51&gt;0,IMshareM!AY14/(SUM(IMshareM!AY$2:AY$78)-IMshareM!AY$51),0))</f>
        <v>0.67812830186408735</v>
      </c>
      <c r="AZ14" s="8">
        <f>IF($A14=AZ$1,0,IF(SUM(IMshareM!AZ$2:AZ$78)-IMshareM!AZ$52&gt;0,IMshareM!AZ14/(SUM(IMshareM!AZ$2:AZ$78)-IMshareM!AZ$52),0))</f>
        <v>0.42432346789889708</v>
      </c>
      <c r="BA14" s="8">
        <f>IF($A14=BA$1,0,IF(SUM(IMshareM!BA$2:BA$78)-IMshareM!BA$53&gt;0,IMshareM!BA14/(SUM(IMshareM!BA$2:BA$78)-IMshareM!BA$53),0))</f>
        <v>0.69960665164375246</v>
      </c>
      <c r="BB14" s="8">
        <f>IF($A14=BB$1,0,IF(SUM(IMshareM!BB$2:BB$78)-IMshareM!BB$54&gt;0,IMshareM!BB14/(SUM(IMshareM!BB$2:BB$78)-IMshareM!BB$54),0))</f>
        <v>0.25096406507703228</v>
      </c>
      <c r="BC14" s="8">
        <f>IF($A14=BC$1,0,IF(SUM(IMshareM!BC$2:BC$78)-IMshareM!BC$55&gt;0,IMshareM!BC14/(SUM(IMshareM!BC$2:BC$78)-IMshareM!BC$55),0))</f>
        <v>8.8318356444913634E-2</v>
      </c>
      <c r="BD14" s="8">
        <f>IF($A14=BD$1,0,IF(SUM(IMshareM!BD$2:BD$78)-IMshareM!BD$56&gt;0,IMshareM!BD14/(SUM(IMshareM!BD$2:BD$78)-IMshareM!BD$56),0))</f>
        <v>0.31566437042299633</v>
      </c>
      <c r="BE14" s="8">
        <f>IF($A14=BE$1,0,IF(SUM(IMshareM!BE$2:BE$78)-IMshareM!BE$57&gt;0,IMshareM!BE14/(SUM(IMshareM!BE$2:BE$78)-IMshareM!BE$57),0))</f>
        <v>0.81248627473740032</v>
      </c>
      <c r="BF14" s="8">
        <f>IF($A14=BF$1,0,IF(SUM(IMshareM!BF$2:BF$78)-IMshareM!BF$58&gt;0,IMshareM!BF14/(SUM(IMshareM!BF$2:BF$78)-IMshareM!BF$58),0))</f>
        <v>0.28303062621601838</v>
      </c>
      <c r="BG14" s="8">
        <f>IF($A14=BG$1,0,IF(SUM(IMshareM!BG$2:BG$78)-IMshareM!BG$59&gt;0,IMshareM!BG14/(SUM(IMshareM!BG$2:BG$78)-IMshareM!BG$59),0))</f>
        <v>0.33249539193796845</v>
      </c>
      <c r="BH14" s="8">
        <f>IF($A14=BH$1,0,IF(SUM(IMshareM!BH$2:BH$78)-IMshareM!BH$60&gt;0,IMshareM!BH14/(SUM(IMshareM!BH$2:BH$78)-IMshareM!BH$60),0))</f>
        <v>0.25785346648190433</v>
      </c>
      <c r="BI14" s="8">
        <f>IF($A14=BI$1,0,IF(SUM(IMshareM!BI$2:BI$78)-IMshareM!BI$61&gt;0,IMshareM!BI14/(SUM(IMshareM!BI$2:BI$78)-IMshareM!BI$61),0))</f>
        <v>0.20287086279205277</v>
      </c>
      <c r="BJ14" s="8">
        <f>IF($A14=BJ$1,0,IF(SUM(IMshareM!BJ$2:BJ$78)-IMshareM!BJ$62&gt;0,IMshareM!BJ14/(SUM(IMshareM!BJ$2:BJ$78)-IMshareM!BJ$62),0))</f>
        <v>0.27956576127864474</v>
      </c>
      <c r="BK14" s="8">
        <f>IF($A14=BK$1,0,IF(SUM(IMshareM!BK$2:BK$78)-IMshareM!BK$63&gt;0,IMshareM!BK14/(SUM(IMshareM!BK$2:BK$78)-IMshareM!BK$63),0))</f>
        <v>0.54552059264238861</v>
      </c>
      <c r="BL14" s="8">
        <f>IF($A14=BL$1,0,IF(SUM(IMshareM!BL$2:BL$78)-IMshareM!BL$64&gt;0,IMshareM!BL14/(SUM(IMshareM!BL$2:BL$78)-IMshareM!BL$64),0))</f>
        <v>0.19791649759864949</v>
      </c>
      <c r="BM14" s="8">
        <f>IF($A14=BM$1,0,IF(SUM(IMshareM!BM$2:BM$78)-IMshareM!BM$65&gt;0,IMshareM!BM14/(SUM(IMshareM!BM$2:BM$78)-IMshareM!BM$65),0))</f>
        <v>0.23462961617449443</v>
      </c>
      <c r="BN14" s="8">
        <f>IF($A14=BN$1,0,IF(SUM(IMshareM!BN$2:BN$78)-IMshareM!BN$66&gt;0,IMshareM!BN14/(SUM(IMshareM!BN$2:BN$78)-IMshareM!BN$66),0))</f>
        <v>0.19335536290868649</v>
      </c>
      <c r="BO14" s="8">
        <f>IF($A14=BO$1,0,IF(SUM(IMshareM!BO$2:BO$78)-IMshareM!BO$67&gt;0,IMshareM!BO14/(SUM(IMshareM!BO$2:BO$78)-IMshareM!BO$67),0))</f>
        <v>0.11452155557040183</v>
      </c>
      <c r="BP14" s="8">
        <f>IF($A14=BP$1,0,IF(SUM(IMshareM!BP$2:BP$78)-IMshareM!BP$68&gt;0,IMshareM!BP14/(SUM(IMshareM!BP$2:BP$78)-IMshareM!BP$68),0))</f>
        <v>0.22696123165399579</v>
      </c>
      <c r="BQ14" s="8">
        <f>IF($A14=BQ$1,0,IF(SUM(IMshareM!BQ$2:BQ$78)-IMshareM!BQ$69&gt;0,IMshareM!BQ14/(SUM(IMshareM!BQ$2:BQ$78)-IMshareM!BQ$69),0))</f>
        <v>0.31283425886205646</v>
      </c>
      <c r="BR14" s="8">
        <f>IF($A14=BR$1,0,IF(SUM(IMshareM!BR$2:BR$78)-IMshareM!BR$70&gt;0,IMshareM!BR14/(SUM(IMshareM!BR$2:BR$78)-IMshareM!BR$70),0))</f>
        <v>0.52968824162058314</v>
      </c>
      <c r="BS14" s="8">
        <f>IF($A14=BS$1,0,IF(SUM(IMshareM!BS$2:BS$78)-IMshareM!BS$71&gt;0,IMshareM!BS14/(SUM(IMshareM!BS$2:BS$78)-IMshareM!BS$71),0))</f>
        <v>0.37656870896565708</v>
      </c>
      <c r="BT14" s="8">
        <f>IF($A14=BT$1,0,IF(SUM(IMshareM!BT$2:BT$78)-IMshareM!BT$72&gt;0,IMshareM!BT14/(SUM(IMshareM!BT$2:BT$78)-IMshareM!BT$72),0))</f>
        <v>0.40640256182065942</v>
      </c>
      <c r="BU14" s="8">
        <f>IF($A14=BU$1,0,IF(SUM(IMshareM!BU$2:BU$78)-IMshareM!BU$73&gt;0,IMshareM!BU14/(SUM(IMshareM!BU$2:BU$78)-IMshareM!BU$73),0))</f>
        <v>0.28687138515453009</v>
      </c>
      <c r="BV14" s="8">
        <f>IF($A14=BV$1,0,IF(SUM(IMshareM!BV$2:BV$78)-IMshareM!BV$74&gt;0,IMshareM!BV14/(SUM(IMshareM!BV$2:BV$78)-IMshareM!BV$74),0))</f>
        <v>0.56919600479414478</v>
      </c>
      <c r="BW14" s="8">
        <f>IF($A14=BW$1,0,IF(SUM(IMshareM!BW$2:BW$78)-IMshareM!BW$75&gt;0,IMshareM!BW14/(SUM(IMshareM!BW$2:BW$78)-IMshareM!BW$75),0))</f>
        <v>0.16304300502551136</v>
      </c>
      <c r="BX14" s="8">
        <f>IF($A14=BX$1,0,IF(SUM(IMshareM!BX$2:BX$78)-IMshareM!BX$76&gt;0,IMshareM!BX14/(SUM(IMshareM!BX$2:BX$78)-IMshareM!BX$76),0))</f>
        <v>0.6739412338926386</v>
      </c>
      <c r="BY14" s="8">
        <f>IF($A14=BY$1,0,IF(SUM(IMshareM!BY$2:BY$78)-IMshareM!BY$77&gt;0,IMshareM!BY14/(SUM(IMshareM!BY$2:BY$78)-IMshareM!BY$77),0))</f>
        <v>0.35643870267070937</v>
      </c>
      <c r="BZ14" s="8">
        <f>IF($A14=BZ$1,0,IF(SUM(IMshareM!BZ$2:BZ$78)-IMshareM!BZ$78&gt;0,IMshareM!BZ14/(SUM(IMshareM!BZ$2:BZ$78)-IMshareM!BZ$78),0))</f>
        <v>0.28490762852839391</v>
      </c>
    </row>
    <row r="15" spans="1:78">
      <c r="A15" s="4" t="s">
        <v>97</v>
      </c>
      <c r="B15" s="8">
        <f>IF($A15=B$1,0,IF(SUM(IMshareM!B$2:B$78)-IMshareM!B$2&gt;0,IMshareM!B15/(SUM(IMshareM!B$2:B$78)-IMshareM!B$2),0))</f>
        <v>0</v>
      </c>
      <c r="C15" s="8">
        <f>IF($A15=C$1,0,IF(SUM(IMshareM!C$2:C$78)-IMshareM!C$3&gt;0,IMshareM!C15/(SUM(IMshareM!C$2:C$78)-IMshareM!C$3),0))</f>
        <v>0</v>
      </c>
      <c r="D15" s="8">
        <f>IF($A15=D$1,0,IF(SUM(IMshareM!D$2:D$78)-IMshareM!D$4&gt;0,IMshareM!D15/(SUM(IMshareM!D$2:D$78)-IMshareM!D$4),0))</f>
        <v>1.7906765939641687E-6</v>
      </c>
      <c r="E15" s="8">
        <f>IF($A15=E$1,0,IF(SUM(IMshareM!E$2:E$78)-IMshareM!E$5&gt;0,IMshareM!E15/(SUM(IMshareM!E$2:E$78)-IMshareM!E$5),0))</f>
        <v>2.2978680039289814E-6</v>
      </c>
      <c r="F15" s="8">
        <f>IF($A15=F$1,0,IF(SUM(IMshareM!F$2:F$78)-IMshareM!F$6&gt;0,IMshareM!F15/(SUM(IMshareM!F$2:F$78)-IMshareM!F$6),0))</f>
        <v>0</v>
      </c>
      <c r="G15" s="8">
        <f>IF($A15=G$1,0,IF(SUM(IMshareM!G$2:G$78)-IMshareM!G$7&gt;0,IMshareM!G15/(SUM(IMshareM!G$2:G$78)-IMshareM!G$7),0))</f>
        <v>0</v>
      </c>
      <c r="H15" s="8">
        <f>IF($A15=H$1,0,IF(SUM(IMshareM!H$2:H$78)-IMshareM!H$8&gt;0,IMshareM!H15/(SUM(IMshareM!H$2:H$78)-IMshareM!H$8),0))</f>
        <v>0</v>
      </c>
      <c r="I15" s="8">
        <f>IF($A15=I$1,0,IF(SUM(IMshareM!I$2:I$78)-IMshareM!I$9&gt;0,IMshareM!I15/(SUM(IMshareM!I$2:I$78)-IMshareM!I$9),0))</f>
        <v>0</v>
      </c>
      <c r="J15" s="8">
        <f>IF($A15=J$1,0,IF(SUM(IMshareM!J$2:J$78)-IMshareM!J$10&gt;0,IMshareM!J15/(SUM(IMshareM!J$2:J$78)-IMshareM!J$10),0))</f>
        <v>0</v>
      </c>
      <c r="K15" s="8">
        <f>IF($A15=K$1,0,IF(SUM(IMshareM!K$2:K$78)-IMshareM!K$11&gt;0,IMshareM!K15/(SUM(IMshareM!K$2:K$78)-IMshareM!K$11),0))</f>
        <v>0</v>
      </c>
      <c r="L15" s="8">
        <f>IF($A15=L$1,0,IF(SUM(IMshareM!L$2:L$78)-IMshareM!L$12&gt;0,IMshareM!L15/(SUM(IMshareM!L$2:L$78)-IMshareM!L$12),0))</f>
        <v>1.7745048548942753E-7</v>
      </c>
      <c r="M15" s="8">
        <f>IF($A15=M$1,0,IF(SUM(IMshareM!M$2:M$78)-IMshareM!M$13&gt;0,IMshareM!M15/(SUM(IMshareM!M$2:M$78)-IMshareM!M$13),0))</f>
        <v>0</v>
      </c>
      <c r="N15" s="8">
        <f>IF($A15=N$1,0,IF(SUM(IMshareM!N$2:N$78)-IMshareM!N$14&gt;0,IMshareM!N15/(SUM(IMshareM!N$2:N$78)-IMshareM!N$14),0))</f>
        <v>0</v>
      </c>
      <c r="O15" s="8">
        <f>IF($A15=O$1,0,IF(SUM(IMshareM!O$2:O$78)-IMshareM!O$15&gt;0,IMshareM!O15/(SUM(IMshareM!O$2:O$78)-IMshareM!O$15),0))</f>
        <v>0</v>
      </c>
      <c r="P15" s="8">
        <f>IF($A15=P$1,0,IF(SUM(IMshareM!P$2:P$78)-IMshareM!P$16&gt;0,IMshareM!P15/(SUM(IMshareM!P$2:P$78)-IMshareM!P$16),0))</f>
        <v>2.1148062624141472E-3</v>
      </c>
      <c r="Q15" s="8">
        <f>IF($A15=Q$1,0,IF(SUM(IMshareM!Q$2:Q$78)-IMshareM!Q$17&gt;0,IMshareM!Q15/(SUM(IMshareM!Q$2:Q$78)-IMshareM!Q$17),0))</f>
        <v>0</v>
      </c>
      <c r="R15" s="8">
        <f>IF($A15=R$1,0,IF(SUM(IMshareM!R$2:R$78)-IMshareM!R$18&gt;0,IMshareM!R15/(SUM(IMshareM!R$2:R$78)-IMshareM!R$18),0))</f>
        <v>0</v>
      </c>
      <c r="S15" s="8">
        <f>IF($A15=S$1,0,IF(SUM(IMshareM!S$2:S$78)-IMshareM!S$19&gt;0,IMshareM!S15/(SUM(IMshareM!S$2:S$78)-IMshareM!S$19),0))</f>
        <v>0</v>
      </c>
      <c r="T15" s="8">
        <f>IF($A15=T$1,0,IF(SUM(IMshareM!T$2:T$78)-IMshareM!T$20&gt;0,IMshareM!T15/(SUM(IMshareM!T$2:T$78)-IMshareM!T$20),0))</f>
        <v>1.2839670990039062E-6</v>
      </c>
      <c r="U15" s="8">
        <f>IF($A15=U$1,0,IF(SUM(IMshareM!U$2:U$78)-IMshareM!U$21&gt;0,IMshareM!U15/(SUM(IMshareM!U$2:U$78)-IMshareM!U$21),0))</f>
        <v>1.5381663284590593E-5</v>
      </c>
      <c r="V15" s="8">
        <f>IF($A15=V$1,0,IF(SUM(IMshareM!V$2:V$78)-IMshareM!V$22&gt;0,IMshareM!V15/(SUM(IMshareM!V$2:V$78)-IMshareM!V$22),0))</f>
        <v>0</v>
      </c>
      <c r="W15" s="8">
        <f>IF($A15=W$1,0,IF(SUM(IMshareM!W$2:W$78)-IMshareM!W$23&gt;0,IMshareM!W15/(SUM(IMshareM!W$2:W$78)-IMshareM!W$23),0))</f>
        <v>0</v>
      </c>
      <c r="X15" s="8">
        <f>IF($A15=X$1,0,IF(SUM(IMshareM!X$2:X$78)-IMshareM!X$24&gt;0,IMshareM!X15/(SUM(IMshareM!X$2:X$78)-IMshareM!X$24),0))</f>
        <v>1.5060486358248053E-6</v>
      </c>
      <c r="Y15" s="8">
        <f>IF($A15=Y$1,0,IF(SUM(IMshareM!Y$2:Y$78)-IMshareM!Y$25&gt;0,IMshareM!Y15/(SUM(IMshareM!Y$2:Y$78)-IMshareM!Y$25),0))</f>
        <v>0</v>
      </c>
      <c r="Z15" s="8">
        <f>IF($A15=Z$1,0,IF(SUM(IMshareM!Z$2:Z$78)-IMshareM!Z$26&gt;0,IMshareM!Z15/(SUM(IMshareM!Z$2:Z$78)-IMshareM!Z$26),0))</f>
        <v>0</v>
      </c>
      <c r="AA15" s="8">
        <f>IF($A15=AA$1,0,IF(SUM(IMshareM!AA$2:AA$78)-IMshareM!AA$27&gt;0,IMshareM!AA15/(SUM(IMshareM!AA$2:AA$78)-IMshareM!AA$27),0))</f>
        <v>2.268111178479985E-5</v>
      </c>
      <c r="AB15" s="8">
        <f>IF($A15=AB$1,0,IF(SUM(IMshareM!AB$2:AB$78)-IMshareM!AB$28&gt;0,IMshareM!AB15/(SUM(IMshareM!AB$2:AB$78)-IMshareM!AB$28),0))</f>
        <v>0</v>
      </c>
      <c r="AC15" s="8">
        <f>IF($A15=AC$1,0,IF(SUM(IMshareM!AC$2:AC$78)-IMshareM!AC$29&gt;0,IMshareM!AC15/(SUM(IMshareM!AC$2:AC$78)-IMshareM!AC$29),0))</f>
        <v>0</v>
      </c>
      <c r="AD15" s="8">
        <f>IF($A15=AD$1,0,IF(SUM(IMshareM!AD$2:AD$78)-IMshareM!AD$30&gt;0,IMshareM!AD15/(SUM(IMshareM!AD$2:AD$78)-IMshareM!AD$30),0))</f>
        <v>0</v>
      </c>
      <c r="AE15" s="8">
        <f>IF($A15=AE$1,0,IF(SUM(IMshareM!AE$2:AE$78)-IMshareM!AE$31&gt;0,IMshareM!AE15/(SUM(IMshareM!AE$2:AE$78)-IMshareM!AE$31),0))</f>
        <v>0</v>
      </c>
      <c r="AF15" s="8">
        <f>IF($A15=AF$1,0,IF(SUM(IMshareM!AF$2:AF$78)-IMshareM!AF$32&gt;0,IMshareM!AF15/(SUM(IMshareM!AF$2:AF$78)-IMshareM!AF$32),0))</f>
        <v>0</v>
      </c>
      <c r="AG15" s="8">
        <f>IF($A15=AG$1,0,IF(SUM(IMshareM!AG$2:AG$78)-IMshareM!AG$33&gt;0,IMshareM!AG15/(SUM(IMshareM!AG$2:AG$78)-IMshareM!AG$33),0))</f>
        <v>0</v>
      </c>
      <c r="AH15" s="8">
        <f>IF($A15=AH$1,0,IF(SUM(IMshareM!AH$2:AH$78)-IMshareM!AH$34&gt;0,IMshareM!AH15/(SUM(IMshareM!AH$2:AH$78)-IMshareM!AH$34),0))</f>
        <v>0</v>
      </c>
      <c r="AI15" s="8">
        <f>IF($A15=AI$1,0,IF(SUM(IMshareM!AI$2:AI$78)-IMshareM!AI$35&gt;0,IMshareM!AI15/(SUM(IMshareM!AI$2:AI$78)-IMshareM!AI$35),0))</f>
        <v>0</v>
      </c>
      <c r="AJ15" s="8">
        <f>IF($A15=AJ$1,0,IF(SUM(IMshareM!AJ$2:AJ$78)-IMshareM!AJ$36&gt;0,IMshareM!AJ15/(SUM(IMshareM!AJ$2:AJ$78)-IMshareM!AJ$36),0))</f>
        <v>0</v>
      </c>
      <c r="AK15" s="8">
        <f>IF($A15=AK$1,0,IF(SUM(IMshareM!AK$2:AK$78)-IMshareM!AK$37&gt;0,IMshareM!AK15/(SUM(IMshareM!AK$2:AK$78)-IMshareM!AK$37),0))</f>
        <v>0</v>
      </c>
      <c r="AL15" s="8">
        <f>IF($A15=AL$1,0,IF(SUM(IMshareM!AL$2:AL$78)-IMshareM!AL$38&gt;0,IMshareM!AL15/(SUM(IMshareM!AL$2:AL$78)-IMshareM!AL$38),0))</f>
        <v>4.0540606615080726E-6</v>
      </c>
      <c r="AM15" s="8">
        <f>IF($A15=AM$1,0,IF(SUM(IMshareM!AM$2:AM$78)-IMshareM!AM$39&gt;0,IMshareM!AM15/(SUM(IMshareM!AM$2:AM$78)-IMshareM!AM$39),0))</f>
        <v>0</v>
      </c>
      <c r="AN15" s="8">
        <f>IF($A15=AN$1,0,IF(SUM(IMshareM!AN$2:AN$78)-IMshareM!AN$40&gt;0,IMshareM!AN15/(SUM(IMshareM!AN$2:AN$78)-IMshareM!AN$40),0))</f>
        <v>0</v>
      </c>
      <c r="AO15" s="8">
        <f>IF($A15=AO$1,0,IF(SUM(IMshareM!AO$2:AO$78)-IMshareM!AO$41&gt;0,IMshareM!AO15/(SUM(IMshareM!AO$2:AO$78)-IMshareM!AO$41),0))</f>
        <v>0</v>
      </c>
      <c r="AP15" s="8">
        <f>IF($A15=AP$1,0,IF(SUM(IMshareM!AP$2:AP$78)-IMshareM!AP$42&gt;0,IMshareM!AP15/(SUM(IMshareM!AP$2:AP$78)-IMshareM!AP$42),0))</f>
        <v>0</v>
      </c>
      <c r="AQ15" s="8">
        <f>IF($A15=AQ$1,0,IF(SUM(IMshareM!AQ$2:AQ$78)-IMshareM!AQ$43&gt;0,IMshareM!AQ15/(SUM(IMshareM!AQ$2:AQ$78)-IMshareM!AQ$43),0))</f>
        <v>0</v>
      </c>
      <c r="AR15" s="8">
        <f>IF($A15=AR$1,0,IF(SUM(IMshareM!AR$2:AR$78)-IMshareM!AR$44&gt;0,IMshareM!AR15/(SUM(IMshareM!AR$2:AR$78)-IMshareM!AR$44),0))</f>
        <v>0</v>
      </c>
      <c r="AS15" s="8">
        <f>IF($A15=AS$1,0,IF(SUM(IMshareM!AS$2:AS$78)-IMshareM!AS$45&gt;0,IMshareM!AS15/(SUM(IMshareM!AS$2:AS$78)-IMshareM!AS$45),0))</f>
        <v>0</v>
      </c>
      <c r="AT15" s="8">
        <f>IF($A15=AT$1,0,IF(SUM(IMshareM!AT$2:AT$78)-IMshareM!AT$46&gt;0,IMshareM!AT15/(SUM(IMshareM!AT$2:AT$78)-IMshareM!AT$46),0))</f>
        <v>8.228464375440658E-6</v>
      </c>
      <c r="AU15" s="8">
        <f>IF($A15=AU$1,0,IF(SUM(IMshareM!AU$2:AU$78)-IMshareM!AU$47&gt;0,IMshareM!AU15/(SUM(IMshareM!AU$2:AU$78)-IMshareM!AU$47),0))</f>
        <v>0</v>
      </c>
      <c r="AV15" s="8">
        <f>IF($A15=AV$1,0,IF(SUM(IMshareM!AV$2:AV$78)-IMshareM!AV$48&gt;0,IMshareM!AV15/(SUM(IMshareM!AV$2:AV$78)-IMshareM!AV$48),0))</f>
        <v>0</v>
      </c>
      <c r="AW15" s="8">
        <f>IF($A15=AW$1,0,IF(SUM(IMshareM!AW$2:AW$78)-IMshareM!AW$49&gt;0,IMshareM!AW15/(SUM(IMshareM!AW$2:AW$78)-IMshareM!AW$49),0))</f>
        <v>0</v>
      </c>
      <c r="AX15" s="8">
        <f>IF($A15=AX$1,0,IF(SUM(IMshareM!AX$2:AX$78)-IMshareM!AX$50&gt;0,IMshareM!AX15/(SUM(IMshareM!AX$2:AX$78)-IMshareM!AX$50),0))</f>
        <v>0</v>
      </c>
      <c r="AY15" s="8">
        <f>IF($A15=AY$1,0,IF(SUM(IMshareM!AY$2:AY$78)-IMshareM!AY$51&gt;0,IMshareM!AY15/(SUM(IMshareM!AY$2:AY$78)-IMshareM!AY$51),0))</f>
        <v>0</v>
      </c>
      <c r="AZ15" s="8">
        <f>IF($A15=AZ$1,0,IF(SUM(IMshareM!AZ$2:AZ$78)-IMshareM!AZ$52&gt;0,IMshareM!AZ15/(SUM(IMshareM!AZ$2:AZ$78)-IMshareM!AZ$52),0))</f>
        <v>0</v>
      </c>
      <c r="BA15" s="8">
        <f>IF($A15=BA$1,0,IF(SUM(IMshareM!BA$2:BA$78)-IMshareM!BA$53&gt;0,IMshareM!BA15/(SUM(IMshareM!BA$2:BA$78)-IMshareM!BA$53),0))</f>
        <v>1.5094227875734286E-4</v>
      </c>
      <c r="BB15" s="8">
        <f>IF($A15=BB$1,0,IF(SUM(IMshareM!BB$2:BB$78)-IMshareM!BB$54&gt;0,IMshareM!BB15/(SUM(IMshareM!BB$2:BB$78)-IMshareM!BB$54),0))</f>
        <v>2.7109450214256637E-5</v>
      </c>
      <c r="BC15" s="8">
        <f>IF($A15=BC$1,0,IF(SUM(IMshareM!BC$2:BC$78)-IMshareM!BC$55&gt;0,IMshareM!BC15/(SUM(IMshareM!BC$2:BC$78)-IMshareM!BC$55),0))</f>
        <v>0</v>
      </c>
      <c r="BD15" s="8">
        <f>IF($A15=BD$1,0,IF(SUM(IMshareM!BD$2:BD$78)-IMshareM!BD$56&gt;0,IMshareM!BD15/(SUM(IMshareM!BD$2:BD$78)-IMshareM!BD$56),0))</f>
        <v>0</v>
      </c>
      <c r="BE15" s="8">
        <f>IF($A15=BE$1,0,IF(SUM(IMshareM!BE$2:BE$78)-IMshareM!BE$57&gt;0,IMshareM!BE15/(SUM(IMshareM!BE$2:BE$78)-IMshareM!BE$57),0))</f>
        <v>0</v>
      </c>
      <c r="BF15" s="8">
        <f>IF($A15=BF$1,0,IF(SUM(IMshareM!BF$2:BF$78)-IMshareM!BF$58&gt;0,IMshareM!BF15/(SUM(IMshareM!BF$2:BF$78)-IMshareM!BF$58),0))</f>
        <v>0</v>
      </c>
      <c r="BG15" s="8">
        <f>IF($A15=BG$1,0,IF(SUM(IMshareM!BG$2:BG$78)-IMshareM!BG$59&gt;0,IMshareM!BG15/(SUM(IMshareM!BG$2:BG$78)-IMshareM!BG$59),0))</f>
        <v>0</v>
      </c>
      <c r="BH15" s="8">
        <f>IF($A15=BH$1,0,IF(SUM(IMshareM!BH$2:BH$78)-IMshareM!BH$60&gt;0,IMshareM!BH15/(SUM(IMshareM!BH$2:BH$78)-IMshareM!BH$60),0))</f>
        <v>1.9162685288239929E-7</v>
      </c>
      <c r="BI15" s="8">
        <f>IF($A15=BI$1,0,IF(SUM(IMshareM!BI$2:BI$78)-IMshareM!BI$61&gt;0,IMshareM!BI15/(SUM(IMshareM!BI$2:BI$78)-IMshareM!BI$61),0))</f>
        <v>0</v>
      </c>
      <c r="BJ15" s="8">
        <f>IF($A15=BJ$1,0,IF(SUM(IMshareM!BJ$2:BJ$78)-IMshareM!BJ$62&gt;0,IMshareM!BJ15/(SUM(IMshareM!BJ$2:BJ$78)-IMshareM!BJ$62),0))</f>
        <v>0</v>
      </c>
      <c r="BK15" s="8">
        <f>IF($A15=BK$1,0,IF(SUM(IMshareM!BK$2:BK$78)-IMshareM!BK$63&gt;0,IMshareM!BK15/(SUM(IMshareM!BK$2:BK$78)-IMshareM!BK$63),0))</f>
        <v>0</v>
      </c>
      <c r="BL15" s="8">
        <f>IF($A15=BL$1,0,IF(SUM(IMshareM!BL$2:BL$78)-IMshareM!BL$64&gt;0,IMshareM!BL15/(SUM(IMshareM!BL$2:BL$78)-IMshareM!BL$64),0))</f>
        <v>0</v>
      </c>
      <c r="BM15" s="8">
        <f>IF($A15=BM$1,0,IF(SUM(IMshareM!BM$2:BM$78)-IMshareM!BM$65&gt;0,IMshareM!BM15/(SUM(IMshareM!BM$2:BM$78)-IMshareM!BM$65),0))</f>
        <v>0</v>
      </c>
      <c r="BN15" s="8">
        <f>IF($A15=BN$1,0,IF(SUM(IMshareM!BN$2:BN$78)-IMshareM!BN$66&gt;0,IMshareM!BN15/(SUM(IMshareM!BN$2:BN$78)-IMshareM!BN$66),0))</f>
        <v>0</v>
      </c>
      <c r="BO15" s="8">
        <f>IF($A15=BO$1,0,IF(SUM(IMshareM!BO$2:BO$78)-IMshareM!BO$67&gt;0,IMshareM!BO15/(SUM(IMshareM!BO$2:BO$78)-IMshareM!BO$67),0))</f>
        <v>0</v>
      </c>
      <c r="BP15" s="8">
        <f>IF($A15=BP$1,0,IF(SUM(IMshareM!BP$2:BP$78)-IMshareM!BP$68&gt;0,IMshareM!BP15/(SUM(IMshareM!BP$2:BP$78)-IMshareM!BP$68),0))</f>
        <v>0</v>
      </c>
      <c r="BQ15" s="8">
        <f>IF($A15=BQ$1,0,IF(SUM(IMshareM!BQ$2:BQ$78)-IMshareM!BQ$69&gt;0,IMshareM!BQ15/(SUM(IMshareM!BQ$2:BQ$78)-IMshareM!BQ$69),0))</f>
        <v>0</v>
      </c>
      <c r="BR15" s="8">
        <f>IF($A15=BR$1,0,IF(SUM(IMshareM!BR$2:BR$78)-IMshareM!BR$70&gt;0,IMshareM!BR15/(SUM(IMshareM!BR$2:BR$78)-IMshareM!BR$70),0))</f>
        <v>1.6095500017135975E-6</v>
      </c>
      <c r="BS15" s="8">
        <f>IF($A15=BS$1,0,IF(SUM(IMshareM!BS$2:BS$78)-IMshareM!BS$71&gt;0,IMshareM!BS15/(SUM(IMshareM!BS$2:BS$78)-IMshareM!BS$71),0))</f>
        <v>0</v>
      </c>
      <c r="BT15" s="8">
        <f>IF($A15=BT$1,0,IF(SUM(IMshareM!BT$2:BT$78)-IMshareM!BT$72&gt;0,IMshareM!BT15/(SUM(IMshareM!BT$2:BT$78)-IMshareM!BT$72),0))</f>
        <v>0</v>
      </c>
      <c r="BU15" s="8">
        <f>IF($A15=BU$1,0,IF(SUM(IMshareM!BU$2:BU$78)-IMshareM!BU$73&gt;0,IMshareM!BU15/(SUM(IMshareM!BU$2:BU$78)-IMshareM!BU$73),0))</f>
        <v>0</v>
      </c>
      <c r="BV15" s="8">
        <f>IF($A15=BV$1,0,IF(SUM(IMshareM!BV$2:BV$78)-IMshareM!BV$74&gt;0,IMshareM!BV15/(SUM(IMshareM!BV$2:BV$78)-IMshareM!BV$74),0))</f>
        <v>0</v>
      </c>
      <c r="BW15" s="8">
        <f>IF($A15=BW$1,0,IF(SUM(IMshareM!BW$2:BW$78)-IMshareM!BW$75&gt;0,IMshareM!BW15/(SUM(IMshareM!BW$2:BW$78)-IMshareM!BW$75),0))</f>
        <v>0</v>
      </c>
      <c r="BX15" s="8">
        <f>IF($A15=BX$1,0,IF(SUM(IMshareM!BX$2:BX$78)-IMshareM!BX$76&gt;0,IMshareM!BX15/(SUM(IMshareM!BX$2:BX$78)-IMshareM!BX$76),0))</f>
        <v>0</v>
      </c>
      <c r="BY15" s="8">
        <f>IF($A15=BY$1,0,IF(SUM(IMshareM!BY$2:BY$78)-IMshareM!BY$77&gt;0,IMshareM!BY15/(SUM(IMshareM!BY$2:BY$78)-IMshareM!BY$77),0))</f>
        <v>1.0298420257304223E-6</v>
      </c>
      <c r="BZ15" s="8">
        <f>IF($A15=BZ$1,0,IF(SUM(IMshareM!BZ$2:BZ$78)-IMshareM!BZ$78&gt;0,IMshareM!BZ15/(SUM(IMshareM!BZ$2:BZ$78)-IMshareM!BZ$78),0))</f>
        <v>1.7299015584156902E-4</v>
      </c>
    </row>
    <row r="16" spans="1:78">
      <c r="A16" s="4" t="s">
        <v>99</v>
      </c>
      <c r="B16" s="8">
        <f>IF($A16=B$1,0,IF(SUM(IMshareM!B$2:B$78)-IMshareM!B$2&gt;0,IMshareM!B16/(SUM(IMshareM!B$2:B$78)-IMshareM!B$2),0))</f>
        <v>0</v>
      </c>
      <c r="C16" s="8">
        <f>IF($A16=C$1,0,IF(SUM(IMshareM!C$2:C$78)-IMshareM!C$3&gt;0,IMshareM!C16/(SUM(IMshareM!C$2:C$78)-IMshareM!C$3),0))</f>
        <v>0</v>
      </c>
      <c r="D16" s="8">
        <f>IF($A16=D$1,0,IF(SUM(IMshareM!D$2:D$78)-IMshareM!D$4&gt;0,IMshareM!D16/(SUM(IMshareM!D$2:D$78)-IMshareM!D$4),0))</f>
        <v>4.7744902953533112E-7</v>
      </c>
      <c r="E16" s="8">
        <f>IF($A16=E$1,0,IF(SUM(IMshareM!E$2:E$78)-IMshareM!E$5&gt;0,IMshareM!E16/(SUM(IMshareM!E$2:E$78)-IMshareM!E$5),0))</f>
        <v>0</v>
      </c>
      <c r="F16" s="8">
        <f>IF($A16=F$1,0,IF(SUM(IMshareM!F$2:F$78)-IMshareM!F$6&gt;0,IMshareM!F16/(SUM(IMshareM!F$2:F$78)-IMshareM!F$6),0))</f>
        <v>0</v>
      </c>
      <c r="G16" s="8">
        <f>IF($A16=G$1,0,IF(SUM(IMshareM!G$2:G$78)-IMshareM!G$7&gt;0,IMshareM!G16/(SUM(IMshareM!G$2:G$78)-IMshareM!G$7),0))</f>
        <v>0</v>
      </c>
      <c r="H16" s="8">
        <f>IF($A16=H$1,0,IF(SUM(IMshareM!H$2:H$78)-IMshareM!H$8&gt;0,IMshareM!H16/(SUM(IMshareM!H$2:H$78)-IMshareM!H$8),0))</f>
        <v>0</v>
      </c>
      <c r="I16" s="8">
        <f>IF($A16=I$1,0,IF(SUM(IMshareM!I$2:I$78)-IMshareM!I$9&gt;0,IMshareM!I16/(SUM(IMshareM!I$2:I$78)-IMshareM!I$9),0))</f>
        <v>0</v>
      </c>
      <c r="J16" s="8">
        <f>IF($A16=J$1,0,IF(SUM(IMshareM!J$2:J$78)-IMshareM!J$10&gt;0,IMshareM!J16/(SUM(IMshareM!J$2:J$78)-IMshareM!J$10),0))</f>
        <v>0</v>
      </c>
      <c r="K16" s="8">
        <f>IF($A16=K$1,0,IF(SUM(IMshareM!K$2:K$78)-IMshareM!K$11&gt;0,IMshareM!K16/(SUM(IMshareM!K$2:K$78)-IMshareM!K$11),0))</f>
        <v>6.0994507195963674E-6</v>
      </c>
      <c r="L16" s="8">
        <f>IF($A16=L$1,0,IF(SUM(IMshareM!L$2:L$78)-IMshareM!L$12&gt;0,IMshareM!L16/(SUM(IMshareM!L$2:L$78)-IMshareM!L$12),0))</f>
        <v>0</v>
      </c>
      <c r="M16" s="8">
        <f>IF($A16=M$1,0,IF(SUM(IMshareM!M$2:M$78)-IMshareM!M$13&gt;0,IMshareM!M16/(SUM(IMshareM!M$2:M$78)-IMshareM!M$13),0))</f>
        <v>0</v>
      </c>
      <c r="N16" s="8">
        <f>IF($A16=N$1,0,IF(SUM(IMshareM!N$2:N$78)-IMshareM!N$14&gt;0,IMshareM!N16/(SUM(IMshareM!N$2:N$78)-IMshareM!N$14),0))</f>
        <v>0</v>
      </c>
      <c r="O16" s="8">
        <f>IF($A16=O$1,0,IF(SUM(IMshareM!O$2:O$78)-IMshareM!O$15&gt;0,IMshareM!O16/(SUM(IMshareM!O$2:O$78)-IMshareM!O$15),0))</f>
        <v>0</v>
      </c>
      <c r="P16" s="8">
        <f>IF($A16=P$1,0,IF(SUM(IMshareM!P$2:P$78)-IMshareM!P$16&gt;0,IMshareM!P16/(SUM(IMshareM!P$2:P$78)-IMshareM!P$16),0))</f>
        <v>0</v>
      </c>
      <c r="Q16" s="8">
        <f>IF($A16=Q$1,0,IF(SUM(IMshareM!Q$2:Q$78)-IMshareM!Q$17&gt;0,IMshareM!Q16/(SUM(IMshareM!Q$2:Q$78)-IMshareM!Q$17),0))</f>
        <v>0</v>
      </c>
      <c r="R16" s="8">
        <f>IF($A16=R$1,0,IF(SUM(IMshareM!R$2:R$78)-IMshareM!R$18&gt;0,IMshareM!R16/(SUM(IMshareM!R$2:R$78)-IMshareM!R$18),0))</f>
        <v>0</v>
      </c>
      <c r="S16" s="8">
        <f>IF($A16=S$1,0,IF(SUM(IMshareM!S$2:S$78)-IMshareM!S$19&gt;0,IMshareM!S16/(SUM(IMshareM!S$2:S$78)-IMshareM!S$19),0))</f>
        <v>0</v>
      </c>
      <c r="T16" s="8">
        <f>IF($A16=T$1,0,IF(SUM(IMshareM!T$2:T$78)-IMshareM!T$20&gt;0,IMshareM!T16/(SUM(IMshareM!T$2:T$78)-IMshareM!T$20),0))</f>
        <v>0</v>
      </c>
      <c r="U16" s="8">
        <f>IF($A16=U$1,0,IF(SUM(IMshareM!U$2:U$78)-IMshareM!U$21&gt;0,IMshareM!U16/(SUM(IMshareM!U$2:U$78)-IMshareM!U$21),0))</f>
        <v>4.5638190326579047E-6</v>
      </c>
      <c r="V16" s="8">
        <f>IF($A16=V$1,0,IF(SUM(IMshareM!V$2:V$78)-IMshareM!V$22&gt;0,IMshareM!V16/(SUM(IMshareM!V$2:V$78)-IMshareM!V$22),0))</f>
        <v>0</v>
      </c>
      <c r="W16" s="8">
        <f>IF($A16=W$1,0,IF(SUM(IMshareM!W$2:W$78)-IMshareM!W$23&gt;0,IMshareM!W16/(SUM(IMshareM!W$2:W$78)-IMshareM!W$23),0))</f>
        <v>0</v>
      </c>
      <c r="X16" s="8">
        <f>IF($A16=X$1,0,IF(SUM(IMshareM!X$2:X$78)-IMshareM!X$24&gt;0,IMshareM!X16/(SUM(IMshareM!X$2:X$78)-IMshareM!X$24),0))</f>
        <v>0</v>
      </c>
      <c r="Y16" s="8">
        <f>IF($A16=Y$1,0,IF(SUM(IMshareM!Y$2:Y$78)-IMshareM!Y$25&gt;0,IMshareM!Y16/(SUM(IMshareM!Y$2:Y$78)-IMshareM!Y$25),0))</f>
        <v>0</v>
      </c>
      <c r="Z16" s="8">
        <f>IF($A16=Z$1,0,IF(SUM(IMshareM!Z$2:Z$78)-IMshareM!Z$26&gt;0,IMshareM!Z16/(SUM(IMshareM!Z$2:Z$78)-IMshareM!Z$26),0))</f>
        <v>0</v>
      </c>
      <c r="AA16" s="8">
        <f>IF($A16=AA$1,0,IF(SUM(IMshareM!AA$2:AA$78)-IMshareM!AA$27&gt;0,IMshareM!AA16/(SUM(IMshareM!AA$2:AA$78)-IMshareM!AA$27),0))</f>
        <v>3.0475892874567727E-6</v>
      </c>
      <c r="AB16" s="8">
        <f>IF($A16=AB$1,0,IF(SUM(IMshareM!AB$2:AB$78)-IMshareM!AB$28&gt;0,IMshareM!AB16/(SUM(IMshareM!AB$2:AB$78)-IMshareM!AB$28),0))</f>
        <v>8.2288273458679535E-7</v>
      </c>
      <c r="AC16" s="8">
        <f>IF($A16=AC$1,0,IF(SUM(IMshareM!AC$2:AC$78)-IMshareM!AC$29&gt;0,IMshareM!AC16/(SUM(IMshareM!AC$2:AC$78)-IMshareM!AC$29),0))</f>
        <v>0</v>
      </c>
      <c r="AD16" s="8">
        <f>IF($A16=AD$1,0,IF(SUM(IMshareM!AD$2:AD$78)-IMshareM!AD$30&gt;0,IMshareM!AD16/(SUM(IMshareM!AD$2:AD$78)-IMshareM!AD$30),0))</f>
        <v>0</v>
      </c>
      <c r="AE16" s="8">
        <f>IF($A16=AE$1,0,IF(SUM(IMshareM!AE$2:AE$78)-IMshareM!AE$31&gt;0,IMshareM!AE16/(SUM(IMshareM!AE$2:AE$78)-IMshareM!AE$31),0))</f>
        <v>0</v>
      </c>
      <c r="AF16" s="8">
        <f>IF($A16=AF$1,0,IF(SUM(IMshareM!AF$2:AF$78)-IMshareM!AF$32&gt;0,IMshareM!AF16/(SUM(IMshareM!AF$2:AF$78)-IMshareM!AF$32),0))</f>
        <v>0</v>
      </c>
      <c r="AG16" s="8">
        <f>IF($A16=AG$1,0,IF(SUM(IMshareM!AG$2:AG$78)-IMshareM!AG$33&gt;0,IMshareM!AG16/(SUM(IMshareM!AG$2:AG$78)-IMshareM!AG$33),0))</f>
        <v>0</v>
      </c>
      <c r="AH16" s="8">
        <f>IF($A16=AH$1,0,IF(SUM(IMshareM!AH$2:AH$78)-IMshareM!AH$34&gt;0,IMshareM!AH16/(SUM(IMshareM!AH$2:AH$78)-IMshareM!AH$34),0))</f>
        <v>0</v>
      </c>
      <c r="AI16" s="8">
        <f>IF($A16=AI$1,0,IF(SUM(IMshareM!AI$2:AI$78)-IMshareM!AI$35&gt;0,IMshareM!AI16/(SUM(IMshareM!AI$2:AI$78)-IMshareM!AI$35),0))</f>
        <v>0</v>
      </c>
      <c r="AJ16" s="8">
        <f>IF($A16=AJ$1,0,IF(SUM(IMshareM!AJ$2:AJ$78)-IMshareM!AJ$36&gt;0,IMshareM!AJ16/(SUM(IMshareM!AJ$2:AJ$78)-IMshareM!AJ$36),0))</f>
        <v>0</v>
      </c>
      <c r="AK16" s="8">
        <f>IF($A16=AK$1,0,IF(SUM(IMshareM!AK$2:AK$78)-IMshareM!AK$37&gt;0,IMshareM!AK16/(SUM(IMshareM!AK$2:AK$78)-IMshareM!AK$37),0))</f>
        <v>0</v>
      </c>
      <c r="AL16" s="8">
        <f>IF($A16=AL$1,0,IF(SUM(IMshareM!AL$2:AL$78)-IMshareM!AL$38&gt;0,IMshareM!AL16/(SUM(IMshareM!AL$2:AL$78)-IMshareM!AL$38),0))</f>
        <v>0</v>
      </c>
      <c r="AM16" s="8">
        <f>IF($A16=AM$1,0,IF(SUM(IMshareM!AM$2:AM$78)-IMshareM!AM$39&gt;0,IMshareM!AM16/(SUM(IMshareM!AM$2:AM$78)-IMshareM!AM$39),0))</f>
        <v>0</v>
      </c>
      <c r="AN16" s="8">
        <f>IF($A16=AN$1,0,IF(SUM(IMshareM!AN$2:AN$78)-IMshareM!AN$40&gt;0,IMshareM!AN16/(SUM(IMshareM!AN$2:AN$78)-IMshareM!AN$40),0))</f>
        <v>0</v>
      </c>
      <c r="AO16" s="8">
        <f>IF($A16=AO$1,0,IF(SUM(IMshareM!AO$2:AO$78)-IMshareM!AO$41&gt;0,IMshareM!AO16/(SUM(IMshareM!AO$2:AO$78)-IMshareM!AO$41),0))</f>
        <v>0</v>
      </c>
      <c r="AP16" s="8">
        <f>IF($A16=AP$1,0,IF(SUM(IMshareM!AP$2:AP$78)-IMshareM!AP$42&gt;0,IMshareM!AP16/(SUM(IMshareM!AP$2:AP$78)-IMshareM!AP$42),0))</f>
        <v>0</v>
      </c>
      <c r="AQ16" s="8">
        <f>IF($A16=AQ$1,0,IF(SUM(IMshareM!AQ$2:AQ$78)-IMshareM!AQ$43&gt;0,IMshareM!AQ16/(SUM(IMshareM!AQ$2:AQ$78)-IMshareM!AQ$43),0))</f>
        <v>3.6175771026720111E-9</v>
      </c>
      <c r="AR16" s="8">
        <f>IF($A16=AR$1,0,IF(SUM(IMshareM!AR$2:AR$78)-IMshareM!AR$44&gt;0,IMshareM!AR16/(SUM(IMshareM!AR$2:AR$78)-IMshareM!AR$44),0))</f>
        <v>0</v>
      </c>
      <c r="AS16" s="8">
        <f>IF($A16=AS$1,0,IF(SUM(IMshareM!AS$2:AS$78)-IMshareM!AS$45&gt;0,IMshareM!AS16/(SUM(IMshareM!AS$2:AS$78)-IMshareM!AS$45),0))</f>
        <v>0</v>
      </c>
      <c r="AT16" s="8">
        <f>IF($A16=AT$1,0,IF(SUM(IMshareM!AT$2:AT$78)-IMshareM!AT$46&gt;0,IMshareM!AT16/(SUM(IMshareM!AT$2:AT$78)-IMshareM!AT$46),0))</f>
        <v>0</v>
      </c>
      <c r="AU16" s="8">
        <f>IF($A16=AU$1,0,IF(SUM(IMshareM!AU$2:AU$78)-IMshareM!AU$47&gt;0,IMshareM!AU16/(SUM(IMshareM!AU$2:AU$78)-IMshareM!AU$47),0))</f>
        <v>0</v>
      </c>
      <c r="AV16" s="8">
        <f>IF($A16=AV$1,0,IF(SUM(IMshareM!AV$2:AV$78)-IMshareM!AV$48&gt;0,IMshareM!AV16/(SUM(IMshareM!AV$2:AV$78)-IMshareM!AV$48),0))</f>
        <v>0</v>
      </c>
      <c r="AW16" s="8">
        <f>IF($A16=AW$1,0,IF(SUM(IMshareM!AW$2:AW$78)-IMshareM!AW$49&gt;0,IMshareM!AW16/(SUM(IMshareM!AW$2:AW$78)-IMshareM!AW$49),0))</f>
        <v>0</v>
      </c>
      <c r="AX16" s="8">
        <f>IF($A16=AX$1,0,IF(SUM(IMshareM!AX$2:AX$78)-IMshareM!AX$50&gt;0,IMshareM!AX16/(SUM(IMshareM!AX$2:AX$78)-IMshareM!AX$50),0))</f>
        <v>0</v>
      </c>
      <c r="AY16" s="8">
        <f>IF($A16=AY$1,0,IF(SUM(IMshareM!AY$2:AY$78)-IMshareM!AY$51&gt;0,IMshareM!AY16/(SUM(IMshareM!AY$2:AY$78)-IMshareM!AY$51),0))</f>
        <v>0</v>
      </c>
      <c r="AZ16" s="8">
        <f>IF($A16=AZ$1,0,IF(SUM(IMshareM!AZ$2:AZ$78)-IMshareM!AZ$52&gt;0,IMshareM!AZ16/(SUM(IMshareM!AZ$2:AZ$78)-IMshareM!AZ$52),0))</f>
        <v>1.1220026574708985E-6</v>
      </c>
      <c r="BA16" s="8">
        <f>IF($A16=BA$1,0,IF(SUM(IMshareM!BA$2:BA$78)-IMshareM!BA$53&gt;0,IMshareM!BA16/(SUM(IMshareM!BA$2:BA$78)-IMshareM!BA$53),0))</f>
        <v>0</v>
      </c>
      <c r="BB16" s="8">
        <f>IF($A16=BB$1,0,IF(SUM(IMshareM!BB$2:BB$78)-IMshareM!BB$54&gt;0,IMshareM!BB16/(SUM(IMshareM!BB$2:BB$78)-IMshareM!BB$54),0))</f>
        <v>2.115311710414932E-5</v>
      </c>
      <c r="BC16" s="8">
        <f>IF($A16=BC$1,0,IF(SUM(IMshareM!BC$2:BC$78)-IMshareM!BC$55&gt;0,IMshareM!BC16/(SUM(IMshareM!BC$2:BC$78)-IMshareM!BC$55),0))</f>
        <v>0</v>
      </c>
      <c r="BD16" s="8">
        <f>IF($A16=BD$1,0,IF(SUM(IMshareM!BD$2:BD$78)-IMshareM!BD$56&gt;0,IMshareM!BD16/(SUM(IMshareM!BD$2:BD$78)-IMshareM!BD$56),0))</f>
        <v>0</v>
      </c>
      <c r="BE16" s="8">
        <f>IF($A16=BE$1,0,IF(SUM(IMshareM!BE$2:BE$78)-IMshareM!BE$57&gt;0,IMshareM!BE16/(SUM(IMshareM!BE$2:BE$78)-IMshareM!BE$57),0))</f>
        <v>0</v>
      </c>
      <c r="BF16" s="8">
        <f>IF($A16=BF$1,0,IF(SUM(IMshareM!BF$2:BF$78)-IMshareM!BF$58&gt;0,IMshareM!BF16/(SUM(IMshareM!BF$2:BF$78)-IMshareM!BF$58),0))</f>
        <v>0</v>
      </c>
      <c r="BG16" s="8">
        <f>IF($A16=BG$1,0,IF(SUM(IMshareM!BG$2:BG$78)-IMshareM!BG$59&gt;0,IMshareM!BG16/(SUM(IMshareM!BG$2:BG$78)-IMshareM!BG$59),0))</f>
        <v>0</v>
      </c>
      <c r="BH16" s="8">
        <f>IF($A16=BH$1,0,IF(SUM(IMshareM!BH$2:BH$78)-IMshareM!BH$60&gt;0,IMshareM!BH16/(SUM(IMshareM!BH$2:BH$78)-IMshareM!BH$60),0))</f>
        <v>0</v>
      </c>
      <c r="BI16" s="8">
        <f>IF($A16=BI$1,0,IF(SUM(IMshareM!BI$2:BI$78)-IMshareM!BI$61&gt;0,IMshareM!BI16/(SUM(IMshareM!BI$2:BI$78)-IMshareM!BI$61),0))</f>
        <v>3.5246158378303664E-5</v>
      </c>
      <c r="BJ16" s="8">
        <f>IF($A16=BJ$1,0,IF(SUM(IMshareM!BJ$2:BJ$78)-IMshareM!BJ$62&gt;0,IMshareM!BJ16/(SUM(IMshareM!BJ$2:BJ$78)-IMshareM!BJ$62),0))</f>
        <v>0</v>
      </c>
      <c r="BK16" s="8">
        <f>IF($A16=BK$1,0,IF(SUM(IMshareM!BK$2:BK$78)-IMshareM!BK$63&gt;0,IMshareM!BK16/(SUM(IMshareM!BK$2:BK$78)-IMshareM!BK$63),0))</f>
        <v>0</v>
      </c>
      <c r="BL16" s="8">
        <f>IF($A16=BL$1,0,IF(SUM(IMshareM!BL$2:BL$78)-IMshareM!BL$64&gt;0,IMshareM!BL16/(SUM(IMshareM!BL$2:BL$78)-IMshareM!BL$64),0))</f>
        <v>0</v>
      </c>
      <c r="BM16" s="8">
        <f>IF($A16=BM$1,0,IF(SUM(IMshareM!BM$2:BM$78)-IMshareM!BM$65&gt;0,IMshareM!BM16/(SUM(IMshareM!BM$2:BM$78)-IMshareM!BM$65),0))</f>
        <v>0</v>
      </c>
      <c r="BN16" s="8">
        <f>IF($A16=BN$1,0,IF(SUM(IMshareM!BN$2:BN$78)-IMshareM!BN$66&gt;0,IMshareM!BN16/(SUM(IMshareM!BN$2:BN$78)-IMshareM!BN$66),0))</f>
        <v>0</v>
      </c>
      <c r="BO16" s="8">
        <f>IF($A16=BO$1,0,IF(SUM(IMshareM!BO$2:BO$78)-IMshareM!BO$67&gt;0,IMshareM!BO16/(SUM(IMshareM!BO$2:BO$78)-IMshareM!BO$67),0))</f>
        <v>0</v>
      </c>
      <c r="BP16" s="8">
        <f>IF($A16=BP$1,0,IF(SUM(IMshareM!BP$2:BP$78)-IMshareM!BP$68&gt;0,IMshareM!BP16/(SUM(IMshareM!BP$2:BP$78)-IMshareM!BP$68),0))</f>
        <v>0</v>
      </c>
      <c r="BQ16" s="8">
        <f>IF($A16=BQ$1,0,IF(SUM(IMshareM!BQ$2:BQ$78)-IMshareM!BQ$69&gt;0,IMshareM!BQ16/(SUM(IMshareM!BQ$2:BQ$78)-IMshareM!BQ$69),0))</f>
        <v>0</v>
      </c>
      <c r="BR16" s="8">
        <f>IF($A16=BR$1,0,IF(SUM(IMshareM!BR$2:BR$78)-IMshareM!BR$70&gt;0,IMshareM!BR16/(SUM(IMshareM!BR$2:BR$78)-IMshareM!BR$70),0))</f>
        <v>0</v>
      </c>
      <c r="BS16" s="8">
        <f>IF($A16=BS$1,0,IF(SUM(IMshareM!BS$2:BS$78)-IMshareM!BS$71&gt;0,IMshareM!BS16/(SUM(IMshareM!BS$2:BS$78)-IMshareM!BS$71),0))</f>
        <v>0</v>
      </c>
      <c r="BT16" s="8">
        <f>IF($A16=BT$1,0,IF(SUM(IMshareM!BT$2:BT$78)-IMshareM!BT$72&gt;0,IMshareM!BT16/(SUM(IMshareM!BT$2:BT$78)-IMshareM!BT$72),0))</f>
        <v>0</v>
      </c>
      <c r="BU16" s="8">
        <f>IF($A16=BU$1,0,IF(SUM(IMshareM!BU$2:BU$78)-IMshareM!BU$73&gt;0,IMshareM!BU16/(SUM(IMshareM!BU$2:BU$78)-IMshareM!BU$73),0))</f>
        <v>0</v>
      </c>
      <c r="BV16" s="8">
        <f>IF($A16=BV$1,0,IF(SUM(IMshareM!BV$2:BV$78)-IMshareM!BV$74&gt;0,IMshareM!BV16/(SUM(IMshareM!BV$2:BV$78)-IMshareM!BV$74),0))</f>
        <v>0</v>
      </c>
      <c r="BW16" s="8">
        <f>IF($A16=BW$1,0,IF(SUM(IMshareM!BW$2:BW$78)-IMshareM!BW$75&gt;0,IMshareM!BW16/(SUM(IMshareM!BW$2:BW$78)-IMshareM!BW$75),0))</f>
        <v>8.987836422989547E-6</v>
      </c>
      <c r="BX16" s="8">
        <f>IF($A16=BX$1,0,IF(SUM(IMshareM!BX$2:BX$78)-IMshareM!BX$76&gt;0,IMshareM!BX16/(SUM(IMshareM!BX$2:BX$78)-IMshareM!BX$76),0))</f>
        <v>0</v>
      </c>
      <c r="BY16" s="8">
        <f>IF($A16=BY$1,0,IF(SUM(IMshareM!BY$2:BY$78)-IMshareM!BY$77&gt;0,IMshareM!BY16/(SUM(IMshareM!BY$2:BY$78)-IMshareM!BY$77),0))</f>
        <v>0</v>
      </c>
      <c r="BZ16" s="8">
        <f>IF($A16=BZ$1,0,IF(SUM(IMshareM!BZ$2:BZ$78)-IMshareM!BZ$78&gt;0,IMshareM!BZ16/(SUM(IMshareM!BZ$2:BZ$78)-IMshareM!BZ$78),0))</f>
        <v>1.6397980006159363E-4</v>
      </c>
    </row>
    <row r="17" spans="1:78">
      <c r="A17" s="4" t="s">
        <v>101</v>
      </c>
      <c r="B17" s="8">
        <f>IF($A17=B$1,0,IF(SUM(IMshareM!B$2:B$78)-IMshareM!B$2&gt;0,IMshareM!B17/(SUM(IMshareM!B$2:B$78)-IMshareM!B$2),0))</f>
        <v>2.587416435978448E-6</v>
      </c>
      <c r="C17" s="8">
        <f>IF($A17=C$1,0,IF(SUM(IMshareM!C$2:C$78)-IMshareM!C$3&gt;0,IMshareM!C17/(SUM(IMshareM!C$2:C$78)-IMshareM!C$3),0))</f>
        <v>0</v>
      </c>
      <c r="D17" s="8">
        <f>IF($A17=D$1,0,IF(SUM(IMshareM!D$2:D$78)-IMshareM!D$4&gt;0,IMshareM!D17/(SUM(IMshareM!D$2:D$78)-IMshareM!D$4),0))</f>
        <v>4.5990367619981845E-6</v>
      </c>
      <c r="E17" s="8">
        <f>IF($A17=E$1,0,IF(SUM(IMshareM!E$2:E$78)-IMshareM!E$5&gt;0,IMshareM!E17/(SUM(IMshareM!E$2:E$78)-IMshareM!E$5),0))</f>
        <v>1.5028596928016412E-6</v>
      </c>
      <c r="F17" s="8">
        <f>IF($A17=F$1,0,IF(SUM(IMshareM!F$2:F$78)-IMshareM!F$6&gt;0,IMshareM!F17/(SUM(IMshareM!F$2:F$78)-IMshareM!F$6),0))</f>
        <v>0</v>
      </c>
      <c r="G17" s="8">
        <f>IF($A17=G$1,0,IF(SUM(IMshareM!G$2:G$78)-IMshareM!G$7&gt;0,IMshareM!G17/(SUM(IMshareM!G$2:G$78)-IMshareM!G$7),0))</f>
        <v>0</v>
      </c>
      <c r="H17" s="8">
        <f>IF($A17=H$1,0,IF(SUM(IMshareM!H$2:H$78)-IMshareM!H$8&gt;0,IMshareM!H17/(SUM(IMshareM!H$2:H$78)-IMshareM!H$8),0))</f>
        <v>0</v>
      </c>
      <c r="I17" s="8">
        <f>IF($A17=I$1,0,IF(SUM(IMshareM!I$2:I$78)-IMshareM!I$9&gt;0,IMshareM!I17/(SUM(IMshareM!I$2:I$78)-IMshareM!I$9),0))</f>
        <v>5.0128521905259231E-6</v>
      </c>
      <c r="J17" s="8">
        <f>IF($A17=J$1,0,IF(SUM(IMshareM!J$2:J$78)-IMshareM!J$10&gt;0,IMshareM!J17/(SUM(IMshareM!J$2:J$78)-IMshareM!J$10),0))</f>
        <v>0</v>
      </c>
      <c r="K17" s="8">
        <f>IF($A17=K$1,0,IF(SUM(IMshareM!K$2:K$78)-IMshareM!K$11&gt;0,IMshareM!K17/(SUM(IMshareM!K$2:K$78)-IMshareM!K$11),0))</f>
        <v>1.0036029166722819E-5</v>
      </c>
      <c r="L17" s="8">
        <f>IF($A17=L$1,0,IF(SUM(IMshareM!L$2:L$78)-IMshareM!L$12&gt;0,IMshareM!L17/(SUM(IMshareM!L$2:L$78)-IMshareM!L$12),0))</f>
        <v>0</v>
      </c>
      <c r="M17" s="8">
        <f>IF($A17=M$1,0,IF(SUM(IMshareM!M$2:M$78)-IMshareM!M$13&gt;0,IMshareM!M17/(SUM(IMshareM!M$2:M$78)-IMshareM!M$13),0))</f>
        <v>4.4083509072857482E-5</v>
      </c>
      <c r="N17" s="8">
        <f>IF($A17=N$1,0,IF(SUM(IMshareM!N$2:N$78)-IMshareM!N$14&gt;0,IMshareM!N17/(SUM(IMshareM!N$2:N$78)-IMshareM!N$14),0))</f>
        <v>0</v>
      </c>
      <c r="O17" s="8">
        <f>IF($A17=O$1,0,IF(SUM(IMshareM!O$2:O$78)-IMshareM!O$15&gt;0,IMshareM!O17/(SUM(IMshareM!O$2:O$78)-IMshareM!O$15),0))</f>
        <v>0</v>
      </c>
      <c r="P17" s="8">
        <f>IF($A17=P$1,0,IF(SUM(IMshareM!P$2:P$78)-IMshareM!P$16&gt;0,IMshareM!P17/(SUM(IMshareM!P$2:P$78)-IMshareM!P$16),0))</f>
        <v>0</v>
      </c>
      <c r="Q17" s="8">
        <f>IF($A17=Q$1,0,IF(SUM(IMshareM!Q$2:Q$78)-IMshareM!Q$17&gt;0,IMshareM!Q17/(SUM(IMshareM!Q$2:Q$78)-IMshareM!Q$17),0))</f>
        <v>0</v>
      </c>
      <c r="R17" s="8">
        <f>IF($A17=R$1,0,IF(SUM(IMshareM!R$2:R$78)-IMshareM!R$18&gt;0,IMshareM!R17/(SUM(IMshareM!R$2:R$78)-IMshareM!R$18),0))</f>
        <v>2.8658100534302905E-3</v>
      </c>
      <c r="S17" s="8">
        <f>IF($A17=S$1,0,IF(SUM(IMshareM!S$2:S$78)-IMshareM!S$19&gt;0,IMshareM!S17/(SUM(IMshareM!S$2:S$78)-IMshareM!S$19),0))</f>
        <v>0</v>
      </c>
      <c r="T17" s="8">
        <f>IF($A17=T$1,0,IF(SUM(IMshareM!T$2:T$78)-IMshareM!T$20&gt;0,IMshareM!T17/(SUM(IMshareM!T$2:T$78)-IMshareM!T$20),0))</f>
        <v>0</v>
      </c>
      <c r="U17" s="8">
        <f>IF($A17=U$1,0,IF(SUM(IMshareM!U$2:U$78)-IMshareM!U$21&gt;0,IMshareM!U17/(SUM(IMshareM!U$2:U$78)-IMshareM!U$21),0))</f>
        <v>3.3468589192363169E-6</v>
      </c>
      <c r="V17" s="8">
        <f>IF($A17=V$1,0,IF(SUM(IMshareM!V$2:V$78)-IMshareM!V$22&gt;0,IMshareM!V17/(SUM(IMshareM!V$2:V$78)-IMshareM!V$22),0))</f>
        <v>6.7773742025294074E-6</v>
      </c>
      <c r="W17" s="8">
        <f>IF($A17=W$1,0,IF(SUM(IMshareM!W$2:W$78)-IMshareM!W$23&gt;0,IMshareM!W17/(SUM(IMshareM!W$2:W$78)-IMshareM!W$23),0))</f>
        <v>0</v>
      </c>
      <c r="X17" s="8">
        <f>IF($A17=X$1,0,IF(SUM(IMshareM!X$2:X$78)-IMshareM!X$24&gt;0,IMshareM!X17/(SUM(IMshareM!X$2:X$78)-IMshareM!X$24),0))</f>
        <v>1.0896015396754994E-5</v>
      </c>
      <c r="Y17" s="8">
        <f>IF($A17=Y$1,0,IF(SUM(IMshareM!Y$2:Y$78)-IMshareM!Y$25&gt;0,IMshareM!Y17/(SUM(IMshareM!Y$2:Y$78)-IMshareM!Y$25),0))</f>
        <v>0</v>
      </c>
      <c r="Z17" s="8">
        <f>IF($A17=Z$1,0,IF(SUM(IMshareM!Z$2:Z$78)-IMshareM!Z$26&gt;0,IMshareM!Z17/(SUM(IMshareM!Z$2:Z$78)-IMshareM!Z$26),0))</f>
        <v>0</v>
      </c>
      <c r="AA17" s="8">
        <f>IF($A17=AA$1,0,IF(SUM(IMshareM!AA$2:AA$78)-IMshareM!AA$27&gt;0,IMshareM!AA17/(SUM(IMshareM!AA$2:AA$78)-IMshareM!AA$27),0))</f>
        <v>1.2975203576223423E-6</v>
      </c>
      <c r="AB17" s="8">
        <f>IF($A17=AB$1,0,IF(SUM(IMshareM!AB$2:AB$78)-IMshareM!AB$28&gt;0,IMshareM!AB17/(SUM(IMshareM!AB$2:AB$78)-IMshareM!AB$28),0))</f>
        <v>0</v>
      </c>
      <c r="AC17" s="8">
        <f>IF($A17=AC$1,0,IF(SUM(IMshareM!AC$2:AC$78)-IMshareM!AC$29&gt;0,IMshareM!AC17/(SUM(IMshareM!AC$2:AC$78)-IMshareM!AC$29),0))</f>
        <v>0</v>
      </c>
      <c r="AD17" s="8">
        <f>IF($A17=AD$1,0,IF(SUM(IMshareM!AD$2:AD$78)-IMshareM!AD$30&gt;0,IMshareM!AD17/(SUM(IMshareM!AD$2:AD$78)-IMshareM!AD$30),0))</f>
        <v>1.161119692903108E-7</v>
      </c>
      <c r="AE17" s="8">
        <f>IF($A17=AE$1,0,IF(SUM(IMshareM!AE$2:AE$78)-IMshareM!AE$31&gt;0,IMshareM!AE17/(SUM(IMshareM!AE$2:AE$78)-IMshareM!AE$31),0))</f>
        <v>0</v>
      </c>
      <c r="AF17" s="8">
        <f>IF($A17=AF$1,0,IF(SUM(IMshareM!AF$2:AF$78)-IMshareM!AF$32&gt;0,IMshareM!AF17/(SUM(IMshareM!AF$2:AF$78)-IMshareM!AF$32),0))</f>
        <v>0</v>
      </c>
      <c r="AG17" s="8">
        <f>IF($A17=AG$1,0,IF(SUM(IMshareM!AG$2:AG$78)-IMshareM!AG$33&gt;0,IMshareM!AG17/(SUM(IMshareM!AG$2:AG$78)-IMshareM!AG$33),0))</f>
        <v>0</v>
      </c>
      <c r="AH17" s="8">
        <f>IF($A17=AH$1,0,IF(SUM(IMshareM!AH$2:AH$78)-IMshareM!AH$34&gt;0,IMshareM!AH17/(SUM(IMshareM!AH$2:AH$78)-IMshareM!AH$34),0))</f>
        <v>6.768404909750756E-6</v>
      </c>
      <c r="AI17" s="8">
        <f>IF($A17=AI$1,0,IF(SUM(IMshareM!AI$2:AI$78)-IMshareM!AI$35&gt;0,IMshareM!AI17/(SUM(IMshareM!AI$2:AI$78)-IMshareM!AI$35),0))</f>
        <v>9.1154464496937575E-6</v>
      </c>
      <c r="AJ17" s="8">
        <f>IF($A17=AJ$1,0,IF(SUM(IMshareM!AJ$2:AJ$78)-IMshareM!AJ$36&gt;0,IMshareM!AJ17/(SUM(IMshareM!AJ$2:AJ$78)-IMshareM!AJ$36),0))</f>
        <v>0</v>
      </c>
      <c r="AK17" s="8">
        <f>IF($A17=AK$1,0,IF(SUM(IMshareM!AK$2:AK$78)-IMshareM!AK$37&gt;0,IMshareM!AK17/(SUM(IMshareM!AK$2:AK$78)-IMshareM!AK$37),0))</f>
        <v>8.428577660674992E-6</v>
      </c>
      <c r="AL17" s="8">
        <f>IF($A17=AL$1,0,IF(SUM(IMshareM!AL$2:AL$78)-IMshareM!AL$38&gt;0,IMshareM!AL17/(SUM(IMshareM!AL$2:AL$78)-IMshareM!AL$38),0))</f>
        <v>9.1990520421230773E-6</v>
      </c>
      <c r="AM17" s="8">
        <f>IF($A17=AM$1,0,IF(SUM(IMshareM!AM$2:AM$78)-IMshareM!AM$39&gt;0,IMshareM!AM17/(SUM(IMshareM!AM$2:AM$78)-IMshareM!AM$39),0))</f>
        <v>0</v>
      </c>
      <c r="AN17" s="8">
        <f>IF($A17=AN$1,0,IF(SUM(IMshareM!AN$2:AN$78)-IMshareM!AN$40&gt;0,IMshareM!AN17/(SUM(IMshareM!AN$2:AN$78)-IMshareM!AN$40),0))</f>
        <v>0</v>
      </c>
      <c r="AO17" s="8">
        <f>IF($A17=AO$1,0,IF(SUM(IMshareM!AO$2:AO$78)-IMshareM!AO$41&gt;0,IMshareM!AO17/(SUM(IMshareM!AO$2:AO$78)-IMshareM!AO$41),0))</f>
        <v>0</v>
      </c>
      <c r="AP17" s="8">
        <f>IF($A17=AP$1,0,IF(SUM(IMshareM!AP$2:AP$78)-IMshareM!AP$42&gt;0,IMshareM!AP17/(SUM(IMshareM!AP$2:AP$78)-IMshareM!AP$42),0))</f>
        <v>0</v>
      </c>
      <c r="AQ17" s="8">
        <f>IF($A17=AQ$1,0,IF(SUM(IMshareM!AQ$2:AQ$78)-IMshareM!AQ$43&gt;0,IMshareM!AQ17/(SUM(IMshareM!AQ$2:AQ$78)-IMshareM!AQ$43),0))</f>
        <v>0</v>
      </c>
      <c r="AR17" s="8">
        <f>IF($A17=AR$1,0,IF(SUM(IMshareM!AR$2:AR$78)-IMshareM!AR$44&gt;0,IMshareM!AR17/(SUM(IMshareM!AR$2:AR$78)-IMshareM!AR$44),0))</f>
        <v>0</v>
      </c>
      <c r="AS17" s="8">
        <f>IF($A17=AS$1,0,IF(SUM(IMshareM!AS$2:AS$78)-IMshareM!AS$45&gt;0,IMshareM!AS17/(SUM(IMshareM!AS$2:AS$78)-IMshareM!AS$45),0))</f>
        <v>0</v>
      </c>
      <c r="AT17" s="8">
        <f>IF($A17=AT$1,0,IF(SUM(IMshareM!AT$2:AT$78)-IMshareM!AT$46&gt;0,IMshareM!AT17/(SUM(IMshareM!AT$2:AT$78)-IMshareM!AT$46),0))</f>
        <v>0</v>
      </c>
      <c r="AU17" s="8">
        <f>IF($A17=AU$1,0,IF(SUM(IMshareM!AU$2:AU$78)-IMshareM!AU$47&gt;0,IMshareM!AU17/(SUM(IMshareM!AU$2:AU$78)-IMshareM!AU$47),0))</f>
        <v>0</v>
      </c>
      <c r="AV17" s="8">
        <f>IF($A17=AV$1,0,IF(SUM(IMshareM!AV$2:AV$78)-IMshareM!AV$48&gt;0,IMshareM!AV17/(SUM(IMshareM!AV$2:AV$78)-IMshareM!AV$48),0))</f>
        <v>0</v>
      </c>
      <c r="AW17" s="8">
        <f>IF($A17=AW$1,0,IF(SUM(IMshareM!AW$2:AW$78)-IMshareM!AW$49&gt;0,IMshareM!AW17/(SUM(IMshareM!AW$2:AW$78)-IMshareM!AW$49),0))</f>
        <v>3.7277542597436331E-5</v>
      </c>
      <c r="AX17" s="8">
        <f>IF($A17=AX$1,0,IF(SUM(IMshareM!AX$2:AX$78)-IMshareM!AX$50&gt;0,IMshareM!AX17/(SUM(IMshareM!AX$2:AX$78)-IMshareM!AX$50),0))</f>
        <v>0</v>
      </c>
      <c r="AY17" s="8">
        <f>IF($A17=AY$1,0,IF(SUM(IMshareM!AY$2:AY$78)-IMshareM!AY$51&gt;0,IMshareM!AY17/(SUM(IMshareM!AY$2:AY$78)-IMshareM!AY$51),0))</f>
        <v>0</v>
      </c>
      <c r="AZ17" s="8">
        <f>IF($A17=AZ$1,0,IF(SUM(IMshareM!AZ$2:AZ$78)-IMshareM!AZ$52&gt;0,IMshareM!AZ17/(SUM(IMshareM!AZ$2:AZ$78)-IMshareM!AZ$52),0))</f>
        <v>0</v>
      </c>
      <c r="BA17" s="8">
        <f>IF($A17=BA$1,0,IF(SUM(IMshareM!BA$2:BA$78)-IMshareM!BA$53&gt;0,IMshareM!BA17/(SUM(IMshareM!BA$2:BA$78)-IMshareM!BA$53),0))</f>
        <v>0</v>
      </c>
      <c r="BB17" s="8">
        <f>IF($A17=BB$1,0,IF(SUM(IMshareM!BB$2:BB$78)-IMshareM!BB$54&gt;0,IMshareM!BB17/(SUM(IMshareM!BB$2:BB$78)-IMshareM!BB$54),0))</f>
        <v>1.5477304648930203E-6</v>
      </c>
      <c r="BC17" s="8">
        <f>IF($A17=BC$1,0,IF(SUM(IMshareM!BC$2:BC$78)-IMshareM!BC$55&gt;0,IMshareM!BC17/(SUM(IMshareM!BC$2:BC$78)-IMshareM!BC$55),0))</f>
        <v>0</v>
      </c>
      <c r="BD17" s="8">
        <f>IF($A17=BD$1,0,IF(SUM(IMshareM!BD$2:BD$78)-IMshareM!BD$56&gt;0,IMshareM!BD17/(SUM(IMshareM!BD$2:BD$78)-IMshareM!BD$56),0))</f>
        <v>0</v>
      </c>
      <c r="BE17" s="8">
        <f>IF($A17=BE$1,0,IF(SUM(IMshareM!BE$2:BE$78)-IMshareM!BE$57&gt;0,IMshareM!BE17/(SUM(IMshareM!BE$2:BE$78)-IMshareM!BE$57),0))</f>
        <v>1.2320448320538321E-5</v>
      </c>
      <c r="BF17" s="8">
        <f>IF($A17=BF$1,0,IF(SUM(IMshareM!BF$2:BF$78)-IMshareM!BF$58&gt;0,IMshareM!BF17/(SUM(IMshareM!BF$2:BF$78)-IMshareM!BF$58),0))</f>
        <v>1.513726611852149E-3</v>
      </c>
      <c r="BG17" s="8">
        <f>IF($A17=BG$1,0,IF(SUM(IMshareM!BG$2:BG$78)-IMshareM!BG$59&gt;0,IMshareM!BG17/(SUM(IMshareM!BG$2:BG$78)-IMshareM!BG$59),0))</f>
        <v>0</v>
      </c>
      <c r="BH17" s="8">
        <f>IF($A17=BH$1,0,IF(SUM(IMshareM!BH$2:BH$78)-IMshareM!BH$60&gt;0,IMshareM!BH17/(SUM(IMshareM!BH$2:BH$78)-IMshareM!BH$60),0))</f>
        <v>7.8524680168012667E-6</v>
      </c>
      <c r="BI17" s="8">
        <f>IF($A17=BI$1,0,IF(SUM(IMshareM!BI$2:BI$78)-IMshareM!BI$61&gt;0,IMshareM!BI17/(SUM(IMshareM!BI$2:BI$78)-IMshareM!BI$61),0))</f>
        <v>0</v>
      </c>
      <c r="BJ17" s="8">
        <f>IF($A17=BJ$1,0,IF(SUM(IMshareM!BJ$2:BJ$78)-IMshareM!BJ$62&gt;0,IMshareM!BJ17/(SUM(IMshareM!BJ$2:BJ$78)-IMshareM!BJ$62),0))</f>
        <v>0</v>
      </c>
      <c r="BK17" s="8">
        <f>IF($A17=BK$1,0,IF(SUM(IMshareM!BK$2:BK$78)-IMshareM!BK$63&gt;0,IMshareM!BK17/(SUM(IMshareM!BK$2:BK$78)-IMshareM!BK$63),0))</f>
        <v>0</v>
      </c>
      <c r="BL17" s="8">
        <f>IF($A17=BL$1,0,IF(SUM(IMshareM!BL$2:BL$78)-IMshareM!BL$64&gt;0,IMshareM!BL17/(SUM(IMshareM!BL$2:BL$78)-IMshareM!BL$64),0))</f>
        <v>0</v>
      </c>
      <c r="BM17" s="8">
        <f>IF($A17=BM$1,0,IF(SUM(IMshareM!BM$2:BM$78)-IMshareM!BM$65&gt;0,IMshareM!BM17/(SUM(IMshareM!BM$2:BM$78)-IMshareM!BM$65),0))</f>
        <v>0</v>
      </c>
      <c r="BN17" s="8">
        <f>IF($A17=BN$1,0,IF(SUM(IMshareM!BN$2:BN$78)-IMshareM!BN$66&gt;0,IMshareM!BN17/(SUM(IMshareM!BN$2:BN$78)-IMshareM!BN$66),0))</f>
        <v>0</v>
      </c>
      <c r="BO17" s="8">
        <f>IF($A17=BO$1,0,IF(SUM(IMshareM!BO$2:BO$78)-IMshareM!BO$67&gt;0,IMshareM!BO17/(SUM(IMshareM!BO$2:BO$78)-IMshareM!BO$67),0))</f>
        <v>0</v>
      </c>
      <c r="BP17" s="8">
        <f>IF($A17=BP$1,0,IF(SUM(IMshareM!BP$2:BP$78)-IMshareM!BP$68&gt;0,IMshareM!BP17/(SUM(IMshareM!BP$2:BP$78)-IMshareM!BP$68),0))</f>
        <v>0</v>
      </c>
      <c r="BQ17" s="8">
        <f>IF($A17=BQ$1,0,IF(SUM(IMshareM!BQ$2:BQ$78)-IMshareM!BQ$69&gt;0,IMshareM!BQ17/(SUM(IMshareM!BQ$2:BQ$78)-IMshareM!BQ$69),0))</f>
        <v>8.3107903971892425E-7</v>
      </c>
      <c r="BR17" s="8">
        <f>IF($A17=BR$1,0,IF(SUM(IMshareM!BR$2:BR$78)-IMshareM!BR$70&gt;0,IMshareM!BR17/(SUM(IMshareM!BR$2:BR$78)-IMshareM!BR$70),0))</f>
        <v>0</v>
      </c>
      <c r="BS17" s="8">
        <f>IF($A17=BS$1,0,IF(SUM(IMshareM!BS$2:BS$78)-IMshareM!BS$71&gt;0,IMshareM!BS17/(SUM(IMshareM!BS$2:BS$78)-IMshareM!BS$71),0))</f>
        <v>0</v>
      </c>
      <c r="BT17" s="8">
        <f>IF($A17=BT$1,0,IF(SUM(IMshareM!BT$2:BT$78)-IMshareM!BT$72&gt;0,IMshareM!BT17/(SUM(IMshareM!BT$2:BT$78)-IMshareM!BT$72),0))</f>
        <v>8.3199824988048295E-7</v>
      </c>
      <c r="BU17" s="8">
        <f>IF($A17=BU$1,0,IF(SUM(IMshareM!BU$2:BU$78)-IMshareM!BU$73&gt;0,IMshareM!BU17/(SUM(IMshareM!BU$2:BU$78)-IMshareM!BU$73),0))</f>
        <v>0</v>
      </c>
      <c r="BV17" s="8">
        <f>IF($A17=BV$1,0,IF(SUM(IMshareM!BV$2:BV$78)-IMshareM!BV$74&gt;0,IMshareM!BV17/(SUM(IMshareM!BV$2:BV$78)-IMshareM!BV$74),0))</f>
        <v>0</v>
      </c>
      <c r="BW17" s="8">
        <f>IF($A17=BW$1,0,IF(SUM(IMshareM!BW$2:BW$78)-IMshareM!BW$75&gt;0,IMshareM!BW17/(SUM(IMshareM!BW$2:BW$78)-IMshareM!BW$75),0))</f>
        <v>6.1284929236225704E-5</v>
      </c>
      <c r="BX17" s="8">
        <f>IF($A17=BX$1,0,IF(SUM(IMshareM!BX$2:BX$78)-IMshareM!BX$76&gt;0,IMshareM!BX17/(SUM(IMshareM!BX$2:BX$78)-IMshareM!BX$76),0))</f>
        <v>0</v>
      </c>
      <c r="BY17" s="8">
        <f>IF($A17=BY$1,0,IF(SUM(IMshareM!BY$2:BY$78)-IMshareM!BY$77&gt;0,IMshareM!BY17/(SUM(IMshareM!BY$2:BY$78)-IMshareM!BY$77),0))</f>
        <v>6.648697159686205E-8</v>
      </c>
      <c r="BZ17" s="8">
        <f>IF($A17=BZ$1,0,IF(SUM(IMshareM!BZ$2:BZ$78)-IMshareM!BZ$78&gt;0,IMshareM!BZ17/(SUM(IMshareM!BZ$2:BZ$78)-IMshareM!BZ$78),0))</f>
        <v>1.8418479995662344E-3</v>
      </c>
    </row>
    <row r="18" spans="1:78">
      <c r="A18" s="4" t="s">
        <v>103</v>
      </c>
      <c r="B18" s="8">
        <f>IF($A18=B$1,0,IF(SUM(IMshareM!B$2:B$78)-IMshareM!B$2&gt;0,IMshareM!B18/(SUM(IMshareM!B$2:B$78)-IMshareM!B$2),0))</f>
        <v>5.0809320813350589E-6</v>
      </c>
      <c r="C18" s="8">
        <f>IF($A18=C$1,0,IF(SUM(IMshareM!C$2:C$78)-IMshareM!C$3&gt;0,IMshareM!C18/(SUM(IMshareM!C$2:C$78)-IMshareM!C$3),0))</f>
        <v>0</v>
      </c>
      <c r="D18" s="8">
        <f>IF($A18=D$1,0,IF(SUM(IMshareM!D$2:D$78)-IMshareM!D$4&gt;0,IMshareM!D18/(SUM(IMshareM!D$2:D$78)-IMshareM!D$4),0))</f>
        <v>2.4004423143668113E-6</v>
      </c>
      <c r="E18" s="8">
        <f>IF($A18=E$1,0,IF(SUM(IMshareM!E$2:E$78)-IMshareM!E$5&gt;0,IMshareM!E18/(SUM(IMshareM!E$2:E$78)-IMshareM!E$5),0))</f>
        <v>3.6463055855598494E-6</v>
      </c>
      <c r="F18" s="8">
        <f>IF($A18=F$1,0,IF(SUM(IMshareM!F$2:F$78)-IMshareM!F$6&gt;0,IMshareM!F18/(SUM(IMshareM!F$2:F$78)-IMshareM!F$6),0))</f>
        <v>0</v>
      </c>
      <c r="G18" s="8">
        <f>IF($A18=G$1,0,IF(SUM(IMshareM!G$2:G$78)-IMshareM!G$7&gt;0,IMshareM!G18/(SUM(IMshareM!G$2:G$78)-IMshareM!G$7),0))</f>
        <v>0</v>
      </c>
      <c r="H18" s="8">
        <f>IF($A18=H$1,0,IF(SUM(IMshareM!H$2:H$78)-IMshareM!H$8&gt;0,IMshareM!H18/(SUM(IMshareM!H$2:H$78)-IMshareM!H$8),0))</f>
        <v>0</v>
      </c>
      <c r="I18" s="8">
        <f>IF($A18=I$1,0,IF(SUM(IMshareM!I$2:I$78)-IMshareM!I$9&gt;0,IMshareM!I18/(SUM(IMshareM!I$2:I$78)-IMshareM!I$9),0))</f>
        <v>1.08058896109634E-6</v>
      </c>
      <c r="J18" s="8">
        <f>IF($A18=J$1,0,IF(SUM(IMshareM!J$2:J$78)-IMshareM!J$10&gt;0,IMshareM!J18/(SUM(IMshareM!J$2:J$78)-IMshareM!J$10),0))</f>
        <v>0</v>
      </c>
      <c r="K18" s="8">
        <f>IF($A18=K$1,0,IF(SUM(IMshareM!K$2:K$78)-IMshareM!K$11&gt;0,IMshareM!K18/(SUM(IMshareM!K$2:K$78)-IMshareM!K$11),0))</f>
        <v>2.7471647446280268E-6</v>
      </c>
      <c r="L18" s="8">
        <f>IF($A18=L$1,0,IF(SUM(IMshareM!L$2:L$78)-IMshareM!L$12&gt;0,IMshareM!L18/(SUM(IMshareM!L$2:L$78)-IMshareM!L$12),0))</f>
        <v>0</v>
      </c>
      <c r="M18" s="8">
        <f>IF($A18=M$1,0,IF(SUM(IMshareM!M$2:M$78)-IMshareM!M$13&gt;0,IMshareM!M18/(SUM(IMshareM!M$2:M$78)-IMshareM!M$13),0))</f>
        <v>7.4605321054476578E-5</v>
      </c>
      <c r="N18" s="8">
        <f>IF($A18=N$1,0,IF(SUM(IMshareM!N$2:N$78)-IMshareM!N$14&gt;0,IMshareM!N18/(SUM(IMshareM!N$2:N$78)-IMshareM!N$14),0))</f>
        <v>1.051182148504549E-5</v>
      </c>
      <c r="O18" s="8">
        <f>IF($A18=O$1,0,IF(SUM(IMshareM!O$2:O$78)-IMshareM!O$15&gt;0,IMshareM!O18/(SUM(IMshareM!O$2:O$78)-IMshareM!O$15),0))</f>
        <v>0</v>
      </c>
      <c r="P18" s="8">
        <f>IF($A18=P$1,0,IF(SUM(IMshareM!P$2:P$78)-IMshareM!P$16&gt;0,IMshareM!P18/(SUM(IMshareM!P$2:P$78)-IMshareM!P$16),0))</f>
        <v>0</v>
      </c>
      <c r="Q18" s="8">
        <f>IF($A18=Q$1,0,IF(SUM(IMshareM!Q$2:Q$78)-IMshareM!Q$17&gt;0,IMshareM!Q18/(SUM(IMshareM!Q$2:Q$78)-IMshareM!Q$17),0))</f>
        <v>3.032036188188266E-5</v>
      </c>
      <c r="R18" s="8">
        <f>IF($A18=R$1,0,IF(SUM(IMshareM!R$2:R$78)-IMshareM!R$18&gt;0,IMshareM!R18/(SUM(IMshareM!R$2:R$78)-IMshareM!R$18),0))</f>
        <v>0</v>
      </c>
      <c r="S18" s="8">
        <f>IF($A18=S$1,0,IF(SUM(IMshareM!S$2:S$78)-IMshareM!S$19&gt;0,IMshareM!S18/(SUM(IMshareM!S$2:S$78)-IMshareM!S$19),0))</f>
        <v>0</v>
      </c>
      <c r="T18" s="8">
        <f>IF($A18=T$1,0,IF(SUM(IMshareM!T$2:T$78)-IMshareM!T$20&gt;0,IMshareM!T18/(SUM(IMshareM!T$2:T$78)-IMshareM!T$20),0))</f>
        <v>0</v>
      </c>
      <c r="U18" s="8">
        <f>IF($A18=U$1,0,IF(SUM(IMshareM!U$2:U$78)-IMshareM!U$21&gt;0,IMshareM!U18/(SUM(IMshareM!U$2:U$78)-IMshareM!U$21),0))</f>
        <v>9.7303995593846893E-5</v>
      </c>
      <c r="V18" s="8">
        <f>IF($A18=V$1,0,IF(SUM(IMshareM!V$2:V$78)-IMshareM!V$22&gt;0,IMshareM!V18/(SUM(IMshareM!V$2:V$78)-IMshareM!V$22),0))</f>
        <v>7.4044092582361698E-7</v>
      </c>
      <c r="W18" s="8">
        <f>IF($A18=W$1,0,IF(SUM(IMshareM!W$2:W$78)-IMshareM!W$23&gt;0,IMshareM!W18/(SUM(IMshareM!W$2:W$78)-IMshareM!W$23),0))</f>
        <v>0</v>
      </c>
      <c r="X18" s="8">
        <f>IF($A18=X$1,0,IF(SUM(IMshareM!X$2:X$78)-IMshareM!X$24&gt;0,IMshareM!X18/(SUM(IMshareM!X$2:X$78)-IMshareM!X$24),0))</f>
        <v>1.3617756009284284E-5</v>
      </c>
      <c r="Y18" s="8">
        <f>IF($A18=Y$1,0,IF(SUM(IMshareM!Y$2:Y$78)-IMshareM!Y$25&gt;0,IMshareM!Y18/(SUM(IMshareM!Y$2:Y$78)-IMshareM!Y$25),0))</f>
        <v>0</v>
      </c>
      <c r="Z18" s="8">
        <f>IF($A18=Z$1,0,IF(SUM(IMshareM!Z$2:Z$78)-IMshareM!Z$26&gt;0,IMshareM!Z18/(SUM(IMshareM!Z$2:Z$78)-IMshareM!Z$26),0))</f>
        <v>2.7177391089967797E-6</v>
      </c>
      <c r="AA18" s="8">
        <f>IF($A18=AA$1,0,IF(SUM(IMshareM!AA$2:AA$78)-IMshareM!AA$27&gt;0,IMshareM!AA18/(SUM(IMshareM!AA$2:AA$78)-IMshareM!AA$27),0))</f>
        <v>0</v>
      </c>
      <c r="AB18" s="8">
        <f>IF($A18=AB$1,0,IF(SUM(IMshareM!AB$2:AB$78)-IMshareM!AB$28&gt;0,IMshareM!AB18/(SUM(IMshareM!AB$2:AB$78)-IMshareM!AB$28),0))</f>
        <v>4.6779871500771106E-6</v>
      </c>
      <c r="AC18" s="8">
        <f>IF($A18=AC$1,0,IF(SUM(IMshareM!AC$2:AC$78)-IMshareM!AC$29&gt;0,IMshareM!AC18/(SUM(IMshareM!AC$2:AC$78)-IMshareM!AC$29),0))</f>
        <v>0</v>
      </c>
      <c r="AD18" s="8">
        <f>IF($A18=AD$1,0,IF(SUM(IMshareM!AD$2:AD$78)-IMshareM!AD$30&gt;0,IMshareM!AD18/(SUM(IMshareM!AD$2:AD$78)-IMshareM!AD$30),0))</f>
        <v>2.0868049780286279E-7</v>
      </c>
      <c r="AE18" s="8">
        <f>IF($A18=AE$1,0,IF(SUM(IMshareM!AE$2:AE$78)-IMshareM!AE$31&gt;0,IMshareM!AE18/(SUM(IMshareM!AE$2:AE$78)-IMshareM!AE$31),0))</f>
        <v>0</v>
      </c>
      <c r="AF18" s="8">
        <f>IF($A18=AF$1,0,IF(SUM(IMshareM!AF$2:AF$78)-IMshareM!AF$32&gt;0,IMshareM!AF18/(SUM(IMshareM!AF$2:AF$78)-IMshareM!AF$32),0))</f>
        <v>0</v>
      </c>
      <c r="AG18" s="8">
        <f>IF($A18=AG$1,0,IF(SUM(IMshareM!AG$2:AG$78)-IMshareM!AG$33&gt;0,IMshareM!AG18/(SUM(IMshareM!AG$2:AG$78)-IMshareM!AG$33),0))</f>
        <v>0</v>
      </c>
      <c r="AH18" s="8">
        <f>IF($A18=AH$1,0,IF(SUM(IMshareM!AH$2:AH$78)-IMshareM!AH$34&gt;0,IMshareM!AH18/(SUM(IMshareM!AH$2:AH$78)-IMshareM!AH$34),0))</f>
        <v>1.9010681996200623E-6</v>
      </c>
      <c r="AI18" s="8">
        <f>IF($A18=AI$1,0,IF(SUM(IMshareM!AI$2:AI$78)-IMshareM!AI$35&gt;0,IMshareM!AI18/(SUM(IMshareM!AI$2:AI$78)-IMshareM!AI$35),0))</f>
        <v>0</v>
      </c>
      <c r="AJ18" s="8">
        <f>IF($A18=AJ$1,0,IF(SUM(IMshareM!AJ$2:AJ$78)-IMshareM!AJ$36&gt;0,IMshareM!AJ18/(SUM(IMshareM!AJ$2:AJ$78)-IMshareM!AJ$36),0))</f>
        <v>0</v>
      </c>
      <c r="AK18" s="8">
        <f>IF($A18=AK$1,0,IF(SUM(IMshareM!AK$2:AK$78)-IMshareM!AK$37&gt;0,IMshareM!AK18/(SUM(IMshareM!AK$2:AK$78)-IMshareM!AK$37),0))</f>
        <v>4.214288830337496E-6</v>
      </c>
      <c r="AL18" s="8">
        <f>IF($A18=AL$1,0,IF(SUM(IMshareM!AL$2:AL$78)-IMshareM!AL$38&gt;0,IMshareM!AL18/(SUM(IMshareM!AL$2:AL$78)-IMshareM!AL$38),0))</f>
        <v>2.3282961650435144E-6</v>
      </c>
      <c r="AM18" s="8">
        <f>IF($A18=AM$1,0,IF(SUM(IMshareM!AM$2:AM$78)-IMshareM!AM$39&gt;0,IMshareM!AM18/(SUM(IMshareM!AM$2:AM$78)-IMshareM!AM$39),0))</f>
        <v>0</v>
      </c>
      <c r="AN18" s="8">
        <f>IF($A18=AN$1,0,IF(SUM(IMshareM!AN$2:AN$78)-IMshareM!AN$40&gt;0,IMshareM!AN18/(SUM(IMshareM!AN$2:AN$78)-IMshareM!AN$40),0))</f>
        <v>0</v>
      </c>
      <c r="AO18" s="8">
        <f>IF($A18=AO$1,0,IF(SUM(IMshareM!AO$2:AO$78)-IMshareM!AO$41&gt;0,IMshareM!AO18/(SUM(IMshareM!AO$2:AO$78)-IMshareM!AO$41),0))</f>
        <v>0</v>
      </c>
      <c r="AP18" s="8">
        <f>IF($A18=AP$1,0,IF(SUM(IMshareM!AP$2:AP$78)-IMshareM!AP$42&gt;0,IMshareM!AP18/(SUM(IMshareM!AP$2:AP$78)-IMshareM!AP$42),0))</f>
        <v>0</v>
      </c>
      <c r="AQ18" s="8">
        <f>IF($A18=AQ$1,0,IF(SUM(IMshareM!AQ$2:AQ$78)-IMshareM!AQ$43&gt;0,IMshareM!AQ18/(SUM(IMshareM!AQ$2:AQ$78)-IMshareM!AQ$43),0))</f>
        <v>0</v>
      </c>
      <c r="AR18" s="8">
        <f>IF($A18=AR$1,0,IF(SUM(IMshareM!AR$2:AR$78)-IMshareM!AR$44&gt;0,IMshareM!AR18/(SUM(IMshareM!AR$2:AR$78)-IMshareM!AR$44),0))</f>
        <v>0</v>
      </c>
      <c r="AS18" s="8">
        <f>IF($A18=AS$1,0,IF(SUM(IMshareM!AS$2:AS$78)-IMshareM!AS$45&gt;0,IMshareM!AS18/(SUM(IMshareM!AS$2:AS$78)-IMshareM!AS$45),0))</f>
        <v>0</v>
      </c>
      <c r="AT18" s="8">
        <f>IF($A18=AT$1,0,IF(SUM(IMshareM!AT$2:AT$78)-IMshareM!AT$46&gt;0,IMshareM!AT18/(SUM(IMshareM!AT$2:AT$78)-IMshareM!AT$46),0))</f>
        <v>0</v>
      </c>
      <c r="AU18" s="8">
        <f>IF($A18=AU$1,0,IF(SUM(IMshareM!AU$2:AU$78)-IMshareM!AU$47&gt;0,IMshareM!AU18/(SUM(IMshareM!AU$2:AU$78)-IMshareM!AU$47),0))</f>
        <v>5.7023472792632863E-5</v>
      </c>
      <c r="AV18" s="8">
        <f>IF($A18=AV$1,0,IF(SUM(IMshareM!AV$2:AV$78)-IMshareM!AV$48&gt;0,IMshareM!AV18/(SUM(IMshareM!AV$2:AV$78)-IMshareM!AV$48),0))</f>
        <v>0</v>
      </c>
      <c r="AW18" s="8">
        <f>IF($A18=AW$1,0,IF(SUM(IMshareM!AW$2:AW$78)-IMshareM!AW$49&gt;0,IMshareM!AW18/(SUM(IMshareM!AW$2:AW$78)-IMshareM!AW$49),0))</f>
        <v>8.0644483445672718E-7</v>
      </c>
      <c r="AX18" s="8">
        <f>IF($A18=AX$1,0,IF(SUM(IMshareM!AX$2:AX$78)-IMshareM!AX$50&gt;0,IMshareM!AX18/(SUM(IMshareM!AX$2:AX$78)-IMshareM!AX$50),0))</f>
        <v>0</v>
      </c>
      <c r="AY18" s="8">
        <f>IF($A18=AY$1,0,IF(SUM(IMshareM!AY$2:AY$78)-IMshareM!AY$51&gt;0,IMshareM!AY18/(SUM(IMshareM!AY$2:AY$78)-IMshareM!AY$51),0))</f>
        <v>0</v>
      </c>
      <c r="AZ18" s="8">
        <f>IF($A18=AZ$1,0,IF(SUM(IMshareM!AZ$2:AZ$78)-IMshareM!AZ$52&gt;0,IMshareM!AZ18/(SUM(IMshareM!AZ$2:AZ$78)-IMshareM!AZ$52),0))</f>
        <v>0</v>
      </c>
      <c r="BA18" s="8">
        <f>IF($A18=BA$1,0,IF(SUM(IMshareM!BA$2:BA$78)-IMshareM!BA$53&gt;0,IMshareM!BA18/(SUM(IMshareM!BA$2:BA$78)-IMshareM!BA$53),0))</f>
        <v>0</v>
      </c>
      <c r="BB18" s="8">
        <f>IF($A18=BB$1,0,IF(SUM(IMshareM!BB$2:BB$78)-IMshareM!BB$54&gt;0,IMshareM!BB18/(SUM(IMshareM!BB$2:BB$78)-IMshareM!BB$54),0))</f>
        <v>1.7163076015678961E-6</v>
      </c>
      <c r="BC18" s="8">
        <f>IF($A18=BC$1,0,IF(SUM(IMshareM!BC$2:BC$78)-IMshareM!BC$55&gt;0,IMshareM!BC18/(SUM(IMshareM!BC$2:BC$78)-IMshareM!BC$55),0))</f>
        <v>3.8986566674601338E-6</v>
      </c>
      <c r="BD18" s="8">
        <f>IF($A18=BD$1,0,IF(SUM(IMshareM!BD$2:BD$78)-IMshareM!BD$56&gt;0,IMshareM!BD18/(SUM(IMshareM!BD$2:BD$78)-IMshareM!BD$56),0))</f>
        <v>0</v>
      </c>
      <c r="BE18" s="8">
        <f>IF($A18=BE$1,0,IF(SUM(IMshareM!BE$2:BE$78)-IMshareM!BE$57&gt;0,IMshareM!BE18/(SUM(IMshareM!BE$2:BE$78)-IMshareM!BE$57),0))</f>
        <v>0</v>
      </c>
      <c r="BF18" s="8">
        <f>IF($A18=BF$1,0,IF(SUM(IMshareM!BF$2:BF$78)-IMshareM!BF$58&gt;0,IMshareM!BF18/(SUM(IMshareM!BF$2:BF$78)-IMshareM!BF$58),0))</f>
        <v>8.0380817904153269E-6</v>
      </c>
      <c r="BG18" s="8">
        <f>IF($A18=BG$1,0,IF(SUM(IMshareM!BG$2:BG$78)-IMshareM!BG$59&gt;0,IMshareM!BG18/(SUM(IMshareM!BG$2:BG$78)-IMshareM!BG$59),0))</f>
        <v>0</v>
      </c>
      <c r="BH18" s="8">
        <f>IF($A18=BH$1,0,IF(SUM(IMshareM!BH$2:BH$78)-IMshareM!BH$60&gt;0,IMshareM!BH18/(SUM(IMshareM!BH$2:BH$78)-IMshareM!BH$60),0))</f>
        <v>0</v>
      </c>
      <c r="BI18" s="8">
        <f>IF($A18=BI$1,0,IF(SUM(IMshareM!BI$2:BI$78)-IMshareM!BI$61&gt;0,IMshareM!BI18/(SUM(IMshareM!BI$2:BI$78)-IMshareM!BI$61),0))</f>
        <v>0</v>
      </c>
      <c r="BJ18" s="8">
        <f>IF($A18=BJ$1,0,IF(SUM(IMshareM!BJ$2:BJ$78)-IMshareM!BJ$62&gt;0,IMshareM!BJ18/(SUM(IMshareM!BJ$2:BJ$78)-IMshareM!BJ$62),0))</f>
        <v>0</v>
      </c>
      <c r="BK18" s="8">
        <f>IF($A18=BK$1,0,IF(SUM(IMshareM!BK$2:BK$78)-IMshareM!BK$63&gt;0,IMshareM!BK18/(SUM(IMshareM!BK$2:BK$78)-IMshareM!BK$63),0))</f>
        <v>0</v>
      </c>
      <c r="BL18" s="8">
        <f>IF($A18=BL$1,0,IF(SUM(IMshareM!BL$2:BL$78)-IMshareM!BL$64&gt;0,IMshareM!BL18/(SUM(IMshareM!BL$2:BL$78)-IMshareM!BL$64),0))</f>
        <v>0</v>
      </c>
      <c r="BM18" s="8">
        <f>IF($A18=BM$1,0,IF(SUM(IMshareM!BM$2:BM$78)-IMshareM!BM$65&gt;0,IMshareM!BM18/(SUM(IMshareM!BM$2:BM$78)-IMshareM!BM$65),0))</f>
        <v>0</v>
      </c>
      <c r="BN18" s="8">
        <f>IF($A18=BN$1,0,IF(SUM(IMshareM!BN$2:BN$78)-IMshareM!BN$66&gt;0,IMshareM!BN18/(SUM(IMshareM!BN$2:BN$78)-IMshareM!BN$66),0))</f>
        <v>5.1935392433227207E-5</v>
      </c>
      <c r="BO18" s="8">
        <f>IF($A18=BO$1,0,IF(SUM(IMshareM!BO$2:BO$78)-IMshareM!BO$67&gt;0,IMshareM!BO18/(SUM(IMshareM!BO$2:BO$78)-IMshareM!BO$67),0))</f>
        <v>1.8934988414067324E-5</v>
      </c>
      <c r="BP18" s="8">
        <f>IF($A18=BP$1,0,IF(SUM(IMshareM!BP$2:BP$78)-IMshareM!BP$68&gt;0,IMshareM!BP18/(SUM(IMshareM!BP$2:BP$78)-IMshareM!BP$68),0))</f>
        <v>0</v>
      </c>
      <c r="BQ18" s="8">
        <f>IF($A18=BQ$1,0,IF(SUM(IMshareM!BQ$2:BQ$78)-IMshareM!BQ$69&gt;0,IMshareM!BQ18/(SUM(IMshareM!BQ$2:BQ$78)-IMshareM!BQ$69),0))</f>
        <v>0</v>
      </c>
      <c r="BR18" s="8">
        <f>IF($A18=BR$1,0,IF(SUM(IMshareM!BR$2:BR$78)-IMshareM!BR$70&gt;0,IMshareM!BR18/(SUM(IMshareM!BR$2:BR$78)-IMshareM!BR$70),0))</f>
        <v>9.9722934502262107E-7</v>
      </c>
      <c r="BS18" s="8">
        <f>IF($A18=BS$1,0,IF(SUM(IMshareM!BS$2:BS$78)-IMshareM!BS$71&gt;0,IMshareM!BS18/(SUM(IMshareM!BS$2:BS$78)-IMshareM!BS$71),0))</f>
        <v>0</v>
      </c>
      <c r="BT18" s="8">
        <f>IF($A18=BT$1,0,IF(SUM(IMshareM!BT$2:BT$78)-IMshareM!BT$72&gt;0,IMshareM!BT18/(SUM(IMshareM!BT$2:BT$78)-IMshareM!BT$72),0))</f>
        <v>3.3595143689092292E-7</v>
      </c>
      <c r="BU18" s="8">
        <f>IF($A18=BU$1,0,IF(SUM(IMshareM!BU$2:BU$78)-IMshareM!BU$73&gt;0,IMshareM!BU18/(SUM(IMshareM!BU$2:BU$78)-IMshareM!BU$73),0))</f>
        <v>0</v>
      </c>
      <c r="BV18" s="8">
        <f>IF($A18=BV$1,0,IF(SUM(IMshareM!BV$2:BV$78)-IMshareM!BV$74&gt;0,IMshareM!BV18/(SUM(IMshareM!BV$2:BV$78)-IMshareM!BV$74),0))</f>
        <v>0</v>
      </c>
      <c r="BW18" s="8">
        <f>IF($A18=BW$1,0,IF(SUM(IMshareM!BW$2:BW$78)-IMshareM!BW$75&gt;0,IMshareM!BW18/(SUM(IMshareM!BW$2:BW$78)-IMshareM!BW$75),0))</f>
        <v>3.5561247766924769E-4</v>
      </c>
      <c r="BX18" s="8">
        <f>IF($A18=BX$1,0,IF(SUM(IMshareM!BX$2:BX$78)-IMshareM!BX$76&gt;0,IMshareM!BX18/(SUM(IMshareM!BX$2:BX$78)-IMshareM!BX$76),0))</f>
        <v>4.6997601571083995E-6</v>
      </c>
      <c r="BY18" s="8">
        <f>IF($A18=BY$1,0,IF(SUM(IMshareM!BY$2:BY$78)-IMshareM!BY$77&gt;0,IMshareM!BY18/(SUM(IMshareM!BY$2:BY$78)-IMshareM!BY$77),0))</f>
        <v>0</v>
      </c>
      <c r="BZ18" s="8">
        <f>IF($A18=BZ$1,0,IF(SUM(IMshareM!BZ$2:BZ$78)-IMshareM!BZ$78&gt;0,IMshareM!BZ18/(SUM(IMshareM!BZ$2:BZ$78)-IMshareM!BZ$78),0))</f>
        <v>2.2175148631356985E-5</v>
      </c>
    </row>
    <row r="19" spans="1:78">
      <c r="A19" s="4" t="s">
        <v>105</v>
      </c>
      <c r="B19" s="8">
        <f>IF($A19=B$1,0,IF(SUM(IMshareM!B$2:B$78)-IMshareM!B$2&gt;0,IMshareM!B19/(SUM(IMshareM!B$2:B$78)-IMshareM!B$2),0))</f>
        <v>0</v>
      </c>
      <c r="C19" s="8">
        <f>IF($A19=C$1,0,IF(SUM(IMshareM!C$2:C$78)-IMshareM!C$3&gt;0,IMshareM!C19/(SUM(IMshareM!C$2:C$78)-IMshareM!C$3),0))</f>
        <v>1.9764310765996479E-5</v>
      </c>
      <c r="D19" s="8">
        <f>IF($A19=D$1,0,IF(SUM(IMshareM!D$2:D$78)-IMshareM!D$4&gt;0,IMshareM!D19/(SUM(IMshareM!D$2:D$78)-IMshareM!D$4),0))</f>
        <v>4.8443576484188405E-7</v>
      </c>
      <c r="E19" s="8">
        <f>IF($A19=E$1,0,IF(SUM(IMshareM!E$2:E$78)-IMshareM!E$5&gt;0,IMshareM!E19/(SUM(IMshareM!E$2:E$78)-IMshareM!E$5),0))</f>
        <v>0</v>
      </c>
      <c r="F19" s="8">
        <f>IF($A19=F$1,0,IF(SUM(IMshareM!F$2:F$78)-IMshareM!F$6&gt;0,IMshareM!F19/(SUM(IMshareM!F$2:F$78)-IMshareM!F$6),0))</f>
        <v>0</v>
      </c>
      <c r="G19" s="8">
        <f>IF($A19=G$1,0,IF(SUM(IMshareM!G$2:G$78)-IMshareM!G$7&gt;0,IMshareM!G19/(SUM(IMshareM!G$2:G$78)-IMshareM!G$7),0))</f>
        <v>0</v>
      </c>
      <c r="H19" s="8">
        <f>IF($A19=H$1,0,IF(SUM(IMshareM!H$2:H$78)-IMshareM!H$8&gt;0,IMshareM!H19/(SUM(IMshareM!H$2:H$78)-IMshareM!H$8),0))</f>
        <v>0</v>
      </c>
      <c r="I19" s="8">
        <f>IF($A19=I$1,0,IF(SUM(IMshareM!I$2:I$78)-IMshareM!I$9&gt;0,IMshareM!I19/(SUM(IMshareM!I$2:I$78)-IMshareM!I$9),0))</f>
        <v>0</v>
      </c>
      <c r="J19" s="8">
        <f>IF($A19=J$1,0,IF(SUM(IMshareM!J$2:J$78)-IMshareM!J$10&gt;0,IMshareM!J19/(SUM(IMshareM!J$2:J$78)-IMshareM!J$10),0))</f>
        <v>0</v>
      </c>
      <c r="K19" s="8">
        <f>IF($A19=K$1,0,IF(SUM(IMshareM!K$2:K$78)-IMshareM!K$11&gt;0,IMshareM!K19/(SUM(IMshareM!K$2:K$78)-IMshareM!K$11),0))</f>
        <v>5.8310130145662057E-6</v>
      </c>
      <c r="L19" s="8">
        <f>IF($A19=L$1,0,IF(SUM(IMshareM!L$2:L$78)-IMshareM!L$12&gt;0,IMshareM!L19/(SUM(IMshareM!L$2:L$78)-IMshareM!L$12),0))</f>
        <v>8.4973287972063467E-6</v>
      </c>
      <c r="M19" s="8">
        <f>IF($A19=M$1,0,IF(SUM(IMshareM!M$2:M$78)-IMshareM!M$13&gt;0,IMshareM!M19/(SUM(IMshareM!M$2:M$78)-IMshareM!M$13),0))</f>
        <v>1.2929900183558657E-4</v>
      </c>
      <c r="N19" s="8">
        <f>IF($A19=N$1,0,IF(SUM(IMshareM!N$2:N$78)-IMshareM!N$14&gt;0,IMshareM!N19/(SUM(IMshareM!N$2:N$78)-IMshareM!N$14),0))</f>
        <v>7.4853473776711615E-7</v>
      </c>
      <c r="O19" s="8">
        <f>IF($A19=O$1,0,IF(SUM(IMshareM!O$2:O$78)-IMshareM!O$15&gt;0,IMshareM!O19/(SUM(IMshareM!O$2:O$78)-IMshareM!O$15),0))</f>
        <v>0</v>
      </c>
      <c r="P19" s="8">
        <f>IF($A19=P$1,0,IF(SUM(IMshareM!P$2:P$78)-IMshareM!P$16&gt;0,IMshareM!P19/(SUM(IMshareM!P$2:P$78)-IMshareM!P$16),0))</f>
        <v>0</v>
      </c>
      <c r="Q19" s="8">
        <f>IF($A19=Q$1,0,IF(SUM(IMshareM!Q$2:Q$78)-IMshareM!Q$17&gt;0,IMshareM!Q19/(SUM(IMshareM!Q$2:Q$78)-IMshareM!Q$17),0))</f>
        <v>0</v>
      </c>
      <c r="R19" s="8">
        <f>IF($A19=R$1,0,IF(SUM(IMshareM!R$2:R$78)-IMshareM!R$18&gt;0,IMshareM!R19/(SUM(IMshareM!R$2:R$78)-IMshareM!R$18),0))</f>
        <v>0</v>
      </c>
      <c r="S19" s="8">
        <f>IF($A19=S$1,0,IF(SUM(IMshareM!S$2:S$78)-IMshareM!S$19&gt;0,IMshareM!S19/(SUM(IMshareM!S$2:S$78)-IMshareM!S$19),0))</f>
        <v>0</v>
      </c>
      <c r="T19" s="8">
        <f>IF($A19=T$1,0,IF(SUM(IMshareM!T$2:T$78)-IMshareM!T$20&gt;0,IMshareM!T19/(SUM(IMshareM!T$2:T$78)-IMshareM!T$20),0))</f>
        <v>0</v>
      </c>
      <c r="U19" s="8">
        <f>IF($A19=U$1,0,IF(SUM(IMshareM!U$2:U$78)-IMshareM!U$21&gt;0,IMshareM!U19/(SUM(IMshareM!U$2:U$78)-IMshareM!U$21),0))</f>
        <v>2.4490919632295325E-6</v>
      </c>
      <c r="V19" s="8">
        <f>IF($A19=V$1,0,IF(SUM(IMshareM!V$2:V$78)-IMshareM!V$22&gt;0,IMshareM!V19/(SUM(IMshareM!V$2:V$78)-IMshareM!V$22),0))</f>
        <v>2.6711199376566381E-6</v>
      </c>
      <c r="W19" s="8">
        <f>IF($A19=W$1,0,IF(SUM(IMshareM!W$2:W$78)-IMshareM!W$23&gt;0,IMshareM!W19/(SUM(IMshareM!W$2:W$78)-IMshareM!W$23),0))</f>
        <v>0</v>
      </c>
      <c r="X19" s="8">
        <f>IF($A19=X$1,0,IF(SUM(IMshareM!X$2:X$78)-IMshareM!X$24&gt;0,IMshareM!X19/(SUM(IMshareM!X$2:X$78)-IMshareM!X$24),0))</f>
        <v>3.853654931741464E-6</v>
      </c>
      <c r="Y19" s="8">
        <f>IF($A19=Y$1,0,IF(SUM(IMshareM!Y$2:Y$78)-IMshareM!Y$25&gt;0,IMshareM!Y19/(SUM(IMshareM!Y$2:Y$78)-IMshareM!Y$25),0))</f>
        <v>2.2188133003531743E-5</v>
      </c>
      <c r="Z19" s="8">
        <f>IF($A19=Z$1,0,IF(SUM(IMshareM!Z$2:Z$78)-IMshareM!Z$26&gt;0,IMshareM!Z19/(SUM(IMshareM!Z$2:Z$78)-IMshareM!Z$26),0))</f>
        <v>1.8309737557451166E-6</v>
      </c>
      <c r="AA19" s="8">
        <f>IF($A19=AA$1,0,IF(SUM(IMshareM!AA$2:AA$78)-IMshareM!AA$27&gt;0,IMshareM!AA19/(SUM(IMshareM!AA$2:AA$78)-IMshareM!AA$27),0))</f>
        <v>3.9897281024589476E-6</v>
      </c>
      <c r="AB19" s="8">
        <f>IF($A19=AB$1,0,IF(SUM(IMshareM!AB$2:AB$78)-IMshareM!AB$28&gt;0,IMshareM!AB19/(SUM(IMshareM!AB$2:AB$78)-IMshareM!AB$28),0))</f>
        <v>2.2412109796039053E-5</v>
      </c>
      <c r="AC19" s="8">
        <f>IF($A19=AC$1,0,IF(SUM(IMshareM!AC$2:AC$78)-IMshareM!AC$29&gt;0,IMshareM!AC19/(SUM(IMshareM!AC$2:AC$78)-IMshareM!AC$29),0))</f>
        <v>5.2866082192659365E-4</v>
      </c>
      <c r="AD19" s="8">
        <f>IF($A19=AD$1,0,IF(SUM(IMshareM!AD$2:AD$78)-IMshareM!AD$30&gt;0,IMshareM!AD19/(SUM(IMshareM!AD$2:AD$78)-IMshareM!AD$30),0))</f>
        <v>0</v>
      </c>
      <c r="AE19" s="8">
        <f>IF($A19=AE$1,0,IF(SUM(IMshareM!AE$2:AE$78)-IMshareM!AE$31&gt;0,IMshareM!AE19/(SUM(IMshareM!AE$2:AE$78)-IMshareM!AE$31),0))</f>
        <v>0</v>
      </c>
      <c r="AF19" s="8">
        <f>IF($A19=AF$1,0,IF(SUM(IMshareM!AF$2:AF$78)-IMshareM!AF$32&gt;0,IMshareM!AF19/(SUM(IMshareM!AF$2:AF$78)-IMshareM!AF$32),0))</f>
        <v>0</v>
      </c>
      <c r="AG19" s="8">
        <f>IF($A19=AG$1,0,IF(SUM(IMshareM!AG$2:AG$78)-IMshareM!AG$33&gt;0,IMshareM!AG19/(SUM(IMshareM!AG$2:AG$78)-IMshareM!AG$33),0))</f>
        <v>0</v>
      </c>
      <c r="AH19" s="8">
        <f>IF($A19=AH$1,0,IF(SUM(IMshareM!AH$2:AH$78)-IMshareM!AH$34&gt;0,IMshareM!AH19/(SUM(IMshareM!AH$2:AH$78)-IMshareM!AH$34),0))</f>
        <v>1.1200333377476914E-4</v>
      </c>
      <c r="AI19" s="8">
        <f>IF($A19=AI$1,0,IF(SUM(IMshareM!AI$2:AI$78)-IMshareM!AI$35&gt;0,IMshareM!AI19/(SUM(IMshareM!AI$2:AI$78)-IMshareM!AI$35),0))</f>
        <v>8.513538381427065E-4</v>
      </c>
      <c r="AJ19" s="8">
        <f>IF($A19=AJ$1,0,IF(SUM(IMshareM!AJ$2:AJ$78)-IMshareM!AJ$36&gt;0,IMshareM!AJ19/(SUM(IMshareM!AJ$2:AJ$78)-IMshareM!AJ$36),0))</f>
        <v>0</v>
      </c>
      <c r="AK19" s="8">
        <f>IF($A19=AK$1,0,IF(SUM(IMshareM!AK$2:AK$78)-IMshareM!AK$37&gt;0,IMshareM!AK19/(SUM(IMshareM!AK$2:AK$78)-IMshareM!AK$37),0))</f>
        <v>4.3828603835509956E-4</v>
      </c>
      <c r="AL19" s="8">
        <f>IF($A19=AL$1,0,IF(SUM(IMshareM!AL$2:AL$78)-IMshareM!AL$38&gt;0,IMshareM!AL19/(SUM(IMshareM!AL$2:AL$78)-IMshareM!AL$38),0))</f>
        <v>9.0237621826199334E-6</v>
      </c>
      <c r="AM19" s="8">
        <f>IF($A19=AM$1,0,IF(SUM(IMshareM!AM$2:AM$78)-IMshareM!AM$39&gt;0,IMshareM!AM19/(SUM(IMshareM!AM$2:AM$78)-IMshareM!AM$39),0))</f>
        <v>5.7068602765599528E-5</v>
      </c>
      <c r="AN19" s="8">
        <f>IF($A19=AN$1,0,IF(SUM(IMshareM!AN$2:AN$78)-IMshareM!AN$40&gt;0,IMshareM!AN19/(SUM(IMshareM!AN$2:AN$78)-IMshareM!AN$40),0))</f>
        <v>0</v>
      </c>
      <c r="AO19" s="8">
        <f>IF($A19=AO$1,0,IF(SUM(IMshareM!AO$2:AO$78)-IMshareM!AO$41&gt;0,IMshareM!AO19/(SUM(IMshareM!AO$2:AO$78)-IMshareM!AO$41),0))</f>
        <v>0</v>
      </c>
      <c r="AP19" s="8">
        <f>IF($A19=AP$1,0,IF(SUM(IMshareM!AP$2:AP$78)-IMshareM!AP$42&gt;0,IMshareM!AP19/(SUM(IMshareM!AP$2:AP$78)-IMshareM!AP$42),0))</f>
        <v>0</v>
      </c>
      <c r="AQ19" s="8">
        <f>IF($A19=AQ$1,0,IF(SUM(IMshareM!AQ$2:AQ$78)-IMshareM!AQ$43&gt;0,IMshareM!AQ19/(SUM(IMshareM!AQ$2:AQ$78)-IMshareM!AQ$43),0))</f>
        <v>0</v>
      </c>
      <c r="AR19" s="8">
        <f>IF($A19=AR$1,0,IF(SUM(IMshareM!AR$2:AR$78)-IMshareM!AR$44&gt;0,IMshareM!AR19/(SUM(IMshareM!AR$2:AR$78)-IMshareM!AR$44),0))</f>
        <v>0</v>
      </c>
      <c r="AS19" s="8">
        <f>IF($A19=AS$1,0,IF(SUM(IMshareM!AS$2:AS$78)-IMshareM!AS$45&gt;0,IMshareM!AS19/(SUM(IMshareM!AS$2:AS$78)-IMshareM!AS$45),0))</f>
        <v>8.6832343687196539E-5</v>
      </c>
      <c r="AT19" s="8">
        <f>IF($A19=AT$1,0,IF(SUM(IMshareM!AT$2:AT$78)-IMshareM!AT$46&gt;0,IMshareM!AT19/(SUM(IMshareM!AT$2:AT$78)-IMshareM!AT$46),0))</f>
        <v>0</v>
      </c>
      <c r="AU19" s="8">
        <f>IF($A19=AU$1,0,IF(SUM(IMshareM!AU$2:AU$78)-IMshareM!AU$47&gt;0,IMshareM!AU19/(SUM(IMshareM!AU$2:AU$78)-IMshareM!AU$47),0))</f>
        <v>0</v>
      </c>
      <c r="AV19" s="8">
        <f>IF($A19=AV$1,0,IF(SUM(IMshareM!AV$2:AV$78)-IMshareM!AV$48&gt;0,IMshareM!AV19/(SUM(IMshareM!AV$2:AV$78)-IMshareM!AV$48),0))</f>
        <v>8.7505248366340118E-7</v>
      </c>
      <c r="AW19" s="8">
        <f>IF($A19=AW$1,0,IF(SUM(IMshareM!AW$2:AW$78)-IMshareM!AW$49&gt;0,IMshareM!AW19/(SUM(IMshareM!AW$2:AW$78)-IMshareM!AW$49),0))</f>
        <v>0</v>
      </c>
      <c r="AX19" s="8">
        <f>IF($A19=AX$1,0,IF(SUM(IMshareM!AX$2:AX$78)-IMshareM!AX$50&gt;0,IMshareM!AX19/(SUM(IMshareM!AX$2:AX$78)-IMshareM!AX$50),0))</f>
        <v>1.2817367858753417E-5</v>
      </c>
      <c r="AY19" s="8">
        <f>IF($A19=AY$1,0,IF(SUM(IMshareM!AY$2:AY$78)-IMshareM!AY$51&gt;0,IMshareM!AY19/(SUM(IMshareM!AY$2:AY$78)-IMshareM!AY$51),0))</f>
        <v>0</v>
      </c>
      <c r="AZ19" s="8">
        <f>IF($A19=AZ$1,0,IF(SUM(IMshareM!AZ$2:AZ$78)-IMshareM!AZ$52&gt;0,IMshareM!AZ19/(SUM(IMshareM!AZ$2:AZ$78)-IMshareM!AZ$52),0))</f>
        <v>0</v>
      </c>
      <c r="BA19" s="8">
        <f>IF($A19=BA$1,0,IF(SUM(IMshareM!BA$2:BA$78)-IMshareM!BA$53&gt;0,IMshareM!BA19/(SUM(IMshareM!BA$2:BA$78)-IMshareM!BA$53),0))</f>
        <v>2.1436068413683372E-4</v>
      </c>
      <c r="BB19" s="8">
        <f>IF($A19=BB$1,0,IF(SUM(IMshareM!BB$2:BB$78)-IMshareM!BB$54&gt;0,IMshareM!BB19/(SUM(IMshareM!BB$2:BB$78)-IMshareM!BB$54),0))</f>
        <v>1.4762482373067983E-5</v>
      </c>
      <c r="BC19" s="8">
        <f>IF($A19=BC$1,0,IF(SUM(IMshareM!BC$2:BC$78)-IMshareM!BC$55&gt;0,IMshareM!BC19/(SUM(IMshareM!BC$2:BC$78)-IMshareM!BC$55),0))</f>
        <v>5.5727394572568131E-4</v>
      </c>
      <c r="BD19" s="8">
        <f>IF($A19=BD$1,0,IF(SUM(IMshareM!BD$2:BD$78)-IMshareM!BD$56&gt;0,IMshareM!BD19/(SUM(IMshareM!BD$2:BD$78)-IMshareM!BD$56),0))</f>
        <v>0</v>
      </c>
      <c r="BE19" s="8">
        <f>IF($A19=BE$1,0,IF(SUM(IMshareM!BE$2:BE$78)-IMshareM!BE$57&gt;0,IMshareM!BE19/(SUM(IMshareM!BE$2:BE$78)-IMshareM!BE$57),0))</f>
        <v>3.2145243030083328E-4</v>
      </c>
      <c r="BF19" s="8">
        <f>IF($A19=BF$1,0,IF(SUM(IMshareM!BF$2:BF$78)-IMshareM!BF$58&gt;0,IMshareM!BF19/(SUM(IMshareM!BF$2:BF$78)-IMshareM!BF$58),0))</f>
        <v>0</v>
      </c>
      <c r="BG19" s="8">
        <f>IF($A19=BG$1,0,IF(SUM(IMshareM!BG$2:BG$78)-IMshareM!BG$59&gt;0,IMshareM!BG19/(SUM(IMshareM!BG$2:BG$78)-IMshareM!BG$59),0))</f>
        <v>0</v>
      </c>
      <c r="BH19" s="8">
        <f>IF($A19=BH$1,0,IF(SUM(IMshareM!BH$2:BH$78)-IMshareM!BH$60&gt;0,IMshareM!BH19/(SUM(IMshareM!BH$2:BH$78)-IMshareM!BH$60),0))</f>
        <v>0</v>
      </c>
      <c r="BI19" s="8">
        <f>IF($A19=BI$1,0,IF(SUM(IMshareM!BI$2:BI$78)-IMshareM!BI$61&gt;0,IMshareM!BI19/(SUM(IMshareM!BI$2:BI$78)-IMshareM!BI$61),0))</f>
        <v>7.9656323424143086E-6</v>
      </c>
      <c r="BJ19" s="8">
        <f>IF($A19=BJ$1,0,IF(SUM(IMshareM!BJ$2:BJ$78)-IMshareM!BJ$62&gt;0,IMshareM!BJ19/(SUM(IMshareM!BJ$2:BJ$78)-IMshareM!BJ$62),0))</f>
        <v>3.4190195406202318E-6</v>
      </c>
      <c r="BK19" s="8">
        <f>IF($A19=BK$1,0,IF(SUM(IMshareM!BK$2:BK$78)-IMshareM!BK$63&gt;0,IMshareM!BK19/(SUM(IMshareM!BK$2:BK$78)-IMshareM!BK$63),0))</f>
        <v>0</v>
      </c>
      <c r="BL19" s="8">
        <f>IF($A19=BL$1,0,IF(SUM(IMshareM!BL$2:BL$78)-IMshareM!BL$64&gt;0,IMshareM!BL19/(SUM(IMshareM!BL$2:BL$78)-IMshareM!BL$64),0))</f>
        <v>0</v>
      </c>
      <c r="BM19" s="8">
        <f>IF($A19=BM$1,0,IF(SUM(IMshareM!BM$2:BM$78)-IMshareM!BM$65&gt;0,IMshareM!BM19/(SUM(IMshareM!BM$2:BM$78)-IMshareM!BM$65),0))</f>
        <v>0</v>
      </c>
      <c r="BN19" s="8">
        <f>IF($A19=BN$1,0,IF(SUM(IMshareM!BN$2:BN$78)-IMshareM!BN$66&gt;0,IMshareM!BN19/(SUM(IMshareM!BN$2:BN$78)-IMshareM!BN$66),0))</f>
        <v>6.7196442822934176E-6</v>
      </c>
      <c r="BO19" s="8">
        <f>IF($A19=BO$1,0,IF(SUM(IMshareM!BO$2:BO$78)-IMshareM!BO$67&gt;0,IMshareM!BO19/(SUM(IMshareM!BO$2:BO$78)-IMshareM!BO$67),0))</f>
        <v>0</v>
      </c>
      <c r="BP19" s="8">
        <f>IF($A19=BP$1,0,IF(SUM(IMshareM!BP$2:BP$78)-IMshareM!BP$68&gt;0,IMshareM!BP19/(SUM(IMshareM!BP$2:BP$78)-IMshareM!BP$68),0))</f>
        <v>0</v>
      </c>
      <c r="BQ19" s="8">
        <f>IF($A19=BQ$1,0,IF(SUM(IMshareM!BQ$2:BQ$78)-IMshareM!BQ$69&gt;0,IMshareM!BQ19/(SUM(IMshareM!BQ$2:BQ$78)-IMshareM!BQ$69),0))</f>
        <v>0</v>
      </c>
      <c r="BR19" s="8">
        <f>IF($A19=BR$1,0,IF(SUM(IMshareM!BR$2:BR$78)-IMshareM!BR$70&gt;0,IMshareM!BR19/(SUM(IMshareM!BR$2:BR$78)-IMshareM!BR$70),0))</f>
        <v>0</v>
      </c>
      <c r="BS19" s="8">
        <f>IF($A19=BS$1,0,IF(SUM(IMshareM!BS$2:BS$78)-IMshareM!BS$71&gt;0,IMshareM!BS19/(SUM(IMshareM!BS$2:BS$78)-IMshareM!BS$71),0))</f>
        <v>0</v>
      </c>
      <c r="BT19" s="8">
        <f>IF($A19=BT$1,0,IF(SUM(IMshareM!BT$2:BT$78)-IMshareM!BT$72&gt;0,IMshareM!BT19/(SUM(IMshareM!BT$2:BT$78)-IMshareM!BT$72),0))</f>
        <v>1.847318148039716E-6</v>
      </c>
      <c r="BU19" s="8">
        <f>IF($A19=BU$1,0,IF(SUM(IMshareM!BU$2:BU$78)-IMshareM!BU$73&gt;0,IMshareM!BU19/(SUM(IMshareM!BU$2:BU$78)-IMshareM!BU$73),0))</f>
        <v>0</v>
      </c>
      <c r="BV19" s="8">
        <f>IF($A19=BV$1,0,IF(SUM(IMshareM!BV$2:BV$78)-IMshareM!BV$74&gt;0,IMshareM!BV19/(SUM(IMshareM!BV$2:BV$78)-IMshareM!BV$74),0))</f>
        <v>0</v>
      </c>
      <c r="BW19" s="8">
        <f>IF($A19=BW$1,0,IF(SUM(IMshareM!BW$2:BW$78)-IMshareM!BW$75&gt;0,IMshareM!BW19/(SUM(IMshareM!BW$2:BW$78)-IMshareM!BW$75),0))</f>
        <v>8.7342272085520164E-7</v>
      </c>
      <c r="BX19" s="8">
        <f>IF($A19=BX$1,0,IF(SUM(IMshareM!BX$2:BX$78)-IMshareM!BX$76&gt;0,IMshareM!BX19/(SUM(IMshareM!BX$2:BX$78)-IMshareM!BX$76),0))</f>
        <v>0</v>
      </c>
      <c r="BY19" s="8">
        <f>IF($A19=BY$1,0,IF(SUM(IMshareM!BY$2:BY$78)-IMshareM!BY$77&gt;0,IMshareM!BY19/(SUM(IMshareM!BY$2:BY$78)-IMshareM!BY$77),0))</f>
        <v>0</v>
      </c>
      <c r="BZ19" s="8">
        <f>IF($A19=BZ$1,0,IF(SUM(IMshareM!BZ$2:BZ$78)-IMshareM!BZ$78&gt;0,IMshareM!BZ19/(SUM(IMshareM!BZ$2:BZ$78)-IMshareM!BZ$78),0))</f>
        <v>1.78568804405843E-5</v>
      </c>
    </row>
    <row r="20" spans="1:78">
      <c r="A20" s="4" t="s">
        <v>107</v>
      </c>
      <c r="B20" s="8">
        <f>IF($A20=B$1,0,IF(SUM(IMshareM!B$2:B$78)-IMshareM!B$2&gt;0,IMshareM!B20/(SUM(IMshareM!B$2:B$78)-IMshareM!B$2),0))</f>
        <v>1.3283621022212099E-2</v>
      </c>
      <c r="C20" s="8">
        <f>IF($A20=C$1,0,IF(SUM(IMshareM!C$2:C$78)-IMshareM!C$3&gt;0,IMshareM!C20/(SUM(IMshareM!C$2:C$78)-IMshareM!C$3),0))</f>
        <v>2.896701360622957E-2</v>
      </c>
      <c r="D20" s="8">
        <f>IF($A20=D$1,0,IF(SUM(IMshareM!D$2:D$78)-IMshareM!D$4&gt;0,IMshareM!D20/(SUM(IMshareM!D$2:D$78)-IMshareM!D$4),0))</f>
        <v>2.8348136921187293E-2</v>
      </c>
      <c r="E20" s="8">
        <f>IF($A20=E$1,0,IF(SUM(IMshareM!E$2:E$78)-IMshareM!E$5&gt;0,IMshareM!E20/(SUM(IMshareM!E$2:E$78)-IMshareM!E$5),0))</f>
        <v>4.4738965393667819E-2</v>
      </c>
      <c r="F20" s="8">
        <f>IF($A20=F$1,0,IF(SUM(IMshareM!F$2:F$78)-IMshareM!F$6&gt;0,IMshareM!F20/(SUM(IMshareM!F$2:F$78)-IMshareM!F$6),0))</f>
        <v>3.0949450031789952E-4</v>
      </c>
      <c r="G20" s="8">
        <f>IF($A20=G$1,0,IF(SUM(IMshareM!G$2:G$78)-IMshareM!G$7&gt;0,IMshareM!G20/(SUM(IMshareM!G$2:G$78)-IMshareM!G$7),0))</f>
        <v>4.0508082754795761E-3</v>
      </c>
      <c r="H20" s="8">
        <f>IF($A20=H$1,0,IF(SUM(IMshareM!H$2:H$78)-IMshareM!H$8&gt;0,IMshareM!H20/(SUM(IMshareM!H$2:H$78)-IMshareM!H$8),0))</f>
        <v>2.9913145790918607E-2</v>
      </c>
      <c r="I20" s="8">
        <f>IF($A20=I$1,0,IF(SUM(IMshareM!I$2:I$78)-IMshareM!I$9&gt;0,IMshareM!I20/(SUM(IMshareM!I$2:I$78)-IMshareM!I$9),0))</f>
        <v>8.2917459493402918E-3</v>
      </c>
      <c r="J20" s="8">
        <f>IF($A20=J$1,0,IF(SUM(IMshareM!J$2:J$78)-IMshareM!J$10&gt;0,IMshareM!J20/(SUM(IMshareM!J$2:J$78)-IMshareM!J$10),0))</f>
        <v>1.2571368134081979E-2</v>
      </c>
      <c r="K20" s="8">
        <f>IF($A20=K$1,0,IF(SUM(IMshareM!K$2:K$78)-IMshareM!K$11&gt;0,IMshareM!K20/(SUM(IMshareM!K$2:K$78)-IMshareM!K$11),0))</f>
        <v>5.4462326124483894E-3</v>
      </c>
      <c r="L20" s="8">
        <f>IF($A20=L$1,0,IF(SUM(IMshareM!L$2:L$78)-IMshareM!L$12&gt;0,IMshareM!L20/(SUM(IMshareM!L$2:L$78)-IMshareM!L$12),0))</f>
        <v>2.4861044270180328E-2</v>
      </c>
      <c r="M20" s="8">
        <f>IF($A20=M$1,0,IF(SUM(IMshareM!M$2:M$78)-IMshareM!M$13&gt;0,IMshareM!M20/(SUM(IMshareM!M$2:M$78)-IMshareM!M$13),0))</f>
        <v>5.2664212901100569E-3</v>
      </c>
      <c r="N20" s="8">
        <f>IF($A20=N$1,0,IF(SUM(IMshareM!N$2:N$78)-IMshareM!N$14&gt;0,IMshareM!N20/(SUM(IMshareM!N$2:N$78)-IMshareM!N$14),0))</f>
        <v>2.8209021204933959E-2</v>
      </c>
      <c r="O20" s="8">
        <f>IF($A20=O$1,0,IF(SUM(IMshareM!O$2:O$78)-IMshareM!O$15&gt;0,IMshareM!O20/(SUM(IMshareM!O$2:O$78)-IMshareM!O$15),0))</f>
        <v>3.3276866160106583E-2</v>
      </c>
      <c r="P20" s="8">
        <f>IF($A20=P$1,0,IF(SUM(IMshareM!P$2:P$78)-IMshareM!P$16&gt;0,IMshareM!P20/(SUM(IMshareM!P$2:P$78)-IMshareM!P$16),0))</f>
        <v>0</v>
      </c>
      <c r="Q20" s="8">
        <f>IF($A20=Q$1,0,IF(SUM(IMshareM!Q$2:Q$78)-IMshareM!Q$17&gt;0,IMshareM!Q20/(SUM(IMshareM!Q$2:Q$78)-IMshareM!Q$17),0))</f>
        <v>6.808448724423371E-3</v>
      </c>
      <c r="R20" s="8">
        <f>IF($A20=R$1,0,IF(SUM(IMshareM!R$2:R$78)-IMshareM!R$18&gt;0,IMshareM!R20/(SUM(IMshareM!R$2:R$78)-IMshareM!R$18),0))</f>
        <v>1.8687444452510544E-3</v>
      </c>
      <c r="S20" s="8">
        <f>IF($A20=S$1,0,IF(SUM(IMshareM!S$2:S$78)-IMshareM!S$19&gt;0,IMshareM!S20/(SUM(IMshareM!S$2:S$78)-IMshareM!S$19),0))</f>
        <v>9.2940894580497758E-4</v>
      </c>
      <c r="T20" s="8">
        <f>IF($A20=T$1,0,IF(SUM(IMshareM!T$2:T$78)-IMshareM!T$20&gt;0,IMshareM!T20/(SUM(IMshareM!T$2:T$78)-IMshareM!T$20),0))</f>
        <v>0</v>
      </c>
      <c r="U20" s="8">
        <f>IF($A20=U$1,0,IF(SUM(IMshareM!U$2:U$78)-IMshareM!U$21&gt;0,IMshareM!U20/(SUM(IMshareM!U$2:U$78)-IMshareM!U$21),0))</f>
        <v>5.5116601286414171E-2</v>
      </c>
      <c r="V20" s="8">
        <f>IF($A20=V$1,0,IF(SUM(IMshareM!V$2:V$78)-IMshareM!V$22&gt;0,IMshareM!V20/(SUM(IMshareM!V$2:V$78)-IMshareM!V$22),0))</f>
        <v>4.1804977709806707E-2</v>
      </c>
      <c r="W20" s="8">
        <f>IF($A20=W$1,0,IF(SUM(IMshareM!W$2:W$78)-IMshareM!W$23&gt;0,IMshareM!W20/(SUM(IMshareM!W$2:W$78)-IMshareM!W$23),0))</f>
        <v>2.934618244638704E-2</v>
      </c>
      <c r="X20" s="8">
        <f>IF($A20=X$1,0,IF(SUM(IMshareM!X$2:X$78)-IMshareM!X$24&gt;0,IMshareM!X20/(SUM(IMshareM!X$2:X$78)-IMshareM!X$24),0))</f>
        <v>2.9309404137831275E-2</v>
      </c>
      <c r="Y20" s="8">
        <f>IF($A20=Y$1,0,IF(SUM(IMshareM!Y$2:Y$78)-IMshareM!Y$25&gt;0,IMshareM!Y20/(SUM(IMshareM!Y$2:Y$78)-IMshareM!Y$25),0))</f>
        <v>9.1145582615718822E-3</v>
      </c>
      <c r="Z20" s="8">
        <f>IF($A20=Z$1,0,IF(SUM(IMshareM!Z$2:Z$78)-IMshareM!Z$26&gt;0,IMshareM!Z20/(SUM(IMshareM!Z$2:Z$78)-IMshareM!Z$26),0))</f>
        <v>2.6010932795710984E-2</v>
      </c>
      <c r="AA20" s="8">
        <f>IF($A20=AA$1,0,IF(SUM(IMshareM!AA$2:AA$78)-IMshareM!AA$27&gt;0,IMshareM!AA20/(SUM(IMshareM!AA$2:AA$78)-IMshareM!AA$27),0))</f>
        <v>4.8311741497040539E-2</v>
      </c>
      <c r="AB20" s="8">
        <f>IF($A20=AB$1,0,IF(SUM(IMshareM!AB$2:AB$78)-IMshareM!AB$28&gt;0,IMshareM!AB20/(SUM(IMshareM!AB$2:AB$78)-IMshareM!AB$28),0))</f>
        <v>2.5448800913085063E-2</v>
      </c>
      <c r="AC20" s="8">
        <f>IF($A20=AC$1,0,IF(SUM(IMshareM!AC$2:AC$78)-IMshareM!AC$29&gt;0,IMshareM!AC20/(SUM(IMshareM!AC$2:AC$78)-IMshareM!AC$29),0))</f>
        <v>2.2218573680045269E-2</v>
      </c>
      <c r="AD20" s="8">
        <f>IF($A20=AD$1,0,IF(SUM(IMshareM!AD$2:AD$78)-IMshareM!AD$30&gt;0,IMshareM!AD20/(SUM(IMshareM!AD$2:AD$78)-IMshareM!AD$30),0))</f>
        <v>3.1277860241589488E-4</v>
      </c>
      <c r="AE20" s="8">
        <f>IF($A20=AE$1,0,IF(SUM(IMshareM!AE$2:AE$78)-IMshareM!AE$31&gt;0,IMshareM!AE20/(SUM(IMshareM!AE$2:AE$78)-IMshareM!AE$31),0))</f>
        <v>1.6032332133880181E-2</v>
      </c>
      <c r="AF20" s="8">
        <f>IF($A20=AF$1,0,IF(SUM(IMshareM!AF$2:AF$78)-IMshareM!AF$32&gt;0,IMshareM!AF20/(SUM(IMshareM!AF$2:AF$78)-IMshareM!AF$32),0))</f>
        <v>2.1961822474793866E-2</v>
      </c>
      <c r="AG20" s="8">
        <f>IF($A20=AG$1,0,IF(SUM(IMshareM!AG$2:AG$78)-IMshareM!AG$33&gt;0,IMshareM!AG20/(SUM(IMshareM!AG$2:AG$78)-IMshareM!AG$33),0))</f>
        <v>3.0267535660083609E-3</v>
      </c>
      <c r="AH20" s="8">
        <f>IF($A20=AH$1,0,IF(SUM(IMshareM!AH$2:AH$78)-IMshareM!AH$34&gt;0,IMshareM!AH20/(SUM(IMshareM!AH$2:AH$78)-IMshareM!AH$34),0))</f>
        <v>1.6032543255961713E-3</v>
      </c>
      <c r="AI20" s="8">
        <f>IF($A20=AI$1,0,IF(SUM(IMshareM!AI$2:AI$78)-IMshareM!AI$35&gt;0,IMshareM!AI20/(SUM(IMshareM!AI$2:AI$78)-IMshareM!AI$35),0))</f>
        <v>4.1089606903534906E-3</v>
      </c>
      <c r="AJ20" s="8">
        <f>IF($A20=AJ$1,0,IF(SUM(IMshareM!AJ$2:AJ$78)-IMshareM!AJ$36&gt;0,IMshareM!AJ20/(SUM(IMshareM!AJ$2:AJ$78)-IMshareM!AJ$36),0))</f>
        <v>1.472751252532041E-2</v>
      </c>
      <c r="AK20" s="8">
        <f>IF($A20=AK$1,0,IF(SUM(IMshareM!AK$2:AK$78)-IMshareM!AK$37&gt;0,IMshareM!AK20/(SUM(IMshareM!AK$2:AK$78)-IMshareM!AK$37),0))</f>
        <v>1.6085940465398223E-2</v>
      </c>
      <c r="AL20" s="8">
        <f>IF($A20=AL$1,0,IF(SUM(IMshareM!AL$2:AL$78)-IMshareM!AL$38&gt;0,IMshareM!AL20/(SUM(IMshareM!AL$2:AL$78)-IMshareM!AL$38),0))</f>
        <v>4.7348032673774486E-2</v>
      </c>
      <c r="AM20" s="8">
        <f>IF($A20=AM$1,0,IF(SUM(IMshareM!AM$2:AM$78)-IMshareM!AM$39&gt;0,IMshareM!AM20/(SUM(IMshareM!AM$2:AM$78)-IMshareM!AM$39),0))</f>
        <v>1.0309037763821921E-2</v>
      </c>
      <c r="AN20" s="8">
        <f>IF($A20=AN$1,0,IF(SUM(IMshareM!AN$2:AN$78)-IMshareM!AN$40&gt;0,IMshareM!AN20/(SUM(IMshareM!AN$2:AN$78)-IMshareM!AN$40),0))</f>
        <v>1.7969138209869386E-3</v>
      </c>
      <c r="AO20" s="8">
        <f>IF($A20=AO$1,0,IF(SUM(IMshareM!AO$2:AO$78)-IMshareM!AO$41&gt;0,IMshareM!AO20/(SUM(IMshareM!AO$2:AO$78)-IMshareM!AO$41),0))</f>
        <v>1.4759458281066647E-2</v>
      </c>
      <c r="AP20" s="8">
        <f>IF($A20=AP$1,0,IF(SUM(IMshareM!AP$2:AP$78)-IMshareM!AP$42&gt;0,IMshareM!AP20/(SUM(IMshareM!AP$2:AP$78)-IMshareM!AP$42),0))</f>
        <v>8.1220641189594758E-5</v>
      </c>
      <c r="AQ20" s="8">
        <f>IF($A20=AQ$1,0,IF(SUM(IMshareM!AQ$2:AQ$78)-IMshareM!AQ$43&gt;0,IMshareM!AQ20/(SUM(IMshareM!AQ$2:AQ$78)-IMshareM!AQ$43),0))</f>
        <v>3.7986617075033268E-3</v>
      </c>
      <c r="AR20" s="8">
        <f>IF($A20=AR$1,0,IF(SUM(IMshareM!AR$2:AR$78)-IMshareM!AR$44&gt;0,IMshareM!AR20/(SUM(IMshareM!AR$2:AR$78)-IMshareM!AR$44),0))</f>
        <v>1.3712651254367859E-4</v>
      </c>
      <c r="AS20" s="8">
        <f>IF($A20=AS$1,0,IF(SUM(IMshareM!AS$2:AS$78)-IMshareM!AS$45&gt;0,IMshareM!AS20/(SUM(IMshareM!AS$2:AS$78)-IMshareM!AS$45),0))</f>
        <v>8.9747708598525936E-3</v>
      </c>
      <c r="AT20" s="8">
        <f>IF($A20=AT$1,0,IF(SUM(IMshareM!AT$2:AT$78)-IMshareM!AT$46&gt;0,IMshareM!AT20/(SUM(IMshareM!AT$2:AT$78)-IMshareM!AT$46),0))</f>
        <v>2.5614121364060521E-2</v>
      </c>
      <c r="AU20" s="8">
        <f>IF($A20=AU$1,0,IF(SUM(IMshareM!AU$2:AU$78)-IMshareM!AU$47&gt;0,IMshareM!AU20/(SUM(IMshareM!AU$2:AU$78)-IMshareM!AU$47),0))</f>
        <v>2.2522555039318149E-2</v>
      </c>
      <c r="AV20" s="8">
        <f>IF($A20=AV$1,0,IF(SUM(IMshareM!AV$2:AV$78)-IMshareM!AV$48&gt;0,IMshareM!AV20/(SUM(IMshareM!AV$2:AV$78)-IMshareM!AV$48),0))</f>
        <v>9.4271730667061116E-3</v>
      </c>
      <c r="AW20" s="8">
        <f>IF($A20=AW$1,0,IF(SUM(IMshareM!AW$2:AW$78)-IMshareM!AW$49&gt;0,IMshareM!AW20/(SUM(IMshareM!AW$2:AW$78)-IMshareM!AW$49),0))</f>
        <v>4.7112937173044668E-3</v>
      </c>
      <c r="AX20" s="8">
        <f>IF($A20=AX$1,0,IF(SUM(IMshareM!AX$2:AX$78)-IMshareM!AX$50&gt;0,IMshareM!AX20/(SUM(IMshareM!AX$2:AX$78)-IMshareM!AX$50),0))</f>
        <v>6.819658102024248E-5</v>
      </c>
      <c r="AY20" s="8">
        <f>IF($A20=AY$1,0,IF(SUM(IMshareM!AY$2:AY$78)-IMshareM!AY$51&gt;0,IMshareM!AY20/(SUM(IMshareM!AY$2:AY$78)-IMshareM!AY$51),0))</f>
        <v>3.6005226051137514E-4</v>
      </c>
      <c r="AZ20" s="8">
        <f>IF($A20=AZ$1,0,IF(SUM(IMshareM!AZ$2:AZ$78)-IMshareM!AZ$52&gt;0,IMshareM!AZ20/(SUM(IMshareM!AZ$2:AZ$78)-IMshareM!AZ$52),0))</f>
        <v>1.1241473192885765E-3</v>
      </c>
      <c r="BA20" s="8">
        <f>IF($A20=BA$1,0,IF(SUM(IMshareM!BA$2:BA$78)-IMshareM!BA$53&gt;0,IMshareM!BA20/(SUM(IMshareM!BA$2:BA$78)-IMshareM!BA$53),0))</f>
        <v>3.5402944285943386E-2</v>
      </c>
      <c r="BB20" s="8">
        <f>IF($A20=BB$1,0,IF(SUM(IMshareM!BB$2:BB$78)-IMshareM!BB$54&gt;0,IMshareM!BB20/(SUM(IMshareM!BB$2:BB$78)-IMshareM!BB$54),0))</f>
        <v>2.8327014939753637E-2</v>
      </c>
      <c r="BC20" s="8">
        <f>IF($A20=BC$1,0,IF(SUM(IMshareM!BC$2:BC$78)-IMshareM!BC$55&gt;0,IMshareM!BC20/(SUM(IMshareM!BC$2:BC$78)-IMshareM!BC$55),0))</f>
        <v>5.9056142439112627E-2</v>
      </c>
      <c r="BD20" s="8">
        <f>IF($A20=BD$1,0,IF(SUM(IMshareM!BD$2:BD$78)-IMshareM!BD$56&gt;0,IMshareM!BD20/(SUM(IMshareM!BD$2:BD$78)-IMshareM!BD$56),0))</f>
        <v>4.4900501384868381E-3</v>
      </c>
      <c r="BE20" s="8">
        <f>IF($A20=BE$1,0,IF(SUM(IMshareM!BE$2:BE$78)-IMshareM!BE$57&gt;0,IMshareM!BE20/(SUM(IMshareM!BE$2:BE$78)-IMshareM!BE$57),0))</f>
        <v>2.7200840600164898E-3</v>
      </c>
      <c r="BF20" s="8">
        <f>IF($A20=BF$1,0,IF(SUM(IMshareM!BF$2:BF$78)-IMshareM!BF$58&gt;0,IMshareM!BF20/(SUM(IMshareM!BF$2:BF$78)-IMshareM!BF$58),0))</f>
        <v>1.0557983568370269E-2</v>
      </c>
      <c r="BG20" s="8">
        <f>IF($A20=BG$1,0,IF(SUM(IMshareM!BG$2:BG$78)-IMshareM!BG$59&gt;0,IMshareM!BG20/(SUM(IMshareM!BG$2:BG$78)-IMshareM!BG$59),0))</f>
        <v>2.4267924112909992E-3</v>
      </c>
      <c r="BH20" s="8">
        <f>IF($A20=BH$1,0,IF(SUM(IMshareM!BH$2:BH$78)-IMshareM!BH$60&gt;0,IMshareM!BH20/(SUM(IMshareM!BH$2:BH$78)-IMshareM!BH$60),0))</f>
        <v>1.744783803256245E-2</v>
      </c>
      <c r="BI20" s="8">
        <f>IF($A20=BI$1,0,IF(SUM(IMshareM!BI$2:BI$78)-IMshareM!BI$61&gt;0,IMshareM!BI20/(SUM(IMshareM!BI$2:BI$78)-IMshareM!BI$61),0))</f>
        <v>1.8116681007875866E-2</v>
      </c>
      <c r="BJ20" s="8">
        <f>IF($A20=BJ$1,0,IF(SUM(IMshareM!BJ$2:BJ$78)-IMshareM!BJ$62&gt;0,IMshareM!BJ20/(SUM(IMshareM!BJ$2:BJ$78)-IMshareM!BJ$62),0))</f>
        <v>1.7181063228374514E-2</v>
      </c>
      <c r="BK20" s="8">
        <f>IF($A20=BK$1,0,IF(SUM(IMshareM!BK$2:BK$78)-IMshareM!BK$63&gt;0,IMshareM!BK20/(SUM(IMshareM!BK$2:BK$78)-IMshareM!BK$63),0))</f>
        <v>1.2038668720135912E-2</v>
      </c>
      <c r="BL20" s="8">
        <f>IF($A20=BL$1,0,IF(SUM(IMshareM!BL$2:BL$78)-IMshareM!BL$64&gt;0,IMshareM!BL20/(SUM(IMshareM!BL$2:BL$78)-IMshareM!BL$64),0))</f>
        <v>8.1087770213385257E-3</v>
      </c>
      <c r="BM20" s="8">
        <f>IF($A20=BM$1,0,IF(SUM(IMshareM!BM$2:BM$78)-IMshareM!BM$65&gt;0,IMshareM!BM20/(SUM(IMshareM!BM$2:BM$78)-IMshareM!BM$65),0))</f>
        <v>1.6945804565341976E-3</v>
      </c>
      <c r="BN20" s="8">
        <f>IF($A20=BN$1,0,IF(SUM(IMshareM!BN$2:BN$78)-IMshareM!BN$66&gt;0,IMshareM!BN20/(SUM(IMshareM!BN$2:BN$78)-IMshareM!BN$66),0))</f>
        <v>5.3303425059101246E-3</v>
      </c>
      <c r="BO20" s="8">
        <f>IF($A20=BO$1,0,IF(SUM(IMshareM!BO$2:BO$78)-IMshareM!BO$67&gt;0,IMshareM!BO20/(SUM(IMshareM!BO$2:BO$78)-IMshareM!BO$67),0))</f>
        <v>2.8886491497210488E-2</v>
      </c>
      <c r="BP20" s="8">
        <f>IF($A20=BP$1,0,IF(SUM(IMshareM!BP$2:BP$78)-IMshareM!BP$68&gt;0,IMshareM!BP20/(SUM(IMshareM!BP$2:BP$78)-IMshareM!BP$68),0))</f>
        <v>1.1683180265453404E-2</v>
      </c>
      <c r="BQ20" s="8">
        <f>IF($A20=BQ$1,0,IF(SUM(IMshareM!BQ$2:BQ$78)-IMshareM!BQ$69&gt;0,IMshareM!BQ20/(SUM(IMshareM!BQ$2:BQ$78)-IMshareM!BQ$69),0))</f>
        <v>2.4125545782760344E-2</v>
      </c>
      <c r="BR20" s="8">
        <f>IF($A20=BR$1,0,IF(SUM(IMshareM!BR$2:BR$78)-IMshareM!BR$70&gt;0,IMshareM!BR20/(SUM(IMshareM!BR$2:BR$78)-IMshareM!BR$70),0))</f>
        <v>3.7432172986058571E-3</v>
      </c>
      <c r="BS20" s="8">
        <f>IF($A20=BS$1,0,IF(SUM(IMshareM!BS$2:BS$78)-IMshareM!BS$71&gt;0,IMshareM!BS20/(SUM(IMshareM!BS$2:BS$78)-IMshareM!BS$71),0))</f>
        <v>5.2279665015836807E-2</v>
      </c>
      <c r="BT20" s="8">
        <f>IF($A20=BT$1,0,IF(SUM(IMshareM!BT$2:BT$78)-IMshareM!BT$72&gt;0,IMshareM!BT20/(SUM(IMshareM!BT$2:BT$78)-IMshareM!BT$72),0))</f>
        <v>3.7886477848653788E-2</v>
      </c>
      <c r="BU20" s="8">
        <f>IF($A20=BU$1,0,IF(SUM(IMshareM!BU$2:BU$78)-IMshareM!BU$73&gt;0,IMshareM!BU20/(SUM(IMshareM!BU$2:BU$78)-IMshareM!BU$73),0))</f>
        <v>1.6715618523086187E-2</v>
      </c>
      <c r="BV20" s="8">
        <f>IF($A20=BV$1,0,IF(SUM(IMshareM!BV$2:BV$78)-IMshareM!BV$74&gt;0,IMshareM!BV20/(SUM(IMshareM!BV$2:BV$78)-IMshareM!BV$74),0))</f>
        <v>1.8082627451808719E-2</v>
      </c>
      <c r="BW20" s="8">
        <f>IF($A20=BW$1,0,IF(SUM(IMshareM!BW$2:BW$78)-IMshareM!BW$75&gt;0,IMshareM!BW20/(SUM(IMshareM!BW$2:BW$78)-IMshareM!BW$75),0))</f>
        <v>6.804658799061925E-3</v>
      </c>
      <c r="BX20" s="8">
        <f>IF($A20=BX$1,0,IF(SUM(IMshareM!BX$2:BX$78)-IMshareM!BX$76&gt;0,IMshareM!BX20/(SUM(IMshareM!BX$2:BX$78)-IMshareM!BX$76),0))</f>
        <v>1.6981750728999826E-3</v>
      </c>
      <c r="BY20" s="8">
        <f>IF($A20=BY$1,0,IF(SUM(IMshareM!BY$2:BY$78)-IMshareM!BY$77&gt;0,IMshareM!BY20/(SUM(IMshareM!BY$2:BY$78)-IMshareM!BY$77),0))</f>
        <v>1.2578149988997343E-2</v>
      </c>
      <c r="BZ20" s="8">
        <f>IF($A20=BZ$1,0,IF(SUM(IMshareM!BZ$2:BZ$78)-IMshareM!BZ$78&gt;0,IMshareM!BZ20/(SUM(IMshareM!BZ$2:BZ$78)-IMshareM!BZ$78),0))</f>
        <v>3.4715669863760922E-2</v>
      </c>
    </row>
    <row r="21" spans="1:78">
      <c r="A21" s="4" t="s">
        <v>109</v>
      </c>
      <c r="B21" s="8">
        <f>IF($A21=B$1,0,IF(SUM(IMshareM!B$2:B$78)-IMshareM!B$2&gt;0,IMshareM!B21/(SUM(IMshareM!B$2:B$78)-IMshareM!B$2),0))</f>
        <v>3.1488809252539378E-2</v>
      </c>
      <c r="C21" s="8">
        <f>IF($A21=C$1,0,IF(SUM(IMshareM!C$2:C$78)-IMshareM!C$3&gt;0,IMshareM!C21/(SUM(IMshareM!C$2:C$78)-IMshareM!C$3),0))</f>
        <v>4.5907962093972472E-2</v>
      </c>
      <c r="D21" s="8">
        <f>IF($A21=D$1,0,IF(SUM(IMshareM!D$2:D$78)-IMshareM!D$4&gt;0,IMshareM!D21/(SUM(IMshareM!D$2:D$78)-IMshareM!D$4),0))</f>
        <v>0.29674668925933917</v>
      </c>
      <c r="E21" s="8">
        <f>IF($A21=E$1,0,IF(SUM(IMshareM!E$2:E$78)-IMshareM!E$5&gt;0,IMshareM!E21/(SUM(IMshareM!E$2:E$78)-IMshareM!E$5),0))</f>
        <v>0.12054039431130201</v>
      </c>
      <c r="F21" s="8">
        <f>IF($A21=F$1,0,IF(SUM(IMshareM!F$2:F$78)-IMshareM!F$6&gt;0,IMshareM!F21/(SUM(IMshareM!F$2:F$78)-IMshareM!F$6),0))</f>
        <v>2.9950086188375552E-2</v>
      </c>
      <c r="G21" s="8">
        <f>IF($A21=G$1,0,IF(SUM(IMshareM!G$2:G$78)-IMshareM!G$7&gt;0,IMshareM!G21/(SUM(IMshareM!G$2:G$78)-IMshareM!G$7),0))</f>
        <v>0.10921533522333907</v>
      </c>
      <c r="H21" s="8">
        <f>IF($A21=H$1,0,IF(SUM(IMshareM!H$2:H$78)-IMshareM!H$8&gt;0,IMshareM!H21/(SUM(IMshareM!H$2:H$78)-IMshareM!H$8),0))</f>
        <v>7.159797202138711E-2</v>
      </c>
      <c r="I21" s="8">
        <f>IF($A21=I$1,0,IF(SUM(IMshareM!I$2:I$78)-IMshareM!I$9&gt;0,IMshareM!I21/(SUM(IMshareM!I$2:I$78)-IMshareM!I$9),0))</f>
        <v>9.0657826280632112E-2</v>
      </c>
      <c r="J21" s="8">
        <f>IF($A21=J$1,0,IF(SUM(IMshareM!J$2:J$78)-IMshareM!J$10&gt;0,IMshareM!J21/(SUM(IMshareM!J$2:J$78)-IMshareM!J$10),0))</f>
        <v>2.2569097041172909E-2</v>
      </c>
      <c r="K21" s="8">
        <f>IF($A21=K$1,0,IF(SUM(IMshareM!K$2:K$78)-IMshareM!K$11&gt;0,IMshareM!K21/(SUM(IMshareM!K$2:K$78)-IMshareM!K$11),0))</f>
        <v>4.6676134729488242E-2</v>
      </c>
      <c r="L21" s="8">
        <f>IF($A21=L$1,0,IF(SUM(IMshareM!L$2:L$78)-IMshareM!L$12&gt;0,IMshareM!L21/(SUM(IMshareM!L$2:L$78)-IMshareM!L$12),0))</f>
        <v>0.34266020900350047</v>
      </c>
      <c r="M21" s="8">
        <f>IF($A21=M$1,0,IF(SUM(IMshareM!M$2:M$78)-IMshareM!M$13&gt;0,IMshareM!M21/(SUM(IMshareM!M$2:M$78)-IMshareM!M$13),0))</f>
        <v>1.6093452790416428E-2</v>
      </c>
      <c r="N21" s="8">
        <f>IF($A21=N$1,0,IF(SUM(IMshareM!N$2:N$78)-IMshareM!N$14&gt;0,IMshareM!N21/(SUM(IMshareM!N$2:N$78)-IMshareM!N$14),0))</f>
        <v>0.23622982500204501</v>
      </c>
      <c r="O21" s="8">
        <f>IF($A21=O$1,0,IF(SUM(IMshareM!O$2:O$78)-IMshareM!O$15&gt;0,IMshareM!O21/(SUM(IMshareM!O$2:O$78)-IMshareM!O$15),0))</f>
        <v>0.1025615856077827</v>
      </c>
      <c r="P21" s="8">
        <f>IF($A21=P$1,0,IF(SUM(IMshareM!P$2:P$78)-IMshareM!P$16&gt;0,IMshareM!P21/(SUM(IMshareM!P$2:P$78)-IMshareM!P$16),0))</f>
        <v>2.6303558398634529E-2</v>
      </c>
      <c r="Q21" s="8">
        <f>IF($A21=Q$1,0,IF(SUM(IMshareM!Q$2:Q$78)-IMshareM!Q$17&gt;0,IMshareM!Q21/(SUM(IMshareM!Q$2:Q$78)-IMshareM!Q$17),0))</f>
        <v>4.231308200196441E-2</v>
      </c>
      <c r="R21" s="8">
        <f>IF($A21=R$1,0,IF(SUM(IMshareM!R$2:R$78)-IMshareM!R$18&gt;0,IMshareM!R21/(SUM(IMshareM!R$2:R$78)-IMshareM!R$18),0))</f>
        <v>3.6200191025128746E-2</v>
      </c>
      <c r="S21" s="8">
        <f>IF($A21=S$1,0,IF(SUM(IMshareM!S$2:S$78)-IMshareM!S$19&gt;0,IMshareM!S21/(SUM(IMshareM!S$2:S$78)-IMshareM!S$19),0))</f>
        <v>4.7084475096851548E-2</v>
      </c>
      <c r="T21" s="8">
        <f>IF($A21=T$1,0,IF(SUM(IMshareM!T$2:T$78)-IMshareM!T$20&gt;0,IMshareM!T21/(SUM(IMshareM!T$2:T$78)-IMshareM!T$20),0))</f>
        <v>0.32099369719002946</v>
      </c>
      <c r="U21" s="8">
        <f>IF($A21=U$1,0,IF(SUM(IMshareM!U$2:U$78)-IMshareM!U$21&gt;0,IMshareM!U21/(SUM(IMshareM!U$2:U$78)-IMshareM!U$21),0))</f>
        <v>0</v>
      </c>
      <c r="V21" s="8">
        <f>IF($A21=V$1,0,IF(SUM(IMshareM!V$2:V$78)-IMshareM!V$22&gt;0,IMshareM!V21/(SUM(IMshareM!V$2:V$78)-IMshareM!V$22),0))</f>
        <v>0.20160278470458279</v>
      </c>
      <c r="W21" s="8">
        <f>IF($A21=W$1,0,IF(SUM(IMshareM!W$2:W$78)-IMshareM!W$23&gt;0,IMshareM!W21/(SUM(IMshareM!W$2:W$78)-IMshareM!W$23),0))</f>
        <v>5.800660981787132E-2</v>
      </c>
      <c r="X21" s="8">
        <f>IF($A21=X$1,0,IF(SUM(IMshareM!X$2:X$78)-IMshareM!X$24&gt;0,IMshareM!X21/(SUM(IMshareM!X$2:X$78)-IMshareM!X$24),0))</f>
        <v>0.2288910176379117</v>
      </c>
      <c r="Y21" s="8">
        <f>IF($A21=Y$1,0,IF(SUM(IMshareM!Y$2:Y$78)-IMshareM!Y$25&gt;0,IMshareM!Y21/(SUM(IMshareM!Y$2:Y$78)-IMshareM!Y$25),0))</f>
        <v>0.17726016520181334</v>
      </c>
      <c r="Z21" s="8">
        <f>IF($A21=Z$1,0,IF(SUM(IMshareM!Z$2:Z$78)-IMshareM!Z$26&gt;0,IMshareM!Z21/(SUM(IMshareM!Z$2:Z$78)-IMshareM!Z$26),0))</f>
        <v>0.20876598150093675</v>
      </c>
      <c r="AA21" s="8">
        <f>IF($A21=AA$1,0,IF(SUM(IMshareM!AA$2:AA$78)-IMshareM!AA$27&gt;0,IMshareM!AA21/(SUM(IMshareM!AA$2:AA$78)-IMshareM!AA$27),0))</f>
        <v>0.2278975685212605</v>
      </c>
      <c r="AB21" s="8">
        <f>IF($A21=AB$1,0,IF(SUM(IMshareM!AB$2:AB$78)-IMshareM!AB$28&gt;0,IMshareM!AB21/(SUM(IMshareM!AB$2:AB$78)-IMshareM!AB$28),0))</f>
        <v>0.14676300616395282</v>
      </c>
      <c r="AC21" s="8">
        <f>IF($A21=AC$1,0,IF(SUM(IMshareM!AC$2:AC$78)-IMshareM!AC$29&gt;0,IMshareM!AC21/(SUM(IMshareM!AC$2:AC$78)-IMshareM!AC$29),0))</f>
        <v>0.16049841474807261</v>
      </c>
      <c r="AD21" s="8">
        <f>IF($A21=AD$1,0,IF(SUM(IMshareM!AD$2:AD$78)-IMshareM!AD$30&gt;0,IMshareM!AD21/(SUM(IMshareM!AD$2:AD$78)-IMshareM!AD$30),0))</f>
        <v>2.800952780584624E-2</v>
      </c>
      <c r="AE21" s="8">
        <f>IF($A21=AE$1,0,IF(SUM(IMshareM!AE$2:AE$78)-IMshareM!AE$31&gt;0,IMshareM!AE21/(SUM(IMshareM!AE$2:AE$78)-IMshareM!AE$31),0))</f>
        <v>0.2209466160923344</v>
      </c>
      <c r="AF21" s="8">
        <f>IF($A21=AF$1,0,IF(SUM(IMshareM!AF$2:AF$78)-IMshareM!AF$32&gt;0,IMshareM!AF21/(SUM(IMshareM!AF$2:AF$78)-IMshareM!AF$32),0))</f>
        <v>0.33810453142918595</v>
      </c>
      <c r="AG21" s="8">
        <f>IF($A21=AG$1,0,IF(SUM(IMshareM!AG$2:AG$78)-IMshareM!AG$33&gt;0,IMshareM!AG21/(SUM(IMshareM!AG$2:AG$78)-IMshareM!AG$33),0))</f>
        <v>3.1498827485611655E-2</v>
      </c>
      <c r="AH21" s="8">
        <f>IF($A21=AH$1,0,IF(SUM(IMshareM!AH$2:AH$78)-IMshareM!AH$34&gt;0,IMshareM!AH21/(SUM(IMshareM!AH$2:AH$78)-IMshareM!AH$34),0))</f>
        <v>7.788026972346454E-2</v>
      </c>
      <c r="AI21" s="8">
        <f>IF($A21=AI$1,0,IF(SUM(IMshareM!AI$2:AI$78)-IMshareM!AI$35&gt;0,IMshareM!AI21/(SUM(IMshareM!AI$2:AI$78)-IMshareM!AI$35),0))</f>
        <v>0.11883131828713071</v>
      </c>
      <c r="AJ21" s="8">
        <f>IF($A21=AJ$1,0,IF(SUM(IMshareM!AJ$2:AJ$78)-IMshareM!AJ$36&gt;0,IMshareM!AJ21/(SUM(IMshareM!AJ$2:AJ$78)-IMshareM!AJ$36),0))</f>
        <v>0.24718766322655014</v>
      </c>
      <c r="AK21" s="8">
        <f>IF($A21=AK$1,0,IF(SUM(IMshareM!AK$2:AK$78)-IMshareM!AK$37&gt;0,IMshareM!AK21/(SUM(IMshareM!AK$2:AK$78)-IMshareM!AK$37),0))</f>
        <v>0.12085316078758834</v>
      </c>
      <c r="AL21" s="8">
        <f>IF($A21=AL$1,0,IF(SUM(IMshareM!AL$2:AL$78)-IMshareM!AL$38&gt;0,IMshareM!AL21/(SUM(IMshareM!AL$2:AL$78)-IMshareM!AL$38),0))</f>
        <v>0.23165586493781523</v>
      </c>
      <c r="AM21" s="8">
        <f>IF($A21=AM$1,0,IF(SUM(IMshareM!AM$2:AM$78)-IMshareM!AM$39&gt;0,IMshareM!AM21/(SUM(IMshareM!AM$2:AM$78)-IMshareM!AM$39),0))</f>
        <v>0.1041175464998067</v>
      </c>
      <c r="AN21" s="8">
        <f>IF($A21=AN$1,0,IF(SUM(IMshareM!AN$2:AN$78)-IMshareM!AN$40&gt;0,IMshareM!AN21/(SUM(IMshareM!AN$2:AN$78)-IMshareM!AN$40),0))</f>
        <v>2.5795470845656952E-2</v>
      </c>
      <c r="AO21" s="8">
        <f>IF($A21=AO$1,0,IF(SUM(IMshareM!AO$2:AO$78)-IMshareM!AO$41&gt;0,IMshareM!AO21/(SUM(IMshareM!AO$2:AO$78)-IMshareM!AO$41),0))</f>
        <v>6.7699483903716967E-2</v>
      </c>
      <c r="AP21" s="8">
        <f>IF($A21=AP$1,0,IF(SUM(IMshareM!AP$2:AP$78)-IMshareM!AP$42&gt;0,IMshareM!AP21/(SUM(IMshareM!AP$2:AP$78)-IMshareM!AP$42),0))</f>
        <v>2.6388939009863881E-2</v>
      </c>
      <c r="AQ21" s="8">
        <f>IF($A21=AQ$1,0,IF(SUM(IMshareM!AQ$2:AQ$78)-IMshareM!AQ$43&gt;0,IMshareM!AQ21/(SUM(IMshareM!AQ$2:AQ$78)-IMshareM!AQ$43),0))</f>
        <v>2.77859981289948E-2</v>
      </c>
      <c r="AR21" s="8">
        <f>IF($A21=AR$1,0,IF(SUM(IMshareM!AR$2:AR$78)-IMshareM!AR$44&gt;0,IMshareM!AR21/(SUM(IMshareM!AR$2:AR$78)-IMshareM!AR$44),0))</f>
        <v>1.737401844732045E-2</v>
      </c>
      <c r="AS21" s="8">
        <f>IF($A21=AS$1,0,IF(SUM(IMshareM!AS$2:AS$78)-IMshareM!AS$45&gt;0,IMshareM!AS21/(SUM(IMshareM!AS$2:AS$78)-IMshareM!AS$45),0))</f>
        <v>0.32808241577525082</v>
      </c>
      <c r="AT21" s="8">
        <f>IF($A21=AT$1,0,IF(SUM(IMshareM!AT$2:AT$78)-IMshareM!AT$46&gt;0,IMshareM!AT21/(SUM(IMshareM!AT$2:AT$78)-IMshareM!AT$46),0))</f>
        <v>0.12561217668776689</v>
      </c>
      <c r="AU21" s="8">
        <f>IF($A21=AU$1,0,IF(SUM(IMshareM!AU$2:AU$78)-IMshareM!AU$47&gt;0,IMshareM!AU21/(SUM(IMshareM!AU$2:AU$78)-IMshareM!AU$47),0))</f>
        <v>0.1447554615724671</v>
      </c>
      <c r="AV21" s="8">
        <f>IF($A21=AV$1,0,IF(SUM(IMshareM!AV$2:AV$78)-IMshareM!AV$48&gt;0,IMshareM!AV21/(SUM(IMshareM!AV$2:AV$78)-IMshareM!AV$48),0))</f>
        <v>6.926542026183341E-2</v>
      </c>
      <c r="AW21" s="8">
        <f>IF($A21=AW$1,0,IF(SUM(IMshareM!AW$2:AW$78)-IMshareM!AW$49&gt;0,IMshareM!AW21/(SUM(IMshareM!AW$2:AW$78)-IMshareM!AW$49),0))</f>
        <v>4.9098322517885554E-2</v>
      </c>
      <c r="AX21" s="8">
        <f>IF($A21=AX$1,0,IF(SUM(IMshareM!AX$2:AX$78)-IMshareM!AX$50&gt;0,IMshareM!AX21/(SUM(IMshareM!AX$2:AX$78)-IMshareM!AX$50),0))</f>
        <v>5.1785715181961817E-2</v>
      </c>
      <c r="AY21" s="8">
        <f>IF($A21=AY$1,0,IF(SUM(IMshareM!AY$2:AY$78)-IMshareM!AY$51&gt;0,IMshareM!AY21/(SUM(IMshareM!AY$2:AY$78)-IMshareM!AY$51),0))</f>
        <v>7.1479650632948841E-3</v>
      </c>
      <c r="AZ21" s="8">
        <f>IF($A21=AZ$1,0,IF(SUM(IMshareM!AZ$2:AZ$78)-IMshareM!AZ$52&gt;0,IMshareM!AZ21/(SUM(IMshareM!AZ$2:AZ$78)-IMshareM!AZ$52),0))</f>
        <v>2.827747095529299E-2</v>
      </c>
      <c r="BA21" s="8">
        <f>IF($A21=BA$1,0,IF(SUM(IMshareM!BA$2:BA$78)-IMshareM!BA$53&gt;0,IMshareM!BA21/(SUM(IMshareM!BA$2:BA$78)-IMshareM!BA$53),0))</f>
        <v>4.4009810475126948E-2</v>
      </c>
      <c r="BB21" s="8">
        <f>IF($A21=BB$1,0,IF(SUM(IMshareM!BB$2:BB$78)-IMshareM!BB$54&gt;0,IMshareM!BB21/(SUM(IMshareM!BB$2:BB$78)-IMshareM!BB$54),0))</f>
        <v>0.26819123216893637</v>
      </c>
      <c r="BC21" s="8">
        <f>IF($A21=BC$1,0,IF(SUM(IMshareM!BC$2:BC$78)-IMshareM!BC$55&gt;0,IMshareM!BC21/(SUM(IMshareM!BC$2:BC$78)-IMshareM!BC$55),0))</f>
        <v>0.15329856378696671</v>
      </c>
      <c r="BD21" s="8">
        <f>IF($A21=BD$1,0,IF(SUM(IMshareM!BD$2:BD$78)-IMshareM!BD$56&gt;0,IMshareM!BD21/(SUM(IMshareM!BD$2:BD$78)-IMshareM!BD$56),0))</f>
        <v>8.4844268890468463E-2</v>
      </c>
      <c r="BE21" s="8">
        <f>IF($A21=BE$1,0,IF(SUM(IMshareM!BE$2:BE$78)-IMshareM!BE$57&gt;0,IMshareM!BE21/(SUM(IMshareM!BE$2:BE$78)-IMshareM!BE$57),0))</f>
        <v>2.4531068419066559E-2</v>
      </c>
      <c r="BF21" s="8">
        <f>IF($A21=BF$1,0,IF(SUM(IMshareM!BF$2:BF$78)-IMshareM!BF$58&gt;0,IMshareM!BF21/(SUM(IMshareM!BF$2:BF$78)-IMshareM!BF$58),0))</f>
        <v>7.8836417183522634E-2</v>
      </c>
      <c r="BG21" s="8">
        <f>IF($A21=BG$1,0,IF(SUM(IMshareM!BG$2:BG$78)-IMshareM!BG$59&gt;0,IMshareM!BG21/(SUM(IMshareM!BG$2:BG$78)-IMshareM!BG$59),0))</f>
        <v>1.7530376168777173E-2</v>
      </c>
      <c r="BH21" s="8">
        <f>IF($A21=BH$1,0,IF(SUM(IMshareM!BH$2:BH$78)-IMshareM!BH$60&gt;0,IMshareM!BH21/(SUM(IMshareM!BH$2:BH$78)-IMshareM!BH$60),0))</f>
        <v>0.2264094011768944</v>
      </c>
      <c r="BI21" s="8">
        <f>IF($A21=BI$1,0,IF(SUM(IMshareM!BI$2:BI$78)-IMshareM!BI$61&gt;0,IMshareM!BI21/(SUM(IMshareM!BI$2:BI$78)-IMshareM!BI$61),0))</f>
        <v>0.23642648595551072</v>
      </c>
      <c r="BJ21" s="8">
        <f>IF($A21=BJ$1,0,IF(SUM(IMshareM!BJ$2:BJ$78)-IMshareM!BJ$62&gt;0,IMshareM!BJ21/(SUM(IMshareM!BJ$2:BJ$78)-IMshareM!BJ$62),0))</f>
        <v>0.15839278031475712</v>
      </c>
      <c r="BK21" s="8">
        <f>IF($A21=BK$1,0,IF(SUM(IMshareM!BK$2:BK$78)-IMshareM!BK$63&gt;0,IMshareM!BK21/(SUM(IMshareM!BK$2:BK$78)-IMshareM!BK$63),0))</f>
        <v>0.10555962370144771</v>
      </c>
      <c r="BL21" s="8">
        <f>IF($A21=BL$1,0,IF(SUM(IMshareM!BL$2:BL$78)-IMshareM!BL$64&gt;0,IMshareM!BL21/(SUM(IMshareM!BL$2:BL$78)-IMshareM!BL$64),0))</f>
        <v>0.1056110180442266</v>
      </c>
      <c r="BM21" s="8">
        <f>IF($A21=BM$1,0,IF(SUM(IMshareM!BM$2:BM$78)-IMshareM!BM$65&gt;0,IMshareM!BM21/(SUM(IMshareM!BM$2:BM$78)-IMshareM!BM$65),0))</f>
        <v>0.33918399293760843</v>
      </c>
      <c r="BN21" s="8">
        <f>IF($A21=BN$1,0,IF(SUM(IMshareM!BN$2:BN$78)-IMshareM!BN$66&gt;0,IMshareM!BN21/(SUM(IMshareM!BN$2:BN$78)-IMshareM!BN$66),0))</f>
        <v>6.6231589229546611E-2</v>
      </c>
      <c r="BO21" s="8">
        <f>IF($A21=BO$1,0,IF(SUM(IMshareM!BO$2:BO$78)-IMshareM!BO$67&gt;0,IMshareM!BO21/(SUM(IMshareM!BO$2:BO$78)-IMshareM!BO$67),0))</f>
        <v>0.22909777874969617</v>
      </c>
      <c r="BP21" s="8">
        <f>IF($A21=BP$1,0,IF(SUM(IMshareM!BP$2:BP$78)-IMshareM!BP$68&gt;0,IMshareM!BP21/(SUM(IMshareM!BP$2:BP$78)-IMshareM!BP$68),0))</f>
        <v>0.12710764859392787</v>
      </c>
      <c r="BQ21" s="8">
        <f>IF($A21=BQ$1,0,IF(SUM(IMshareM!BQ$2:BQ$78)-IMshareM!BQ$69&gt;0,IMshareM!BQ21/(SUM(IMshareM!BQ$2:BQ$78)-IMshareM!BQ$69),0))</f>
        <v>0.23934494455065936</v>
      </c>
      <c r="BR21" s="8">
        <f>IF($A21=BR$1,0,IF(SUM(IMshareM!BR$2:BR$78)-IMshareM!BR$70&gt;0,IMshareM!BR21/(SUM(IMshareM!BR$2:BR$78)-IMshareM!BR$70),0))</f>
        <v>3.1003134523899894E-2</v>
      </c>
      <c r="BS21" s="8">
        <f>IF($A21=BS$1,0,IF(SUM(IMshareM!BS$2:BS$78)-IMshareM!BS$71&gt;0,IMshareM!BS21/(SUM(IMshareM!BS$2:BS$78)-IMshareM!BS$71),0))</f>
        <v>6.2844777133237731E-2</v>
      </c>
      <c r="BT21" s="8">
        <f>IF($A21=BT$1,0,IF(SUM(IMshareM!BT$2:BT$78)-IMshareM!BT$72&gt;0,IMshareM!BT21/(SUM(IMshareM!BT$2:BT$78)-IMshareM!BT$72),0))</f>
        <v>9.9182299843273591E-2</v>
      </c>
      <c r="BU21" s="8">
        <f>IF($A21=BU$1,0,IF(SUM(IMshareM!BU$2:BU$78)-IMshareM!BU$73&gt;0,IMshareM!BU21/(SUM(IMshareM!BU$2:BU$78)-IMshareM!BU$73),0))</f>
        <v>0.10853706599566035</v>
      </c>
      <c r="BV21" s="8">
        <f>IF($A21=BV$1,0,IF(SUM(IMshareM!BV$2:BV$78)-IMshareM!BV$74&gt;0,IMshareM!BV21/(SUM(IMshareM!BV$2:BV$78)-IMshareM!BV$74),0))</f>
        <v>0.1001971022131916</v>
      </c>
      <c r="BW21" s="8">
        <f>IF($A21=BW$1,0,IF(SUM(IMshareM!BW$2:BW$78)-IMshareM!BW$75&gt;0,IMshareM!BW21/(SUM(IMshareM!BW$2:BW$78)-IMshareM!BW$75),0))</f>
        <v>7.2147922613321425E-2</v>
      </c>
      <c r="BX21" s="8">
        <f>IF($A21=BX$1,0,IF(SUM(IMshareM!BX$2:BX$78)-IMshareM!BX$76&gt;0,IMshareM!BX21/(SUM(IMshareM!BX$2:BX$78)-IMshareM!BX$76),0))</f>
        <v>2.9631206244920261E-2</v>
      </c>
      <c r="BY21" s="8">
        <f>IF($A21=BY$1,0,IF(SUM(IMshareM!BY$2:BY$78)-IMshareM!BY$77&gt;0,IMshareM!BY21/(SUM(IMshareM!BY$2:BY$78)-IMshareM!BY$77),0))</f>
        <v>7.2332422061722842E-2</v>
      </c>
      <c r="BZ21" s="8">
        <f>IF($A21=BZ$1,0,IF(SUM(IMshareM!BZ$2:BZ$78)-IMshareM!BZ$78&gt;0,IMshareM!BZ21/(SUM(IMshareM!BZ$2:BZ$78)-IMshareM!BZ$78),0))</f>
        <v>6.1938917278383396E-2</v>
      </c>
    </row>
    <row r="22" spans="1:78">
      <c r="A22" s="4" t="s">
        <v>111</v>
      </c>
      <c r="B22" s="8">
        <f>IF($A22=B$1,0,IF(SUM(IMshareM!B$2:B$78)-IMshareM!B$2&gt;0,IMshareM!B22/(SUM(IMshareM!B$2:B$78)-IMshareM!B$2),0))</f>
        <v>2.1420524802981838E-3</v>
      </c>
      <c r="C22" s="8">
        <f>IF($A22=C$1,0,IF(SUM(IMshareM!C$2:C$78)-IMshareM!C$3&gt;0,IMshareM!C22/(SUM(IMshareM!C$2:C$78)-IMshareM!C$3),0))</f>
        <v>7.7141913315236631E-3</v>
      </c>
      <c r="D22" s="8">
        <f>IF($A22=D$1,0,IF(SUM(IMshareM!D$2:D$78)-IMshareM!D$4&gt;0,IMshareM!D22/(SUM(IMshareM!D$2:D$78)-IMshareM!D$4),0))</f>
        <v>2.8608004247282952E-3</v>
      </c>
      <c r="E22" s="8">
        <f>IF($A22=E$1,0,IF(SUM(IMshareM!E$2:E$78)-IMshareM!E$5&gt;0,IMshareM!E22/(SUM(IMshareM!E$2:E$78)-IMshareM!E$5),0))</f>
        <v>4.2408985988533618E-3</v>
      </c>
      <c r="F22" s="8">
        <f>IF($A22=F$1,0,IF(SUM(IMshareM!F$2:F$78)-IMshareM!F$6&gt;0,IMshareM!F22/(SUM(IMshareM!F$2:F$78)-IMshareM!F$6),0))</f>
        <v>4.830942690636334E-4</v>
      </c>
      <c r="G22" s="8">
        <f>IF($A22=G$1,0,IF(SUM(IMshareM!G$2:G$78)-IMshareM!G$7&gt;0,IMshareM!G22/(SUM(IMshareM!G$2:G$78)-IMshareM!G$7),0))</f>
        <v>5.5393387644633047E-3</v>
      </c>
      <c r="H22" s="8">
        <f>IF($A22=H$1,0,IF(SUM(IMshareM!H$2:H$78)-IMshareM!H$8&gt;0,IMshareM!H22/(SUM(IMshareM!H$2:H$78)-IMshareM!H$8),0))</f>
        <v>4.8422671197908288E-4</v>
      </c>
      <c r="I22" s="8">
        <f>IF($A22=I$1,0,IF(SUM(IMshareM!I$2:I$78)-IMshareM!I$9&gt;0,IMshareM!I22/(SUM(IMshareM!I$2:I$78)-IMshareM!I$9),0))</f>
        <v>1.8551518866433141E-3</v>
      </c>
      <c r="J22" s="8">
        <f>IF($A22=J$1,0,IF(SUM(IMshareM!J$2:J$78)-IMshareM!J$10&gt;0,IMshareM!J22/(SUM(IMshareM!J$2:J$78)-IMshareM!J$10),0))</f>
        <v>6.1453410980786887E-5</v>
      </c>
      <c r="K22" s="8">
        <f>IF($A22=K$1,0,IF(SUM(IMshareM!K$2:K$78)-IMshareM!K$11&gt;0,IMshareM!K22/(SUM(IMshareM!K$2:K$78)-IMshareM!K$11),0))</f>
        <v>4.7243526505173997E-3</v>
      </c>
      <c r="L22" s="8">
        <f>IF($A22=L$1,0,IF(SUM(IMshareM!L$2:L$78)-IMshareM!L$12&gt;0,IMshareM!L22/(SUM(IMshareM!L$2:L$78)-IMshareM!L$12),0))</f>
        <v>3.4869604397700679E-3</v>
      </c>
      <c r="M22" s="8">
        <f>IF($A22=M$1,0,IF(SUM(IMshareM!M$2:M$78)-IMshareM!M$13&gt;0,IMshareM!M22/(SUM(IMshareM!M$2:M$78)-IMshareM!M$13),0))</f>
        <v>1.1093322791558967E-3</v>
      </c>
      <c r="N22" s="8">
        <f>IF($A22=N$1,0,IF(SUM(IMshareM!N$2:N$78)-IMshareM!N$14&gt;0,IMshareM!N22/(SUM(IMshareM!N$2:N$78)-IMshareM!N$14),0))</f>
        <v>2.34038772610503E-3</v>
      </c>
      <c r="O22" s="8">
        <f>IF($A22=O$1,0,IF(SUM(IMshareM!O$2:O$78)-IMshareM!O$15&gt;0,IMshareM!O22/(SUM(IMshareM!O$2:O$78)-IMshareM!O$15),0))</f>
        <v>7.1482807439028292E-4</v>
      </c>
      <c r="P22" s="8">
        <f>IF($A22=P$1,0,IF(SUM(IMshareM!P$2:P$78)-IMshareM!P$16&gt;0,IMshareM!P22/(SUM(IMshareM!P$2:P$78)-IMshareM!P$16),0))</f>
        <v>3.8854481134054981E-4</v>
      </c>
      <c r="Q22" s="8">
        <f>IF($A22=Q$1,0,IF(SUM(IMshareM!Q$2:Q$78)-IMshareM!Q$17&gt;0,IMshareM!Q22/(SUM(IMshareM!Q$2:Q$78)-IMshareM!Q$17),0))</f>
        <v>1.7807978083409079E-3</v>
      </c>
      <c r="R22" s="8">
        <f>IF($A22=R$1,0,IF(SUM(IMshareM!R$2:R$78)-IMshareM!R$18&gt;0,IMshareM!R22/(SUM(IMshareM!R$2:R$78)-IMshareM!R$18),0))</f>
        <v>2.8944772894625645E-3</v>
      </c>
      <c r="S22" s="8">
        <f>IF($A22=S$1,0,IF(SUM(IMshareM!S$2:S$78)-IMshareM!S$19&gt;0,IMshareM!S22/(SUM(IMshareM!S$2:S$78)-IMshareM!S$19),0))</f>
        <v>1.3063359431165398E-3</v>
      </c>
      <c r="T22" s="8">
        <f>IF($A22=T$1,0,IF(SUM(IMshareM!T$2:T$78)-IMshareM!T$20&gt;0,IMshareM!T22/(SUM(IMshareM!T$2:T$78)-IMshareM!T$20),0))</f>
        <v>3.2234169600280369E-3</v>
      </c>
      <c r="U22" s="8">
        <f>IF($A22=U$1,0,IF(SUM(IMshareM!U$2:U$78)-IMshareM!U$21&gt;0,IMshareM!U22/(SUM(IMshareM!U$2:U$78)-IMshareM!U$21),0))</f>
        <v>7.7770634041143963E-3</v>
      </c>
      <c r="V22" s="8">
        <f>IF($A22=V$1,0,IF(SUM(IMshareM!V$2:V$78)-IMshareM!V$22&gt;0,IMshareM!V22/(SUM(IMshareM!V$2:V$78)-IMshareM!V$22),0))</f>
        <v>0</v>
      </c>
      <c r="W22" s="8">
        <f>IF($A22=W$1,0,IF(SUM(IMshareM!W$2:W$78)-IMshareM!W$23&gt;0,IMshareM!W22/(SUM(IMshareM!W$2:W$78)-IMshareM!W$23),0))</f>
        <v>9.3634023583469522E-4</v>
      </c>
      <c r="X22" s="8">
        <f>IF($A22=X$1,0,IF(SUM(IMshareM!X$2:X$78)-IMshareM!X$24&gt;0,IMshareM!X22/(SUM(IMshareM!X$2:X$78)-IMshareM!X$24),0))</f>
        <v>9.5502888654015201E-3</v>
      </c>
      <c r="Y22" s="8">
        <f>IF($A22=Y$1,0,IF(SUM(IMshareM!Y$2:Y$78)-IMshareM!Y$25&gt;0,IMshareM!Y22/(SUM(IMshareM!Y$2:Y$78)-IMshareM!Y$25),0))</f>
        <v>5.6509012562495813E-3</v>
      </c>
      <c r="Z22" s="8">
        <f>IF($A22=Z$1,0,IF(SUM(IMshareM!Z$2:Z$78)-IMshareM!Z$26&gt;0,IMshareM!Z22/(SUM(IMshareM!Z$2:Z$78)-IMshareM!Z$26),0))</f>
        <v>6.861532121689393E-3</v>
      </c>
      <c r="AA22" s="8">
        <f>IF($A22=AA$1,0,IF(SUM(IMshareM!AA$2:AA$78)-IMshareM!AA$27&gt;0,IMshareM!AA22/(SUM(IMshareM!AA$2:AA$78)-IMshareM!AA$27),0))</f>
        <v>1.1631590156004136E-2</v>
      </c>
      <c r="AB22" s="8">
        <f>IF($A22=AB$1,0,IF(SUM(IMshareM!AB$2:AB$78)-IMshareM!AB$28&gt;0,IMshareM!AB22/(SUM(IMshareM!AB$2:AB$78)-IMshareM!AB$28),0))</f>
        <v>7.2758633972818121E-3</v>
      </c>
      <c r="AC22" s="8">
        <f>IF($A22=AC$1,0,IF(SUM(IMshareM!AC$2:AC$78)-IMshareM!AC$29&gt;0,IMshareM!AC22/(SUM(IMshareM!AC$2:AC$78)-IMshareM!AC$29),0))</f>
        <v>1.1934843050704187E-3</v>
      </c>
      <c r="AD22" s="8">
        <f>IF($A22=AD$1,0,IF(SUM(IMshareM!AD$2:AD$78)-IMshareM!AD$30&gt;0,IMshareM!AD22/(SUM(IMshareM!AD$2:AD$78)-IMshareM!AD$30),0))</f>
        <v>2.9798564992377708E-4</v>
      </c>
      <c r="AE22" s="8">
        <f>IF($A22=AE$1,0,IF(SUM(IMshareM!AE$2:AE$78)-IMshareM!AE$31&gt;0,IMshareM!AE22/(SUM(IMshareM!AE$2:AE$78)-IMshareM!AE$31),0))</f>
        <v>1.561151132536787E-2</v>
      </c>
      <c r="AF22" s="8">
        <f>IF($A22=AF$1,0,IF(SUM(IMshareM!AF$2:AF$78)-IMshareM!AF$32&gt;0,IMshareM!AF22/(SUM(IMshareM!AF$2:AF$78)-IMshareM!AF$32),0))</f>
        <v>1.4121943106865027E-2</v>
      </c>
      <c r="AG22" s="8">
        <f>IF($A22=AG$1,0,IF(SUM(IMshareM!AG$2:AG$78)-IMshareM!AG$33&gt;0,IMshareM!AG22/(SUM(IMshareM!AG$2:AG$78)-IMshareM!AG$33),0))</f>
        <v>5.2222388507675455E-4</v>
      </c>
      <c r="AH22" s="8">
        <f>IF($A22=AH$1,0,IF(SUM(IMshareM!AH$2:AH$78)-IMshareM!AH$34&gt;0,IMshareM!AH22/(SUM(IMshareM!AH$2:AH$78)-IMshareM!AH$34),0))</f>
        <v>2.6767133674877159E-3</v>
      </c>
      <c r="AI22" s="8">
        <f>IF($A22=AI$1,0,IF(SUM(IMshareM!AI$2:AI$78)-IMshareM!AI$35&gt;0,IMshareM!AI22/(SUM(IMshareM!AI$2:AI$78)-IMshareM!AI$35),0))</f>
        <v>8.4013396297109577E-3</v>
      </c>
      <c r="AJ22" s="8">
        <f>IF($A22=AJ$1,0,IF(SUM(IMshareM!AJ$2:AJ$78)-IMshareM!AJ$36&gt;0,IMshareM!AJ22/(SUM(IMshareM!AJ$2:AJ$78)-IMshareM!AJ$36),0))</f>
        <v>4.6422097042933881E-2</v>
      </c>
      <c r="AK22" s="8">
        <f>IF($A22=AK$1,0,IF(SUM(IMshareM!AK$2:AK$78)-IMshareM!AK$37&gt;0,IMshareM!AK22/(SUM(IMshareM!AK$2:AK$78)-IMshareM!AK$37),0))</f>
        <v>2.7350734508890346E-3</v>
      </c>
      <c r="AL22" s="8">
        <f>IF($A22=AL$1,0,IF(SUM(IMshareM!AL$2:AL$78)-IMshareM!AL$38&gt;0,IMshareM!AL22/(SUM(IMshareM!AL$2:AL$78)-IMshareM!AL$38),0))</f>
        <v>6.5023121696439782E-3</v>
      </c>
      <c r="AM22" s="8">
        <f>IF($A22=AM$1,0,IF(SUM(IMshareM!AM$2:AM$78)-IMshareM!AM$39&gt;0,IMshareM!AM22/(SUM(IMshareM!AM$2:AM$78)-IMshareM!AM$39),0))</f>
        <v>1.105424046501722E-3</v>
      </c>
      <c r="AN22" s="8">
        <f>IF($A22=AN$1,0,IF(SUM(IMshareM!AN$2:AN$78)-IMshareM!AN$40&gt;0,IMshareM!AN22/(SUM(IMshareM!AN$2:AN$78)-IMshareM!AN$40),0))</f>
        <v>3.5251240576266662E-3</v>
      </c>
      <c r="AO22" s="8">
        <f>IF($A22=AO$1,0,IF(SUM(IMshareM!AO$2:AO$78)-IMshareM!AO$41&gt;0,IMshareM!AO22/(SUM(IMshareM!AO$2:AO$78)-IMshareM!AO$41),0))</f>
        <v>5.4308649311699889E-3</v>
      </c>
      <c r="AP22" s="8">
        <f>IF($A22=AP$1,0,IF(SUM(IMshareM!AP$2:AP$78)-IMshareM!AP$42&gt;0,IMshareM!AP22/(SUM(IMshareM!AP$2:AP$78)-IMshareM!AP$42),0))</f>
        <v>7.8655070243039993E-5</v>
      </c>
      <c r="AQ22" s="8">
        <f>IF($A22=AQ$1,0,IF(SUM(IMshareM!AQ$2:AQ$78)-IMshareM!AQ$43&gt;0,IMshareM!AQ22/(SUM(IMshareM!AQ$2:AQ$78)-IMshareM!AQ$43),0))</f>
        <v>1.3277656547536381E-3</v>
      </c>
      <c r="AR22" s="8">
        <f>IF($A22=AR$1,0,IF(SUM(IMshareM!AR$2:AR$78)-IMshareM!AR$44&gt;0,IMshareM!AR22/(SUM(IMshareM!AR$2:AR$78)-IMshareM!AR$44),0))</f>
        <v>0</v>
      </c>
      <c r="AS22" s="8">
        <f>IF($A22=AS$1,0,IF(SUM(IMshareM!AS$2:AS$78)-IMshareM!AS$45&gt;0,IMshareM!AS22/(SUM(IMshareM!AS$2:AS$78)-IMshareM!AS$45),0))</f>
        <v>2.5061106070950544E-2</v>
      </c>
      <c r="AT22" s="8">
        <f>IF($A22=AT$1,0,IF(SUM(IMshareM!AT$2:AT$78)-IMshareM!AT$46&gt;0,IMshareM!AT22/(SUM(IMshareM!AT$2:AT$78)-IMshareM!AT$46),0))</f>
        <v>2.6031971838075059E-3</v>
      </c>
      <c r="AU22" s="8">
        <f>IF($A22=AU$1,0,IF(SUM(IMshareM!AU$2:AU$78)-IMshareM!AU$47&gt;0,IMshareM!AU22/(SUM(IMshareM!AU$2:AU$78)-IMshareM!AU$47),0))</f>
        <v>1.880756908486721E-2</v>
      </c>
      <c r="AV22" s="8">
        <f>IF($A22=AV$1,0,IF(SUM(IMshareM!AV$2:AV$78)-IMshareM!AV$48&gt;0,IMshareM!AV22/(SUM(IMshareM!AV$2:AV$78)-IMshareM!AV$48),0))</f>
        <v>6.451944907956292E-3</v>
      </c>
      <c r="AW22" s="8">
        <f>IF($A22=AW$1,0,IF(SUM(IMshareM!AW$2:AW$78)-IMshareM!AW$49&gt;0,IMshareM!AW22/(SUM(IMshareM!AW$2:AW$78)-IMshareM!AW$49),0))</f>
        <v>1.8327746820435105E-4</v>
      </c>
      <c r="AX22" s="8">
        <f>IF($A22=AX$1,0,IF(SUM(IMshareM!AX$2:AX$78)-IMshareM!AX$50&gt;0,IMshareM!AX22/(SUM(IMshareM!AX$2:AX$78)-IMshareM!AX$50),0))</f>
        <v>6.1841823468073798E-4</v>
      </c>
      <c r="AY22" s="8">
        <f>IF($A22=AY$1,0,IF(SUM(IMshareM!AY$2:AY$78)-IMshareM!AY$51&gt;0,IMshareM!AY22/(SUM(IMshareM!AY$2:AY$78)-IMshareM!AY$51),0))</f>
        <v>0</v>
      </c>
      <c r="AZ22" s="8">
        <f>IF($A22=AZ$1,0,IF(SUM(IMshareM!AZ$2:AZ$78)-IMshareM!AZ$52&gt;0,IMshareM!AZ22/(SUM(IMshareM!AZ$2:AZ$78)-IMshareM!AZ$52),0))</f>
        <v>3.1860649136469262E-4</v>
      </c>
      <c r="BA22" s="8">
        <f>IF($A22=BA$1,0,IF(SUM(IMshareM!BA$2:BA$78)-IMshareM!BA$53&gt;0,IMshareM!BA22/(SUM(IMshareM!BA$2:BA$78)-IMshareM!BA$53),0))</f>
        <v>1.0808009041167685E-3</v>
      </c>
      <c r="BB22" s="8">
        <f>IF($A22=BB$1,0,IF(SUM(IMshareM!BB$2:BB$78)-IMshareM!BB$54&gt;0,IMshareM!BB22/(SUM(IMshareM!BB$2:BB$78)-IMshareM!BB$54),0))</f>
        <v>1.3189749965541495E-2</v>
      </c>
      <c r="BC22" s="8">
        <f>IF($A22=BC$1,0,IF(SUM(IMshareM!BC$2:BC$78)-IMshareM!BC$55&gt;0,IMshareM!BC22/(SUM(IMshareM!BC$2:BC$78)-IMshareM!BC$55),0))</f>
        <v>4.3565638095787493E-2</v>
      </c>
      <c r="BD22" s="8">
        <f>IF($A22=BD$1,0,IF(SUM(IMshareM!BD$2:BD$78)-IMshareM!BD$56&gt;0,IMshareM!BD22/(SUM(IMshareM!BD$2:BD$78)-IMshareM!BD$56),0))</f>
        <v>1.8221595203801635E-2</v>
      </c>
      <c r="BE22" s="8">
        <f>IF($A22=BE$1,0,IF(SUM(IMshareM!BE$2:BE$78)-IMshareM!BE$57&gt;0,IMshareM!BE22/(SUM(IMshareM!BE$2:BE$78)-IMshareM!BE$57),0))</f>
        <v>1.263889452187315E-3</v>
      </c>
      <c r="BF22" s="8">
        <f>IF($A22=BF$1,0,IF(SUM(IMshareM!BF$2:BF$78)-IMshareM!BF$58&gt;0,IMshareM!BF22/(SUM(IMshareM!BF$2:BF$78)-IMshareM!BF$58),0))</f>
        <v>7.2160585517497212E-4</v>
      </c>
      <c r="BG22" s="8">
        <f>IF($A22=BG$1,0,IF(SUM(IMshareM!BG$2:BG$78)-IMshareM!BG$59&gt;0,IMshareM!BG22/(SUM(IMshareM!BG$2:BG$78)-IMshareM!BG$59),0))</f>
        <v>8.991286160795292E-4</v>
      </c>
      <c r="BH22" s="8">
        <f>IF($A22=BH$1,0,IF(SUM(IMshareM!BH$2:BH$78)-IMshareM!BH$60&gt;0,IMshareM!BH22/(SUM(IMshareM!BH$2:BH$78)-IMshareM!BH$60),0))</f>
        <v>8.4996069145221089E-3</v>
      </c>
      <c r="BI22" s="8">
        <f>IF($A22=BI$1,0,IF(SUM(IMshareM!BI$2:BI$78)-IMshareM!BI$61&gt;0,IMshareM!BI22/(SUM(IMshareM!BI$2:BI$78)-IMshareM!BI$61),0))</f>
        <v>9.0568813083634677E-3</v>
      </c>
      <c r="BJ22" s="8">
        <f>IF($A22=BJ$1,0,IF(SUM(IMshareM!BJ$2:BJ$78)-IMshareM!BJ$62&gt;0,IMshareM!BJ22/(SUM(IMshareM!BJ$2:BJ$78)-IMshareM!BJ$62),0))</f>
        <v>9.1399040482738521E-4</v>
      </c>
      <c r="BK22" s="8">
        <f>IF($A22=BK$1,0,IF(SUM(IMshareM!BK$2:BK$78)-IMshareM!BK$63&gt;0,IMshareM!BK22/(SUM(IMshareM!BK$2:BK$78)-IMshareM!BK$63),0))</f>
        <v>4.3360300356284926E-3</v>
      </c>
      <c r="BL22" s="8">
        <f>IF($A22=BL$1,0,IF(SUM(IMshareM!BL$2:BL$78)-IMshareM!BL$64&gt;0,IMshareM!BL22/(SUM(IMshareM!BL$2:BL$78)-IMshareM!BL$64),0))</f>
        <v>2.1907430142960389E-3</v>
      </c>
      <c r="BM22" s="8">
        <f>IF($A22=BM$1,0,IF(SUM(IMshareM!BM$2:BM$78)-IMshareM!BM$65&gt;0,IMshareM!BM22/(SUM(IMshareM!BM$2:BM$78)-IMshareM!BM$65),0))</f>
        <v>7.4722414632550412E-4</v>
      </c>
      <c r="BN22" s="8">
        <f>IF($A22=BN$1,0,IF(SUM(IMshareM!BN$2:BN$78)-IMshareM!BN$66&gt;0,IMshareM!BN22/(SUM(IMshareM!BN$2:BN$78)-IMshareM!BN$66),0))</f>
        <v>9.8669139813387747E-4</v>
      </c>
      <c r="BO22" s="8">
        <f>IF($A22=BO$1,0,IF(SUM(IMshareM!BO$2:BO$78)-IMshareM!BO$67&gt;0,IMshareM!BO22/(SUM(IMshareM!BO$2:BO$78)-IMshareM!BO$67),0))</f>
        <v>4.0642720155851852E-4</v>
      </c>
      <c r="BP22" s="8">
        <f>IF($A22=BP$1,0,IF(SUM(IMshareM!BP$2:BP$78)-IMshareM!BP$68&gt;0,IMshareM!BP22/(SUM(IMshareM!BP$2:BP$78)-IMshareM!BP$68),0))</f>
        <v>2.5032093115478151E-3</v>
      </c>
      <c r="BQ22" s="8">
        <f>IF($A22=BQ$1,0,IF(SUM(IMshareM!BQ$2:BQ$78)-IMshareM!BQ$69&gt;0,IMshareM!BQ22/(SUM(IMshareM!BQ$2:BQ$78)-IMshareM!BQ$69),0))</f>
        <v>2.2931838574044877E-2</v>
      </c>
      <c r="BR22" s="8">
        <f>IF($A22=BR$1,0,IF(SUM(IMshareM!BR$2:BR$78)-IMshareM!BR$70&gt;0,IMshareM!BR22/(SUM(IMshareM!BR$2:BR$78)-IMshareM!BR$70),0))</f>
        <v>9.9777321481565894E-4</v>
      </c>
      <c r="BS22" s="8">
        <f>IF($A22=BS$1,0,IF(SUM(IMshareM!BS$2:BS$78)-IMshareM!BS$71&gt;0,IMshareM!BS22/(SUM(IMshareM!BS$2:BS$78)-IMshareM!BS$71),0))</f>
        <v>2.4761629066765364E-3</v>
      </c>
      <c r="BT22" s="8">
        <f>IF($A22=BT$1,0,IF(SUM(IMshareM!BT$2:BT$78)-IMshareM!BT$72&gt;0,IMshareM!BT22/(SUM(IMshareM!BT$2:BT$78)-IMshareM!BT$72),0))</f>
        <v>4.0637664627796478E-3</v>
      </c>
      <c r="BU22" s="8">
        <f>IF($A22=BU$1,0,IF(SUM(IMshareM!BU$2:BU$78)-IMshareM!BU$73&gt;0,IMshareM!BU22/(SUM(IMshareM!BU$2:BU$78)-IMshareM!BU$73),0))</f>
        <v>3.9452734577989463E-3</v>
      </c>
      <c r="BV22" s="8">
        <f>IF($A22=BV$1,0,IF(SUM(IMshareM!BV$2:BV$78)-IMshareM!BV$74&gt;0,IMshareM!BV22/(SUM(IMshareM!BV$2:BV$78)-IMshareM!BV$74),0))</f>
        <v>3.1770124511805191E-3</v>
      </c>
      <c r="BW22" s="8">
        <f>IF($A22=BW$1,0,IF(SUM(IMshareM!BW$2:BW$78)-IMshareM!BW$75&gt;0,IMshareM!BW22/(SUM(IMshareM!BW$2:BW$78)-IMshareM!BW$75),0))</f>
        <v>3.7008235064129934E-3</v>
      </c>
      <c r="BX22" s="8">
        <f>IF($A22=BX$1,0,IF(SUM(IMshareM!BX$2:BX$78)-IMshareM!BX$76&gt;0,IMshareM!BX22/(SUM(IMshareM!BX$2:BX$78)-IMshareM!BX$76),0))</f>
        <v>8.92055679961293E-4</v>
      </c>
      <c r="BY22" s="8">
        <f>IF($A22=BY$1,0,IF(SUM(IMshareM!BY$2:BY$78)-IMshareM!BY$77&gt;0,IMshareM!BY22/(SUM(IMshareM!BY$2:BY$78)-IMshareM!BY$77),0))</f>
        <v>2.6945039004472493E-3</v>
      </c>
      <c r="BZ22" s="8">
        <f>IF($A22=BZ$1,0,IF(SUM(IMshareM!BZ$2:BZ$78)-IMshareM!BZ$78&gt;0,IMshareM!BZ22/(SUM(IMshareM!BZ$2:BZ$78)-IMshareM!BZ$78),0))</f>
        <v>1.5760912946521852E-3</v>
      </c>
    </row>
    <row r="23" spans="1:78">
      <c r="A23" s="4" t="s">
        <v>113</v>
      </c>
      <c r="B23" s="8">
        <f>IF($A23=B$1,0,IF(SUM(IMshareM!B$2:B$78)-IMshareM!B$2&gt;0,IMshareM!B23/(SUM(IMshareM!B$2:B$78)-IMshareM!B$2),0))</f>
        <v>0</v>
      </c>
      <c r="C23" s="8">
        <f>IF($A23=C$1,0,IF(SUM(IMshareM!C$2:C$78)-IMshareM!C$3&gt;0,IMshareM!C23/(SUM(IMshareM!C$2:C$78)-IMshareM!C$3),0))</f>
        <v>2.5815616407132098E-4</v>
      </c>
      <c r="D23" s="8">
        <f>IF($A23=D$1,0,IF(SUM(IMshareM!D$2:D$78)-IMshareM!D$4&gt;0,IMshareM!D23/(SUM(IMshareM!D$2:D$78)-IMshareM!D$4),0))</f>
        <v>4.2527889932870285E-6</v>
      </c>
      <c r="E23" s="8">
        <f>IF($A23=E$1,0,IF(SUM(IMshareM!E$2:E$78)-IMshareM!E$5&gt;0,IMshareM!E23/(SUM(IMshareM!E$2:E$78)-IMshareM!E$5),0))</f>
        <v>1.4641642614092632E-6</v>
      </c>
      <c r="F23" s="8">
        <f>IF($A23=F$1,0,IF(SUM(IMshareM!F$2:F$78)-IMshareM!F$6&gt;0,IMshareM!F23/(SUM(IMshareM!F$2:F$78)-IMshareM!F$6),0))</f>
        <v>0</v>
      </c>
      <c r="G23" s="8">
        <f>IF($A23=G$1,0,IF(SUM(IMshareM!G$2:G$78)-IMshareM!G$7&gt;0,IMshareM!G23/(SUM(IMshareM!G$2:G$78)-IMshareM!G$7),0))</f>
        <v>6.090187824024574E-4</v>
      </c>
      <c r="H23" s="8">
        <f>IF($A23=H$1,0,IF(SUM(IMshareM!H$2:H$78)-IMshareM!H$8&gt;0,IMshareM!H23/(SUM(IMshareM!H$2:H$78)-IMshareM!H$8),0))</f>
        <v>0</v>
      </c>
      <c r="I23" s="8">
        <f>IF($A23=I$1,0,IF(SUM(IMshareM!I$2:I$78)-IMshareM!I$9&gt;0,IMshareM!I23/(SUM(IMshareM!I$2:I$78)-IMshareM!I$9),0))</f>
        <v>0</v>
      </c>
      <c r="J23" s="8">
        <f>IF($A23=J$1,0,IF(SUM(IMshareM!J$2:J$78)-IMshareM!J$10&gt;0,IMshareM!J23/(SUM(IMshareM!J$2:J$78)-IMshareM!J$10),0))</f>
        <v>0</v>
      </c>
      <c r="K23" s="8">
        <f>IF($A23=K$1,0,IF(SUM(IMshareM!K$2:K$78)-IMshareM!K$11&gt;0,IMshareM!K23/(SUM(IMshareM!K$2:K$78)-IMshareM!K$11),0))</f>
        <v>1.449245132590037E-5</v>
      </c>
      <c r="L23" s="8">
        <f>IF($A23=L$1,0,IF(SUM(IMshareM!L$2:L$78)-IMshareM!L$12&gt;0,IMshareM!L23/(SUM(IMshareM!L$2:L$78)-IMshareM!L$12),0))</f>
        <v>2.8595346128675494E-6</v>
      </c>
      <c r="M23" s="8">
        <f>IF($A23=M$1,0,IF(SUM(IMshareM!M$2:M$78)-IMshareM!M$13&gt;0,IMshareM!M23/(SUM(IMshareM!M$2:M$78)-IMshareM!M$13),0))</f>
        <v>0</v>
      </c>
      <c r="N23" s="8">
        <f>IF($A23=N$1,0,IF(SUM(IMshareM!N$2:N$78)-IMshareM!N$14&gt;0,IMshareM!N23/(SUM(IMshareM!N$2:N$78)-IMshareM!N$14),0))</f>
        <v>7.239214098328009E-9</v>
      </c>
      <c r="O23" s="8">
        <f>IF($A23=O$1,0,IF(SUM(IMshareM!O$2:O$78)-IMshareM!O$15&gt;0,IMshareM!O23/(SUM(IMshareM!O$2:O$78)-IMshareM!O$15),0))</f>
        <v>0</v>
      </c>
      <c r="P23" s="8">
        <f>IF($A23=P$1,0,IF(SUM(IMshareM!P$2:P$78)-IMshareM!P$16&gt;0,IMshareM!P23/(SUM(IMshareM!P$2:P$78)-IMshareM!P$16),0))</f>
        <v>0</v>
      </c>
      <c r="Q23" s="8">
        <f>IF($A23=Q$1,0,IF(SUM(IMshareM!Q$2:Q$78)-IMshareM!Q$17&gt;0,IMshareM!Q23/(SUM(IMshareM!Q$2:Q$78)-IMshareM!Q$17),0))</f>
        <v>0</v>
      </c>
      <c r="R23" s="8">
        <f>IF($A23=R$1,0,IF(SUM(IMshareM!R$2:R$78)-IMshareM!R$18&gt;0,IMshareM!R23/(SUM(IMshareM!R$2:R$78)-IMshareM!R$18),0))</f>
        <v>0</v>
      </c>
      <c r="S23" s="8">
        <f>IF($A23=S$1,0,IF(SUM(IMshareM!S$2:S$78)-IMshareM!S$19&gt;0,IMshareM!S23/(SUM(IMshareM!S$2:S$78)-IMshareM!S$19),0))</f>
        <v>0</v>
      </c>
      <c r="T23" s="8">
        <f>IF($A23=T$1,0,IF(SUM(IMshareM!T$2:T$78)-IMshareM!T$20&gt;0,IMshareM!T23/(SUM(IMshareM!T$2:T$78)-IMshareM!T$20),0))</f>
        <v>1.9154158612688816E-9</v>
      </c>
      <c r="U23" s="8">
        <f>IF($A23=U$1,0,IF(SUM(IMshareM!U$2:U$78)-IMshareM!U$21&gt;0,IMshareM!U23/(SUM(IMshareM!U$2:U$78)-IMshareM!U$21),0))</f>
        <v>2.1716507965119424E-5</v>
      </c>
      <c r="V23" s="8">
        <f>IF($A23=V$1,0,IF(SUM(IMshareM!V$2:V$78)-IMshareM!V$22&gt;0,IMshareM!V23/(SUM(IMshareM!V$2:V$78)-IMshareM!V$22),0))</f>
        <v>2.263370612271076E-5</v>
      </c>
      <c r="W23" s="8">
        <f>IF($A23=W$1,0,IF(SUM(IMshareM!W$2:W$78)-IMshareM!W$23&gt;0,IMshareM!W23/(SUM(IMshareM!W$2:W$78)-IMshareM!W$23),0))</f>
        <v>0</v>
      </c>
      <c r="X23" s="8">
        <f>IF($A23=X$1,0,IF(SUM(IMshareM!X$2:X$78)-IMshareM!X$24&gt;0,IMshareM!X23/(SUM(IMshareM!X$2:X$78)-IMshareM!X$24),0))</f>
        <v>1.2785528515248833E-4</v>
      </c>
      <c r="Y23" s="8">
        <f>IF($A23=Y$1,0,IF(SUM(IMshareM!Y$2:Y$78)-IMshareM!Y$25&gt;0,IMshareM!Y23/(SUM(IMshareM!Y$2:Y$78)-IMshareM!Y$25),0))</f>
        <v>0</v>
      </c>
      <c r="Z23" s="8">
        <f>IF($A23=Z$1,0,IF(SUM(IMshareM!Z$2:Z$78)-IMshareM!Z$26&gt;0,IMshareM!Z23/(SUM(IMshareM!Z$2:Z$78)-IMshareM!Z$26),0))</f>
        <v>1.8209207959671315E-5</v>
      </c>
      <c r="AA23" s="8">
        <f>IF($A23=AA$1,0,IF(SUM(IMshareM!AA$2:AA$78)-IMshareM!AA$27&gt;0,IMshareM!AA23/(SUM(IMshareM!AA$2:AA$78)-IMshareM!AA$27),0))</f>
        <v>4.276342419101193E-5</v>
      </c>
      <c r="AB23" s="8">
        <f>IF($A23=AB$1,0,IF(SUM(IMshareM!AB$2:AB$78)-IMshareM!AB$28&gt;0,IMshareM!AB23/(SUM(IMshareM!AB$2:AB$78)-IMshareM!AB$28),0))</f>
        <v>2.9300238973646743E-5</v>
      </c>
      <c r="AC23" s="8">
        <f>IF($A23=AC$1,0,IF(SUM(IMshareM!AC$2:AC$78)-IMshareM!AC$29&gt;0,IMshareM!AC23/(SUM(IMshareM!AC$2:AC$78)-IMshareM!AC$29),0))</f>
        <v>3.5503560195146254E-5</v>
      </c>
      <c r="AD23" s="8">
        <f>IF($A23=AD$1,0,IF(SUM(IMshareM!AD$2:AD$78)-IMshareM!AD$30&gt;0,IMshareM!AD23/(SUM(IMshareM!AD$2:AD$78)-IMshareM!AD$30),0))</f>
        <v>0</v>
      </c>
      <c r="AE23" s="8">
        <f>IF($A23=AE$1,0,IF(SUM(IMshareM!AE$2:AE$78)-IMshareM!AE$31&gt;0,IMshareM!AE23/(SUM(IMshareM!AE$2:AE$78)-IMshareM!AE$31),0))</f>
        <v>0</v>
      </c>
      <c r="AF23" s="8">
        <f>IF($A23=AF$1,0,IF(SUM(IMshareM!AF$2:AF$78)-IMshareM!AF$32&gt;0,IMshareM!AF23/(SUM(IMshareM!AF$2:AF$78)-IMshareM!AF$32),0))</f>
        <v>0</v>
      </c>
      <c r="AG23" s="8">
        <f>IF($A23=AG$1,0,IF(SUM(IMshareM!AG$2:AG$78)-IMshareM!AG$33&gt;0,IMshareM!AG23/(SUM(IMshareM!AG$2:AG$78)-IMshareM!AG$33),0))</f>
        <v>0</v>
      </c>
      <c r="AH23" s="8">
        <f>IF($A23=AH$1,0,IF(SUM(IMshareM!AH$2:AH$78)-IMshareM!AH$34&gt;0,IMshareM!AH23/(SUM(IMshareM!AH$2:AH$78)-IMshareM!AH$34),0))</f>
        <v>2.4466810420989926E-6</v>
      </c>
      <c r="AI23" s="8">
        <f>IF($A23=AI$1,0,IF(SUM(IMshareM!AI$2:AI$78)-IMshareM!AI$35&gt;0,IMshareM!AI23/(SUM(IMshareM!AI$2:AI$78)-IMshareM!AI$35),0))</f>
        <v>0</v>
      </c>
      <c r="AJ23" s="8">
        <f>IF($A23=AJ$1,0,IF(SUM(IMshareM!AJ$2:AJ$78)-IMshareM!AJ$36&gt;0,IMshareM!AJ23/(SUM(IMshareM!AJ$2:AJ$78)-IMshareM!AJ$36),0))</f>
        <v>0</v>
      </c>
      <c r="AK23" s="8">
        <f>IF($A23=AK$1,0,IF(SUM(IMshareM!AK$2:AK$78)-IMshareM!AK$37&gt;0,IMshareM!AK23/(SUM(IMshareM!AK$2:AK$78)-IMshareM!AK$37),0))</f>
        <v>0</v>
      </c>
      <c r="AL23" s="8">
        <f>IF($A23=AL$1,0,IF(SUM(IMshareM!AL$2:AL$78)-IMshareM!AL$38&gt;0,IMshareM!AL23/(SUM(IMshareM!AL$2:AL$78)-IMshareM!AL$38),0))</f>
        <v>1.0309838210656721E-4</v>
      </c>
      <c r="AM23" s="8">
        <f>IF($A23=AM$1,0,IF(SUM(IMshareM!AM$2:AM$78)-IMshareM!AM$39&gt;0,IMshareM!AM23/(SUM(IMshareM!AM$2:AM$78)-IMshareM!AM$39),0))</f>
        <v>4.6903133449904544E-3</v>
      </c>
      <c r="AN23" s="8">
        <f>IF($A23=AN$1,0,IF(SUM(IMshareM!AN$2:AN$78)-IMshareM!AN$40&gt;0,IMshareM!AN23/(SUM(IMshareM!AN$2:AN$78)-IMshareM!AN$40),0))</f>
        <v>0</v>
      </c>
      <c r="AO23" s="8">
        <f>IF($A23=AO$1,0,IF(SUM(IMshareM!AO$2:AO$78)-IMshareM!AO$41&gt;0,IMshareM!AO23/(SUM(IMshareM!AO$2:AO$78)-IMshareM!AO$41),0))</f>
        <v>0</v>
      </c>
      <c r="AP23" s="8">
        <f>IF($A23=AP$1,0,IF(SUM(IMshareM!AP$2:AP$78)-IMshareM!AP$42&gt;0,IMshareM!AP23/(SUM(IMshareM!AP$2:AP$78)-IMshareM!AP$42),0))</f>
        <v>0</v>
      </c>
      <c r="AQ23" s="8">
        <f>IF($A23=AQ$1,0,IF(SUM(IMshareM!AQ$2:AQ$78)-IMshareM!AQ$43&gt;0,IMshareM!AQ23/(SUM(IMshareM!AQ$2:AQ$78)-IMshareM!AQ$43),0))</f>
        <v>1.5917339251756851E-7</v>
      </c>
      <c r="AR23" s="8">
        <f>IF($A23=AR$1,0,IF(SUM(IMshareM!AR$2:AR$78)-IMshareM!AR$44&gt;0,IMshareM!AR23/(SUM(IMshareM!AR$2:AR$78)-IMshareM!AR$44),0))</f>
        <v>0</v>
      </c>
      <c r="AS23" s="8">
        <f>IF($A23=AS$1,0,IF(SUM(IMshareM!AS$2:AS$78)-IMshareM!AS$45&gt;0,IMshareM!AS23/(SUM(IMshareM!AS$2:AS$78)-IMshareM!AS$45),0))</f>
        <v>0</v>
      </c>
      <c r="AT23" s="8">
        <f>IF($A23=AT$1,0,IF(SUM(IMshareM!AT$2:AT$78)-IMshareM!AT$46&gt;0,IMshareM!AT23/(SUM(IMshareM!AT$2:AT$78)-IMshareM!AT$46),0))</f>
        <v>0</v>
      </c>
      <c r="AU23" s="8">
        <f>IF($A23=AU$1,0,IF(SUM(IMshareM!AU$2:AU$78)-IMshareM!AU$47&gt;0,IMshareM!AU23/(SUM(IMshareM!AU$2:AU$78)-IMshareM!AU$47),0))</f>
        <v>0</v>
      </c>
      <c r="AV23" s="8">
        <f>IF($A23=AV$1,0,IF(SUM(IMshareM!AV$2:AV$78)-IMshareM!AV$48&gt;0,IMshareM!AV23/(SUM(IMshareM!AV$2:AV$78)-IMshareM!AV$48),0))</f>
        <v>2.6977290276459776E-5</v>
      </c>
      <c r="AW23" s="8">
        <f>IF($A23=AW$1,0,IF(SUM(IMshareM!AW$2:AW$78)-IMshareM!AW$49&gt;0,IMshareM!AW23/(SUM(IMshareM!AW$2:AW$78)-IMshareM!AW$49),0))</f>
        <v>0</v>
      </c>
      <c r="AX23" s="8">
        <f>IF($A23=AX$1,0,IF(SUM(IMshareM!AX$2:AX$78)-IMshareM!AX$50&gt;0,IMshareM!AX23/(SUM(IMshareM!AX$2:AX$78)-IMshareM!AX$50),0))</f>
        <v>0</v>
      </c>
      <c r="AY23" s="8">
        <f>IF($A23=AY$1,0,IF(SUM(IMshareM!AY$2:AY$78)-IMshareM!AY$51&gt;0,IMshareM!AY23/(SUM(IMshareM!AY$2:AY$78)-IMshareM!AY$51),0))</f>
        <v>0</v>
      </c>
      <c r="AZ23" s="8">
        <f>IF($A23=AZ$1,0,IF(SUM(IMshareM!AZ$2:AZ$78)-IMshareM!AZ$52&gt;0,IMshareM!AZ23/(SUM(IMshareM!AZ$2:AZ$78)-IMshareM!AZ$52),0))</f>
        <v>0</v>
      </c>
      <c r="BA23" s="8">
        <f>IF($A23=BA$1,0,IF(SUM(IMshareM!BA$2:BA$78)-IMshareM!BA$53&gt;0,IMshareM!BA23/(SUM(IMshareM!BA$2:BA$78)-IMshareM!BA$53),0))</f>
        <v>8.362687925668378E-5</v>
      </c>
      <c r="BB23" s="8">
        <f>IF($A23=BB$1,0,IF(SUM(IMshareM!BB$2:BB$78)-IMshareM!BB$54&gt;0,IMshareM!BB23/(SUM(IMshareM!BB$2:BB$78)-IMshareM!BB$54),0))</f>
        <v>3.8199035510465804E-6</v>
      </c>
      <c r="BC23" s="8">
        <f>IF($A23=BC$1,0,IF(SUM(IMshareM!BC$2:BC$78)-IMshareM!BC$55&gt;0,IMshareM!BC23/(SUM(IMshareM!BC$2:BC$78)-IMshareM!BC$55),0))</f>
        <v>0</v>
      </c>
      <c r="BD23" s="8">
        <f>IF($A23=BD$1,0,IF(SUM(IMshareM!BD$2:BD$78)-IMshareM!BD$56&gt;0,IMshareM!BD23/(SUM(IMshareM!BD$2:BD$78)-IMshareM!BD$56),0))</f>
        <v>0</v>
      </c>
      <c r="BE23" s="8">
        <f>IF($A23=BE$1,0,IF(SUM(IMshareM!BE$2:BE$78)-IMshareM!BE$57&gt;0,IMshareM!BE23/(SUM(IMshareM!BE$2:BE$78)-IMshareM!BE$57),0))</f>
        <v>0</v>
      </c>
      <c r="BF23" s="8">
        <f>IF($A23=BF$1,0,IF(SUM(IMshareM!BF$2:BF$78)-IMshareM!BF$58&gt;0,IMshareM!BF23/(SUM(IMshareM!BF$2:BF$78)-IMshareM!BF$58),0))</f>
        <v>0</v>
      </c>
      <c r="BG23" s="8">
        <f>IF($A23=BG$1,0,IF(SUM(IMshareM!BG$2:BG$78)-IMshareM!BG$59&gt;0,IMshareM!BG23/(SUM(IMshareM!BG$2:BG$78)-IMshareM!BG$59),0))</f>
        <v>2.242946748676498E-7</v>
      </c>
      <c r="BH23" s="8">
        <f>IF($A23=BH$1,0,IF(SUM(IMshareM!BH$2:BH$78)-IMshareM!BH$60&gt;0,IMshareM!BH23/(SUM(IMshareM!BH$2:BH$78)-IMshareM!BH$60),0))</f>
        <v>1.6842427312107891E-5</v>
      </c>
      <c r="BI23" s="8">
        <f>IF($A23=BI$1,0,IF(SUM(IMshareM!BI$2:BI$78)-IMshareM!BI$61&gt;0,IMshareM!BI23/(SUM(IMshareM!BI$2:BI$78)-IMshareM!BI$61),0))</f>
        <v>0</v>
      </c>
      <c r="BJ23" s="8">
        <f>IF($A23=BJ$1,0,IF(SUM(IMshareM!BJ$2:BJ$78)-IMshareM!BJ$62&gt;0,IMshareM!BJ23/(SUM(IMshareM!BJ$2:BJ$78)-IMshareM!BJ$62),0))</f>
        <v>2.1770124696046455E-6</v>
      </c>
      <c r="BK23" s="8">
        <f>IF($A23=BK$1,0,IF(SUM(IMshareM!BK$2:BK$78)-IMshareM!BK$63&gt;0,IMshareM!BK23/(SUM(IMshareM!BK$2:BK$78)-IMshareM!BK$63),0))</f>
        <v>0</v>
      </c>
      <c r="BL23" s="8">
        <f>IF($A23=BL$1,0,IF(SUM(IMshareM!BL$2:BL$78)-IMshareM!BL$64&gt;0,IMshareM!BL23/(SUM(IMshareM!BL$2:BL$78)-IMshareM!BL$64),0))</f>
        <v>8.5416345716642918E-4</v>
      </c>
      <c r="BM23" s="8">
        <f>IF($A23=BM$1,0,IF(SUM(IMshareM!BM$2:BM$78)-IMshareM!BM$65&gt;0,IMshareM!BM23/(SUM(IMshareM!BM$2:BM$78)-IMshareM!BM$65),0))</f>
        <v>3.0552075484577531E-3</v>
      </c>
      <c r="BN23" s="8">
        <f>IF($A23=BN$1,0,IF(SUM(IMshareM!BN$2:BN$78)-IMshareM!BN$66&gt;0,IMshareM!BN23/(SUM(IMshareM!BN$2:BN$78)-IMshareM!BN$66),0))</f>
        <v>1.8319456107703981E-7</v>
      </c>
      <c r="BO23" s="8">
        <f>IF($A23=BO$1,0,IF(SUM(IMshareM!BO$2:BO$78)-IMshareM!BO$67&gt;0,IMshareM!BO23/(SUM(IMshareM!BO$2:BO$78)-IMshareM!BO$67),0))</f>
        <v>0</v>
      </c>
      <c r="BP23" s="8">
        <f>IF($A23=BP$1,0,IF(SUM(IMshareM!BP$2:BP$78)-IMshareM!BP$68&gt;0,IMshareM!BP23/(SUM(IMshareM!BP$2:BP$78)-IMshareM!BP$68),0))</f>
        <v>0</v>
      </c>
      <c r="BQ23" s="8">
        <f>IF($A23=BQ$1,0,IF(SUM(IMshareM!BQ$2:BQ$78)-IMshareM!BQ$69&gt;0,IMshareM!BQ23/(SUM(IMshareM!BQ$2:BQ$78)-IMshareM!BQ$69),0))</f>
        <v>4.1553951985946207E-7</v>
      </c>
      <c r="BR23" s="8">
        <f>IF($A23=BR$1,0,IF(SUM(IMshareM!BR$2:BR$78)-IMshareM!BR$70&gt;0,IMshareM!BR23/(SUM(IMshareM!BR$2:BR$78)-IMshareM!BR$70),0))</f>
        <v>2.8093737222460823E-7</v>
      </c>
      <c r="BS23" s="8">
        <f>IF($A23=BS$1,0,IF(SUM(IMshareM!BS$2:BS$78)-IMshareM!BS$71&gt;0,IMshareM!BS23/(SUM(IMshareM!BS$2:BS$78)-IMshareM!BS$71),0))</f>
        <v>2.0057629942120275E-5</v>
      </c>
      <c r="BT23" s="8">
        <f>IF($A23=BT$1,0,IF(SUM(IMshareM!BT$2:BT$78)-IMshareM!BT$72&gt;0,IMshareM!BT23/(SUM(IMshareM!BT$2:BT$78)-IMshareM!BT$72),0))</f>
        <v>1.5146847500316669E-4</v>
      </c>
      <c r="BU23" s="8">
        <f>IF($A23=BU$1,0,IF(SUM(IMshareM!BU$2:BU$78)-IMshareM!BU$73&gt;0,IMshareM!BU23/(SUM(IMshareM!BU$2:BU$78)-IMshareM!BU$73),0))</f>
        <v>0</v>
      </c>
      <c r="BV23" s="8">
        <f>IF($A23=BV$1,0,IF(SUM(IMshareM!BV$2:BV$78)-IMshareM!BV$74&gt;0,IMshareM!BV23/(SUM(IMshareM!BV$2:BV$78)-IMshareM!BV$74),0))</f>
        <v>0</v>
      </c>
      <c r="BW23" s="8">
        <f>IF($A23=BW$1,0,IF(SUM(IMshareM!BW$2:BW$78)-IMshareM!BW$75&gt;0,IMshareM!BW23/(SUM(IMshareM!BW$2:BW$78)-IMshareM!BW$75),0))</f>
        <v>5.4434082515402823E-6</v>
      </c>
      <c r="BX23" s="8">
        <f>IF($A23=BX$1,0,IF(SUM(IMshareM!BX$2:BX$78)-IMshareM!BX$76&gt;0,IMshareM!BX23/(SUM(IMshareM!BX$2:BX$78)-IMshareM!BX$76),0))</f>
        <v>0</v>
      </c>
      <c r="BY23" s="8">
        <f>IF($A23=BY$1,0,IF(SUM(IMshareM!BY$2:BY$78)-IMshareM!BY$77&gt;0,IMshareM!BY23/(SUM(IMshareM!BY$2:BY$78)-IMshareM!BY$77),0))</f>
        <v>1.4763518090979524E-5</v>
      </c>
      <c r="BZ23" s="8">
        <f>IF($A23=BZ$1,0,IF(SUM(IMshareM!BZ$2:BZ$78)-IMshareM!BZ$78&gt;0,IMshareM!BZ23/(SUM(IMshareM!BZ$2:BZ$78)-IMshareM!BZ$78),0))</f>
        <v>4.7828858033612822E-4</v>
      </c>
    </row>
    <row r="24" spans="1:78">
      <c r="A24" s="4" t="s">
        <v>115</v>
      </c>
      <c r="B24" s="8">
        <f>IF($A24=B$1,0,IF(SUM(IMshareM!B$2:B$78)-IMshareM!B$2&gt;0,IMshareM!B24/(SUM(IMshareM!B$2:B$78)-IMshareM!B$2),0))</f>
        <v>7.8839759248197187E-3</v>
      </c>
      <c r="C24" s="8">
        <f>IF($A24=C$1,0,IF(SUM(IMshareM!C$2:C$78)-IMshareM!C$3&gt;0,IMshareM!C24/(SUM(IMshareM!C$2:C$78)-IMshareM!C$3),0))</f>
        <v>6.2686993889909531E-3</v>
      </c>
      <c r="D24" s="8">
        <f>IF($A24=D$1,0,IF(SUM(IMshareM!D$2:D$78)-IMshareM!D$4&gt;0,IMshareM!D24/(SUM(IMshareM!D$2:D$78)-IMshareM!D$4),0))</f>
        <v>2.5575518604091983E-2</v>
      </c>
      <c r="E24" s="8">
        <f>IF($A24=E$1,0,IF(SUM(IMshareM!E$2:E$78)-IMshareM!E$5&gt;0,IMshareM!E24/(SUM(IMshareM!E$2:E$78)-IMshareM!E$5),0))</f>
        <v>2.4856098471947724E-3</v>
      </c>
      <c r="F24" s="8">
        <f>IF($A24=F$1,0,IF(SUM(IMshareM!F$2:F$78)-IMshareM!F$6&gt;0,IMshareM!F24/(SUM(IMshareM!F$2:F$78)-IMshareM!F$6),0))</f>
        <v>3.2414528380718725E-2</v>
      </c>
      <c r="G24" s="8">
        <f>IF($A24=G$1,0,IF(SUM(IMshareM!G$2:G$78)-IMshareM!G$7&gt;0,IMshareM!G24/(SUM(IMshareM!G$2:G$78)-IMshareM!G$7),0))</f>
        <v>8.2388469450618768E-4</v>
      </c>
      <c r="H24" s="8">
        <f>IF($A24=H$1,0,IF(SUM(IMshareM!H$2:H$78)-IMshareM!H$8&gt;0,IMshareM!H24/(SUM(IMshareM!H$2:H$78)-IMshareM!H$8),0))</f>
        <v>4.8226709626181117E-4</v>
      </c>
      <c r="I24" s="8">
        <f>IF($A24=I$1,0,IF(SUM(IMshareM!I$2:I$78)-IMshareM!I$9&gt;0,IMshareM!I24/(SUM(IMshareM!I$2:I$78)-IMshareM!I$9),0))</f>
        <v>4.2356856939360837E-2</v>
      </c>
      <c r="J24" s="8">
        <f>IF($A24=J$1,0,IF(SUM(IMshareM!J$2:J$78)-IMshareM!J$10&gt;0,IMshareM!J24/(SUM(IMshareM!J$2:J$78)-IMshareM!J$10),0))</f>
        <v>1.362546037144941E-4</v>
      </c>
      <c r="K24" s="8">
        <f>IF($A24=K$1,0,IF(SUM(IMshareM!K$2:K$78)-IMshareM!K$11&gt;0,IMshareM!K24/(SUM(IMshareM!K$2:K$78)-IMshareM!K$11),0))</f>
        <v>3.4372793657351068E-3</v>
      </c>
      <c r="L24" s="8">
        <f>IF($A24=L$1,0,IF(SUM(IMshareM!L$2:L$78)-IMshareM!L$12&gt;0,IMshareM!L24/(SUM(IMshareM!L$2:L$78)-IMshareM!L$12),0))</f>
        <v>9.5014689166638029E-3</v>
      </c>
      <c r="M24" s="8">
        <f>IF($A24=M$1,0,IF(SUM(IMshareM!M$2:M$78)-IMshareM!M$13&gt;0,IMshareM!M24/(SUM(IMshareM!M$2:M$78)-IMshareM!M$13),0))</f>
        <v>7.8854082187408761E-2</v>
      </c>
      <c r="N24" s="8">
        <f>IF($A24=N$1,0,IF(SUM(IMshareM!N$2:N$78)-IMshareM!N$14&gt;0,IMshareM!N24/(SUM(IMshareM!N$2:N$78)-IMshareM!N$14),0))</f>
        <v>3.7189208621504202E-3</v>
      </c>
      <c r="O24" s="8">
        <f>IF($A24=O$1,0,IF(SUM(IMshareM!O$2:O$78)-IMshareM!O$15&gt;0,IMshareM!O24/(SUM(IMshareM!O$2:O$78)-IMshareM!O$15),0))</f>
        <v>7.0207247904141602E-3</v>
      </c>
      <c r="P24" s="8">
        <f>IF($A24=P$1,0,IF(SUM(IMshareM!P$2:P$78)-IMshareM!P$16&gt;0,IMshareM!P24/(SUM(IMshareM!P$2:P$78)-IMshareM!P$16),0))</f>
        <v>0.50540346514573686</v>
      </c>
      <c r="Q24" s="8">
        <f>IF($A24=Q$1,0,IF(SUM(IMshareM!Q$2:Q$78)-IMshareM!Q$17&gt;0,IMshareM!Q24/(SUM(IMshareM!Q$2:Q$78)-IMshareM!Q$17),0))</f>
        <v>3.5797338215220437E-2</v>
      </c>
      <c r="R24" s="8">
        <f>IF($A24=R$1,0,IF(SUM(IMshareM!R$2:R$78)-IMshareM!R$18&gt;0,IMshareM!R24/(SUM(IMshareM!R$2:R$78)-IMshareM!R$18),0))</f>
        <v>4.0042992894664439E-2</v>
      </c>
      <c r="S24" s="8">
        <f>IF($A24=S$1,0,IF(SUM(IMshareM!S$2:S$78)-IMshareM!S$19&gt;0,IMshareM!S24/(SUM(IMshareM!S$2:S$78)-IMshareM!S$19),0))</f>
        <v>3.4301178347447801E-2</v>
      </c>
      <c r="T24" s="8">
        <f>IF($A24=T$1,0,IF(SUM(IMshareM!T$2:T$78)-IMshareM!T$20&gt;0,IMshareM!T24/(SUM(IMshareM!T$2:T$78)-IMshareM!T$20),0))</f>
        <v>5.8745785310957985E-3</v>
      </c>
      <c r="U24" s="8">
        <f>IF($A24=U$1,0,IF(SUM(IMshareM!U$2:U$78)-IMshareM!U$21&gt;0,IMshareM!U24/(SUM(IMshareM!U$2:U$78)-IMshareM!U$21),0))</f>
        <v>7.9288281865115846E-3</v>
      </c>
      <c r="V24" s="8">
        <f>IF($A24=V$1,0,IF(SUM(IMshareM!V$2:V$78)-IMshareM!V$22&gt;0,IMshareM!V24/(SUM(IMshareM!V$2:V$78)-IMshareM!V$22),0))</f>
        <v>2.600391090312498E-3</v>
      </c>
      <c r="W24" s="8">
        <f>IF($A24=W$1,0,IF(SUM(IMshareM!W$2:W$78)-IMshareM!W$23&gt;0,IMshareM!W24/(SUM(IMshareM!W$2:W$78)-IMshareM!W$23),0))</f>
        <v>2.2313309855142151E-3</v>
      </c>
      <c r="X24" s="8">
        <f>IF($A24=X$1,0,IF(SUM(IMshareM!X$2:X$78)-IMshareM!X$24&gt;0,IMshareM!X24/(SUM(IMshareM!X$2:X$78)-IMshareM!X$24),0))</f>
        <v>0</v>
      </c>
      <c r="Y24" s="8">
        <f>IF($A24=Y$1,0,IF(SUM(IMshareM!Y$2:Y$78)-IMshareM!Y$25&gt;0,IMshareM!Y24/(SUM(IMshareM!Y$2:Y$78)-IMshareM!Y$25),0))</f>
        <v>1.0472751453079151E-2</v>
      </c>
      <c r="Z24" s="8">
        <f>IF($A24=Z$1,0,IF(SUM(IMshareM!Z$2:Z$78)-IMshareM!Z$26&gt;0,IMshareM!Z24/(SUM(IMshareM!Z$2:Z$78)-IMshareM!Z$26),0))</f>
        <v>8.0516143600316593E-3</v>
      </c>
      <c r="AA24" s="8">
        <f>IF($A24=AA$1,0,IF(SUM(IMshareM!AA$2:AA$78)-IMshareM!AA$27&gt;0,IMshareM!AA24/(SUM(IMshareM!AA$2:AA$78)-IMshareM!AA$27),0))</f>
        <v>1.6125335181526132E-2</v>
      </c>
      <c r="AB24" s="8">
        <f>IF($A24=AB$1,0,IF(SUM(IMshareM!AB$2:AB$78)-IMshareM!AB$28&gt;0,IMshareM!AB24/(SUM(IMshareM!AB$2:AB$78)-IMshareM!AB$28),0))</f>
        <v>1.9910285057445593E-2</v>
      </c>
      <c r="AC24" s="8">
        <f>IF($A24=AC$1,0,IF(SUM(IMshareM!AC$2:AC$78)-IMshareM!AC$29&gt;0,IMshareM!AC24/(SUM(IMshareM!AC$2:AC$78)-IMshareM!AC$29),0))</f>
        <v>1.1777500410224195E-2</v>
      </c>
      <c r="AD24" s="8">
        <f>IF($A24=AD$1,0,IF(SUM(IMshareM!AD$2:AD$78)-IMshareM!AD$30&gt;0,IMshareM!AD24/(SUM(IMshareM!AD$2:AD$78)-IMshareM!AD$30),0))</f>
        <v>7.2011875516634504E-5</v>
      </c>
      <c r="AE24" s="8">
        <f>IF($A24=AE$1,0,IF(SUM(IMshareM!AE$2:AE$78)-IMshareM!AE$31&gt;0,IMshareM!AE24/(SUM(IMshareM!AE$2:AE$78)-IMshareM!AE$31),0))</f>
        <v>2.7290606733903129E-3</v>
      </c>
      <c r="AF24" s="8">
        <f>IF($A24=AF$1,0,IF(SUM(IMshareM!AF$2:AF$78)-IMshareM!AF$32&gt;0,IMshareM!AF24/(SUM(IMshareM!AF$2:AF$78)-IMshareM!AF$32),0))</f>
        <v>3.0048339340686122E-2</v>
      </c>
      <c r="AG24" s="8">
        <f>IF($A24=AG$1,0,IF(SUM(IMshareM!AG$2:AG$78)-IMshareM!AG$33&gt;0,IMshareM!AG24/(SUM(IMshareM!AG$2:AG$78)-IMshareM!AG$33),0))</f>
        <v>1.6760408394691753E-3</v>
      </c>
      <c r="AH24" s="8">
        <f>IF($A24=AH$1,0,IF(SUM(IMshareM!AH$2:AH$78)-IMshareM!AH$34&gt;0,IMshareM!AH24/(SUM(IMshareM!AH$2:AH$78)-IMshareM!AH$34),0))</f>
        <v>1.2121508885818717E-3</v>
      </c>
      <c r="AI24" s="8">
        <f>IF($A24=AI$1,0,IF(SUM(IMshareM!AI$2:AI$78)-IMshareM!AI$35&gt;0,IMshareM!AI24/(SUM(IMshareM!AI$2:AI$78)-IMshareM!AI$35),0))</f>
        <v>4.9993726994383095E-3</v>
      </c>
      <c r="AJ24" s="8">
        <f>IF($A24=AJ$1,0,IF(SUM(IMshareM!AJ$2:AJ$78)-IMshareM!AJ$36&gt;0,IMshareM!AJ24/(SUM(IMshareM!AJ$2:AJ$78)-IMshareM!AJ$36),0))</f>
        <v>1.1049655449455133E-2</v>
      </c>
      <c r="AK24" s="8">
        <f>IF($A24=AK$1,0,IF(SUM(IMshareM!AK$2:AK$78)-IMshareM!AK$37&gt;0,IMshareM!AK24/(SUM(IMshareM!AK$2:AK$78)-IMshareM!AK$37),0))</f>
        <v>1.0843365160458375E-2</v>
      </c>
      <c r="AL24" s="8">
        <f>IF($A24=AL$1,0,IF(SUM(IMshareM!AL$2:AL$78)-IMshareM!AL$38&gt;0,IMshareM!AL24/(SUM(IMshareM!AL$2:AL$78)-IMshareM!AL$38),0))</f>
        <v>1.2842595429982881E-2</v>
      </c>
      <c r="AM24" s="8">
        <f>IF($A24=AM$1,0,IF(SUM(IMshareM!AM$2:AM$78)-IMshareM!AM$39&gt;0,IMshareM!AM24/(SUM(IMshareM!AM$2:AM$78)-IMshareM!AM$39),0))</f>
        <v>1.641876151881044E-2</v>
      </c>
      <c r="AN24" s="8">
        <f>IF($A24=AN$1,0,IF(SUM(IMshareM!AN$2:AN$78)-IMshareM!AN$40&gt;0,IMshareM!AN24/(SUM(IMshareM!AN$2:AN$78)-IMshareM!AN$40),0))</f>
        <v>2.8601715181519917E-3</v>
      </c>
      <c r="AO24" s="8">
        <f>IF($A24=AO$1,0,IF(SUM(IMshareM!AO$2:AO$78)-IMshareM!AO$41&gt;0,IMshareM!AO24/(SUM(IMshareM!AO$2:AO$78)-IMshareM!AO$41),0))</f>
        <v>7.3579231138370203E-3</v>
      </c>
      <c r="AP24" s="8">
        <f>IF($A24=AP$1,0,IF(SUM(IMshareM!AP$2:AP$78)-IMshareM!AP$42&gt;0,IMshareM!AP24/(SUM(IMshareM!AP$2:AP$78)-IMshareM!AP$42),0))</f>
        <v>2.129870564250576E-5</v>
      </c>
      <c r="AQ24" s="8">
        <f>IF($A24=AQ$1,0,IF(SUM(IMshareM!AQ$2:AQ$78)-IMshareM!AQ$43&gt;0,IMshareM!AQ24/(SUM(IMshareM!AQ$2:AQ$78)-IMshareM!AQ$43),0))</f>
        <v>1.1598854324456451E-3</v>
      </c>
      <c r="AR24" s="8">
        <f>IF($A24=AR$1,0,IF(SUM(IMshareM!AR$2:AR$78)-IMshareM!AR$44&gt;0,IMshareM!AR24/(SUM(IMshareM!AR$2:AR$78)-IMshareM!AR$44),0))</f>
        <v>7.0012550857904504E-2</v>
      </c>
      <c r="AS24" s="8">
        <f>IF($A24=AS$1,0,IF(SUM(IMshareM!AS$2:AS$78)-IMshareM!AS$45&gt;0,IMshareM!AS24/(SUM(IMshareM!AS$2:AS$78)-IMshareM!AS$45),0))</f>
        <v>1.2219928597960067E-2</v>
      </c>
      <c r="AT24" s="8">
        <f>IF($A24=AT$1,0,IF(SUM(IMshareM!AT$2:AT$78)-IMshareM!AT$46&gt;0,IMshareM!AT24/(SUM(IMshareM!AT$2:AT$78)-IMshareM!AT$46),0))</f>
        <v>9.1206157179235146E-4</v>
      </c>
      <c r="AU24" s="8">
        <f>IF($A24=AU$1,0,IF(SUM(IMshareM!AU$2:AU$78)-IMshareM!AU$47&gt;0,IMshareM!AU24/(SUM(IMshareM!AU$2:AU$78)-IMshareM!AU$47),0))</f>
        <v>6.8198609720768698E-4</v>
      </c>
      <c r="AV24" s="8">
        <f>IF($A24=AV$1,0,IF(SUM(IMshareM!AV$2:AV$78)-IMshareM!AV$48&gt;0,IMshareM!AV24/(SUM(IMshareM!AV$2:AV$78)-IMshareM!AV$48),0))</f>
        <v>5.574486772432611E-2</v>
      </c>
      <c r="AW24" s="8">
        <f>IF($A24=AW$1,0,IF(SUM(IMshareM!AW$2:AW$78)-IMshareM!AW$49&gt;0,IMshareM!AW24/(SUM(IMshareM!AW$2:AW$78)-IMshareM!AW$49),0))</f>
        <v>3.1538081392131351E-3</v>
      </c>
      <c r="AX24" s="8">
        <f>IF($A24=AX$1,0,IF(SUM(IMshareM!AX$2:AX$78)-IMshareM!AX$50&gt;0,IMshareM!AX24/(SUM(IMshareM!AX$2:AX$78)-IMshareM!AX$50),0))</f>
        <v>2.5402828338537604E-4</v>
      </c>
      <c r="AY24" s="8">
        <f>IF($A24=AY$1,0,IF(SUM(IMshareM!AY$2:AY$78)-IMshareM!AY$51&gt;0,IMshareM!AY24/(SUM(IMshareM!AY$2:AY$78)-IMshareM!AY$51),0))</f>
        <v>1.7553219584136601E-3</v>
      </c>
      <c r="AZ24" s="8">
        <f>IF($A24=AZ$1,0,IF(SUM(IMshareM!AZ$2:AZ$78)-IMshareM!AZ$52&gt;0,IMshareM!AZ24/(SUM(IMshareM!AZ$2:AZ$78)-IMshareM!AZ$52),0))</f>
        <v>5.5500213085439446E-4</v>
      </c>
      <c r="BA24" s="8">
        <f>IF($A24=BA$1,0,IF(SUM(IMshareM!BA$2:BA$78)-IMshareM!BA$53&gt;0,IMshareM!BA24/(SUM(IMshareM!BA$2:BA$78)-IMshareM!BA$53),0))</f>
        <v>8.3795836122543127E-4</v>
      </c>
      <c r="BB24" s="8">
        <f>IF($A24=BB$1,0,IF(SUM(IMshareM!BB$2:BB$78)-IMshareM!BB$54&gt;0,IMshareM!BB24/(SUM(IMshareM!BB$2:BB$78)-IMshareM!BB$54),0))</f>
        <v>3.5312952093977364E-3</v>
      </c>
      <c r="BC24" s="8">
        <f>IF($A24=BC$1,0,IF(SUM(IMshareM!BC$2:BC$78)-IMshareM!BC$55&gt;0,IMshareM!BC24/(SUM(IMshareM!BC$2:BC$78)-IMshareM!BC$55),0))</f>
        <v>2.339200462888219E-2</v>
      </c>
      <c r="BD24" s="8">
        <f>IF($A24=BD$1,0,IF(SUM(IMshareM!BD$2:BD$78)-IMshareM!BD$56&gt;0,IMshareM!BD24/(SUM(IMshareM!BD$2:BD$78)-IMshareM!BD$56),0))</f>
        <v>2.6680727769682285E-3</v>
      </c>
      <c r="BE24" s="8">
        <f>IF($A24=BE$1,0,IF(SUM(IMshareM!BE$2:BE$78)-IMshareM!BE$57&gt;0,IMshareM!BE24/(SUM(IMshareM!BE$2:BE$78)-IMshareM!BE$57),0))</f>
        <v>3.84500312285178E-3</v>
      </c>
      <c r="BF24" s="8">
        <f>IF($A24=BF$1,0,IF(SUM(IMshareM!BF$2:BF$78)-IMshareM!BF$58&gt;0,IMshareM!BF24/(SUM(IMshareM!BF$2:BF$78)-IMshareM!BF$58),0))</f>
        <v>1.2119505678947901E-2</v>
      </c>
      <c r="BG24" s="8">
        <f>IF($A24=BG$1,0,IF(SUM(IMshareM!BG$2:BG$78)-IMshareM!BG$59&gt;0,IMshareM!BG24/(SUM(IMshareM!BG$2:BG$78)-IMshareM!BG$59),0))</f>
        <v>6.8133848678304126E-4</v>
      </c>
      <c r="BH24" s="8">
        <f>IF($A24=BH$1,0,IF(SUM(IMshareM!BH$2:BH$78)-IMshareM!BH$60&gt;0,IMshareM!BH24/(SUM(IMshareM!BH$2:BH$78)-IMshareM!BH$60),0))</f>
        <v>1.481678203679671E-2</v>
      </c>
      <c r="BI24" s="8">
        <f>IF($A24=BI$1,0,IF(SUM(IMshareM!BI$2:BI$78)-IMshareM!BI$61&gt;0,IMshareM!BI24/(SUM(IMshareM!BI$2:BI$78)-IMshareM!BI$61),0))</f>
        <v>0.10138502761888424</v>
      </c>
      <c r="BJ24" s="8">
        <f>IF($A24=BJ$1,0,IF(SUM(IMshareM!BJ$2:BJ$78)-IMshareM!BJ$62&gt;0,IMshareM!BJ24/(SUM(IMshareM!BJ$2:BJ$78)-IMshareM!BJ$62),0))</f>
        <v>7.4905602611049296E-3</v>
      </c>
      <c r="BK24" s="8">
        <f>IF($A24=BK$1,0,IF(SUM(IMshareM!BK$2:BK$78)-IMshareM!BK$63&gt;0,IMshareM!BK24/(SUM(IMshareM!BK$2:BK$78)-IMshareM!BK$63),0))</f>
        <v>4.82033313342871E-2</v>
      </c>
      <c r="BL24" s="8">
        <f>IF($A24=BL$1,0,IF(SUM(IMshareM!BL$2:BL$78)-IMshareM!BL$64&gt;0,IMshareM!BL24/(SUM(IMshareM!BL$2:BL$78)-IMshareM!BL$64),0))</f>
        <v>6.4331941969501087E-3</v>
      </c>
      <c r="BM24" s="8">
        <f>IF($A24=BM$1,0,IF(SUM(IMshareM!BM$2:BM$78)-IMshareM!BM$65&gt;0,IMshareM!BM24/(SUM(IMshareM!BM$2:BM$78)-IMshareM!BM$65),0))</f>
        <v>7.4725384998163159E-3</v>
      </c>
      <c r="BN24" s="8">
        <f>IF($A24=BN$1,0,IF(SUM(IMshareM!BN$2:BN$78)-IMshareM!BN$66&gt;0,IMshareM!BN24/(SUM(IMshareM!BN$2:BN$78)-IMshareM!BN$66),0))</f>
        <v>1.1591073279972081E-3</v>
      </c>
      <c r="BO24" s="8">
        <f>IF($A24=BO$1,0,IF(SUM(IMshareM!BO$2:BO$78)-IMshareM!BO$67&gt;0,IMshareM!BO24/(SUM(IMshareM!BO$2:BO$78)-IMshareM!BO$67),0))</f>
        <v>4.6291121555289502E-4</v>
      </c>
      <c r="BP24" s="8">
        <f>IF($A24=BP$1,0,IF(SUM(IMshareM!BP$2:BP$78)-IMshareM!BP$68&gt;0,IMshareM!BP24/(SUM(IMshareM!BP$2:BP$78)-IMshareM!BP$68),0))</f>
        <v>3.8166742759250675E-3</v>
      </c>
      <c r="BQ24" s="8">
        <f>IF($A24=BQ$1,0,IF(SUM(IMshareM!BQ$2:BQ$78)-IMshareM!BQ$69&gt;0,IMshareM!BQ24/(SUM(IMshareM!BQ$2:BQ$78)-IMshareM!BQ$69),0))</f>
        <v>2.6526673021158137E-3</v>
      </c>
      <c r="BR24" s="8">
        <f>IF($A24=BR$1,0,IF(SUM(IMshareM!BR$2:BR$78)-IMshareM!BR$70&gt;0,IMshareM!BR24/(SUM(IMshareM!BR$2:BR$78)-IMshareM!BR$70),0))</f>
        <v>1.0280123899048148E-3</v>
      </c>
      <c r="BS24" s="8">
        <f>IF($A24=BS$1,0,IF(SUM(IMshareM!BS$2:BS$78)-IMshareM!BS$71&gt;0,IMshareM!BS24/(SUM(IMshareM!BS$2:BS$78)-IMshareM!BS$71),0))</f>
        <v>1.8158305806171525E-2</v>
      </c>
      <c r="BT24" s="8">
        <f>IF($A24=BT$1,0,IF(SUM(IMshareM!BT$2:BT$78)-IMshareM!BT$72&gt;0,IMshareM!BT24/(SUM(IMshareM!BT$2:BT$78)-IMshareM!BT$72),0))</f>
        <v>7.632525488249795E-3</v>
      </c>
      <c r="BU24" s="8">
        <f>IF($A24=BU$1,0,IF(SUM(IMshareM!BU$2:BU$78)-IMshareM!BU$73&gt;0,IMshareM!BU24/(SUM(IMshareM!BU$2:BU$78)-IMshareM!BU$73),0))</f>
        <v>1.4504187189907473E-3</v>
      </c>
      <c r="BV24" s="8">
        <f>IF($A24=BV$1,0,IF(SUM(IMshareM!BV$2:BV$78)-IMshareM!BV$74&gt;0,IMshareM!BV24/(SUM(IMshareM!BV$2:BV$78)-IMshareM!BV$74),0))</f>
        <v>1.414016317700936E-3</v>
      </c>
      <c r="BW24" s="8">
        <f>IF($A24=BW$1,0,IF(SUM(IMshareM!BW$2:BW$78)-IMshareM!BW$75&gt;0,IMshareM!BW24/(SUM(IMshareM!BW$2:BW$78)-IMshareM!BW$75),0))</f>
        <v>4.8827594426346047E-3</v>
      </c>
      <c r="BX24" s="8">
        <f>IF($A24=BX$1,0,IF(SUM(IMshareM!BX$2:BX$78)-IMshareM!BX$76&gt;0,IMshareM!BX24/(SUM(IMshareM!BX$2:BX$78)-IMshareM!BX$76),0))</f>
        <v>4.246993074279181E-3</v>
      </c>
      <c r="BY24" s="8">
        <f>IF($A24=BY$1,0,IF(SUM(IMshareM!BY$2:BY$78)-IMshareM!BY$77&gt;0,IMshareM!BY24/(SUM(IMshareM!BY$2:BY$78)-IMshareM!BY$77),0))</f>
        <v>3.5025832563087889E-3</v>
      </c>
      <c r="BZ24" s="8">
        <f>IF($A24=BZ$1,0,IF(SUM(IMshareM!BZ$2:BZ$78)-IMshareM!BZ$78&gt;0,IMshareM!BZ24/(SUM(IMshareM!BZ$2:BZ$78)-IMshareM!BZ$78),0))</f>
        <v>1.0340380733390577E-2</v>
      </c>
    </row>
    <row r="25" spans="1:78">
      <c r="A25" s="4" t="s">
        <v>117</v>
      </c>
      <c r="B25" s="8">
        <f>IF($A25=B$1,0,IF(SUM(IMshareM!B$2:B$78)-IMshareM!B$2&gt;0,IMshareM!B25/(SUM(IMshareM!B$2:B$78)-IMshareM!B$2),0))</f>
        <v>3.068525927269369E-4</v>
      </c>
      <c r="C25" s="8">
        <f>IF($A25=C$1,0,IF(SUM(IMshareM!C$2:C$78)-IMshareM!C$3&gt;0,IMshareM!C25/(SUM(IMshareM!C$2:C$78)-IMshareM!C$3),0))</f>
        <v>1.6808075967752841E-4</v>
      </c>
      <c r="D25" s="8">
        <f>IF($A25=D$1,0,IF(SUM(IMshareM!D$2:D$78)-IMshareM!D$4&gt;0,IMshareM!D25/(SUM(IMshareM!D$2:D$78)-IMshareM!D$4),0))</f>
        <v>3.0890563321743759E-6</v>
      </c>
      <c r="E25" s="8">
        <f>IF($A25=E$1,0,IF(SUM(IMshareM!E$2:E$78)-IMshareM!E$5&gt;0,IMshareM!E25/(SUM(IMshareM!E$2:E$78)-IMshareM!E$5),0))</f>
        <v>3.8722171950232728E-6</v>
      </c>
      <c r="F25" s="8">
        <f>IF($A25=F$1,0,IF(SUM(IMshareM!F$2:F$78)-IMshareM!F$6&gt;0,IMshareM!F25/(SUM(IMshareM!F$2:F$78)-IMshareM!F$6),0))</f>
        <v>0</v>
      </c>
      <c r="G25" s="8">
        <f>IF($A25=G$1,0,IF(SUM(IMshareM!G$2:G$78)-IMshareM!G$7&gt;0,IMshareM!G25/(SUM(IMshareM!G$2:G$78)-IMshareM!G$7),0))</f>
        <v>1.1765939175562167E-4</v>
      </c>
      <c r="H25" s="8">
        <f>IF($A25=H$1,0,IF(SUM(IMshareM!H$2:H$78)-IMshareM!H$8&gt;0,IMshareM!H25/(SUM(IMshareM!H$2:H$78)-IMshareM!H$8),0))</f>
        <v>9.5533759578245398E-4</v>
      </c>
      <c r="I25" s="8">
        <f>IF($A25=I$1,0,IF(SUM(IMshareM!I$2:I$78)-IMshareM!I$9&gt;0,IMshareM!I25/(SUM(IMshareM!I$2:I$78)-IMshareM!I$9),0))</f>
        <v>1.8808839515739009E-4</v>
      </c>
      <c r="J25" s="8">
        <f>IF($A25=J$1,0,IF(SUM(IMshareM!J$2:J$78)-IMshareM!J$10&gt;0,IMshareM!J25/(SUM(IMshareM!J$2:J$78)-IMshareM!J$10),0))</f>
        <v>1.6255397813017119E-4</v>
      </c>
      <c r="K25" s="8">
        <f>IF($A25=K$1,0,IF(SUM(IMshareM!K$2:K$78)-IMshareM!K$11&gt;0,IMshareM!K25/(SUM(IMshareM!K$2:K$78)-IMshareM!K$11),0))</f>
        <v>2.1986276993775781E-4</v>
      </c>
      <c r="L25" s="8">
        <f>IF($A25=L$1,0,IF(SUM(IMshareM!L$2:L$78)-IMshareM!L$12&gt;0,IMshareM!L25/(SUM(IMshareM!L$2:L$78)-IMshareM!L$12),0))</f>
        <v>7.0491383633023975E-5</v>
      </c>
      <c r="M25" s="8">
        <f>IF($A25=M$1,0,IF(SUM(IMshareM!M$2:M$78)-IMshareM!M$13&gt;0,IMshareM!M25/(SUM(IMshareM!M$2:M$78)-IMshareM!M$13),0))</f>
        <v>8.9895070319777879E-5</v>
      </c>
      <c r="N25" s="8">
        <f>IF($A25=N$1,0,IF(SUM(IMshareM!N$2:N$78)-IMshareM!N$14&gt;0,IMshareM!N25/(SUM(IMshareM!N$2:N$78)-IMshareM!N$14),0))</f>
        <v>4.9557970567197279E-4</v>
      </c>
      <c r="O25" s="8">
        <f>IF($A25=O$1,0,IF(SUM(IMshareM!O$2:O$78)-IMshareM!O$15&gt;0,IMshareM!O25/(SUM(IMshareM!O$2:O$78)-IMshareM!O$15),0))</f>
        <v>2.2269919799061842E-3</v>
      </c>
      <c r="P25" s="8">
        <f>IF($A25=P$1,0,IF(SUM(IMshareM!P$2:P$78)-IMshareM!P$16&gt;0,IMshareM!P25/(SUM(IMshareM!P$2:P$78)-IMshareM!P$16),0))</f>
        <v>0</v>
      </c>
      <c r="Q25" s="8">
        <f>IF($A25=Q$1,0,IF(SUM(IMshareM!Q$2:Q$78)-IMshareM!Q$17&gt;0,IMshareM!Q25/(SUM(IMshareM!Q$2:Q$78)-IMshareM!Q$17),0))</f>
        <v>0</v>
      </c>
      <c r="R25" s="8">
        <f>IF($A25=R$1,0,IF(SUM(IMshareM!R$2:R$78)-IMshareM!R$18&gt;0,IMshareM!R25/(SUM(IMshareM!R$2:R$78)-IMshareM!R$18),0))</f>
        <v>2.5305980365481735E-6</v>
      </c>
      <c r="S25" s="8">
        <f>IF($A25=S$1,0,IF(SUM(IMshareM!S$2:S$78)-IMshareM!S$19&gt;0,IMshareM!S25/(SUM(IMshareM!S$2:S$78)-IMshareM!S$19),0))</f>
        <v>2.4198819373413776E-4</v>
      </c>
      <c r="T25" s="8">
        <f>IF($A25=T$1,0,IF(SUM(IMshareM!T$2:T$78)-IMshareM!T$20&gt;0,IMshareM!T25/(SUM(IMshareM!T$2:T$78)-IMshareM!T$20),0))</f>
        <v>7.8775308126405281E-5</v>
      </c>
      <c r="U25" s="8">
        <f>IF($A25=U$1,0,IF(SUM(IMshareM!U$2:U$78)-IMshareM!U$21&gt;0,IMshareM!U25/(SUM(IMshareM!U$2:U$78)-IMshareM!U$21),0))</f>
        <v>1.1367549304441942E-3</v>
      </c>
      <c r="V25" s="8">
        <f>IF($A25=V$1,0,IF(SUM(IMshareM!V$2:V$78)-IMshareM!V$22&gt;0,IMshareM!V25/(SUM(IMshareM!V$2:V$78)-IMshareM!V$22),0))</f>
        <v>4.2322962494611651E-4</v>
      </c>
      <c r="W25" s="8">
        <f>IF($A25=W$1,0,IF(SUM(IMshareM!W$2:W$78)-IMshareM!W$23&gt;0,IMshareM!W25/(SUM(IMshareM!W$2:W$78)-IMshareM!W$23),0))</f>
        <v>2.2230240459754309E-4</v>
      </c>
      <c r="X25" s="8">
        <f>IF($A25=X$1,0,IF(SUM(IMshareM!X$2:X$78)-IMshareM!X$24&gt;0,IMshareM!X25/(SUM(IMshareM!X$2:X$78)-IMshareM!X$24),0))</f>
        <v>1.5995457577367183E-5</v>
      </c>
      <c r="Y25" s="8">
        <f>IF($A25=Y$1,0,IF(SUM(IMshareM!Y$2:Y$78)-IMshareM!Y$25&gt;0,IMshareM!Y25/(SUM(IMshareM!Y$2:Y$78)-IMshareM!Y$25),0))</f>
        <v>0</v>
      </c>
      <c r="Z25" s="8">
        <f>IF($A25=Z$1,0,IF(SUM(IMshareM!Z$2:Z$78)-IMshareM!Z$26&gt;0,IMshareM!Z25/(SUM(IMshareM!Z$2:Z$78)-IMshareM!Z$26),0))</f>
        <v>6.0281866226308843E-2</v>
      </c>
      <c r="AA25" s="8">
        <f>IF($A25=AA$1,0,IF(SUM(IMshareM!AA$2:AA$78)-IMshareM!AA$27&gt;0,IMshareM!AA25/(SUM(IMshareM!AA$2:AA$78)-IMshareM!AA$27),0))</f>
        <v>1.1763256456627325E-4</v>
      </c>
      <c r="AB25" s="8">
        <f>IF($A25=AB$1,0,IF(SUM(IMshareM!AB$2:AB$78)-IMshareM!AB$28&gt;0,IMshareM!AB25/(SUM(IMshareM!AB$2:AB$78)-IMshareM!AB$28),0))</f>
        <v>3.4809939495048214E-4</v>
      </c>
      <c r="AC25" s="8">
        <f>IF($A25=AC$1,0,IF(SUM(IMshareM!AC$2:AC$78)-IMshareM!AC$29&gt;0,IMshareM!AC25/(SUM(IMshareM!AC$2:AC$78)-IMshareM!AC$29),0))</f>
        <v>9.6775761150550294E-6</v>
      </c>
      <c r="AD25" s="8">
        <f>IF($A25=AD$1,0,IF(SUM(IMshareM!AD$2:AD$78)-IMshareM!AD$30&gt;0,IMshareM!AD25/(SUM(IMshareM!AD$2:AD$78)-IMshareM!AD$30),0))</f>
        <v>6.443986887377465E-6</v>
      </c>
      <c r="AE25" s="8">
        <f>IF($A25=AE$1,0,IF(SUM(IMshareM!AE$2:AE$78)-IMshareM!AE$31&gt;0,IMshareM!AE25/(SUM(IMshareM!AE$2:AE$78)-IMshareM!AE$31),0))</f>
        <v>3.5848847062655701E-5</v>
      </c>
      <c r="AF25" s="8">
        <f>IF($A25=AF$1,0,IF(SUM(IMshareM!AF$2:AF$78)-IMshareM!AF$32&gt;0,IMshareM!AF25/(SUM(IMshareM!AF$2:AF$78)-IMshareM!AF$32),0))</f>
        <v>2.7785131465135496E-7</v>
      </c>
      <c r="AG25" s="8">
        <f>IF($A25=AG$1,0,IF(SUM(IMshareM!AG$2:AG$78)-IMshareM!AG$33&gt;0,IMshareM!AG25/(SUM(IMshareM!AG$2:AG$78)-IMshareM!AG$33),0))</f>
        <v>2.3139077775039376E-4</v>
      </c>
      <c r="AH25" s="8">
        <f>IF($A25=AH$1,0,IF(SUM(IMshareM!AH$2:AH$78)-IMshareM!AH$34&gt;0,IMshareM!AH25/(SUM(IMshareM!AH$2:AH$78)-IMshareM!AH$34),0))</f>
        <v>1.6237574040891363E-5</v>
      </c>
      <c r="AI25" s="8">
        <f>IF($A25=AI$1,0,IF(SUM(IMshareM!AI$2:AI$78)-IMshareM!AI$35&gt;0,IMshareM!AI25/(SUM(IMshareM!AI$2:AI$78)-IMshareM!AI$35),0))</f>
        <v>1.5339569469104644E-5</v>
      </c>
      <c r="AJ25" s="8">
        <f>IF($A25=AJ$1,0,IF(SUM(IMshareM!AJ$2:AJ$78)-IMshareM!AJ$36&gt;0,IMshareM!AJ25/(SUM(IMshareM!AJ$2:AJ$78)-IMshareM!AJ$36),0))</f>
        <v>7.0724119805871391E-4</v>
      </c>
      <c r="AK25" s="8">
        <f>IF($A25=AK$1,0,IF(SUM(IMshareM!AK$2:AK$78)-IMshareM!AK$37&gt;0,IMshareM!AK25/(SUM(IMshareM!AK$2:AK$78)-IMshareM!AK$37),0))</f>
        <v>8.428577660674992E-6</v>
      </c>
      <c r="AL25" s="8">
        <f>IF($A25=AL$1,0,IF(SUM(IMshareM!AL$2:AL$78)-IMshareM!AL$38&gt;0,IMshareM!AL25/(SUM(IMshareM!AL$2:AL$78)-IMshareM!AL$38),0))</f>
        <v>4.6015934705408524E-5</v>
      </c>
      <c r="AM25" s="8">
        <f>IF($A25=AM$1,0,IF(SUM(IMshareM!AM$2:AM$78)-IMshareM!AM$39&gt;0,IMshareM!AM25/(SUM(IMshareM!AM$2:AM$78)-IMshareM!AM$39),0))</f>
        <v>0</v>
      </c>
      <c r="AN25" s="8">
        <f>IF($A25=AN$1,0,IF(SUM(IMshareM!AN$2:AN$78)-IMshareM!AN$40&gt;0,IMshareM!AN25/(SUM(IMshareM!AN$2:AN$78)-IMshareM!AN$40),0))</f>
        <v>1.6156833384313788E-5</v>
      </c>
      <c r="AO25" s="8">
        <f>IF($A25=AO$1,0,IF(SUM(IMshareM!AO$2:AO$78)-IMshareM!AO$41&gt;0,IMshareM!AO25/(SUM(IMshareM!AO$2:AO$78)-IMshareM!AO$41),0))</f>
        <v>3.8986134667815253E-3</v>
      </c>
      <c r="AP25" s="8">
        <f>IF($A25=AP$1,0,IF(SUM(IMshareM!AP$2:AP$78)-IMshareM!AP$42&gt;0,IMshareM!AP25/(SUM(IMshareM!AP$2:AP$78)-IMshareM!AP$42),0))</f>
        <v>0</v>
      </c>
      <c r="AQ25" s="8">
        <f>IF($A25=AQ$1,0,IF(SUM(IMshareM!AQ$2:AQ$78)-IMshareM!AQ$43&gt;0,IMshareM!AQ25/(SUM(IMshareM!AQ$2:AQ$78)-IMshareM!AQ$43),0))</f>
        <v>7.213493962441774E-5</v>
      </c>
      <c r="AR25" s="8">
        <f>IF($A25=AR$1,0,IF(SUM(IMshareM!AR$2:AR$78)-IMshareM!AR$44&gt;0,IMshareM!AR25/(SUM(IMshareM!AR$2:AR$78)-IMshareM!AR$44),0))</f>
        <v>0</v>
      </c>
      <c r="AS25" s="8">
        <f>IF($A25=AS$1,0,IF(SUM(IMshareM!AS$2:AS$78)-IMshareM!AS$45&gt;0,IMshareM!AS25/(SUM(IMshareM!AS$2:AS$78)-IMshareM!AS$45),0))</f>
        <v>4.2654607601122019E-3</v>
      </c>
      <c r="AT25" s="8">
        <f>IF($A25=AT$1,0,IF(SUM(IMshareM!AT$2:AT$78)-IMshareM!AT$46&gt;0,IMshareM!AT25/(SUM(IMshareM!AT$2:AT$78)-IMshareM!AT$46),0))</f>
        <v>0</v>
      </c>
      <c r="AU25" s="8">
        <f>IF($A25=AU$1,0,IF(SUM(IMshareM!AU$2:AU$78)-IMshareM!AU$47&gt;0,IMshareM!AU25/(SUM(IMshareM!AU$2:AU$78)-IMshareM!AU$47),0))</f>
        <v>2.675714298699311E-2</v>
      </c>
      <c r="AV25" s="8">
        <f>IF($A25=AV$1,0,IF(SUM(IMshareM!AV$2:AV$78)-IMshareM!AV$48&gt;0,IMshareM!AV25/(SUM(IMshareM!AV$2:AV$78)-IMshareM!AV$48),0))</f>
        <v>3.9279177087146071E-4</v>
      </c>
      <c r="AW25" s="8">
        <f>IF($A25=AW$1,0,IF(SUM(IMshareM!AW$2:AW$78)-IMshareM!AW$49&gt;0,IMshareM!AW25/(SUM(IMshareM!AW$2:AW$78)-IMshareM!AW$49),0))</f>
        <v>4.077412293318568E-6</v>
      </c>
      <c r="AX25" s="8">
        <f>IF($A25=AX$1,0,IF(SUM(IMshareM!AX$2:AX$78)-IMshareM!AX$50&gt;0,IMshareM!AX25/(SUM(IMshareM!AX$2:AX$78)-IMshareM!AX$50),0))</f>
        <v>2.6814423519284714E-5</v>
      </c>
      <c r="AY25" s="8">
        <f>IF($A25=AY$1,0,IF(SUM(IMshareM!AY$2:AY$78)-IMshareM!AY$51&gt;0,IMshareM!AY25/(SUM(IMshareM!AY$2:AY$78)-IMshareM!AY$51),0))</f>
        <v>0</v>
      </c>
      <c r="AZ25" s="8">
        <f>IF($A25=AZ$1,0,IF(SUM(IMshareM!AZ$2:AZ$78)-IMshareM!AZ$52&gt;0,IMshareM!AZ25/(SUM(IMshareM!AZ$2:AZ$78)-IMshareM!AZ$52),0))</f>
        <v>4.2861605018672926E-5</v>
      </c>
      <c r="BA25" s="8">
        <f>IF($A25=BA$1,0,IF(SUM(IMshareM!BA$2:BA$78)-IMshareM!BA$53&gt;0,IMshareM!BA25/(SUM(IMshareM!BA$2:BA$78)-IMshareM!BA$53),0))</f>
        <v>5.3987613159705173E-4</v>
      </c>
      <c r="BB25" s="8">
        <f>IF($A25=BB$1,0,IF(SUM(IMshareM!BB$2:BB$78)-IMshareM!BB$54&gt;0,IMshareM!BB25/(SUM(IMshareM!BB$2:BB$78)-IMshareM!BB$54),0))</f>
        <v>2.334155803734602E-4</v>
      </c>
      <c r="BC25" s="8">
        <f>IF($A25=BC$1,0,IF(SUM(IMshareM!BC$2:BC$78)-IMshareM!BC$55&gt;0,IMshareM!BC25/(SUM(IMshareM!BC$2:BC$78)-IMshareM!BC$55),0))</f>
        <v>2.4974434583399209E-3</v>
      </c>
      <c r="BD25" s="8">
        <f>IF($A25=BD$1,0,IF(SUM(IMshareM!BD$2:BD$78)-IMshareM!BD$56&gt;0,IMshareM!BD25/(SUM(IMshareM!BD$2:BD$78)-IMshareM!BD$56),0))</f>
        <v>8.942575204231562E-5</v>
      </c>
      <c r="BE25" s="8">
        <f>IF($A25=BE$1,0,IF(SUM(IMshareM!BE$2:BE$78)-IMshareM!BE$57&gt;0,IMshareM!BE25/(SUM(IMshareM!BE$2:BE$78)-IMshareM!BE$57),0))</f>
        <v>1.8052581188423119E-4</v>
      </c>
      <c r="BF25" s="8">
        <f>IF($A25=BF$1,0,IF(SUM(IMshareM!BF$2:BF$78)-IMshareM!BF$58&gt;0,IMshareM!BF25/(SUM(IMshareM!BF$2:BF$78)-IMshareM!BF$58),0))</f>
        <v>2.8077995419645112E-3</v>
      </c>
      <c r="BG25" s="8">
        <f>IF($A25=BG$1,0,IF(SUM(IMshareM!BG$2:BG$78)-IMshareM!BG$59&gt;0,IMshareM!BG25/(SUM(IMshareM!BG$2:BG$78)-IMshareM!BG$59),0))</f>
        <v>7.8481430267399912E-5</v>
      </c>
      <c r="BH25" s="8">
        <f>IF($A25=BH$1,0,IF(SUM(IMshareM!BH$2:BH$78)-IMshareM!BH$60&gt;0,IMshareM!BH25/(SUM(IMshareM!BH$2:BH$78)-IMshareM!BH$60),0))</f>
        <v>1.1841538472333639E-5</v>
      </c>
      <c r="BI25" s="8">
        <f>IF($A25=BI$1,0,IF(SUM(IMshareM!BI$2:BI$78)-IMshareM!BI$61&gt;0,IMshareM!BI25/(SUM(IMshareM!BI$2:BI$78)-IMshareM!BI$61),0))</f>
        <v>2.4594065326774442E-4</v>
      </c>
      <c r="BJ25" s="8">
        <f>IF($A25=BJ$1,0,IF(SUM(IMshareM!BJ$2:BJ$78)-IMshareM!BJ$62&gt;0,IMshareM!BJ25/(SUM(IMshareM!BJ$2:BJ$78)-IMshareM!BJ$62),0))</f>
        <v>1.0108837193649582E-6</v>
      </c>
      <c r="BK25" s="8">
        <f>IF($A25=BK$1,0,IF(SUM(IMshareM!BK$2:BK$78)-IMshareM!BK$63&gt;0,IMshareM!BK25/(SUM(IMshareM!BK$2:BK$78)-IMshareM!BK$63),0))</f>
        <v>7.0074434853137002E-3</v>
      </c>
      <c r="BL25" s="8">
        <f>IF($A25=BL$1,0,IF(SUM(IMshareM!BL$2:BL$78)-IMshareM!BL$64&gt;0,IMshareM!BL25/(SUM(IMshareM!BL$2:BL$78)-IMshareM!BL$64),0))</f>
        <v>3.1932789973763432E-5</v>
      </c>
      <c r="BM25" s="8">
        <f>IF($A25=BM$1,0,IF(SUM(IMshareM!BM$2:BM$78)-IMshareM!BM$65&gt;0,IMshareM!BM25/(SUM(IMshareM!BM$2:BM$78)-IMshareM!BM$65),0))</f>
        <v>0</v>
      </c>
      <c r="BN25" s="8">
        <f>IF($A25=BN$1,0,IF(SUM(IMshareM!BN$2:BN$78)-IMshareM!BN$66&gt;0,IMshareM!BN25/(SUM(IMshareM!BN$2:BN$78)-IMshareM!BN$66),0))</f>
        <v>7.7353238784912451E-4</v>
      </c>
      <c r="BO25" s="8">
        <f>IF($A25=BO$1,0,IF(SUM(IMshareM!BO$2:BO$78)-IMshareM!BO$67&gt;0,IMshareM!BO25/(SUM(IMshareM!BO$2:BO$78)-IMshareM!BO$67),0))</f>
        <v>2.4141151126561577E-5</v>
      </c>
      <c r="BP25" s="8">
        <f>IF($A25=BP$1,0,IF(SUM(IMshareM!BP$2:BP$78)-IMshareM!BP$68&gt;0,IMshareM!BP25/(SUM(IMshareM!BP$2:BP$78)-IMshareM!BP$68),0))</f>
        <v>1.9573930125835385E-5</v>
      </c>
      <c r="BQ25" s="8">
        <f>IF($A25=BQ$1,0,IF(SUM(IMshareM!BQ$2:BQ$78)-IMshareM!BQ$69&gt;0,IMshareM!BQ25/(SUM(IMshareM!BQ$2:BQ$78)-IMshareM!BQ$69),0))</f>
        <v>6.9547504281143699E-4</v>
      </c>
      <c r="BR25" s="8">
        <f>IF($A25=BR$1,0,IF(SUM(IMshareM!BR$2:BR$78)-IMshareM!BR$70&gt;0,IMshareM!BR25/(SUM(IMshareM!BR$2:BR$78)-IMshareM!BR$70),0))</f>
        <v>3.5353359016305537E-4</v>
      </c>
      <c r="BS25" s="8">
        <f>IF($A25=BS$1,0,IF(SUM(IMshareM!BS$2:BS$78)-IMshareM!BS$71&gt;0,IMshareM!BS25/(SUM(IMshareM!BS$2:BS$78)-IMshareM!BS$71),0))</f>
        <v>1.9805029789747496E-4</v>
      </c>
      <c r="BT25" s="8">
        <f>IF($A25=BT$1,0,IF(SUM(IMshareM!BT$2:BT$78)-IMshareM!BT$72&gt;0,IMshareM!BT25/(SUM(IMshareM!BT$2:BT$78)-IMshareM!BT$72),0))</f>
        <v>1.7769508384311809E-4</v>
      </c>
      <c r="BU25" s="8">
        <f>IF($A25=BU$1,0,IF(SUM(IMshareM!BU$2:BU$78)-IMshareM!BU$73&gt;0,IMshareM!BU25/(SUM(IMshareM!BU$2:BU$78)-IMshareM!BU$73),0))</f>
        <v>4.8188547656475701E-6</v>
      </c>
      <c r="BV25" s="8">
        <f>IF($A25=BV$1,0,IF(SUM(IMshareM!BV$2:BV$78)-IMshareM!BV$74&gt;0,IMshareM!BV25/(SUM(IMshareM!BV$2:BV$78)-IMshareM!BV$74),0))</f>
        <v>2.495709699884606E-5</v>
      </c>
      <c r="BW25" s="8">
        <f>IF($A25=BW$1,0,IF(SUM(IMshareM!BW$2:BW$78)-IMshareM!BW$75&gt;0,IMshareM!BW25/(SUM(IMshareM!BW$2:BW$78)-IMshareM!BW$75),0))</f>
        <v>6.0861678316138066E-4</v>
      </c>
      <c r="BX25" s="8">
        <f>IF($A25=BX$1,0,IF(SUM(IMshareM!BX$2:BX$78)-IMshareM!BX$76&gt;0,IMshareM!BX25/(SUM(IMshareM!BX$2:BX$78)-IMshareM!BX$76),0))</f>
        <v>2.2783883332875367E-5</v>
      </c>
      <c r="BY25" s="8">
        <f>IF($A25=BY$1,0,IF(SUM(IMshareM!BY$2:BY$78)-IMshareM!BY$77&gt;0,IMshareM!BY25/(SUM(IMshareM!BY$2:BY$78)-IMshareM!BY$77),0))</f>
        <v>3.8901320629411613E-4</v>
      </c>
      <c r="BZ25" s="8">
        <f>IF($A25=BZ$1,0,IF(SUM(IMshareM!BZ$2:BZ$78)-IMshareM!BZ$78&gt;0,IMshareM!BZ25/(SUM(IMshareM!BZ$2:BZ$78)-IMshareM!BZ$78),0))</f>
        <v>1.5179189783717751E-4</v>
      </c>
    </row>
    <row r="26" spans="1:78">
      <c r="A26" s="4" t="s">
        <v>119</v>
      </c>
      <c r="B26" s="8">
        <f>IF($A26=B$1,0,IF(SUM(IMshareM!B$2:B$78)-IMshareM!B$2&gt;0,IMshareM!B26/(SUM(IMshareM!B$2:B$78)-IMshareM!B$2),0))</f>
        <v>2.0256403726990808E-3</v>
      </c>
      <c r="C26" s="8">
        <f>IF($A26=C$1,0,IF(SUM(IMshareM!C$2:C$78)-IMshareM!C$3&gt;0,IMshareM!C26/(SUM(IMshareM!C$2:C$78)-IMshareM!C$3),0))</f>
        <v>5.3335709364920221E-3</v>
      </c>
      <c r="D26" s="8">
        <f>IF($A26=D$1,0,IF(SUM(IMshareM!D$2:D$78)-IMshareM!D$4&gt;0,IMshareM!D26/(SUM(IMshareM!D$2:D$78)-IMshareM!D$4),0))</f>
        <v>4.0957442873478661E-3</v>
      </c>
      <c r="E26" s="8">
        <f>IF($A26=E$1,0,IF(SUM(IMshareM!E$2:E$78)-IMshareM!E$5&gt;0,IMshareM!E26/(SUM(IMshareM!E$2:E$78)-IMshareM!E$5),0))</f>
        <v>5.060507516657084E-3</v>
      </c>
      <c r="F26" s="8">
        <f>IF($A26=F$1,0,IF(SUM(IMshareM!F$2:F$78)-IMshareM!F$6&gt;0,IMshareM!F26/(SUM(IMshareM!F$2:F$78)-IMshareM!F$6),0))</f>
        <v>1.1594257214196388E-2</v>
      </c>
      <c r="G26" s="8">
        <f>IF($A26=G$1,0,IF(SUM(IMshareM!G$2:G$78)-IMshareM!G$7&gt;0,IMshareM!G26/(SUM(IMshareM!G$2:G$78)-IMshareM!G$7),0))</f>
        <v>2.0837679860749615E-3</v>
      </c>
      <c r="H26" s="8">
        <f>IF($A26=H$1,0,IF(SUM(IMshareM!H$2:H$78)-IMshareM!H$8&gt;0,IMshareM!H26/(SUM(IMshareM!H$2:H$78)-IMshareM!H$8),0))</f>
        <v>9.9870238395324243E-4</v>
      </c>
      <c r="I26" s="8">
        <f>IF($A26=I$1,0,IF(SUM(IMshareM!I$2:I$78)-IMshareM!I$9&gt;0,IMshareM!I26/(SUM(IMshareM!I$2:I$78)-IMshareM!I$9),0))</f>
        <v>3.0654698748751141E-3</v>
      </c>
      <c r="J26" s="8">
        <f>IF($A26=J$1,0,IF(SUM(IMshareM!J$2:J$78)-IMshareM!J$10&gt;0,IMshareM!J26/(SUM(IMshareM!J$2:J$78)-IMshareM!J$10),0))</f>
        <v>2.7457081216743541E-3</v>
      </c>
      <c r="K26" s="8">
        <f>IF($A26=K$1,0,IF(SUM(IMshareM!K$2:K$78)-IMshareM!K$11&gt;0,IMshareM!K26/(SUM(IMshareM!K$2:K$78)-IMshareM!K$11),0))</f>
        <v>2.541006798958335E-3</v>
      </c>
      <c r="L26" s="8">
        <f>IF($A26=L$1,0,IF(SUM(IMshareM!L$2:L$78)-IMshareM!L$12&gt;0,IMshareM!L26/(SUM(IMshareM!L$2:L$78)-IMshareM!L$12),0))</f>
        <v>8.51460850277703E-3</v>
      </c>
      <c r="M26" s="8">
        <f>IF($A26=M$1,0,IF(SUM(IMshareM!M$2:M$78)-IMshareM!M$13&gt;0,IMshareM!M26/(SUM(IMshareM!M$2:M$78)-IMshareM!M$13),0))</f>
        <v>2.8310546741725237E-3</v>
      </c>
      <c r="N26" s="8">
        <f>IF($A26=N$1,0,IF(SUM(IMshareM!N$2:N$78)-IMshareM!N$14&gt;0,IMshareM!N26/(SUM(IMshareM!N$2:N$78)-IMshareM!N$14),0))</f>
        <v>6.6291348802555586E-3</v>
      </c>
      <c r="O26" s="8">
        <f>IF($A26=O$1,0,IF(SUM(IMshareM!O$2:O$78)-IMshareM!O$15&gt;0,IMshareM!O26/(SUM(IMshareM!O$2:O$78)-IMshareM!O$15),0))</f>
        <v>6.1998271151203982E-3</v>
      </c>
      <c r="P26" s="8">
        <f>IF($A26=P$1,0,IF(SUM(IMshareM!P$2:P$78)-IMshareM!P$16&gt;0,IMshareM!P26/(SUM(IMshareM!P$2:P$78)-IMshareM!P$16),0))</f>
        <v>1.925889412058845E-3</v>
      </c>
      <c r="Q26" s="8">
        <f>IF($A26=Q$1,0,IF(SUM(IMshareM!Q$2:Q$78)-IMshareM!Q$17&gt;0,IMshareM!Q26/(SUM(IMshareM!Q$2:Q$78)-IMshareM!Q$17),0))</f>
        <v>7.3592564758938172E-3</v>
      </c>
      <c r="R26" s="8">
        <f>IF($A26=R$1,0,IF(SUM(IMshareM!R$2:R$78)-IMshareM!R$18&gt;0,IMshareM!R26/(SUM(IMshareM!R$2:R$78)-IMshareM!R$18),0))</f>
        <v>1.3498880876110103E-4</v>
      </c>
      <c r="S26" s="8">
        <f>IF($A26=S$1,0,IF(SUM(IMshareM!S$2:S$78)-IMshareM!S$19&gt;0,IMshareM!S26/(SUM(IMshareM!S$2:S$78)-IMshareM!S$19),0))</f>
        <v>2.9534558920456852E-5</v>
      </c>
      <c r="T26" s="8">
        <f>IF($A26=T$1,0,IF(SUM(IMshareM!T$2:T$78)-IMshareM!T$20&gt;0,IMshareM!T26/(SUM(IMshareM!T$2:T$78)-IMshareM!T$20),0))</f>
        <v>2.1675490742791956E-3</v>
      </c>
      <c r="U26" s="8">
        <f>IF($A26=U$1,0,IF(SUM(IMshareM!U$2:U$78)-IMshareM!U$21&gt;0,IMshareM!U26/(SUM(IMshareM!U$2:U$78)-IMshareM!U$21),0))</f>
        <v>9.1897229632952378E-3</v>
      </c>
      <c r="V26" s="8">
        <f>IF($A26=V$1,0,IF(SUM(IMshareM!V$2:V$78)-IMshareM!V$22&gt;0,IMshareM!V26/(SUM(IMshareM!V$2:V$78)-IMshareM!V$22),0))</f>
        <v>2.2075313953277571E-2</v>
      </c>
      <c r="W26" s="8">
        <f>IF($A26=W$1,0,IF(SUM(IMshareM!W$2:W$78)-IMshareM!W$23&gt;0,IMshareM!W26/(SUM(IMshareM!W$2:W$78)-IMshareM!W$23),0))</f>
        <v>4.4408048914133927E-2</v>
      </c>
      <c r="X26" s="8">
        <f>IF($A26=X$1,0,IF(SUM(IMshareM!X$2:X$78)-IMshareM!X$24&gt;0,IMshareM!X26/(SUM(IMshareM!X$2:X$78)-IMshareM!X$24),0))</f>
        <v>1.4012051902230893E-2</v>
      </c>
      <c r="Y26" s="8">
        <f>IF($A26=Y$1,0,IF(SUM(IMshareM!Y$2:Y$78)-IMshareM!Y$25&gt;0,IMshareM!Y26/(SUM(IMshareM!Y$2:Y$78)-IMshareM!Y$25),0))</f>
        <v>0.16546292749490804</v>
      </c>
      <c r="Z26" s="8">
        <f>IF($A26=Z$1,0,IF(SUM(IMshareM!Z$2:Z$78)-IMshareM!Z$26&gt;0,IMshareM!Z26/(SUM(IMshareM!Z$2:Z$78)-IMshareM!Z$26),0))</f>
        <v>0</v>
      </c>
      <c r="AA26" s="8">
        <f>IF($A26=AA$1,0,IF(SUM(IMshareM!AA$2:AA$78)-IMshareM!AA$27&gt;0,IMshareM!AA26/(SUM(IMshareM!AA$2:AA$78)-IMshareM!AA$27),0))</f>
        <v>1.2731373904697045E-2</v>
      </c>
      <c r="AB26" s="8">
        <f>IF($A26=AB$1,0,IF(SUM(IMshareM!AB$2:AB$78)-IMshareM!AB$28&gt;0,IMshareM!AB26/(SUM(IMshareM!AB$2:AB$78)-IMshareM!AB$28),0))</f>
        <v>8.3945678264605705E-3</v>
      </c>
      <c r="AC26" s="8">
        <f>IF($A26=AC$1,0,IF(SUM(IMshareM!AC$2:AC$78)-IMshareM!AC$29&gt;0,IMshareM!AC26/(SUM(IMshareM!AC$2:AC$78)-IMshareM!AC$29),0))</f>
        <v>3.8542666271808622E-3</v>
      </c>
      <c r="AD26" s="8">
        <f>IF($A26=AD$1,0,IF(SUM(IMshareM!AD$2:AD$78)-IMshareM!AD$30&gt;0,IMshareM!AD26/(SUM(IMshareM!AD$2:AD$78)-IMshareM!AD$30),0))</f>
        <v>1.25980102165146E-3</v>
      </c>
      <c r="AE26" s="8">
        <f>IF($A26=AE$1,0,IF(SUM(IMshareM!AE$2:AE$78)-IMshareM!AE$31&gt;0,IMshareM!AE26/(SUM(IMshareM!AE$2:AE$78)-IMshareM!AE$31),0))</f>
        <v>1.0433461680523689E-2</v>
      </c>
      <c r="AF26" s="8">
        <f>IF($A26=AF$1,0,IF(SUM(IMshareM!AF$2:AF$78)-IMshareM!AF$32&gt;0,IMshareM!AF26/(SUM(IMshareM!AF$2:AF$78)-IMshareM!AF$32),0))</f>
        <v>8.912725532492199E-4</v>
      </c>
      <c r="AG26" s="8">
        <f>IF($A26=AG$1,0,IF(SUM(IMshareM!AG$2:AG$78)-IMshareM!AG$33&gt;0,IMshareM!AG26/(SUM(IMshareM!AG$2:AG$78)-IMshareM!AG$33),0))</f>
        <v>5.8265012989588572E-3</v>
      </c>
      <c r="AH26" s="8">
        <f>IF($A26=AH$1,0,IF(SUM(IMshareM!AH$2:AH$78)-IMshareM!AH$34&gt;0,IMshareM!AH26/(SUM(IMshareM!AH$2:AH$78)-IMshareM!AH$34),0))</f>
        <v>3.9041274407980433E-3</v>
      </c>
      <c r="AI26" s="8">
        <f>IF($A26=AI$1,0,IF(SUM(IMshareM!AI$2:AI$78)-IMshareM!AI$35&gt;0,IMshareM!AI26/(SUM(IMshareM!AI$2:AI$78)-IMshareM!AI$35),0))</f>
        <v>7.9982182111692154E-3</v>
      </c>
      <c r="AJ26" s="8">
        <f>IF($A26=AJ$1,0,IF(SUM(IMshareM!AJ$2:AJ$78)-IMshareM!AJ$36&gt;0,IMshareM!AJ26/(SUM(IMshareM!AJ$2:AJ$78)-IMshareM!AJ$36),0))</f>
        <v>5.2473303205283088E-2</v>
      </c>
      <c r="AK26" s="8">
        <f>IF($A26=AK$1,0,IF(SUM(IMshareM!AK$2:AK$78)-IMshareM!AK$37&gt;0,IMshareM!AK26/(SUM(IMshareM!AK$2:AK$78)-IMshareM!AK$37),0))</f>
        <v>5.6260755885005577E-3</v>
      </c>
      <c r="AL26" s="8">
        <f>IF($A26=AL$1,0,IF(SUM(IMshareM!AL$2:AL$78)-IMshareM!AL$38&gt;0,IMshareM!AL26/(SUM(IMshareM!AL$2:AL$78)-IMshareM!AL$38),0))</f>
        <v>2.8626638124730732E-2</v>
      </c>
      <c r="AM26" s="8">
        <f>IF($A26=AM$1,0,IF(SUM(IMshareM!AM$2:AM$78)-IMshareM!AM$39&gt;0,IMshareM!AM26/(SUM(IMshareM!AM$2:AM$78)-IMshareM!AM$39),0))</f>
        <v>9.8786678848428768E-3</v>
      </c>
      <c r="AN26" s="8">
        <f>IF($A26=AN$1,0,IF(SUM(IMshareM!AN$2:AN$78)-IMshareM!AN$40&gt;0,IMshareM!AN26/(SUM(IMshareM!AN$2:AN$78)-IMshareM!AN$40),0))</f>
        <v>4.2568685356558439E-3</v>
      </c>
      <c r="AO26" s="8">
        <f>IF($A26=AO$1,0,IF(SUM(IMshareM!AO$2:AO$78)-IMshareM!AO$41&gt;0,IMshareM!AO26/(SUM(IMshareM!AO$2:AO$78)-IMshareM!AO$41),0))</f>
        <v>1.1167188299870338E-2</v>
      </c>
      <c r="AP26" s="8">
        <f>IF($A26=AP$1,0,IF(SUM(IMshareM!AP$2:AP$78)-IMshareM!AP$42&gt;0,IMshareM!AP26/(SUM(IMshareM!AP$2:AP$78)-IMshareM!AP$42),0))</f>
        <v>0</v>
      </c>
      <c r="AQ26" s="8">
        <f>IF($A26=AQ$1,0,IF(SUM(IMshareM!AQ$2:AQ$78)-IMshareM!AQ$43&gt;0,IMshareM!AQ26/(SUM(IMshareM!AQ$2:AQ$78)-IMshareM!AQ$43),0))</f>
        <v>1.60576316049813E-2</v>
      </c>
      <c r="AR26" s="8">
        <f>IF($A26=AR$1,0,IF(SUM(IMshareM!AR$2:AR$78)-IMshareM!AR$44&gt;0,IMshareM!AR26/(SUM(IMshareM!AR$2:AR$78)-IMshareM!AR$44),0))</f>
        <v>2.8947496297792251E-4</v>
      </c>
      <c r="AS26" s="8">
        <f>IF($A26=AS$1,0,IF(SUM(IMshareM!AS$2:AS$78)-IMshareM!AS$45&gt;0,IMshareM!AS26/(SUM(IMshareM!AS$2:AS$78)-IMshareM!AS$45),0))</f>
        <v>2.0827776495717838E-2</v>
      </c>
      <c r="AT26" s="8">
        <f>IF($A26=AT$1,0,IF(SUM(IMshareM!AT$2:AT$78)-IMshareM!AT$46&gt;0,IMshareM!AT26/(SUM(IMshareM!AT$2:AT$78)-IMshareM!AT$46),0))</f>
        <v>1.5170196745588479E-4</v>
      </c>
      <c r="AU26" s="8">
        <f>IF($A26=AU$1,0,IF(SUM(IMshareM!AU$2:AU$78)-IMshareM!AU$47&gt;0,IMshareM!AU26/(SUM(IMshareM!AU$2:AU$78)-IMshareM!AU$47),0))</f>
        <v>4.9972845733424677E-2</v>
      </c>
      <c r="AV26" s="8">
        <f>IF($A26=AV$1,0,IF(SUM(IMshareM!AV$2:AV$78)-IMshareM!AV$48&gt;0,IMshareM!AV26/(SUM(IMshareM!AV$2:AV$78)-IMshareM!AV$48),0))</f>
        <v>2.6428375867378786E-3</v>
      </c>
      <c r="AW26" s="8">
        <f>IF($A26=AW$1,0,IF(SUM(IMshareM!AW$2:AW$78)-IMshareM!AW$49&gt;0,IMshareM!AW26/(SUM(IMshareM!AW$2:AW$78)-IMshareM!AW$49),0))</f>
        <v>3.2614160984209382E-4</v>
      </c>
      <c r="AX26" s="8">
        <f>IF($A26=AX$1,0,IF(SUM(IMshareM!AX$2:AX$78)-IMshareM!AX$50&gt;0,IMshareM!AX26/(SUM(IMshareM!AX$2:AX$78)-IMshareM!AX$50),0))</f>
        <v>9.2773384463760555E-6</v>
      </c>
      <c r="AY26" s="8">
        <f>IF($A26=AY$1,0,IF(SUM(IMshareM!AY$2:AY$78)-IMshareM!AY$51&gt;0,IMshareM!AY26/(SUM(IMshareM!AY$2:AY$78)-IMshareM!AY$51),0))</f>
        <v>1.1029775422318515E-4</v>
      </c>
      <c r="AZ26" s="8">
        <f>IF($A26=AZ$1,0,IF(SUM(IMshareM!AZ$2:AZ$78)-IMshareM!AZ$52&gt;0,IMshareM!AZ26/(SUM(IMshareM!AZ$2:AZ$78)-IMshareM!AZ$52),0))</f>
        <v>1.6266559444514514E-3</v>
      </c>
      <c r="BA26" s="8">
        <f>IF($A26=BA$1,0,IF(SUM(IMshareM!BA$2:BA$78)-IMshareM!BA$53&gt;0,IMshareM!BA26/(SUM(IMshareM!BA$2:BA$78)-IMshareM!BA$53),0))</f>
        <v>5.5007651493597723E-3</v>
      </c>
      <c r="BB26" s="8">
        <f>IF($A26=BB$1,0,IF(SUM(IMshareM!BB$2:BB$78)-IMshareM!BB$54&gt;0,IMshareM!BB26/(SUM(IMshareM!BB$2:BB$78)-IMshareM!BB$54),0))</f>
        <v>7.0890603548486664E-3</v>
      </c>
      <c r="BC26" s="8">
        <f>IF($A26=BC$1,0,IF(SUM(IMshareM!BC$2:BC$78)-IMshareM!BC$55&gt;0,IMshareM!BC26/(SUM(IMshareM!BC$2:BC$78)-IMshareM!BC$55),0))</f>
        <v>7.3579897050049428E-2</v>
      </c>
      <c r="BD26" s="8">
        <f>IF($A26=BD$1,0,IF(SUM(IMshareM!BD$2:BD$78)-IMshareM!BD$56&gt;0,IMshareM!BD26/(SUM(IMshareM!BD$2:BD$78)-IMshareM!BD$56),0))</f>
        <v>9.3548393676738777E-3</v>
      </c>
      <c r="BE26" s="8">
        <f>IF($A26=BE$1,0,IF(SUM(IMshareM!BE$2:BE$78)-IMshareM!BE$57&gt;0,IMshareM!BE26/(SUM(IMshareM!BE$2:BE$78)-IMshareM!BE$57),0))</f>
        <v>4.6003808332939471E-3</v>
      </c>
      <c r="BF26" s="8">
        <f>IF($A26=BF$1,0,IF(SUM(IMshareM!BF$2:BF$78)-IMshareM!BF$58&gt;0,IMshareM!BF26/(SUM(IMshareM!BF$2:BF$78)-IMshareM!BF$58),0))</f>
        <v>1.0198805448583131E-2</v>
      </c>
      <c r="BG26" s="8">
        <f>IF($A26=BG$1,0,IF(SUM(IMshareM!BG$2:BG$78)-IMshareM!BG$59&gt;0,IMshareM!BG26/(SUM(IMshareM!BG$2:BG$78)-IMshareM!BG$59),0))</f>
        <v>2.057520170369784E-3</v>
      </c>
      <c r="BH26" s="8">
        <f>IF($A26=BH$1,0,IF(SUM(IMshareM!BH$2:BH$78)-IMshareM!BH$60&gt;0,IMshareM!BH26/(SUM(IMshareM!BH$2:BH$78)-IMshareM!BH$60),0))</f>
        <v>9.0614554171221627E-3</v>
      </c>
      <c r="BI26" s="8">
        <f>IF($A26=BI$1,0,IF(SUM(IMshareM!BI$2:BI$78)-IMshareM!BI$61&gt;0,IMshareM!BI26/(SUM(IMshareM!BI$2:BI$78)-IMshareM!BI$61),0))</f>
        <v>4.3287429636115708E-3</v>
      </c>
      <c r="BJ26" s="8">
        <f>IF($A26=BJ$1,0,IF(SUM(IMshareM!BJ$2:BJ$78)-IMshareM!BJ$62&gt;0,IMshareM!BJ26/(SUM(IMshareM!BJ$2:BJ$78)-IMshareM!BJ$62),0))</f>
        <v>2.8854200602005296E-2</v>
      </c>
      <c r="BK26" s="8">
        <f>IF($A26=BK$1,0,IF(SUM(IMshareM!BK$2:BK$78)-IMshareM!BK$63&gt;0,IMshareM!BK26/(SUM(IMshareM!BK$2:BK$78)-IMshareM!BK$63),0))</f>
        <v>6.4095170291388823E-3</v>
      </c>
      <c r="BL26" s="8">
        <f>IF($A26=BL$1,0,IF(SUM(IMshareM!BL$2:BL$78)-IMshareM!BL$64&gt;0,IMshareM!BL26/(SUM(IMshareM!BL$2:BL$78)-IMshareM!BL$64),0))</f>
        <v>1.1114430091734431E-2</v>
      </c>
      <c r="BM26" s="8">
        <f>IF($A26=BM$1,0,IF(SUM(IMshareM!BM$2:BM$78)-IMshareM!BM$65&gt;0,IMshareM!BM26/(SUM(IMshareM!BM$2:BM$78)-IMshareM!BM$65),0))</f>
        <v>2.3370910353293977E-3</v>
      </c>
      <c r="BN26" s="8">
        <f>IF($A26=BN$1,0,IF(SUM(IMshareM!BN$2:BN$78)-IMshareM!BN$66&gt;0,IMshareM!BN26/(SUM(IMshareM!BN$2:BN$78)-IMshareM!BN$66),0))</f>
        <v>6.1575722514809151E-3</v>
      </c>
      <c r="BO26" s="8">
        <f>IF($A26=BO$1,0,IF(SUM(IMshareM!BO$2:BO$78)-IMshareM!BO$67&gt;0,IMshareM!BO26/(SUM(IMshareM!BO$2:BO$78)-IMshareM!BO$67),0))</f>
        <v>9.6026892096329794E-4</v>
      </c>
      <c r="BP26" s="8">
        <f>IF($A26=BP$1,0,IF(SUM(IMshareM!BP$2:BP$78)-IMshareM!BP$68&gt;0,IMshareM!BP26/(SUM(IMshareM!BP$2:BP$78)-IMshareM!BP$68),0))</f>
        <v>4.0626947946003451E-4</v>
      </c>
      <c r="BQ26" s="8">
        <f>IF($A26=BQ$1,0,IF(SUM(IMshareM!BQ$2:BQ$78)-IMshareM!BQ$69&gt;0,IMshareM!BQ26/(SUM(IMshareM!BQ$2:BQ$78)-IMshareM!BQ$69),0))</f>
        <v>1.5160552532694386E-2</v>
      </c>
      <c r="BR26" s="8">
        <f>IF($A26=BR$1,0,IF(SUM(IMshareM!BR$2:BR$78)-IMshareM!BR$70&gt;0,IMshareM!BR26/(SUM(IMshareM!BR$2:BR$78)-IMshareM!BR$70),0))</f>
        <v>2.7370672827242044E-3</v>
      </c>
      <c r="BS26" s="8">
        <f>IF($A26=BS$1,0,IF(SUM(IMshareM!BS$2:BS$78)-IMshareM!BS$71&gt;0,IMshareM!BS26/(SUM(IMshareM!BS$2:BS$78)-IMshareM!BS$71),0))</f>
        <v>1.5313750262295125E-3</v>
      </c>
      <c r="BT26" s="8">
        <f>IF($A26=BT$1,0,IF(SUM(IMshareM!BT$2:BT$78)-IMshareM!BT$72&gt;0,IMshareM!BT26/(SUM(IMshareM!BT$2:BT$78)-IMshareM!BT$72),0))</f>
        <v>1.539013523581587E-2</v>
      </c>
      <c r="BU26" s="8">
        <f>IF($A26=BU$1,0,IF(SUM(IMshareM!BU$2:BU$78)-IMshareM!BU$73&gt;0,IMshareM!BU26/(SUM(IMshareM!BU$2:BU$78)-IMshareM!BU$73),0))</f>
        <v>2.9638254036568139E-3</v>
      </c>
      <c r="BV26" s="8">
        <f>IF($A26=BV$1,0,IF(SUM(IMshareM!BV$2:BV$78)-IMshareM!BV$74&gt;0,IMshareM!BV26/(SUM(IMshareM!BV$2:BV$78)-IMshareM!BV$74),0))</f>
        <v>1.0260450931432651E-2</v>
      </c>
      <c r="BW26" s="8">
        <f>IF($A26=BW$1,0,IF(SUM(IMshareM!BW$2:BW$78)-IMshareM!BW$75&gt;0,IMshareM!BW26/(SUM(IMshareM!BW$2:BW$78)-IMshareM!BW$75),0))</f>
        <v>4.0221088494128325E-3</v>
      </c>
      <c r="BX26" s="8">
        <f>IF($A26=BX$1,0,IF(SUM(IMshareM!BX$2:BX$78)-IMshareM!BX$76&gt;0,IMshareM!BX26/(SUM(IMshareM!BX$2:BX$78)-IMshareM!BX$76),0))</f>
        <v>3.1108836607415258E-3</v>
      </c>
      <c r="BY26" s="8">
        <f>IF($A26=BY$1,0,IF(SUM(IMshareM!BY$2:BY$78)-IMshareM!BY$77&gt;0,IMshareM!BY26/(SUM(IMshareM!BY$2:BY$78)-IMshareM!BY$77),0))</f>
        <v>4.0259126741805E-3</v>
      </c>
      <c r="BZ26" s="8">
        <f>IF($A26=BZ$1,0,IF(SUM(IMshareM!BZ$2:BZ$78)-IMshareM!BZ$78&gt;0,IMshareM!BZ26/(SUM(IMshareM!BZ$2:BZ$78)-IMshareM!BZ$78),0))</f>
        <v>1.344970768977961E-2</v>
      </c>
    </row>
    <row r="27" spans="1:78">
      <c r="A27" s="4" t="s">
        <v>121</v>
      </c>
      <c r="B27" s="8">
        <f>IF($A27=B$1,0,IF(SUM(IMshareM!B$2:B$78)-IMshareM!B$2&gt;0,IMshareM!B27/(SUM(IMshareM!B$2:B$78)-IMshareM!B$2),0))</f>
        <v>1.333098420831527E-2</v>
      </c>
      <c r="C27" s="8">
        <f>IF($A27=C$1,0,IF(SUM(IMshareM!C$2:C$78)-IMshareM!C$3&gt;0,IMshareM!C27/(SUM(IMshareM!C$2:C$78)-IMshareM!C$3),0))</f>
        <v>1.1485779430952031E-2</v>
      </c>
      <c r="D27" s="8">
        <f>IF($A27=D$1,0,IF(SUM(IMshareM!D$2:D$78)-IMshareM!D$4&gt;0,IMshareM!D27/(SUM(IMshareM!D$2:D$78)-IMshareM!D$4),0))</f>
        <v>3.3120215222558466E-2</v>
      </c>
      <c r="E27" s="8">
        <f>IF($A27=E$1,0,IF(SUM(IMshareM!E$2:E$78)-IMshareM!E$5&gt;0,IMshareM!E27/(SUM(IMshareM!E$2:E$78)-IMshareM!E$5),0))</f>
        <v>2.5454720146225813E-2</v>
      </c>
      <c r="F27" s="8">
        <f>IF($A27=F$1,0,IF(SUM(IMshareM!F$2:F$78)-IMshareM!F$6&gt;0,IMshareM!F27/(SUM(IMshareM!F$2:F$78)-IMshareM!F$6),0))</f>
        <v>3.781811757485224E-4</v>
      </c>
      <c r="G27" s="8">
        <f>IF($A27=G$1,0,IF(SUM(IMshareM!G$2:G$78)-IMshareM!G$7&gt;0,IMshareM!G27/(SUM(IMshareM!G$2:G$78)-IMshareM!G$7),0))</f>
        <v>6.0196287672567008E-3</v>
      </c>
      <c r="H27" s="8">
        <f>IF($A27=H$1,0,IF(SUM(IMshareM!H$2:H$78)-IMshareM!H$8&gt;0,IMshareM!H27/(SUM(IMshareM!H$2:H$78)-IMshareM!H$8),0))</f>
        <v>6.0083190902478782E-5</v>
      </c>
      <c r="I27" s="8">
        <f>IF($A27=I$1,0,IF(SUM(IMshareM!I$2:I$78)-IMshareM!I$9&gt;0,IMshareM!I27/(SUM(IMshareM!I$2:I$78)-IMshareM!I$9),0))</f>
        <v>7.6505763280958561E-3</v>
      </c>
      <c r="J27" s="8">
        <f>IF($A27=J$1,0,IF(SUM(IMshareM!J$2:J$78)-IMshareM!J$10&gt;0,IMshareM!J27/(SUM(IMshareM!J$2:J$78)-IMshareM!J$10),0))</f>
        <v>2.2357512931857931E-2</v>
      </c>
      <c r="K27" s="8">
        <f>IF($A27=K$1,0,IF(SUM(IMshareM!K$2:K$78)-IMshareM!K$11&gt;0,IMshareM!K27/(SUM(IMshareM!K$2:K$78)-IMshareM!K$11),0))</f>
        <v>1.233430240441922E-2</v>
      </c>
      <c r="L27" s="8">
        <f>IF($A27=L$1,0,IF(SUM(IMshareM!L$2:L$78)-IMshareM!L$12&gt;0,IMshareM!L27/(SUM(IMshareM!L$2:L$78)-IMshareM!L$12),0))</f>
        <v>3.5444128356945194E-2</v>
      </c>
      <c r="M27" s="8">
        <f>IF($A27=M$1,0,IF(SUM(IMshareM!M$2:M$78)-IMshareM!M$13&gt;0,IMshareM!M27/(SUM(IMshareM!M$2:M$78)-IMshareM!M$13),0))</f>
        <v>9.7547530281829069E-4</v>
      </c>
      <c r="N27" s="8">
        <f>IF($A27=N$1,0,IF(SUM(IMshareM!N$2:N$78)-IMshareM!N$14&gt;0,IMshareM!N27/(SUM(IMshareM!N$2:N$78)-IMshareM!N$14),0))</f>
        <v>1.6216397723661721E-2</v>
      </c>
      <c r="O27" s="8">
        <f>IF($A27=O$1,0,IF(SUM(IMshareM!O$2:O$78)-IMshareM!O$15&gt;0,IMshareM!O27/(SUM(IMshareM!O$2:O$78)-IMshareM!O$15),0))</f>
        <v>5.8255596103707313E-2</v>
      </c>
      <c r="P27" s="8">
        <f>IF($A27=P$1,0,IF(SUM(IMshareM!P$2:P$78)-IMshareM!P$16&gt;0,IMshareM!P27/(SUM(IMshareM!P$2:P$78)-IMshareM!P$16),0))</f>
        <v>0.1001547981632489</v>
      </c>
      <c r="Q27" s="8">
        <f>IF($A27=Q$1,0,IF(SUM(IMshareM!Q$2:Q$78)-IMshareM!Q$17&gt;0,IMshareM!Q27/(SUM(IMshareM!Q$2:Q$78)-IMshareM!Q$17),0))</f>
        <v>6.3830260221430435E-3</v>
      </c>
      <c r="R27" s="8">
        <f>IF($A27=R$1,0,IF(SUM(IMshareM!R$2:R$78)-IMshareM!R$18&gt;0,IMshareM!R27/(SUM(IMshareM!R$2:R$78)-IMshareM!R$18),0))</f>
        <v>3.9155260752606865E-3</v>
      </c>
      <c r="S27" s="8">
        <f>IF($A27=S$1,0,IF(SUM(IMshareM!S$2:S$78)-IMshareM!S$19&gt;0,IMshareM!S27/(SUM(IMshareM!S$2:S$78)-IMshareM!S$19),0))</f>
        <v>0.18614841962593606</v>
      </c>
      <c r="T27" s="8">
        <f>IF($A27=T$1,0,IF(SUM(IMshareM!T$2:T$78)-IMshareM!T$20&gt;0,IMshareM!T27/(SUM(IMshareM!T$2:T$78)-IMshareM!T$20),0))</f>
        <v>3.7925023995851063E-2</v>
      </c>
      <c r="U27" s="8">
        <f>IF($A27=U$1,0,IF(SUM(IMshareM!U$2:U$78)-IMshareM!U$21&gt;0,IMshareM!U27/(SUM(IMshareM!U$2:U$78)-IMshareM!U$21),0))</f>
        <v>6.5226741113354539E-2</v>
      </c>
      <c r="V27" s="8">
        <f>IF($A27=V$1,0,IF(SUM(IMshareM!V$2:V$78)-IMshareM!V$22&gt;0,IMshareM!V27/(SUM(IMshareM!V$2:V$78)-IMshareM!V$22),0))</f>
        <v>1.158369551385427E-2</v>
      </c>
      <c r="W27" s="8">
        <f>IF($A27=W$1,0,IF(SUM(IMshareM!W$2:W$78)-IMshareM!W$23&gt;0,IMshareM!W27/(SUM(IMshareM!W$2:W$78)-IMshareM!W$23),0))</f>
        <v>1.6829410212438538E-2</v>
      </c>
      <c r="X27" s="8">
        <f>IF($A27=X$1,0,IF(SUM(IMshareM!X$2:X$78)-IMshareM!X$24&gt;0,IMshareM!X27/(SUM(IMshareM!X$2:X$78)-IMshareM!X$24),0))</f>
        <v>9.2740859018751634E-2</v>
      </c>
      <c r="Y27" s="8">
        <f>IF($A27=Y$1,0,IF(SUM(IMshareM!Y$2:Y$78)-IMshareM!Y$25&gt;0,IMshareM!Y27/(SUM(IMshareM!Y$2:Y$78)-IMshareM!Y$25),0))</f>
        <v>2.1437025540265765E-2</v>
      </c>
      <c r="Z27" s="8">
        <f>IF($A27=Z$1,0,IF(SUM(IMshareM!Z$2:Z$78)-IMshareM!Z$26&gt;0,IMshareM!Z27/(SUM(IMshareM!Z$2:Z$78)-IMshareM!Z$26),0))</f>
        <v>1.3854847636354977E-2</v>
      </c>
      <c r="AA27" s="8">
        <f>IF($A27=AA$1,0,IF(SUM(IMshareM!AA$2:AA$78)-IMshareM!AA$27&gt;0,IMshareM!AA27/(SUM(IMshareM!AA$2:AA$78)-IMshareM!AA$27),0))</f>
        <v>0</v>
      </c>
      <c r="AB27" s="8">
        <f>IF($A27=AB$1,0,IF(SUM(IMshareM!AB$2:AB$78)-IMshareM!AB$28&gt;0,IMshareM!AB27/(SUM(IMshareM!AB$2:AB$78)-IMshareM!AB$28),0))</f>
        <v>4.9677402664485656E-2</v>
      </c>
      <c r="AC27" s="8">
        <f>IF($A27=AC$1,0,IF(SUM(IMshareM!AC$2:AC$78)-IMshareM!AC$29&gt;0,IMshareM!AC27/(SUM(IMshareM!AC$2:AC$78)-IMshareM!AC$29),0))</f>
        <v>6.6977466447062359E-2</v>
      </c>
      <c r="AD27" s="8">
        <f>IF($A27=AD$1,0,IF(SUM(IMshareM!AD$2:AD$78)-IMshareM!AD$30&gt;0,IMshareM!AD27/(SUM(IMshareM!AD$2:AD$78)-IMshareM!AD$30),0))</f>
        <v>1.7044217874863229E-3</v>
      </c>
      <c r="AE27" s="8">
        <f>IF($A27=AE$1,0,IF(SUM(IMshareM!AE$2:AE$78)-IMshareM!AE$31&gt;0,IMshareM!AE27/(SUM(IMshareM!AE$2:AE$78)-IMshareM!AE$31),0))</f>
        <v>1.4388164250835851E-2</v>
      </c>
      <c r="AF27" s="8">
        <f>IF($A27=AF$1,0,IF(SUM(IMshareM!AF$2:AF$78)-IMshareM!AF$32&gt;0,IMshareM!AF27/(SUM(IMshareM!AF$2:AF$78)-IMshareM!AF$32),0))</f>
        <v>1.1835004506232646E-2</v>
      </c>
      <c r="AG27" s="8">
        <f>IF($A27=AG$1,0,IF(SUM(IMshareM!AG$2:AG$78)-IMshareM!AG$33&gt;0,IMshareM!AG27/(SUM(IMshareM!AG$2:AG$78)-IMshareM!AG$33),0))</f>
        <v>1.7048908125279424E-2</v>
      </c>
      <c r="AH27" s="8">
        <f>IF($A27=AH$1,0,IF(SUM(IMshareM!AH$2:AH$78)-IMshareM!AH$34&gt;0,IMshareM!AH27/(SUM(IMshareM!AH$2:AH$78)-IMshareM!AH$34),0))</f>
        <v>1.2969114260413545E-2</v>
      </c>
      <c r="AI27" s="8">
        <f>IF($A27=AI$1,0,IF(SUM(IMshareM!AI$2:AI$78)-IMshareM!AI$35&gt;0,IMshareM!AI27/(SUM(IMshareM!AI$2:AI$78)-IMshareM!AI$35),0))</f>
        <v>0.14867103247223473</v>
      </c>
      <c r="AJ27" s="8">
        <f>IF($A27=AJ$1,0,IF(SUM(IMshareM!AJ$2:AJ$78)-IMshareM!AJ$36&gt;0,IMshareM!AJ27/(SUM(IMshareM!AJ$2:AJ$78)-IMshareM!AJ$36),0))</f>
        <v>2.3356538917173496E-2</v>
      </c>
      <c r="AK27" s="8">
        <f>IF($A27=AK$1,0,IF(SUM(IMshareM!AK$2:AK$78)-IMshareM!AK$37&gt;0,IMshareM!AK27/(SUM(IMshareM!AK$2:AK$78)-IMshareM!AK$37),0))</f>
        <v>3.7827456541109368E-2</v>
      </c>
      <c r="AL27" s="8">
        <f>IF($A27=AL$1,0,IF(SUM(IMshareM!AL$2:AL$78)-IMshareM!AL$38&gt;0,IMshareM!AL27/(SUM(IMshareM!AL$2:AL$78)-IMshareM!AL$38),0))</f>
        <v>3.0492754114124353E-2</v>
      </c>
      <c r="AM27" s="8">
        <f>IF($A27=AM$1,0,IF(SUM(IMshareM!AM$2:AM$78)-IMshareM!AM$39&gt;0,IMshareM!AM27/(SUM(IMshareM!AM$2:AM$78)-IMshareM!AM$39),0))</f>
        <v>2.4779783993726791E-2</v>
      </c>
      <c r="AN27" s="8">
        <f>IF($A27=AN$1,0,IF(SUM(IMshareM!AN$2:AN$78)-IMshareM!AN$40&gt;0,IMshareM!AN27/(SUM(IMshareM!AN$2:AN$78)-IMshareM!AN$40),0))</f>
        <v>4.0167854316533851E-3</v>
      </c>
      <c r="AO27" s="8">
        <f>IF($A27=AO$1,0,IF(SUM(IMshareM!AO$2:AO$78)-IMshareM!AO$41&gt;0,IMshareM!AO27/(SUM(IMshareM!AO$2:AO$78)-IMshareM!AO$41),0))</f>
        <v>6.2363578098568663E-2</v>
      </c>
      <c r="AP27" s="8">
        <f>IF($A27=AP$1,0,IF(SUM(IMshareM!AP$2:AP$78)-IMshareM!AP$42&gt;0,IMshareM!AP27/(SUM(IMshareM!AP$2:AP$78)-IMshareM!AP$42),0))</f>
        <v>1.4719192627974347E-4</v>
      </c>
      <c r="AQ27" s="8">
        <f>IF($A27=AQ$1,0,IF(SUM(IMshareM!AQ$2:AQ$78)-IMshareM!AQ$43&gt;0,IMshareM!AQ27/(SUM(IMshareM!AQ$2:AQ$78)-IMshareM!AQ$43),0))</f>
        <v>4.8911776798616184E-3</v>
      </c>
      <c r="AR27" s="8">
        <f>IF($A27=AR$1,0,IF(SUM(IMshareM!AR$2:AR$78)-IMshareM!AR$44&gt;0,IMshareM!AR27/(SUM(IMshareM!AR$2:AR$78)-IMshareM!AR$44),0))</f>
        <v>0</v>
      </c>
      <c r="AS27" s="8">
        <f>IF($A27=AS$1,0,IF(SUM(IMshareM!AS$2:AS$78)-IMshareM!AS$45&gt;0,IMshareM!AS27/(SUM(IMshareM!AS$2:AS$78)-IMshareM!AS$45),0))</f>
        <v>7.4042615182269523E-3</v>
      </c>
      <c r="AT27" s="8">
        <f>IF($A27=AT$1,0,IF(SUM(IMshareM!AT$2:AT$78)-IMshareM!AT$46&gt;0,IMshareM!AT27/(SUM(IMshareM!AT$2:AT$78)-IMshareM!AT$46),0))</f>
        <v>1.5608386522687361E-2</v>
      </c>
      <c r="AU27" s="8">
        <f>IF($A27=AU$1,0,IF(SUM(IMshareM!AU$2:AU$78)-IMshareM!AU$47&gt;0,IMshareM!AU27/(SUM(IMshareM!AU$2:AU$78)-IMshareM!AU$47),0))</f>
        <v>2.5039193106020749E-2</v>
      </c>
      <c r="AV27" s="8">
        <f>IF($A27=AV$1,0,IF(SUM(IMshareM!AV$2:AV$78)-IMshareM!AV$48&gt;0,IMshareM!AV27/(SUM(IMshareM!AV$2:AV$78)-IMshareM!AV$48),0))</f>
        <v>0.17126816612513571</v>
      </c>
      <c r="AW27" s="8">
        <f>IF($A27=AW$1,0,IF(SUM(IMshareM!AW$2:AW$78)-IMshareM!AW$49&gt;0,IMshareM!AW27/(SUM(IMshareM!AW$2:AW$78)-IMshareM!AW$49),0))</f>
        <v>7.0648180186086429E-3</v>
      </c>
      <c r="AX27" s="8">
        <f>IF($A27=AX$1,0,IF(SUM(IMshareM!AX$2:AX$78)-IMshareM!AX$50&gt;0,IMshareM!AX27/(SUM(IMshareM!AX$2:AX$78)-IMshareM!AX$50),0))</f>
        <v>1.8697912939567975E-3</v>
      </c>
      <c r="AY27" s="8">
        <f>IF($A27=AY$1,0,IF(SUM(IMshareM!AY$2:AY$78)-IMshareM!AY$51&gt;0,IMshareM!AY27/(SUM(IMshareM!AY$2:AY$78)-IMshareM!AY$51),0))</f>
        <v>3.0324751376758996E-2</v>
      </c>
      <c r="AZ27" s="8">
        <f>IF($A27=AZ$1,0,IF(SUM(IMshareM!AZ$2:AZ$78)-IMshareM!AZ$52&gt;0,IMshareM!AZ27/(SUM(IMshareM!AZ$2:AZ$78)-IMshareM!AZ$52),0))</f>
        <v>1.2842662272019314E-3</v>
      </c>
      <c r="BA27" s="8">
        <f>IF($A27=BA$1,0,IF(SUM(IMshareM!BA$2:BA$78)-IMshareM!BA$53&gt;0,IMshareM!BA27/(SUM(IMshareM!BA$2:BA$78)-IMshareM!BA$53),0))</f>
        <v>5.1047037978277192E-2</v>
      </c>
      <c r="BB27" s="8">
        <f>IF($A27=BB$1,0,IF(SUM(IMshareM!BB$2:BB$78)-IMshareM!BB$54&gt;0,IMshareM!BB27/(SUM(IMshareM!BB$2:BB$78)-IMshareM!BB$54),0))</f>
        <v>4.0405300588911897E-2</v>
      </c>
      <c r="BC27" s="8">
        <f>IF($A27=BC$1,0,IF(SUM(IMshareM!BC$2:BC$78)-IMshareM!BC$55&gt;0,IMshareM!BC27/(SUM(IMshareM!BC$2:BC$78)-IMshareM!BC$55),0))</f>
        <v>4.3057745325964139E-2</v>
      </c>
      <c r="BD27" s="8">
        <f>IF($A27=BD$1,0,IF(SUM(IMshareM!BD$2:BD$78)-IMshareM!BD$56&gt;0,IMshareM!BD27/(SUM(IMshareM!BD$2:BD$78)-IMshareM!BD$56),0))</f>
        <v>1.8704807862327127E-2</v>
      </c>
      <c r="BE27" s="8">
        <f>IF($A27=BE$1,0,IF(SUM(IMshareM!BE$2:BE$78)-IMshareM!BE$57&gt;0,IMshareM!BE27/(SUM(IMshareM!BE$2:BE$78)-IMshareM!BE$57),0))</f>
        <v>1.9467127737820169E-3</v>
      </c>
      <c r="BF27" s="8">
        <f>IF($A27=BF$1,0,IF(SUM(IMshareM!BF$2:BF$78)-IMshareM!BF$58&gt;0,IMshareM!BF27/(SUM(IMshareM!BF$2:BF$78)-IMshareM!BF$58),0))</f>
        <v>8.0694841414286796E-3</v>
      </c>
      <c r="BG27" s="8">
        <f>IF($A27=BG$1,0,IF(SUM(IMshareM!BG$2:BG$78)-IMshareM!BG$59&gt;0,IMshareM!BG27/(SUM(IMshareM!BG$2:BG$78)-IMshareM!BG$59),0))</f>
        <v>1.6785743171808894E-3</v>
      </c>
      <c r="BH27" s="8">
        <f>IF($A27=BH$1,0,IF(SUM(IMshareM!BH$2:BH$78)-IMshareM!BH$60&gt;0,IMshareM!BH27/(SUM(IMshareM!BH$2:BH$78)-IMshareM!BH$60),0))</f>
        <v>2.677100639395761E-2</v>
      </c>
      <c r="BI27" s="8">
        <f>IF($A27=BI$1,0,IF(SUM(IMshareM!BI$2:BI$78)-IMshareM!BI$61&gt;0,IMshareM!BI27/(SUM(IMshareM!BI$2:BI$78)-IMshareM!BI$61),0))</f>
        <v>0.10632129454616435</v>
      </c>
      <c r="BJ27" s="8">
        <f>IF($A27=BJ$1,0,IF(SUM(IMshareM!BJ$2:BJ$78)-IMshareM!BJ$62&gt;0,IMshareM!BJ27/(SUM(IMshareM!BJ$2:BJ$78)-IMshareM!BJ$62),0))</f>
        <v>7.6788760936877448E-2</v>
      </c>
      <c r="BK27" s="8">
        <f>IF($A27=BK$1,0,IF(SUM(IMshareM!BK$2:BK$78)-IMshareM!BK$63&gt;0,IMshareM!BK27/(SUM(IMshareM!BK$2:BK$78)-IMshareM!BK$63),0))</f>
        <v>1.6057268486066954E-2</v>
      </c>
      <c r="BL27" s="8">
        <f>IF($A27=BL$1,0,IF(SUM(IMshareM!BL$2:BL$78)-IMshareM!BL$64&gt;0,IMshareM!BL27/(SUM(IMshareM!BL$2:BL$78)-IMshareM!BL$64),0))</f>
        <v>3.0389500700986311E-2</v>
      </c>
      <c r="BM27" s="8">
        <f>IF($A27=BM$1,0,IF(SUM(IMshareM!BM$2:BM$78)-IMshareM!BM$65&gt;0,IMshareM!BM27/(SUM(IMshareM!BM$2:BM$78)-IMshareM!BM$65),0))</f>
        <v>0.13499098962798836</v>
      </c>
      <c r="BN27" s="8">
        <f>IF($A27=BN$1,0,IF(SUM(IMshareM!BN$2:BN$78)-IMshareM!BN$66&gt;0,IMshareM!BN27/(SUM(IMshareM!BN$2:BN$78)-IMshareM!BN$66),0))</f>
        <v>1.9336699238337519E-2</v>
      </c>
      <c r="BO27" s="8">
        <f>IF($A27=BO$1,0,IF(SUM(IMshareM!BO$2:BO$78)-IMshareM!BO$67&gt;0,IMshareM!BO27/(SUM(IMshareM!BO$2:BO$78)-IMshareM!BO$67),0))</f>
        <v>4.6620811006476227E-2</v>
      </c>
      <c r="BP27" s="8">
        <f>IF($A27=BP$1,0,IF(SUM(IMshareM!BP$2:BP$78)-IMshareM!BP$68&gt;0,IMshareM!BP27/(SUM(IMshareM!BP$2:BP$78)-IMshareM!BP$68),0))</f>
        <v>0.35399152577162629</v>
      </c>
      <c r="BQ27" s="8">
        <f>IF($A27=BQ$1,0,IF(SUM(IMshareM!BQ$2:BQ$78)-IMshareM!BQ$69&gt;0,IMshareM!BQ27/(SUM(IMshareM!BQ$2:BQ$78)-IMshareM!BQ$69),0))</f>
        <v>1.7049319243300477E-2</v>
      </c>
      <c r="BR27" s="8">
        <f>IF($A27=BR$1,0,IF(SUM(IMshareM!BR$2:BR$78)-IMshareM!BR$70&gt;0,IMshareM!BR27/(SUM(IMshareM!BR$2:BR$78)-IMshareM!BR$70),0))</f>
        <v>4.8195500812152512E-3</v>
      </c>
      <c r="BS27" s="8">
        <f>IF($A27=BS$1,0,IF(SUM(IMshareM!BS$2:BS$78)-IMshareM!BS$71&gt;0,IMshareM!BS27/(SUM(IMshareM!BS$2:BS$78)-IMshareM!BS$71),0))</f>
        <v>3.5085577485871357E-2</v>
      </c>
      <c r="BT27" s="8">
        <f>IF($A27=BT$1,0,IF(SUM(IMshareM!BT$2:BT$78)-IMshareM!BT$72&gt;0,IMshareM!BT27/(SUM(IMshareM!BT$2:BT$78)-IMshareM!BT$72),0))</f>
        <v>2.61112256968189E-2</v>
      </c>
      <c r="BU27" s="8">
        <f>IF($A27=BU$1,0,IF(SUM(IMshareM!BU$2:BU$78)-IMshareM!BU$73&gt;0,IMshareM!BU27/(SUM(IMshareM!BU$2:BU$78)-IMshareM!BU$73),0))</f>
        <v>1.8355200365189376E-3</v>
      </c>
      <c r="BV27" s="8">
        <f>IF($A27=BV$1,0,IF(SUM(IMshareM!BV$2:BV$78)-IMshareM!BV$74&gt;0,IMshareM!BV27/(SUM(IMshareM!BV$2:BV$78)-IMshareM!BV$74),0))</f>
        <v>7.0757085909072086E-3</v>
      </c>
      <c r="BW27" s="8">
        <f>IF($A27=BW$1,0,IF(SUM(IMshareM!BW$2:BW$78)-IMshareM!BW$75&gt;0,IMshareM!BW27/(SUM(IMshareM!BW$2:BW$78)-IMshareM!BW$75),0))</f>
        <v>1.3632462373518055E-2</v>
      </c>
      <c r="BX27" s="8">
        <f>IF($A27=BX$1,0,IF(SUM(IMshareM!BX$2:BX$78)-IMshareM!BX$76&gt;0,IMshareM!BX27/(SUM(IMshareM!BX$2:BX$78)-IMshareM!BX$76),0))</f>
        <v>9.7044532616265917E-4</v>
      </c>
      <c r="BY27" s="8">
        <f>IF($A27=BY$1,0,IF(SUM(IMshareM!BY$2:BY$78)-IMshareM!BY$77&gt;0,IMshareM!BY27/(SUM(IMshareM!BY$2:BY$78)-IMshareM!BY$77),0))</f>
        <v>1.3106857561136744E-2</v>
      </c>
      <c r="BZ27" s="8">
        <f>IF($A27=BZ$1,0,IF(SUM(IMshareM!BZ$2:BZ$78)-IMshareM!BZ$78&gt;0,IMshareM!BZ27/(SUM(IMshareM!BZ$2:BZ$78)-IMshareM!BZ$78),0))</f>
        <v>2.7860854897174138E-2</v>
      </c>
    </row>
    <row r="28" spans="1:78">
      <c r="A28" s="4" t="s">
        <v>123</v>
      </c>
      <c r="B28" s="8">
        <f>IF($A28=B$1,0,IF(SUM(IMshareM!B$2:B$78)-IMshareM!B$2&gt;0,IMshareM!B28/(SUM(IMshareM!B$2:B$78)-IMshareM!B$2),0))</f>
        <v>1.8443605213883561E-3</v>
      </c>
      <c r="C28" s="8">
        <f>IF($A28=C$1,0,IF(SUM(IMshareM!C$2:C$78)-IMshareM!C$3&gt;0,IMshareM!C28/(SUM(IMshareM!C$2:C$78)-IMshareM!C$3),0))</f>
        <v>9.9401975250201034E-3</v>
      </c>
      <c r="D28" s="8">
        <f>IF($A28=D$1,0,IF(SUM(IMshareM!D$2:D$78)-IMshareM!D$4&gt;0,IMshareM!D28/(SUM(IMshareM!D$2:D$78)-IMshareM!D$4),0))</f>
        <v>5.1596690393438793E-3</v>
      </c>
      <c r="E28" s="8">
        <f>IF($A28=E$1,0,IF(SUM(IMshareM!E$2:E$78)-IMshareM!E$5&gt;0,IMshareM!E28/(SUM(IMshareM!E$2:E$78)-IMshareM!E$5),0))</f>
        <v>2.9138739626797154E-3</v>
      </c>
      <c r="F28" s="8">
        <f>IF($A28=F$1,0,IF(SUM(IMshareM!F$2:F$78)-IMshareM!F$6&gt;0,IMshareM!F28/(SUM(IMshareM!F$2:F$78)-IMshareM!F$6),0))</f>
        <v>2.5435593812977862E-2</v>
      </c>
      <c r="G28" s="8">
        <f>IF($A28=G$1,0,IF(SUM(IMshareM!G$2:G$78)-IMshareM!G$7&gt;0,IMshareM!G28/(SUM(IMshareM!G$2:G$78)-IMshareM!G$7),0))</f>
        <v>2.1488734967355975E-3</v>
      </c>
      <c r="H28" s="8">
        <f>IF($A28=H$1,0,IF(SUM(IMshareM!H$2:H$78)-IMshareM!H$8&gt;0,IMshareM!H28/(SUM(IMshareM!H$2:H$78)-IMshareM!H$8),0))</f>
        <v>1.1427498473485805E-4</v>
      </c>
      <c r="I28" s="8">
        <f>IF($A28=I$1,0,IF(SUM(IMshareM!I$2:I$78)-IMshareM!I$9&gt;0,IMshareM!I28/(SUM(IMshareM!I$2:I$78)-IMshareM!I$9),0))</f>
        <v>3.2078072140086459E-3</v>
      </c>
      <c r="J28" s="8">
        <f>IF($A28=J$1,0,IF(SUM(IMshareM!J$2:J$78)-IMshareM!J$10&gt;0,IMshareM!J28/(SUM(IMshareM!J$2:J$78)-IMshareM!J$10),0))</f>
        <v>1.8414588079436561E-2</v>
      </c>
      <c r="K28" s="8">
        <f>IF($A28=K$1,0,IF(SUM(IMshareM!K$2:K$78)-IMshareM!K$11&gt;0,IMshareM!K28/(SUM(IMshareM!K$2:K$78)-IMshareM!K$11),0))</f>
        <v>1.043088385226346E-2</v>
      </c>
      <c r="L28" s="8">
        <f>IF($A28=L$1,0,IF(SUM(IMshareM!L$2:L$78)-IMshareM!L$12&gt;0,IMshareM!L28/(SUM(IMshareM!L$2:L$78)-IMshareM!L$12),0))</f>
        <v>1.1964943602666513E-2</v>
      </c>
      <c r="M28" s="8">
        <f>IF($A28=M$1,0,IF(SUM(IMshareM!M$2:M$78)-IMshareM!M$13&gt;0,IMshareM!M28/(SUM(IMshareM!M$2:M$78)-IMshareM!M$13),0))</f>
        <v>1.0966433467365008E-3</v>
      </c>
      <c r="N28" s="8">
        <f>IF($A28=N$1,0,IF(SUM(IMshareM!N$2:N$78)-IMshareM!N$14&gt;0,IMshareM!N28/(SUM(IMshareM!N$2:N$78)-IMshareM!N$14),0))</f>
        <v>5.7582226759990271E-3</v>
      </c>
      <c r="O28" s="8">
        <f>IF($A28=O$1,0,IF(SUM(IMshareM!O$2:O$78)-IMshareM!O$15&gt;0,IMshareM!O28/(SUM(IMshareM!O$2:O$78)-IMshareM!O$15),0))</f>
        <v>1.434561226177977E-2</v>
      </c>
      <c r="P28" s="8">
        <f>IF($A28=P$1,0,IF(SUM(IMshareM!P$2:P$78)-IMshareM!P$16&gt;0,IMshareM!P28/(SUM(IMshareM!P$2:P$78)-IMshareM!P$16),0))</f>
        <v>2.7500015010519891E-3</v>
      </c>
      <c r="Q28" s="8">
        <f>IF($A28=Q$1,0,IF(SUM(IMshareM!Q$2:Q$78)-IMshareM!Q$17&gt;0,IMshareM!Q28/(SUM(IMshareM!Q$2:Q$78)-IMshareM!Q$17),0))</f>
        <v>7.8798665588897168E-3</v>
      </c>
      <c r="R28" s="8">
        <f>IF($A28=R$1,0,IF(SUM(IMshareM!R$2:R$78)-IMshareM!R$18&gt;0,IMshareM!R28/(SUM(IMshareM!R$2:R$78)-IMshareM!R$18),0))</f>
        <v>2.6373683553531095E-3</v>
      </c>
      <c r="S28" s="8">
        <f>IF($A28=S$1,0,IF(SUM(IMshareM!S$2:S$78)-IMshareM!S$19&gt;0,IMshareM!S28/(SUM(IMshareM!S$2:S$78)-IMshareM!S$19),0))</f>
        <v>2.8212517604064472E-2</v>
      </c>
      <c r="T28" s="8">
        <f>IF($A28=T$1,0,IF(SUM(IMshareM!T$2:T$78)-IMshareM!T$20&gt;0,IMshareM!T28/(SUM(IMshareM!T$2:T$78)-IMshareM!T$20),0))</f>
        <v>3.3663095371665097E-3</v>
      </c>
      <c r="U28" s="8">
        <f>IF($A28=U$1,0,IF(SUM(IMshareM!U$2:U$78)-IMshareM!U$21&gt;0,IMshareM!U28/(SUM(IMshareM!U$2:U$78)-IMshareM!U$21),0))</f>
        <v>1.3735280348208584E-2</v>
      </c>
      <c r="V28" s="8">
        <f>IF($A28=V$1,0,IF(SUM(IMshareM!V$2:V$78)-IMshareM!V$22&gt;0,IMshareM!V28/(SUM(IMshareM!V$2:V$78)-IMshareM!V$22),0))</f>
        <v>1.538591298200687E-2</v>
      </c>
      <c r="W28" s="8">
        <f>IF($A28=W$1,0,IF(SUM(IMshareM!W$2:W$78)-IMshareM!W$23&gt;0,IMshareM!W28/(SUM(IMshareM!W$2:W$78)-IMshareM!W$23),0))</f>
        <v>6.8640785637613553E-3</v>
      </c>
      <c r="X28" s="8">
        <f>IF($A28=X$1,0,IF(SUM(IMshareM!X$2:X$78)-IMshareM!X$24&gt;0,IMshareM!X28/(SUM(IMshareM!X$2:X$78)-IMshareM!X$24),0))</f>
        <v>2.2007317858078461E-2</v>
      </c>
      <c r="Y28" s="8">
        <f>IF($A28=Y$1,0,IF(SUM(IMshareM!Y$2:Y$78)-IMshareM!Y$25&gt;0,IMshareM!Y28/(SUM(IMshareM!Y$2:Y$78)-IMshareM!Y$25),0))</f>
        <v>4.8438489526074754E-2</v>
      </c>
      <c r="Z28" s="8">
        <f>IF($A28=Z$1,0,IF(SUM(IMshareM!Z$2:Z$78)-IMshareM!Z$26&gt;0,IMshareM!Z28/(SUM(IMshareM!Z$2:Z$78)-IMshareM!Z$26),0))</f>
        <v>6.1364667837478714E-3</v>
      </c>
      <c r="AA28" s="8">
        <f>IF($A28=AA$1,0,IF(SUM(IMshareM!AA$2:AA$78)-IMshareM!AA$27&gt;0,IMshareM!AA28/(SUM(IMshareM!AA$2:AA$78)-IMshareM!AA$27),0))</f>
        <v>1.2363580219320014E-2</v>
      </c>
      <c r="AB28" s="8">
        <f>IF($A28=AB$1,0,IF(SUM(IMshareM!AB$2:AB$78)-IMshareM!AB$28&gt;0,IMshareM!AB28/(SUM(IMshareM!AB$2:AB$78)-IMshareM!AB$28),0))</f>
        <v>0</v>
      </c>
      <c r="AC28" s="8">
        <f>IF($A28=AC$1,0,IF(SUM(IMshareM!AC$2:AC$78)-IMshareM!AC$29&gt;0,IMshareM!AC28/(SUM(IMshareM!AC$2:AC$78)-IMshareM!AC$29),0))</f>
        <v>6.1208971700750956E-3</v>
      </c>
      <c r="AD28" s="8">
        <f>IF($A28=AD$1,0,IF(SUM(IMshareM!AD$2:AD$78)-IMshareM!AD$30&gt;0,IMshareM!AD28/(SUM(IMshareM!AD$2:AD$78)-IMshareM!AD$30),0))</f>
        <v>2.7823288008835189E-3</v>
      </c>
      <c r="AE28" s="8">
        <f>IF($A28=AE$1,0,IF(SUM(IMshareM!AE$2:AE$78)-IMshareM!AE$31&gt;0,IMshareM!AE28/(SUM(IMshareM!AE$2:AE$78)-IMshareM!AE$31),0))</f>
        <v>3.9533752946596661E-2</v>
      </c>
      <c r="AF28" s="8">
        <f>IF($A28=AF$1,0,IF(SUM(IMshareM!AF$2:AF$78)-IMshareM!AF$32&gt;0,IMshareM!AF28/(SUM(IMshareM!AF$2:AF$78)-IMshareM!AF$32),0))</f>
        <v>1.8537939634118575E-3</v>
      </c>
      <c r="AG28" s="8">
        <f>IF($A28=AG$1,0,IF(SUM(IMshareM!AG$2:AG$78)-IMshareM!AG$33&gt;0,IMshareM!AG28/(SUM(IMshareM!AG$2:AG$78)-IMshareM!AG$33),0))</f>
        <v>2.0766118979586453E-3</v>
      </c>
      <c r="AH28" s="8">
        <f>IF($A28=AH$1,0,IF(SUM(IMshareM!AH$2:AH$78)-IMshareM!AH$34&gt;0,IMshareM!AH28/(SUM(IMshareM!AH$2:AH$78)-IMshareM!AH$34),0))</f>
        <v>1.5245932099327054E-2</v>
      </c>
      <c r="AI28" s="8">
        <f>IF($A28=AI$1,0,IF(SUM(IMshareM!AI$2:AI$78)-IMshareM!AI$35&gt;0,IMshareM!AI28/(SUM(IMshareM!AI$2:AI$78)-IMshareM!AI$35),0))</f>
        <v>0.21217400513890872</v>
      </c>
      <c r="AJ28" s="8">
        <f>IF($A28=AJ$1,0,IF(SUM(IMshareM!AJ$2:AJ$78)-IMshareM!AJ$36&gt;0,IMshareM!AJ28/(SUM(IMshareM!AJ$2:AJ$78)-IMshareM!AJ$36),0))</f>
        <v>1.5679909070652809E-2</v>
      </c>
      <c r="AK28" s="8">
        <f>IF($A28=AK$1,0,IF(SUM(IMshareM!AK$2:AK$78)-IMshareM!AK$37&gt;0,IMshareM!AK28/(SUM(IMshareM!AK$2:AK$78)-IMshareM!AK$37),0))</f>
        <v>2.3566303139247281E-2</v>
      </c>
      <c r="AL28" s="8">
        <f>IF($A28=AL$1,0,IF(SUM(IMshareM!AL$2:AL$78)-IMshareM!AL$38&gt;0,IMshareM!AL28/(SUM(IMshareM!AL$2:AL$78)-IMshareM!AL$38),0))</f>
        <v>1.7400051615647595E-2</v>
      </c>
      <c r="AM28" s="8">
        <f>IF($A28=AM$1,0,IF(SUM(IMshareM!AM$2:AM$78)-IMshareM!AM$39&gt;0,IMshareM!AM28/(SUM(IMshareM!AM$2:AM$78)-IMshareM!AM$39),0))</f>
        <v>3.9574225968556039E-2</v>
      </c>
      <c r="AN28" s="8">
        <f>IF($A28=AN$1,0,IF(SUM(IMshareM!AN$2:AN$78)-IMshareM!AN$40&gt;0,IMshareM!AN28/(SUM(IMshareM!AN$2:AN$78)-IMshareM!AN$40),0))</f>
        <v>5.4227515779947241E-3</v>
      </c>
      <c r="AO28" s="8">
        <f>IF($A28=AO$1,0,IF(SUM(IMshareM!AO$2:AO$78)-IMshareM!AO$41&gt;0,IMshareM!AO28/(SUM(IMshareM!AO$2:AO$78)-IMshareM!AO$41),0))</f>
        <v>1.6130299455070225E-2</v>
      </c>
      <c r="AP28" s="8">
        <f>IF($A28=AP$1,0,IF(SUM(IMshareM!AP$2:AP$78)-IMshareM!AP$42&gt;0,IMshareM!AP28/(SUM(IMshareM!AP$2:AP$78)-IMshareM!AP$42),0))</f>
        <v>6.7566116465704427E-5</v>
      </c>
      <c r="AQ28" s="8">
        <f>IF($A28=AQ$1,0,IF(SUM(IMshareM!AQ$2:AQ$78)-IMshareM!AQ$43&gt;0,IMshareM!AQ28/(SUM(IMshareM!AQ$2:AQ$78)-IMshareM!AQ$43),0))</f>
        <v>9.7230727671503356E-3</v>
      </c>
      <c r="AR28" s="8">
        <f>IF($A28=AR$1,0,IF(SUM(IMshareM!AR$2:AR$78)-IMshareM!AR$44&gt;0,IMshareM!AR28/(SUM(IMshareM!AR$2:AR$78)-IMshareM!AR$44),0))</f>
        <v>1.5207892811401819E-4</v>
      </c>
      <c r="AS28" s="8">
        <f>IF($A28=AS$1,0,IF(SUM(IMshareM!AS$2:AS$78)-IMshareM!AS$45&gt;0,IMshareM!AS28/(SUM(IMshareM!AS$2:AS$78)-IMshareM!AS$45),0))</f>
        <v>4.7102179551071575E-3</v>
      </c>
      <c r="AT28" s="8">
        <f>IF($A28=AT$1,0,IF(SUM(IMshareM!AT$2:AT$78)-IMshareM!AT$46&gt;0,IMshareM!AT28/(SUM(IMshareM!AT$2:AT$78)-IMshareM!AT$46),0))</f>
        <v>1.5920927809126619E-4</v>
      </c>
      <c r="AU28" s="8">
        <f>IF($A28=AU$1,0,IF(SUM(IMshareM!AU$2:AU$78)-IMshareM!AU$47&gt;0,IMshareM!AU28/(SUM(IMshareM!AU$2:AU$78)-IMshareM!AU$47),0))</f>
        <v>1.8094033270085311E-2</v>
      </c>
      <c r="AV28" s="8">
        <f>IF($A28=AV$1,0,IF(SUM(IMshareM!AV$2:AV$78)-IMshareM!AV$48&gt;0,IMshareM!AV28/(SUM(IMshareM!AV$2:AV$78)-IMshareM!AV$48),0))</f>
        <v>3.6597366072551392E-3</v>
      </c>
      <c r="AW28" s="8">
        <f>IF($A28=AW$1,0,IF(SUM(IMshareM!AW$2:AW$78)-IMshareM!AW$49&gt;0,IMshareM!AW28/(SUM(IMshareM!AW$2:AW$78)-IMshareM!AW$49),0))</f>
        <v>7.1011397608478934E-4</v>
      </c>
      <c r="AX28" s="8">
        <f>IF($A28=AX$1,0,IF(SUM(IMshareM!AX$2:AX$78)-IMshareM!AX$50&gt;0,IMshareM!AX28/(SUM(IMshareM!AX$2:AX$78)-IMshareM!AX$50),0))</f>
        <v>2.1941767915408278E-2</v>
      </c>
      <c r="AY28" s="8">
        <f>IF($A28=AY$1,0,IF(SUM(IMshareM!AY$2:AY$78)-IMshareM!AY$51&gt;0,IMshareM!AY28/(SUM(IMshareM!AY$2:AY$78)-IMshareM!AY$51),0))</f>
        <v>1.8202147359086655E-2</v>
      </c>
      <c r="AZ28" s="8">
        <f>IF($A28=AZ$1,0,IF(SUM(IMshareM!AZ$2:AZ$78)-IMshareM!AZ$52&gt;0,IMshareM!AZ28/(SUM(IMshareM!AZ$2:AZ$78)-IMshareM!AZ$52),0))</f>
        <v>3.2761107789410983E-3</v>
      </c>
      <c r="BA28" s="8">
        <f>IF($A28=BA$1,0,IF(SUM(IMshareM!BA$2:BA$78)-IMshareM!BA$53&gt;0,IMshareM!BA28/(SUM(IMshareM!BA$2:BA$78)-IMshareM!BA$53),0))</f>
        <v>5.0106403394366032E-3</v>
      </c>
      <c r="BB28" s="8">
        <f>IF($A28=BB$1,0,IF(SUM(IMshareM!BB$2:BB$78)-IMshareM!BB$54&gt;0,IMshareM!BB28/(SUM(IMshareM!BB$2:BB$78)-IMshareM!BB$54),0))</f>
        <v>2.7335660059553228E-2</v>
      </c>
      <c r="BC28" s="8">
        <f>IF($A28=BC$1,0,IF(SUM(IMshareM!BC$2:BC$78)-IMshareM!BC$55&gt;0,IMshareM!BC28/(SUM(IMshareM!BC$2:BC$78)-IMshareM!BC$55),0))</f>
        <v>3.4228908087515643E-2</v>
      </c>
      <c r="BD28" s="8">
        <f>IF($A28=BD$1,0,IF(SUM(IMshareM!BD$2:BD$78)-IMshareM!BD$56&gt;0,IMshareM!BD28/(SUM(IMshareM!BD$2:BD$78)-IMshareM!BD$56),0))</f>
        <v>1.9250581329049127E-2</v>
      </c>
      <c r="BE28" s="8">
        <f>IF($A28=BE$1,0,IF(SUM(IMshareM!BE$2:BE$78)-IMshareM!BE$57&gt;0,IMshareM!BE28/(SUM(IMshareM!BE$2:BE$78)-IMshareM!BE$57),0))</f>
        <v>8.3249750076399894E-3</v>
      </c>
      <c r="BF28" s="8">
        <f>IF($A28=BF$1,0,IF(SUM(IMshareM!BF$2:BF$78)-IMshareM!BF$58&gt;0,IMshareM!BF28/(SUM(IMshareM!BF$2:BF$78)-IMshareM!BF$58),0))</f>
        <v>6.9394714368933063E-3</v>
      </c>
      <c r="BG28" s="8">
        <f>IF($A28=BG$1,0,IF(SUM(IMshareM!BG$2:BG$78)-IMshareM!BG$59&gt;0,IMshareM!BG28/(SUM(IMshareM!BG$2:BG$78)-IMshareM!BG$59),0))</f>
        <v>5.4797540546596907E-3</v>
      </c>
      <c r="BH28" s="8">
        <f>IF($A28=BH$1,0,IF(SUM(IMshareM!BH$2:BH$78)-IMshareM!BH$60&gt;0,IMshareM!BH28/(SUM(IMshareM!BH$2:BH$78)-IMshareM!BH$60),0))</f>
        <v>6.3000702805781324E-3</v>
      </c>
      <c r="BI28" s="8">
        <f>IF($A28=BI$1,0,IF(SUM(IMshareM!BI$2:BI$78)-IMshareM!BI$61&gt;0,IMshareM!BI28/(SUM(IMshareM!BI$2:BI$78)-IMshareM!BI$61),0))</f>
        <v>1.5441871100008127E-3</v>
      </c>
      <c r="BJ28" s="8">
        <f>IF($A28=BJ$1,0,IF(SUM(IMshareM!BJ$2:BJ$78)-IMshareM!BJ$62&gt;0,IMshareM!BJ28/(SUM(IMshareM!BJ$2:BJ$78)-IMshareM!BJ$62),0))</f>
        <v>4.8628932400392039E-3</v>
      </c>
      <c r="BK28" s="8">
        <f>IF($A28=BK$1,0,IF(SUM(IMshareM!BK$2:BK$78)-IMshareM!BK$63&gt;0,IMshareM!BK28/(SUM(IMshareM!BK$2:BK$78)-IMshareM!BK$63),0))</f>
        <v>2.7245623499748324E-3</v>
      </c>
      <c r="BL28" s="8">
        <f>IF($A28=BL$1,0,IF(SUM(IMshareM!BL$2:BL$78)-IMshareM!BL$64&gt;0,IMshareM!BL28/(SUM(IMshareM!BL$2:BL$78)-IMshareM!BL$64),0))</f>
        <v>5.9610327504823243E-2</v>
      </c>
      <c r="BM28" s="8">
        <f>IF($A28=BM$1,0,IF(SUM(IMshareM!BM$2:BM$78)-IMshareM!BM$65&gt;0,IMshareM!BM28/(SUM(IMshareM!BM$2:BM$78)-IMshareM!BM$65),0))</f>
        <v>7.3098000337038799E-3</v>
      </c>
      <c r="BN28" s="8">
        <f>IF($A28=BN$1,0,IF(SUM(IMshareM!BN$2:BN$78)-IMshareM!BN$66&gt;0,IMshareM!BN28/(SUM(IMshareM!BN$2:BN$78)-IMshareM!BN$66),0))</f>
        <v>2.82346118669369E-2</v>
      </c>
      <c r="BO28" s="8">
        <f>IF($A28=BO$1,0,IF(SUM(IMshareM!BO$2:BO$78)-IMshareM!BO$67&gt;0,IMshareM!BO28/(SUM(IMshareM!BO$2:BO$78)-IMshareM!BO$67),0))</f>
        <v>1.2238551674110102E-3</v>
      </c>
      <c r="BP28" s="8">
        <f>IF($A28=BP$1,0,IF(SUM(IMshareM!BP$2:BP$78)-IMshareM!BP$68&gt;0,IMshareM!BP28/(SUM(IMshareM!BP$2:BP$78)-IMshareM!BP$68),0))</f>
        <v>3.4467379470457353E-3</v>
      </c>
      <c r="BQ28" s="8">
        <f>IF($A28=BQ$1,0,IF(SUM(IMshareM!BQ$2:BQ$78)-IMshareM!BQ$69&gt;0,IMshareM!BQ28/(SUM(IMshareM!BQ$2:BQ$78)-IMshareM!BQ$69),0))</f>
        <v>1.2823695446395337E-2</v>
      </c>
      <c r="BR28" s="8">
        <f>IF($A28=BR$1,0,IF(SUM(IMshareM!BR$2:BR$78)-IMshareM!BR$70&gt;0,IMshareM!BR28/(SUM(IMshareM!BR$2:BR$78)-IMshareM!BR$70),0))</f>
        <v>6.0497354679395626E-3</v>
      </c>
      <c r="BS28" s="8">
        <f>IF($A28=BS$1,0,IF(SUM(IMshareM!BS$2:BS$78)-IMshareM!BS$71&gt;0,IMshareM!BS28/(SUM(IMshareM!BS$2:BS$78)-IMshareM!BS$71),0))</f>
        <v>3.6349037033378139E-3</v>
      </c>
      <c r="BT28" s="8">
        <f>IF($A28=BT$1,0,IF(SUM(IMshareM!BT$2:BT$78)-IMshareM!BT$72&gt;0,IMshareM!BT28/(SUM(IMshareM!BT$2:BT$78)-IMshareM!BT$72),0))</f>
        <v>1.010187721517149E-2</v>
      </c>
      <c r="BU28" s="8">
        <f>IF($A28=BU$1,0,IF(SUM(IMshareM!BU$2:BU$78)-IMshareM!BU$73&gt;0,IMshareM!BU28/(SUM(IMshareM!BU$2:BU$78)-IMshareM!BU$73),0))</f>
        <v>8.610373770926074E-3</v>
      </c>
      <c r="BV28" s="8">
        <f>IF($A28=BV$1,0,IF(SUM(IMshareM!BV$2:BV$78)-IMshareM!BV$74&gt;0,IMshareM!BV28/(SUM(IMshareM!BV$2:BV$78)-IMshareM!BV$74),0))</f>
        <v>3.5989492501562908E-3</v>
      </c>
      <c r="BW28" s="8">
        <f>IF($A28=BW$1,0,IF(SUM(IMshareM!BW$2:BW$78)-IMshareM!BW$75&gt;0,IMshareM!BW28/(SUM(IMshareM!BW$2:BW$78)-IMshareM!BW$75),0))</f>
        <v>1.4140742810284995E-2</v>
      </c>
      <c r="BX28" s="8">
        <f>IF($A28=BX$1,0,IF(SUM(IMshareM!BX$2:BX$78)-IMshareM!BX$76&gt;0,IMshareM!BX28/(SUM(IMshareM!BX$2:BX$78)-IMshareM!BX$76),0))</f>
        <v>1.1947652736756054E-3</v>
      </c>
      <c r="BY28" s="8">
        <f>IF($A28=BY$1,0,IF(SUM(IMshareM!BY$2:BY$78)-IMshareM!BY$77&gt;0,IMshareM!BY28/(SUM(IMshareM!BY$2:BY$78)-IMshareM!BY$77),0))</f>
        <v>5.1105293528784401E-2</v>
      </c>
      <c r="BZ28" s="8">
        <f>IF($A28=BZ$1,0,IF(SUM(IMshareM!BZ$2:BZ$78)-IMshareM!BZ$78&gt;0,IMshareM!BZ28/(SUM(IMshareM!BZ$2:BZ$78)-IMshareM!BZ$78),0))</f>
        <v>2.5180307589931606E-2</v>
      </c>
    </row>
    <row r="29" spans="1:78">
      <c r="A29" s="4" t="s">
        <v>125</v>
      </c>
      <c r="B29" s="8">
        <f>IF($A29=B$1,0,IF(SUM(IMshareM!B$2:B$78)-IMshareM!B$2&gt;0,IMshareM!B29/(SUM(IMshareM!B$2:B$78)-IMshareM!B$2),0))</f>
        <v>2.6507905575800541E-5</v>
      </c>
      <c r="C29" s="8">
        <f>IF($A29=C$1,0,IF(SUM(IMshareM!C$2:C$78)-IMshareM!C$3&gt;0,IMshareM!C29/(SUM(IMshareM!C$2:C$78)-IMshareM!C$3),0))</f>
        <v>9.8665581886425957E-6</v>
      </c>
      <c r="D29" s="8">
        <f>IF($A29=D$1,0,IF(SUM(IMshareM!D$2:D$78)-IMshareM!D$4&gt;0,IMshareM!D29/(SUM(IMshareM!D$2:D$78)-IMshareM!D$4),0))</f>
        <v>2.3818102829853073E-6</v>
      </c>
      <c r="E29" s="8">
        <f>IF($A29=E$1,0,IF(SUM(IMshareM!E$2:E$78)-IMshareM!E$5&gt;0,IMshareM!E29/(SUM(IMshareM!E$2:E$78)-IMshareM!E$5),0))</f>
        <v>4.2846257537602664E-6</v>
      </c>
      <c r="F29" s="8">
        <f>IF($A29=F$1,0,IF(SUM(IMshareM!F$2:F$78)-IMshareM!F$6&gt;0,IMshareM!F29/(SUM(IMshareM!F$2:F$78)-IMshareM!F$6),0))</f>
        <v>4.5205100633815713E-6</v>
      </c>
      <c r="G29" s="8">
        <f>IF($A29=G$1,0,IF(SUM(IMshareM!G$2:G$78)-IMshareM!G$7&gt;0,IMshareM!G29/(SUM(IMshareM!G$2:G$78)-IMshareM!G$7),0))</f>
        <v>9.9382754099110685E-3</v>
      </c>
      <c r="H29" s="8">
        <f>IF($A29=H$1,0,IF(SUM(IMshareM!H$2:H$78)-IMshareM!H$8&gt;0,IMshareM!H29/(SUM(IMshareM!H$2:H$78)-IMshareM!H$8),0))</f>
        <v>0</v>
      </c>
      <c r="I29" s="8">
        <f>IF($A29=I$1,0,IF(SUM(IMshareM!I$2:I$78)-IMshareM!I$9&gt;0,IMshareM!I29/(SUM(IMshareM!I$2:I$78)-IMshareM!I$9),0))</f>
        <v>4.6610043203757469E-5</v>
      </c>
      <c r="J29" s="8">
        <f>IF($A29=J$1,0,IF(SUM(IMshareM!J$2:J$78)-IMshareM!J$10&gt;0,IMshareM!J29/(SUM(IMshareM!J$2:J$78)-IMshareM!J$10),0))</f>
        <v>0</v>
      </c>
      <c r="K29" s="8">
        <f>IF($A29=K$1,0,IF(SUM(IMshareM!K$2:K$78)-IMshareM!K$11&gt;0,IMshareM!K29/(SUM(IMshareM!K$2:K$78)-IMshareM!K$11),0))</f>
        <v>7.8524850638538926E-6</v>
      </c>
      <c r="L29" s="8">
        <f>IF($A29=L$1,0,IF(SUM(IMshareM!L$2:L$78)-IMshareM!L$12&gt;0,IMshareM!L29/(SUM(IMshareM!L$2:L$78)-IMshareM!L$12),0))</f>
        <v>2.1776349329370345E-5</v>
      </c>
      <c r="M29" s="8">
        <f>IF($A29=M$1,0,IF(SUM(IMshareM!M$2:M$78)-IMshareM!M$13&gt;0,IMshareM!M29/(SUM(IMshareM!M$2:M$78)-IMshareM!M$13),0))</f>
        <v>1.8829366821942525E-3</v>
      </c>
      <c r="N29" s="8">
        <f>IF($A29=N$1,0,IF(SUM(IMshareM!N$2:N$78)-IMshareM!N$14&gt;0,IMshareM!N29/(SUM(IMshareM!N$2:N$78)-IMshareM!N$14),0))</f>
        <v>2.3640136252363339E-5</v>
      </c>
      <c r="O29" s="8">
        <f>IF($A29=O$1,0,IF(SUM(IMshareM!O$2:O$78)-IMshareM!O$15&gt;0,IMshareM!O29/(SUM(IMshareM!O$2:O$78)-IMshareM!O$15),0))</f>
        <v>1.5825688547689261E-4</v>
      </c>
      <c r="P29" s="8">
        <f>IF($A29=P$1,0,IF(SUM(IMshareM!P$2:P$78)-IMshareM!P$16&gt;0,IMshareM!P29/(SUM(IMshareM!P$2:P$78)-IMshareM!P$16),0))</f>
        <v>0</v>
      </c>
      <c r="Q29" s="8">
        <f>IF($A29=Q$1,0,IF(SUM(IMshareM!Q$2:Q$78)-IMshareM!Q$17&gt;0,IMshareM!Q29/(SUM(IMshareM!Q$2:Q$78)-IMshareM!Q$17),0))</f>
        <v>0</v>
      </c>
      <c r="R29" s="8">
        <f>IF($A29=R$1,0,IF(SUM(IMshareM!R$2:R$78)-IMshareM!R$18&gt;0,IMshareM!R29/(SUM(IMshareM!R$2:R$78)-IMshareM!R$18),0))</f>
        <v>0</v>
      </c>
      <c r="S29" s="8">
        <f>IF($A29=S$1,0,IF(SUM(IMshareM!S$2:S$78)-IMshareM!S$19&gt;0,IMshareM!S29/(SUM(IMshareM!S$2:S$78)-IMshareM!S$19),0))</f>
        <v>0.15510347690316037</v>
      </c>
      <c r="T29" s="8">
        <f>IF($A29=T$1,0,IF(SUM(IMshareM!T$2:T$78)-IMshareM!T$20&gt;0,IMshareM!T29/(SUM(IMshareM!T$2:T$78)-IMshareM!T$20),0))</f>
        <v>1.2097128107820504E-5</v>
      </c>
      <c r="U29" s="8">
        <f>IF($A29=U$1,0,IF(SUM(IMshareM!U$2:U$78)-IMshareM!U$21&gt;0,IMshareM!U29/(SUM(IMshareM!U$2:U$78)-IMshareM!U$21),0))</f>
        <v>1.5781675903259445E-5</v>
      </c>
      <c r="V29" s="8">
        <f>IF($A29=V$1,0,IF(SUM(IMshareM!V$2:V$78)-IMshareM!V$22&gt;0,IMshareM!V29/(SUM(IMshareM!V$2:V$78)-IMshareM!V$22),0))</f>
        <v>7.5122537528644049E-5</v>
      </c>
      <c r="W29" s="8">
        <f>IF($A29=W$1,0,IF(SUM(IMshareM!W$2:W$78)-IMshareM!W$23&gt;0,IMshareM!W29/(SUM(IMshareM!W$2:W$78)-IMshareM!W$23),0))</f>
        <v>7.6486194737958551E-4</v>
      </c>
      <c r="X29" s="8">
        <f>IF($A29=X$1,0,IF(SUM(IMshareM!X$2:X$78)-IMshareM!X$24&gt;0,IMshareM!X29/(SUM(IMshareM!X$2:X$78)-IMshareM!X$24),0))</f>
        <v>5.179848951044209E-4</v>
      </c>
      <c r="Y29" s="8">
        <f>IF($A29=Y$1,0,IF(SUM(IMshareM!Y$2:Y$78)-IMshareM!Y$25&gt;0,IMshareM!Y29/(SUM(IMshareM!Y$2:Y$78)-IMshareM!Y$25),0))</f>
        <v>2.6782443427107933E-4</v>
      </c>
      <c r="Z29" s="8">
        <f>IF($A29=Z$1,0,IF(SUM(IMshareM!Z$2:Z$78)-IMshareM!Z$26&gt;0,IMshareM!Z29/(SUM(IMshareM!Z$2:Z$78)-IMshareM!Z$26),0))</f>
        <v>8.7958539825711112E-7</v>
      </c>
      <c r="AA29" s="8">
        <f>IF($A29=AA$1,0,IF(SUM(IMshareM!AA$2:AA$78)-IMshareM!AA$27&gt;0,IMshareM!AA29/(SUM(IMshareM!AA$2:AA$78)-IMshareM!AA$27),0))</f>
        <v>1.8052017358056103E-5</v>
      </c>
      <c r="AB29" s="8">
        <f>IF($A29=AB$1,0,IF(SUM(IMshareM!AB$2:AB$78)-IMshareM!AB$28&gt;0,IMshareM!AB29/(SUM(IMshareM!AB$2:AB$78)-IMshareM!AB$28),0))</f>
        <v>2.3870097096296693E-4</v>
      </c>
      <c r="AC29" s="8">
        <f>IF($A29=AC$1,0,IF(SUM(IMshareM!AC$2:AC$78)-IMshareM!AC$29&gt;0,IMshareM!AC29/(SUM(IMshareM!AC$2:AC$78)-IMshareM!AC$29),0))</f>
        <v>0</v>
      </c>
      <c r="AD29" s="8">
        <f>IF($A29=AD$1,0,IF(SUM(IMshareM!AD$2:AD$78)-IMshareM!AD$30&gt;0,IMshareM!AD29/(SUM(IMshareM!AD$2:AD$78)-IMshareM!AD$30),0))</f>
        <v>3.9287484067914223E-5</v>
      </c>
      <c r="AE29" s="8">
        <f>IF($A29=AE$1,0,IF(SUM(IMshareM!AE$2:AE$78)-IMshareM!AE$31&gt;0,IMshareM!AE29/(SUM(IMshareM!AE$2:AE$78)-IMshareM!AE$31),0))</f>
        <v>1.232650408544822E-3</v>
      </c>
      <c r="AF29" s="8">
        <f>IF($A29=AF$1,0,IF(SUM(IMshareM!AF$2:AF$78)-IMshareM!AF$32&gt;0,IMshareM!AF29/(SUM(IMshareM!AF$2:AF$78)-IMshareM!AF$32),0))</f>
        <v>5.2733956710309944E-5</v>
      </c>
      <c r="AG29" s="8">
        <f>IF($A29=AG$1,0,IF(SUM(IMshareM!AG$2:AG$78)-IMshareM!AG$33&gt;0,IMshareM!AG29/(SUM(IMshareM!AG$2:AG$78)-IMshareM!AG$33),0))</f>
        <v>2.5174381336144268E-5</v>
      </c>
      <c r="AH29" s="8">
        <f>IF($A29=AH$1,0,IF(SUM(IMshareM!AH$2:AH$78)-IMshareM!AH$34&gt;0,IMshareM!AH29/(SUM(IMshareM!AH$2:AH$78)-IMshareM!AH$34),0))</f>
        <v>5.9883431083669008E-7</v>
      </c>
      <c r="AI29" s="8">
        <f>IF($A29=AI$1,0,IF(SUM(IMshareM!AI$2:AI$78)-IMshareM!AI$35&gt;0,IMshareM!AI29/(SUM(IMshareM!AI$2:AI$78)-IMshareM!AI$35),0))</f>
        <v>5.5512594617136779E-5</v>
      </c>
      <c r="AJ29" s="8">
        <f>IF($A29=AJ$1,0,IF(SUM(IMshareM!AJ$2:AJ$78)-IMshareM!AJ$36&gt;0,IMshareM!AJ29/(SUM(IMshareM!AJ$2:AJ$78)-IMshareM!AJ$36),0))</f>
        <v>8.1492901660034774E-5</v>
      </c>
      <c r="AK29" s="8">
        <f>IF($A29=AK$1,0,IF(SUM(IMshareM!AK$2:AK$78)-IMshareM!AK$37&gt;0,IMshareM!AK29/(SUM(IMshareM!AK$2:AK$78)-IMshareM!AK$37),0))</f>
        <v>8.1757203308547427E-4</v>
      </c>
      <c r="AL29" s="8">
        <f>IF($A29=AL$1,0,IF(SUM(IMshareM!AL$2:AL$78)-IMshareM!AL$38&gt;0,IMshareM!AL29/(SUM(IMshareM!AL$2:AL$78)-IMshareM!AL$38),0))</f>
        <v>9.3452706990101119E-5</v>
      </c>
      <c r="AM29" s="8">
        <f>IF($A29=AM$1,0,IF(SUM(IMshareM!AM$2:AM$78)-IMshareM!AM$39&gt;0,IMshareM!AM29/(SUM(IMshareM!AM$2:AM$78)-IMshareM!AM$39),0))</f>
        <v>3.9305237282826208E-3</v>
      </c>
      <c r="AN29" s="8">
        <f>IF($A29=AN$1,0,IF(SUM(IMshareM!AN$2:AN$78)-IMshareM!AN$40&gt;0,IMshareM!AN29/(SUM(IMshareM!AN$2:AN$78)-IMshareM!AN$40),0))</f>
        <v>3.350618679062307E-5</v>
      </c>
      <c r="AO29" s="8">
        <f>IF($A29=AO$1,0,IF(SUM(IMshareM!AO$2:AO$78)-IMshareM!AO$41&gt;0,IMshareM!AO29/(SUM(IMshareM!AO$2:AO$78)-IMshareM!AO$41),0))</f>
        <v>1.3544784020158947E-4</v>
      </c>
      <c r="AP29" s="8">
        <f>IF($A29=AP$1,0,IF(SUM(IMshareM!AP$2:AP$78)-IMshareM!AP$42&gt;0,IMshareM!AP29/(SUM(IMshareM!AP$2:AP$78)-IMshareM!AP$42),0))</f>
        <v>0</v>
      </c>
      <c r="AQ29" s="8">
        <f>IF($A29=AQ$1,0,IF(SUM(IMshareM!AQ$2:AQ$78)-IMshareM!AQ$43&gt;0,IMshareM!AQ29/(SUM(IMshareM!AQ$2:AQ$78)-IMshareM!AQ$43),0))</f>
        <v>5.3065334124820066E-7</v>
      </c>
      <c r="AR29" s="8">
        <f>IF($A29=AR$1,0,IF(SUM(IMshareM!AR$2:AR$78)-IMshareM!AR$44&gt;0,IMshareM!AR29/(SUM(IMshareM!AR$2:AR$78)-IMshareM!AR$44),0))</f>
        <v>0</v>
      </c>
      <c r="AS29" s="8">
        <f>IF($A29=AS$1,0,IF(SUM(IMshareM!AS$2:AS$78)-IMshareM!AS$45&gt;0,IMshareM!AS29/(SUM(IMshareM!AS$2:AS$78)-IMshareM!AS$45),0))</f>
        <v>8.3882388337209329E-4</v>
      </c>
      <c r="AT29" s="8">
        <f>IF($A29=AT$1,0,IF(SUM(IMshareM!AT$2:AT$78)-IMshareM!AT$46&gt;0,IMshareM!AT29/(SUM(IMshareM!AT$2:AT$78)-IMshareM!AT$46),0))</f>
        <v>0</v>
      </c>
      <c r="AU29" s="8">
        <f>IF($A29=AU$1,0,IF(SUM(IMshareM!AU$2:AU$78)-IMshareM!AU$47&gt;0,IMshareM!AU29/(SUM(IMshareM!AU$2:AU$78)-IMshareM!AU$47),0))</f>
        <v>9.1273551597015817E-5</v>
      </c>
      <c r="AV29" s="8">
        <f>IF($A29=AV$1,0,IF(SUM(IMshareM!AV$2:AV$78)-IMshareM!AV$48&gt;0,IMshareM!AV29/(SUM(IMshareM!AV$2:AV$78)-IMshareM!AV$48),0))</f>
        <v>1.1497341989343495E-4</v>
      </c>
      <c r="AW29" s="8">
        <f>IF($A29=AW$1,0,IF(SUM(IMshareM!AW$2:AW$78)-IMshareM!AW$49&gt;0,IMshareM!AW29/(SUM(IMshareM!AW$2:AW$78)-IMshareM!AW$49),0))</f>
        <v>1.8468253680411016E-6</v>
      </c>
      <c r="AX29" s="8">
        <f>IF($A29=AX$1,0,IF(SUM(IMshareM!AX$2:AX$78)-IMshareM!AX$50&gt;0,IMshareM!AX29/(SUM(IMshareM!AX$2:AX$78)-IMshareM!AX$50),0))</f>
        <v>4.2464998073367165E-3</v>
      </c>
      <c r="AY29" s="8">
        <f>IF($A29=AY$1,0,IF(SUM(IMshareM!AY$2:AY$78)-IMshareM!AY$51&gt;0,IMshareM!AY29/(SUM(IMshareM!AY$2:AY$78)-IMshareM!AY$51),0))</f>
        <v>0</v>
      </c>
      <c r="AZ29" s="8">
        <f>IF($A29=AZ$1,0,IF(SUM(IMshareM!AZ$2:AZ$78)-IMshareM!AZ$52&gt;0,IMshareM!AZ29/(SUM(IMshareM!AZ$2:AZ$78)-IMshareM!AZ$52),0))</f>
        <v>1.0083136175067865E-6</v>
      </c>
      <c r="BA29" s="8">
        <f>IF($A29=BA$1,0,IF(SUM(IMshareM!BA$2:BA$78)-IMshareM!BA$53&gt;0,IMshareM!BA29/(SUM(IMshareM!BA$2:BA$78)-IMshareM!BA$53),0))</f>
        <v>4.9751523748645483E-3</v>
      </c>
      <c r="BB29" s="8">
        <f>IF($A29=BB$1,0,IF(SUM(IMshareM!BB$2:BB$78)-IMshareM!BB$54&gt;0,IMshareM!BB29/(SUM(IMshareM!BB$2:BB$78)-IMshareM!BB$54),0))</f>
        <v>1.9193093542541761E-4</v>
      </c>
      <c r="BC29" s="8">
        <f>IF($A29=BC$1,0,IF(SUM(IMshareM!BC$2:BC$78)-IMshareM!BC$55&gt;0,IMshareM!BC29/(SUM(IMshareM!BC$2:BC$78)-IMshareM!BC$55),0))</f>
        <v>9.8756704663828065E-4</v>
      </c>
      <c r="BD29" s="8">
        <f>IF($A29=BD$1,0,IF(SUM(IMshareM!BD$2:BD$78)-IMshareM!BD$56&gt;0,IMshareM!BD29/(SUM(IMshareM!BD$2:BD$78)-IMshareM!BD$56),0))</f>
        <v>1.0407002440264268E-5</v>
      </c>
      <c r="BE29" s="8">
        <f>IF($A29=BE$1,0,IF(SUM(IMshareM!BE$2:BE$78)-IMshareM!BE$57&gt;0,IMshareM!BE29/(SUM(IMshareM!BE$2:BE$78)-IMshareM!BE$57),0))</f>
        <v>1.0006760867396409E-3</v>
      </c>
      <c r="BF29" s="8">
        <f>IF($A29=BF$1,0,IF(SUM(IMshareM!BF$2:BF$78)-IMshareM!BF$58&gt;0,IMshareM!BF29/(SUM(IMshareM!BF$2:BF$78)-IMshareM!BF$58),0))</f>
        <v>1.9127196997273459E-5</v>
      </c>
      <c r="BG29" s="8">
        <f>IF($A29=BG$1,0,IF(SUM(IMshareM!BG$2:BG$78)-IMshareM!BG$59&gt;0,IMshareM!BG29/(SUM(IMshareM!BG$2:BG$78)-IMshareM!BG$59),0))</f>
        <v>3.972186338785153E-6</v>
      </c>
      <c r="BH29" s="8">
        <f>IF($A29=BH$1,0,IF(SUM(IMshareM!BH$2:BH$78)-IMshareM!BH$60&gt;0,IMshareM!BH29/(SUM(IMshareM!BH$2:BH$78)-IMshareM!BH$60),0))</f>
        <v>8.0933744319995425E-6</v>
      </c>
      <c r="BI29" s="8">
        <f>IF($A29=BI$1,0,IF(SUM(IMshareM!BI$2:BI$78)-IMshareM!BI$61&gt;0,IMshareM!BI29/(SUM(IMshareM!BI$2:BI$78)-IMshareM!BI$61),0))</f>
        <v>4.1826617030487132E-5</v>
      </c>
      <c r="BJ29" s="8">
        <f>IF($A29=BJ$1,0,IF(SUM(IMshareM!BJ$2:BJ$78)-IMshareM!BJ$62&gt;0,IMshareM!BJ29/(SUM(IMshareM!BJ$2:BJ$78)-IMshareM!BJ$62),0))</f>
        <v>1.5634078312627905E-3</v>
      </c>
      <c r="BK29" s="8">
        <f>IF($A29=BK$1,0,IF(SUM(IMshareM!BK$2:BK$78)-IMshareM!BK$63&gt;0,IMshareM!BK29/(SUM(IMshareM!BK$2:BK$78)-IMshareM!BK$63),0))</f>
        <v>0</v>
      </c>
      <c r="BL29" s="8">
        <f>IF($A29=BL$1,0,IF(SUM(IMshareM!BL$2:BL$78)-IMshareM!BL$64&gt;0,IMshareM!BL29/(SUM(IMshareM!BL$2:BL$78)-IMshareM!BL$64),0))</f>
        <v>4.633726273315068E-3</v>
      </c>
      <c r="BM29" s="8">
        <f>IF($A29=BM$1,0,IF(SUM(IMshareM!BM$2:BM$78)-IMshareM!BM$65&gt;0,IMshareM!BM29/(SUM(IMshareM!BM$2:BM$78)-IMshareM!BM$65),0))</f>
        <v>3.1499738152379527E-4</v>
      </c>
      <c r="BN29" s="8">
        <f>IF($A29=BN$1,0,IF(SUM(IMshareM!BN$2:BN$78)-IMshareM!BN$66&gt;0,IMshareM!BN29/(SUM(IMshareM!BN$2:BN$78)-IMshareM!BN$66),0))</f>
        <v>1.368883253179476E-4</v>
      </c>
      <c r="BO29" s="8">
        <f>IF($A29=BO$1,0,IF(SUM(IMshareM!BO$2:BO$78)-IMshareM!BO$67&gt;0,IMshareM!BO29/(SUM(IMshareM!BO$2:BO$78)-IMshareM!BO$67),0))</f>
        <v>5.4887399667608979E-7</v>
      </c>
      <c r="BP29" s="8">
        <f>IF($A29=BP$1,0,IF(SUM(IMshareM!BP$2:BP$78)-IMshareM!BP$68&gt;0,IMshareM!BP29/(SUM(IMshareM!BP$2:BP$78)-IMshareM!BP$68),0))</f>
        <v>3.4357206542870452E-6</v>
      </c>
      <c r="BQ29" s="8">
        <f>IF($A29=BQ$1,0,IF(SUM(IMshareM!BQ$2:BQ$78)-IMshareM!BQ$69&gt;0,IMshareM!BQ29/(SUM(IMshareM!BQ$2:BQ$78)-IMshareM!BQ$69),0))</f>
        <v>9.4993070303146957E-6</v>
      </c>
      <c r="BR29" s="8">
        <f>IF($A29=BR$1,0,IF(SUM(IMshareM!BR$2:BR$78)-IMshareM!BR$70&gt;0,IMshareM!BR29/(SUM(IMshareM!BR$2:BR$78)-IMshareM!BR$70),0))</f>
        <v>1.1355378574010487E-4</v>
      </c>
      <c r="BS29" s="8">
        <f>IF($A29=BS$1,0,IF(SUM(IMshareM!BS$2:BS$78)-IMshareM!BS$71&gt;0,IMshareM!BS29/(SUM(IMshareM!BS$2:BS$78)-IMshareM!BS$71),0))</f>
        <v>1.1110359462139312E-4</v>
      </c>
      <c r="BT29" s="8">
        <f>IF($A29=BT$1,0,IF(SUM(IMshareM!BT$2:BT$78)-IMshareM!BT$72&gt;0,IMshareM!BT29/(SUM(IMshareM!BT$2:BT$78)-IMshareM!BT$72),0))</f>
        <v>5.2224272996984502E-5</v>
      </c>
      <c r="BU29" s="8">
        <f>IF($A29=BU$1,0,IF(SUM(IMshareM!BU$2:BU$78)-IMshareM!BU$73&gt;0,IMshareM!BU29/(SUM(IMshareM!BU$2:BU$78)-IMshareM!BU$73),0))</f>
        <v>4.4428883082396555E-7</v>
      </c>
      <c r="BV29" s="8">
        <f>IF($A29=BV$1,0,IF(SUM(IMshareM!BV$2:BV$78)-IMshareM!BV$74&gt;0,IMshareM!BV29/(SUM(IMshareM!BV$2:BV$78)-IMshareM!BV$74),0))</f>
        <v>3.1973520447933898E-4</v>
      </c>
      <c r="BW29" s="8">
        <f>IF($A29=BW$1,0,IF(SUM(IMshareM!BW$2:BW$78)-IMshareM!BW$75&gt;0,IMshareM!BW29/(SUM(IMshareM!BW$2:BW$78)-IMshareM!BW$75),0))</f>
        <v>4.3471044241722425E-5</v>
      </c>
      <c r="BX29" s="8">
        <f>IF($A29=BX$1,0,IF(SUM(IMshareM!BX$2:BX$78)-IMshareM!BX$76&gt;0,IMshareM!BX29/(SUM(IMshareM!BX$2:BX$78)-IMshareM!BX$76),0))</f>
        <v>1.1187889772828054E-6</v>
      </c>
      <c r="BY29" s="8">
        <f>IF($A29=BY$1,0,IF(SUM(IMshareM!BY$2:BY$78)-IMshareM!BY$77&gt;0,IMshareM!BY29/(SUM(IMshareM!BY$2:BY$78)-IMshareM!BY$77),0))</f>
        <v>5.5227812393626856E-5</v>
      </c>
      <c r="BZ29" s="8">
        <f>IF($A29=BZ$1,0,IF(SUM(IMshareM!BZ$2:BZ$78)-IMshareM!BZ$78&gt;0,IMshareM!BZ29/(SUM(IMshareM!BZ$2:BZ$78)-IMshareM!BZ$78),0))</f>
        <v>1.0126372320478291E-3</v>
      </c>
    </row>
    <row r="30" spans="1:78">
      <c r="A30" s="4" t="s">
        <v>127</v>
      </c>
      <c r="B30" s="8">
        <f>IF($A30=B$1,0,IF(SUM(IMshareM!B$2:B$78)-IMshareM!B$2&gt;0,IMshareM!B30/(SUM(IMshareM!B$2:B$78)-IMshareM!B$2),0))</f>
        <v>1.186195458573275E-4</v>
      </c>
      <c r="C30" s="8">
        <f>IF($A30=C$1,0,IF(SUM(IMshareM!C$2:C$78)-IMshareM!C$3&gt;0,IMshareM!C30/(SUM(IMshareM!C$2:C$78)-IMshareM!C$3),0))</f>
        <v>6.1638589993303424E-4</v>
      </c>
      <c r="D30" s="8">
        <f>IF($A30=D$1,0,IF(SUM(IMshareM!D$2:D$78)-IMshareM!D$4&gt;0,IMshareM!D30/(SUM(IMshareM!D$2:D$78)-IMshareM!D$4),0))</f>
        <v>8.5107955672623545E-4</v>
      </c>
      <c r="E30" s="8">
        <f>IF($A30=E$1,0,IF(SUM(IMshareM!E$2:E$78)-IMshareM!E$5&gt;0,IMshareM!E30/(SUM(IMshareM!E$2:E$78)-IMshareM!E$5),0))</f>
        <v>5.146830666295326E-5</v>
      </c>
      <c r="F30" s="8">
        <f>IF($A30=F$1,0,IF(SUM(IMshareM!F$2:F$78)-IMshareM!F$6&gt;0,IMshareM!F30/(SUM(IMshareM!F$2:F$78)-IMshareM!F$6),0))</f>
        <v>1.3714030650053506E-2</v>
      </c>
      <c r="G30" s="8">
        <f>IF($A30=G$1,0,IF(SUM(IMshareM!G$2:G$78)-IMshareM!G$7&gt;0,IMshareM!G30/(SUM(IMshareM!G$2:G$78)-IMshareM!G$7),0))</f>
        <v>5.917694438001238E-3</v>
      </c>
      <c r="H30" s="8">
        <f>IF($A30=H$1,0,IF(SUM(IMshareM!H$2:H$78)-IMshareM!H$8&gt;0,IMshareM!H30/(SUM(IMshareM!H$2:H$78)-IMshareM!H$8),0))</f>
        <v>4.992240721089663E-4</v>
      </c>
      <c r="I30" s="8">
        <f>IF($A30=I$1,0,IF(SUM(IMshareM!I$2:I$78)-IMshareM!I$9&gt;0,IMshareM!I30/(SUM(IMshareM!I$2:I$78)-IMshareM!I$9),0))</f>
        <v>1.16571386933125E-2</v>
      </c>
      <c r="J30" s="8">
        <f>IF($A30=J$1,0,IF(SUM(IMshareM!J$2:J$78)-IMshareM!J$10&gt;0,IMshareM!J30/(SUM(IMshareM!J$2:J$78)-IMshareM!J$10),0))</f>
        <v>4.7021703988457729E-4</v>
      </c>
      <c r="K30" s="8">
        <f>IF($A30=K$1,0,IF(SUM(IMshareM!K$2:K$78)-IMshareM!K$11&gt;0,IMshareM!K30/(SUM(IMshareM!K$2:K$78)-IMshareM!K$11),0))</f>
        <v>3.8699072165358171E-4</v>
      </c>
      <c r="L30" s="8">
        <f>IF($A30=L$1,0,IF(SUM(IMshareM!L$2:L$78)-IMshareM!L$12&gt;0,IMshareM!L30/(SUM(IMshareM!L$2:L$78)-IMshareM!L$12),0))</f>
        <v>1.2553152957650161E-3</v>
      </c>
      <c r="M30" s="8">
        <f>IF($A30=M$1,0,IF(SUM(IMshareM!M$2:M$78)-IMshareM!M$13&gt;0,IMshareM!M30/(SUM(IMshareM!M$2:M$78)-IMshareM!M$13),0))</f>
        <v>6.7476053837674254E-4</v>
      </c>
      <c r="N30" s="8">
        <f>IF($A30=N$1,0,IF(SUM(IMshareM!N$2:N$78)-IMshareM!N$14&gt;0,IMshareM!N30/(SUM(IMshareM!N$2:N$78)-IMshareM!N$14),0))</f>
        <v>3.3936808294406518E-4</v>
      </c>
      <c r="O30" s="8">
        <f>IF($A30=O$1,0,IF(SUM(IMshareM!O$2:O$78)-IMshareM!O$15&gt;0,IMshareM!O30/(SUM(IMshareM!O$2:O$78)-IMshareM!O$15),0))</f>
        <v>3.1041963005754339E-4</v>
      </c>
      <c r="P30" s="8">
        <f>IF($A30=P$1,0,IF(SUM(IMshareM!P$2:P$78)-IMshareM!P$16&gt;0,IMshareM!P30/(SUM(IMshareM!P$2:P$78)-IMshareM!P$16),0))</f>
        <v>4.2341741111659767E-2</v>
      </c>
      <c r="Q30" s="8">
        <f>IF($A30=Q$1,0,IF(SUM(IMshareM!Q$2:Q$78)-IMshareM!Q$17&gt;0,IMshareM!Q30/(SUM(IMshareM!Q$2:Q$78)-IMshareM!Q$17),0))</f>
        <v>7.3179480187268741E-4</v>
      </c>
      <c r="R30" s="8">
        <f>IF($A30=R$1,0,IF(SUM(IMshareM!R$2:R$78)-IMshareM!R$18&gt;0,IMshareM!R30/(SUM(IMshareM!R$2:R$78)-IMshareM!R$18),0))</f>
        <v>1.7809242739690253E-2</v>
      </c>
      <c r="S30" s="8">
        <f>IF($A30=S$1,0,IF(SUM(IMshareM!S$2:S$78)-IMshareM!S$19&gt;0,IMshareM!S30/(SUM(IMshareM!S$2:S$78)-IMshareM!S$19),0))</f>
        <v>9.354604060193639E-3</v>
      </c>
      <c r="T30" s="8">
        <f>IF($A30=T$1,0,IF(SUM(IMshareM!T$2:T$78)-IMshareM!T$20&gt;0,IMshareM!T30/(SUM(IMshareM!T$2:T$78)-IMshareM!T$20),0))</f>
        <v>1.9162746060466835E-3</v>
      </c>
      <c r="U30" s="8">
        <f>IF($A30=U$1,0,IF(SUM(IMshareM!U$2:U$78)-IMshareM!U$21&gt;0,IMshareM!U30/(SUM(IMshareM!U$2:U$78)-IMshareM!U$21),0))</f>
        <v>9.5592548879315021E-4</v>
      </c>
      <c r="V30" s="8">
        <f>IF($A30=V$1,0,IF(SUM(IMshareM!V$2:V$78)-IMshareM!V$22&gt;0,IMshareM!V30/(SUM(IMshareM!V$2:V$78)-IMshareM!V$22),0))</f>
        <v>2.8940408875370658E-4</v>
      </c>
      <c r="W30" s="8">
        <f>IF($A30=W$1,0,IF(SUM(IMshareM!W$2:W$78)-IMshareM!W$23&gt;0,IMshareM!W30/(SUM(IMshareM!W$2:W$78)-IMshareM!W$23),0))</f>
        <v>3.6813958074351038E-4</v>
      </c>
      <c r="X30" s="8">
        <f>IF($A30=X$1,0,IF(SUM(IMshareM!X$2:X$78)-IMshareM!X$24&gt;0,IMshareM!X30/(SUM(IMshareM!X$2:X$78)-IMshareM!X$24),0))</f>
        <v>6.9474770384551443E-4</v>
      </c>
      <c r="Y30" s="8">
        <f>IF($A30=Y$1,0,IF(SUM(IMshareM!Y$2:Y$78)-IMshareM!Y$25&gt;0,IMshareM!Y30/(SUM(IMshareM!Y$2:Y$78)-IMshareM!Y$25),0))</f>
        <v>2.4395430654179912E-5</v>
      </c>
      <c r="Z30" s="8">
        <f>IF($A30=Z$1,0,IF(SUM(IMshareM!Z$2:Z$78)-IMshareM!Z$26&gt;0,IMshareM!Z30/(SUM(IMshareM!Z$2:Z$78)-IMshareM!Z$26),0))</f>
        <v>4.1124373207750587E-4</v>
      </c>
      <c r="AA30" s="8">
        <f>IF($A30=AA$1,0,IF(SUM(IMshareM!AA$2:AA$78)-IMshareM!AA$27&gt;0,IMshareM!AA30/(SUM(IMshareM!AA$2:AA$78)-IMshareM!AA$27),0))</f>
        <v>4.8653426902738316E-4</v>
      </c>
      <c r="AB30" s="8">
        <f>IF($A30=AB$1,0,IF(SUM(IMshareM!AB$2:AB$78)-IMshareM!AB$28&gt;0,IMshareM!AB30/(SUM(IMshareM!AB$2:AB$78)-IMshareM!AB$28),0))</f>
        <v>3.4759017059696035E-3</v>
      </c>
      <c r="AC30" s="8">
        <f>IF($A30=AC$1,0,IF(SUM(IMshareM!AC$2:AC$78)-IMshareM!AC$29&gt;0,IMshareM!AC30/(SUM(IMshareM!AC$2:AC$78)-IMshareM!AC$29),0))</f>
        <v>2.1631601092119009E-4</v>
      </c>
      <c r="AD30" s="8">
        <f>IF($A30=AD$1,0,IF(SUM(IMshareM!AD$2:AD$78)-IMshareM!AD$30&gt;0,IMshareM!AD30/(SUM(IMshareM!AD$2:AD$78)-IMshareM!AD$30),0))</f>
        <v>0</v>
      </c>
      <c r="AE30" s="8">
        <f>IF($A30=AE$1,0,IF(SUM(IMshareM!AE$2:AE$78)-IMshareM!AE$31&gt;0,IMshareM!AE30/(SUM(IMshareM!AE$2:AE$78)-IMshareM!AE$31),0))</f>
        <v>2.9747927357817348E-4</v>
      </c>
      <c r="AF30" s="8">
        <f>IF($A30=AF$1,0,IF(SUM(IMshareM!AF$2:AF$78)-IMshareM!AF$32&gt;0,IMshareM!AF30/(SUM(IMshareM!AF$2:AF$78)-IMshareM!AF$32),0))</f>
        <v>2.5260232107393622E-2</v>
      </c>
      <c r="AG30" s="8">
        <f>IF($A30=AG$1,0,IF(SUM(IMshareM!AG$2:AG$78)-IMshareM!AG$33&gt;0,IMshareM!AG30/(SUM(IMshareM!AG$2:AG$78)-IMshareM!AG$33),0))</f>
        <v>1.0827270651539241E-2</v>
      </c>
      <c r="AH30" s="8">
        <f>IF($A30=AH$1,0,IF(SUM(IMshareM!AH$2:AH$78)-IMshareM!AH$34&gt;0,IMshareM!AH30/(SUM(IMshareM!AH$2:AH$78)-IMshareM!AH$34),0))</f>
        <v>2.3558560503367298E-2</v>
      </c>
      <c r="AI30" s="8">
        <f>IF($A30=AI$1,0,IF(SUM(IMshareM!AI$2:AI$78)-IMshareM!AI$35&gt;0,IMshareM!AI30/(SUM(IMshareM!AI$2:AI$78)-IMshareM!AI$35),0))</f>
        <v>3.6643535506823166E-3</v>
      </c>
      <c r="AJ30" s="8">
        <f>IF($A30=AJ$1,0,IF(SUM(IMshareM!AJ$2:AJ$78)-IMshareM!AJ$36&gt;0,IMshareM!AJ30/(SUM(IMshareM!AJ$2:AJ$78)-IMshareM!AJ$36),0))</f>
        <v>8.1884914005999287E-4</v>
      </c>
      <c r="AK30" s="8">
        <f>IF($A30=AK$1,0,IF(SUM(IMshareM!AK$2:AK$78)-IMshareM!AK$37&gt;0,IMshareM!AK30/(SUM(IMshareM!AK$2:AK$78)-IMshareM!AK$37),0))</f>
        <v>6.7845835879603356E-2</v>
      </c>
      <c r="AL30" s="8">
        <f>IF($A30=AL$1,0,IF(SUM(IMshareM!AL$2:AL$78)-IMshareM!AL$38&gt;0,IMshareM!AL30/(SUM(IMshareM!AL$2:AL$78)-IMshareM!AL$38),0))</f>
        <v>1.7232061555435933E-4</v>
      </c>
      <c r="AM30" s="8">
        <f>IF($A30=AM$1,0,IF(SUM(IMshareM!AM$2:AM$78)-IMshareM!AM$39&gt;0,IMshareM!AM30/(SUM(IMshareM!AM$2:AM$78)-IMshareM!AM$39),0))</f>
        <v>6.8854580442770982E-3</v>
      </c>
      <c r="AN30" s="8">
        <f>IF($A30=AN$1,0,IF(SUM(IMshareM!AN$2:AN$78)-IMshareM!AN$40&gt;0,IMshareM!AN30/(SUM(IMshareM!AN$2:AN$78)-IMshareM!AN$40),0))</f>
        <v>1.3817327027159518E-4</v>
      </c>
      <c r="AO30" s="8">
        <f>IF($A30=AO$1,0,IF(SUM(IMshareM!AO$2:AO$78)-IMshareM!AO$41&gt;0,IMshareM!AO30/(SUM(IMshareM!AO$2:AO$78)-IMshareM!AO$41),0))</f>
        <v>5.8861519166264847E-5</v>
      </c>
      <c r="AP30" s="8">
        <f>IF($A30=AP$1,0,IF(SUM(IMshareM!AP$2:AP$78)-IMshareM!AP$42&gt;0,IMshareM!AP30/(SUM(IMshareM!AP$2:AP$78)-IMshareM!AP$42),0))</f>
        <v>1.2835711243313475E-2</v>
      </c>
      <c r="AQ30" s="8">
        <f>IF($A30=AQ$1,0,IF(SUM(IMshareM!AQ$2:AQ$78)-IMshareM!AQ$43&gt;0,IMshareM!AQ30/(SUM(IMshareM!AQ$2:AQ$78)-IMshareM!AQ$43),0))</f>
        <v>1.7503963349275011E-4</v>
      </c>
      <c r="AR30" s="8">
        <f>IF($A30=AR$1,0,IF(SUM(IMshareM!AR$2:AR$78)-IMshareM!AR$44&gt;0,IMshareM!AR30/(SUM(IMshareM!AR$2:AR$78)-IMshareM!AR$44),0))</f>
        <v>0</v>
      </c>
      <c r="AS30" s="8">
        <f>IF($A30=AS$1,0,IF(SUM(IMshareM!AS$2:AS$78)-IMshareM!AS$45&gt;0,IMshareM!AS30/(SUM(IMshareM!AS$2:AS$78)-IMshareM!AS$45),0))</f>
        <v>1.6893004925910386E-6</v>
      </c>
      <c r="AT30" s="8">
        <f>IF($A30=AT$1,0,IF(SUM(IMshareM!AT$2:AT$78)-IMshareM!AT$46&gt;0,IMshareM!AT30/(SUM(IMshareM!AT$2:AT$78)-IMshareM!AT$46),0))</f>
        <v>9.2503157097299468E-7</v>
      </c>
      <c r="AU30" s="8">
        <f>IF($A30=AU$1,0,IF(SUM(IMshareM!AU$2:AU$78)-IMshareM!AU$47&gt;0,IMshareM!AU30/(SUM(IMshareM!AU$2:AU$78)-IMshareM!AU$47),0))</f>
        <v>6.3594425867677265E-4</v>
      </c>
      <c r="AV30" s="8">
        <f>IF($A30=AV$1,0,IF(SUM(IMshareM!AV$2:AV$78)-IMshareM!AV$48&gt;0,IMshareM!AV30/(SUM(IMshareM!AV$2:AV$78)-IMshareM!AV$48),0))</f>
        <v>3.0099472683884727E-5</v>
      </c>
      <c r="AW30" s="8">
        <f>IF($A30=AW$1,0,IF(SUM(IMshareM!AW$2:AW$78)-IMshareM!AW$49&gt;0,IMshareM!AW30/(SUM(IMshareM!AW$2:AW$78)-IMshareM!AW$49),0))</f>
        <v>1.9695371725260234E-3</v>
      </c>
      <c r="AX30" s="8">
        <f>IF($A30=AX$1,0,IF(SUM(IMshareM!AX$2:AX$78)-IMshareM!AX$50&gt;0,IMshareM!AX30/(SUM(IMshareM!AX$2:AX$78)-IMshareM!AX$50),0))</f>
        <v>6.1938462812726478E-4</v>
      </c>
      <c r="AY30" s="8">
        <f>IF($A30=AY$1,0,IF(SUM(IMshareM!AY$2:AY$78)-IMshareM!AY$51&gt;0,IMshareM!AY30/(SUM(IMshareM!AY$2:AY$78)-IMshareM!AY$51),0))</f>
        <v>1.3270425105528483E-4</v>
      </c>
      <c r="AZ30" s="8">
        <f>IF($A30=AZ$1,0,IF(SUM(IMshareM!AZ$2:AZ$78)-IMshareM!AZ$52&gt;0,IMshareM!AZ30/(SUM(IMshareM!AZ$2:AZ$78)-IMshareM!AZ$52),0))</f>
        <v>2.6707625162109179E-2</v>
      </c>
      <c r="BA30" s="8">
        <f>IF($A30=BA$1,0,IF(SUM(IMshareM!BA$2:BA$78)-IMshareM!BA$53&gt;0,IMshareM!BA30/(SUM(IMshareM!BA$2:BA$78)-IMshareM!BA$53),0))</f>
        <v>4.4871938112353372E-3</v>
      </c>
      <c r="BB30" s="8">
        <f>IF($A30=BB$1,0,IF(SUM(IMshareM!BB$2:BB$78)-IMshareM!BB$54&gt;0,IMshareM!BB30/(SUM(IMshareM!BB$2:BB$78)-IMshareM!BB$54),0))</f>
        <v>7.0400814161917123E-3</v>
      </c>
      <c r="BC30" s="8">
        <f>IF($A30=BC$1,0,IF(SUM(IMshareM!BC$2:BC$78)-IMshareM!BC$55&gt;0,IMshareM!BC30/(SUM(IMshareM!BC$2:BC$78)-IMshareM!BC$55),0))</f>
        <v>9.5517806398566431E-4</v>
      </c>
      <c r="BD30" s="8">
        <f>IF($A30=BD$1,0,IF(SUM(IMshareM!BD$2:BD$78)-IMshareM!BD$56&gt;0,IMshareM!BD30/(SUM(IMshareM!BD$2:BD$78)-IMshareM!BD$56),0))</f>
        <v>1.8697750788169954E-4</v>
      </c>
      <c r="BE30" s="8">
        <f>IF($A30=BE$1,0,IF(SUM(IMshareM!BE$2:BE$78)-IMshareM!BE$57&gt;0,IMshareM!BE30/(SUM(IMshareM!BE$2:BE$78)-IMshareM!BE$57),0))</f>
        <v>3.7858585052812149E-3</v>
      </c>
      <c r="BF30" s="8">
        <f>IF($A30=BF$1,0,IF(SUM(IMshareM!BF$2:BF$78)-IMshareM!BF$58&gt;0,IMshareM!BF30/(SUM(IMshareM!BF$2:BF$78)-IMshareM!BF$58),0))</f>
        <v>1.3114126792721289E-5</v>
      </c>
      <c r="BG30" s="8">
        <f>IF($A30=BG$1,0,IF(SUM(IMshareM!BG$2:BG$78)-IMshareM!BG$59&gt;0,IMshareM!BG30/(SUM(IMshareM!BG$2:BG$78)-IMshareM!BG$59),0))</f>
        <v>4.548819368387115E-2</v>
      </c>
      <c r="BH30" s="8">
        <f>IF($A30=BH$1,0,IF(SUM(IMshareM!BH$2:BH$78)-IMshareM!BH$60&gt;0,IMshareM!BH30/(SUM(IMshareM!BH$2:BH$78)-IMshareM!BH$60),0))</f>
        <v>1.548166214897172E-4</v>
      </c>
      <c r="BI30" s="8">
        <f>IF($A30=BI$1,0,IF(SUM(IMshareM!BI$2:BI$78)-IMshareM!BI$61&gt;0,IMshareM!BI30/(SUM(IMshareM!BI$2:BI$78)-IMshareM!BI$61),0))</f>
        <v>2.2099342568384712E-4</v>
      </c>
      <c r="BJ30" s="8">
        <f>IF($A30=BJ$1,0,IF(SUM(IMshareM!BJ$2:BJ$78)-IMshareM!BJ$62&gt;0,IMshareM!BJ30/(SUM(IMshareM!BJ$2:BJ$78)-IMshareM!BJ$62),0))</f>
        <v>2.0774609087549654E-2</v>
      </c>
      <c r="BK30" s="8">
        <f>IF($A30=BK$1,0,IF(SUM(IMshareM!BK$2:BK$78)-IMshareM!BK$63&gt;0,IMshareM!BK30/(SUM(IMshareM!BK$2:BK$78)-IMshareM!BK$63),0))</f>
        <v>1.6125515006659562E-3</v>
      </c>
      <c r="BL30" s="8">
        <f>IF($A30=BL$1,0,IF(SUM(IMshareM!BL$2:BL$78)-IMshareM!BL$64&gt;0,IMshareM!BL30/(SUM(IMshareM!BL$2:BL$78)-IMshareM!BL$64),0))</f>
        <v>5.3330778799202407E-4</v>
      </c>
      <c r="BM30" s="8">
        <f>IF($A30=BM$1,0,IF(SUM(IMshareM!BM$2:BM$78)-IMshareM!BM$65&gt;0,IMshareM!BM30/(SUM(IMshareM!BM$2:BM$78)-IMshareM!BM$65),0))</f>
        <v>1.4964068982827846E-3</v>
      </c>
      <c r="BN30" s="8">
        <f>IF($A30=BN$1,0,IF(SUM(IMshareM!BN$2:BN$78)-IMshareM!BN$66&gt;0,IMshareM!BN30/(SUM(IMshareM!BN$2:BN$78)-IMshareM!BN$66),0))</f>
        <v>1.987769502984136E-3</v>
      </c>
      <c r="BO30" s="8">
        <f>IF($A30=BO$1,0,IF(SUM(IMshareM!BO$2:BO$78)-IMshareM!BO$67&gt;0,IMshareM!BO30/(SUM(IMshareM!BO$2:BO$78)-IMshareM!BO$67),0))</f>
        <v>4.8450917249534423E-4</v>
      </c>
      <c r="BP30" s="8">
        <f>IF($A30=BP$1,0,IF(SUM(IMshareM!BP$2:BP$78)-IMshareM!BP$68&gt;0,IMshareM!BP30/(SUM(IMshareM!BP$2:BP$78)-IMshareM!BP$68),0))</f>
        <v>8.166981005801953E-5</v>
      </c>
      <c r="BQ30" s="8">
        <f>IF($A30=BQ$1,0,IF(SUM(IMshareM!BQ$2:BQ$78)-IMshareM!BQ$69&gt;0,IMshareM!BQ30/(SUM(IMshareM!BQ$2:BQ$78)-IMshareM!BQ$69),0))</f>
        <v>4.3811741740963541E-4</v>
      </c>
      <c r="BR30" s="8">
        <f>IF($A30=BR$1,0,IF(SUM(IMshareM!BR$2:BR$78)-IMshareM!BR$70&gt;0,IMshareM!BR30/(SUM(IMshareM!BR$2:BR$78)-IMshareM!BR$70),0))</f>
        <v>2.6363762669552857E-3</v>
      </c>
      <c r="BS30" s="8">
        <f>IF($A30=BS$1,0,IF(SUM(IMshareM!BS$2:BS$78)-IMshareM!BS$71&gt;0,IMshareM!BS30/(SUM(IMshareM!BS$2:BS$78)-IMshareM!BS$71),0))</f>
        <v>9.3826539901455206E-4</v>
      </c>
      <c r="BT30" s="8">
        <f>IF($A30=BT$1,0,IF(SUM(IMshareM!BT$2:BT$78)-IMshareM!BT$72&gt;0,IMshareM!BT30/(SUM(IMshareM!BT$2:BT$78)-IMshareM!BT$72),0))</f>
        <v>4.9014568083636991E-4</v>
      </c>
      <c r="BU30" s="8">
        <f>IF($A30=BU$1,0,IF(SUM(IMshareM!BU$2:BU$78)-IMshareM!BU$73&gt;0,IMshareM!BU30/(SUM(IMshareM!BU$2:BU$78)-IMshareM!BU$73),0))</f>
        <v>1.5311041846709857E-5</v>
      </c>
      <c r="BV30" s="8">
        <f>IF($A30=BV$1,0,IF(SUM(IMshareM!BV$2:BV$78)-IMshareM!BV$74&gt;0,IMshareM!BV30/(SUM(IMshareM!BV$2:BV$78)-IMshareM!BV$74),0))</f>
        <v>3.8146210927742331E-5</v>
      </c>
      <c r="BW30" s="8">
        <f>IF($A30=BW$1,0,IF(SUM(IMshareM!BW$2:BW$78)-IMshareM!BW$75&gt;0,IMshareM!BW30/(SUM(IMshareM!BW$2:BW$78)-IMshareM!BW$75),0))</f>
        <v>3.505287095247828E-4</v>
      </c>
      <c r="BX30" s="8">
        <f>IF($A30=BX$1,0,IF(SUM(IMshareM!BX$2:BX$78)-IMshareM!BX$76&gt;0,IMshareM!BX30/(SUM(IMshareM!BX$2:BX$78)-IMshareM!BX$76),0))</f>
        <v>1.4134047818456484E-3</v>
      </c>
      <c r="BY30" s="8">
        <f>IF($A30=BY$1,0,IF(SUM(IMshareM!BY$2:BY$78)-IMshareM!BY$77&gt;0,IMshareM!BY30/(SUM(IMshareM!BY$2:BY$78)-IMshareM!BY$77),0))</f>
        <v>3.2889113139602323E-4</v>
      </c>
      <c r="BZ30" s="8">
        <f>IF($A30=BZ$1,0,IF(SUM(IMshareM!BZ$2:BZ$78)-IMshareM!BZ$78&gt;0,IMshareM!BZ30/(SUM(IMshareM!BZ$2:BZ$78)-IMshareM!BZ$78),0))</f>
        <v>1.4331751174577083E-3</v>
      </c>
    </row>
    <row r="31" spans="1:78">
      <c r="A31" s="4" t="s">
        <v>129</v>
      </c>
      <c r="B31" s="8">
        <f>IF($A31=B$1,0,IF(SUM(IMshareM!B$2:B$78)-IMshareM!B$2&gt;0,IMshareM!B31/(SUM(IMshareM!B$2:B$78)-IMshareM!B$2),0))</f>
        <v>1.9023255037448572E-5</v>
      </c>
      <c r="C31" s="8">
        <f>IF($A31=C$1,0,IF(SUM(IMshareM!C$2:C$78)-IMshareM!C$3&gt;0,IMshareM!C31/(SUM(IMshareM!C$2:C$78)-IMshareM!C$3),0))</f>
        <v>1.2705840129184849E-5</v>
      </c>
      <c r="D31" s="8">
        <f>IF($A31=D$1,0,IF(SUM(IMshareM!D$2:D$78)-IMshareM!D$4&gt;0,IMshareM!D31/(SUM(IMshareM!D$2:D$78)-IMshareM!D$4),0))</f>
        <v>7.2977103389618874E-4</v>
      </c>
      <c r="E31" s="8">
        <f>IF($A31=E$1,0,IF(SUM(IMshareM!E$2:E$78)-IMshareM!E$5&gt;0,IMshareM!E31/(SUM(IMshareM!E$2:E$78)-IMshareM!E$5),0))</f>
        <v>1.6514588169774703E-5</v>
      </c>
      <c r="F31" s="8">
        <f>IF($A31=F$1,0,IF(SUM(IMshareM!F$2:F$78)-IMshareM!F$6&gt;0,IMshareM!F31/(SUM(IMshareM!F$2:F$78)-IMshareM!F$6),0))</f>
        <v>0</v>
      </c>
      <c r="G31" s="8">
        <f>IF($A31=G$1,0,IF(SUM(IMshareM!G$2:G$78)-IMshareM!G$7&gt;0,IMshareM!G31/(SUM(IMshareM!G$2:G$78)-IMshareM!G$7),0))</f>
        <v>6.1189427530855797E-5</v>
      </c>
      <c r="H31" s="8">
        <f>IF($A31=H$1,0,IF(SUM(IMshareM!H$2:H$78)-IMshareM!H$8&gt;0,IMshareM!H31/(SUM(IMshareM!H$2:H$78)-IMshareM!H$8),0))</f>
        <v>0</v>
      </c>
      <c r="I31" s="8">
        <f>IF($A31=I$1,0,IF(SUM(IMshareM!I$2:I$78)-IMshareM!I$9&gt;0,IMshareM!I31/(SUM(IMshareM!I$2:I$78)-IMshareM!I$9),0))</f>
        <v>4.4088029612730691E-7</v>
      </c>
      <c r="J31" s="8">
        <f>IF($A31=J$1,0,IF(SUM(IMshareM!J$2:J$78)-IMshareM!J$10&gt;0,IMshareM!J31/(SUM(IMshareM!J$2:J$78)-IMshareM!J$10),0))</f>
        <v>0</v>
      </c>
      <c r="K31" s="8">
        <f>IF($A31=K$1,0,IF(SUM(IMshareM!K$2:K$78)-IMshareM!K$11&gt;0,IMshareM!K31/(SUM(IMshareM!K$2:K$78)-IMshareM!K$11),0))</f>
        <v>1.9460369823423729E-5</v>
      </c>
      <c r="L31" s="8">
        <f>IF($A31=L$1,0,IF(SUM(IMshareM!L$2:L$78)-IMshareM!L$12&gt;0,IMshareM!L31/(SUM(IMshareM!L$2:L$78)-IMshareM!L$12),0))</f>
        <v>8.0219084175061153E-4</v>
      </c>
      <c r="M31" s="8">
        <f>IF($A31=M$1,0,IF(SUM(IMshareM!M$2:M$78)-IMshareM!M$13&gt;0,IMshareM!M31/(SUM(IMshareM!M$2:M$78)-IMshareM!M$13),0))</f>
        <v>1.5164872708660075E-6</v>
      </c>
      <c r="N31" s="8">
        <f>IF($A31=N$1,0,IF(SUM(IMshareM!N$2:N$78)-IMshareM!N$14&gt;0,IMshareM!N31/(SUM(IMshareM!N$2:N$78)-IMshareM!N$14),0))</f>
        <v>1.9509199380720761E-5</v>
      </c>
      <c r="O31" s="8">
        <f>IF($A31=O$1,0,IF(SUM(IMshareM!O$2:O$78)-IMshareM!O$15&gt;0,IMshareM!O31/(SUM(IMshareM!O$2:O$78)-IMshareM!O$15),0))</f>
        <v>3.470919705991946E-4</v>
      </c>
      <c r="P31" s="8">
        <f>IF($A31=P$1,0,IF(SUM(IMshareM!P$2:P$78)-IMshareM!P$16&gt;0,IMshareM!P31/(SUM(IMshareM!P$2:P$78)-IMshareM!P$16),0))</f>
        <v>0</v>
      </c>
      <c r="Q31" s="8">
        <f>IF($A31=Q$1,0,IF(SUM(IMshareM!Q$2:Q$78)-IMshareM!Q$17&gt;0,IMshareM!Q31/(SUM(IMshareM!Q$2:Q$78)-IMshareM!Q$17),0))</f>
        <v>0</v>
      </c>
      <c r="R31" s="8">
        <f>IF($A31=R$1,0,IF(SUM(IMshareM!R$2:R$78)-IMshareM!R$18&gt;0,IMshareM!R31/(SUM(IMshareM!R$2:R$78)-IMshareM!R$18),0))</f>
        <v>0</v>
      </c>
      <c r="S31" s="8">
        <f>IF($A31=S$1,0,IF(SUM(IMshareM!S$2:S$78)-IMshareM!S$19&gt;0,IMshareM!S31/(SUM(IMshareM!S$2:S$78)-IMshareM!S$19),0))</f>
        <v>1.5298205648570477E-5</v>
      </c>
      <c r="T31" s="8">
        <f>IF($A31=T$1,0,IF(SUM(IMshareM!T$2:T$78)-IMshareM!T$20&gt;0,IMshareM!T31/(SUM(IMshareM!T$2:T$78)-IMshareM!T$20),0))</f>
        <v>4.1742019392678979E-5</v>
      </c>
      <c r="U31" s="8">
        <f>IF($A31=U$1,0,IF(SUM(IMshareM!U$2:U$78)-IMshareM!U$21&gt;0,IMshareM!U31/(SUM(IMshareM!U$2:U$78)-IMshareM!U$21),0))</f>
        <v>7.3850905158362576E-4</v>
      </c>
      <c r="V31" s="8">
        <f>IF($A31=V$1,0,IF(SUM(IMshareM!V$2:V$78)-IMshareM!V$22&gt;0,IMshareM!V31/(SUM(IMshareM!V$2:V$78)-IMshareM!V$22),0))</f>
        <v>3.9345415777956626E-3</v>
      </c>
      <c r="W31" s="8">
        <f>IF($A31=W$1,0,IF(SUM(IMshareM!W$2:W$78)-IMshareM!W$23&gt;0,IMshareM!W31/(SUM(IMshareM!W$2:W$78)-IMshareM!W$23),0))</f>
        <v>0</v>
      </c>
      <c r="X31" s="8">
        <f>IF($A31=X$1,0,IF(SUM(IMshareM!X$2:X$78)-IMshareM!X$24&gt;0,IMshareM!X31/(SUM(IMshareM!X$2:X$78)-IMshareM!X$24),0))</f>
        <v>8.9102189748555913E-5</v>
      </c>
      <c r="Y31" s="8">
        <f>IF($A31=Y$1,0,IF(SUM(IMshareM!Y$2:Y$78)-IMshareM!Y$25&gt;0,IMshareM!Y31/(SUM(IMshareM!Y$2:Y$78)-IMshareM!Y$25),0))</f>
        <v>7.2682679473728265E-5</v>
      </c>
      <c r="Z31" s="8">
        <f>IF($A31=Z$1,0,IF(SUM(IMshareM!Z$2:Z$78)-IMshareM!Z$26&gt;0,IMshareM!Z31/(SUM(IMshareM!Z$2:Z$78)-IMshareM!Z$26),0))</f>
        <v>2.7446646220834244E-5</v>
      </c>
      <c r="AA31" s="8">
        <f>IF($A31=AA$1,0,IF(SUM(IMshareM!AA$2:AA$78)-IMshareM!AA$27&gt;0,IMshareM!AA31/(SUM(IMshareM!AA$2:AA$78)-IMshareM!AA$27),0))</f>
        <v>2.833936448077139E-4</v>
      </c>
      <c r="AB31" s="8">
        <f>IF($A31=AB$1,0,IF(SUM(IMshareM!AB$2:AB$78)-IMshareM!AB$28&gt;0,IMshareM!AB31/(SUM(IMshareM!AB$2:AB$78)-IMshareM!AB$28),0))</f>
        <v>7.7077201910698311E-4</v>
      </c>
      <c r="AC31" s="8">
        <f>IF($A31=AC$1,0,IF(SUM(IMshareM!AC$2:AC$78)-IMshareM!AC$29&gt;0,IMshareM!AC31/(SUM(IMshareM!AC$2:AC$78)-IMshareM!AC$29),0))</f>
        <v>9.6130561223096333E-5</v>
      </c>
      <c r="AD31" s="8">
        <f>IF($A31=AD$1,0,IF(SUM(IMshareM!AD$2:AD$78)-IMshareM!AD$30&gt;0,IMshareM!AD31/(SUM(IMshareM!AD$2:AD$78)-IMshareM!AD$30),0))</f>
        <v>0</v>
      </c>
      <c r="AE31" s="8">
        <f>IF($A31=AE$1,0,IF(SUM(IMshareM!AE$2:AE$78)-IMshareM!AE$31&gt;0,IMshareM!AE31/(SUM(IMshareM!AE$2:AE$78)-IMshareM!AE$31),0))</f>
        <v>0</v>
      </c>
      <c r="AF31" s="8">
        <f>IF($A31=AF$1,0,IF(SUM(IMshareM!AF$2:AF$78)-IMshareM!AF$32&gt;0,IMshareM!AF31/(SUM(IMshareM!AF$2:AF$78)-IMshareM!AF$32),0))</f>
        <v>3.68894299220535E-4</v>
      </c>
      <c r="AG31" s="8">
        <f>IF($A31=AG$1,0,IF(SUM(IMshareM!AG$2:AG$78)-IMshareM!AG$33&gt;0,IMshareM!AG31/(SUM(IMshareM!AG$2:AG$78)-IMshareM!AG$33),0))</f>
        <v>4.6860775083592279E-7</v>
      </c>
      <c r="AH31" s="8">
        <f>IF($A31=AH$1,0,IF(SUM(IMshareM!AH$2:AH$78)-IMshareM!AH$34&gt;0,IMshareM!AH31/(SUM(IMshareM!AH$2:AH$78)-IMshareM!AH$34),0))</f>
        <v>2.9917589670740237E-5</v>
      </c>
      <c r="AI31" s="8">
        <f>IF($A31=AI$1,0,IF(SUM(IMshareM!AI$2:AI$78)-IMshareM!AI$35&gt;0,IMshareM!AI31/(SUM(IMshareM!AI$2:AI$78)-IMshareM!AI$35),0))</f>
        <v>1.1671626614582042E-5</v>
      </c>
      <c r="AJ31" s="8">
        <f>IF($A31=AJ$1,0,IF(SUM(IMshareM!AJ$2:AJ$78)-IMshareM!AJ$36&gt;0,IMshareM!AJ31/(SUM(IMshareM!AJ$2:AJ$78)-IMshareM!AJ$36),0))</f>
        <v>1.4921198475512148E-3</v>
      </c>
      <c r="AK31" s="8">
        <f>IF($A31=AK$1,0,IF(SUM(IMshareM!AK$2:AK$78)-IMshareM!AK$37&gt;0,IMshareM!AK31/(SUM(IMshareM!AK$2:AK$78)-IMshareM!AK$37),0))</f>
        <v>8.428577660674992E-6</v>
      </c>
      <c r="AL31" s="8">
        <f>IF($A31=AL$1,0,IF(SUM(IMshareM!AL$2:AL$78)-IMshareM!AL$38&gt;0,IMshareM!AL31/(SUM(IMshareM!AL$2:AL$78)-IMshareM!AL$38),0))</f>
        <v>3.6205095135860114E-3</v>
      </c>
      <c r="AM31" s="8">
        <f>IF($A31=AM$1,0,IF(SUM(IMshareM!AM$2:AM$78)-IMshareM!AM$39&gt;0,IMshareM!AM31/(SUM(IMshareM!AM$2:AM$78)-IMshareM!AM$39),0))</f>
        <v>9.777911539426878E-5</v>
      </c>
      <c r="AN31" s="8">
        <f>IF($A31=AN$1,0,IF(SUM(IMshareM!AN$2:AN$78)-IMshareM!AN$40&gt;0,IMshareM!AN31/(SUM(IMshareM!AN$2:AN$78)-IMshareM!AN$40),0))</f>
        <v>4.022043496833239E-6</v>
      </c>
      <c r="AO31" s="8">
        <f>IF($A31=AO$1,0,IF(SUM(IMshareM!AO$2:AO$78)-IMshareM!AO$41&gt;0,IMshareM!AO31/(SUM(IMshareM!AO$2:AO$78)-IMshareM!AO$41),0))</f>
        <v>5.3785542286393273E-4</v>
      </c>
      <c r="AP31" s="8">
        <f>IF($A31=AP$1,0,IF(SUM(IMshareM!AP$2:AP$78)-IMshareM!AP$42&gt;0,IMshareM!AP31/(SUM(IMshareM!AP$2:AP$78)-IMshareM!AP$42),0))</f>
        <v>0</v>
      </c>
      <c r="AQ31" s="8">
        <f>IF($A31=AQ$1,0,IF(SUM(IMshareM!AQ$2:AQ$78)-IMshareM!AQ$43&gt;0,IMshareM!AQ31/(SUM(IMshareM!AQ$2:AQ$78)-IMshareM!AQ$43),0))</f>
        <v>5.869518849085339E-7</v>
      </c>
      <c r="AR31" s="8">
        <f>IF($A31=AR$1,0,IF(SUM(IMshareM!AR$2:AR$78)-IMshareM!AR$44&gt;0,IMshareM!AR31/(SUM(IMshareM!AR$2:AR$78)-IMshareM!AR$44),0))</f>
        <v>0</v>
      </c>
      <c r="AS31" s="8">
        <f>IF($A31=AS$1,0,IF(SUM(IMshareM!AS$2:AS$78)-IMshareM!AS$45&gt;0,IMshareM!AS31/(SUM(IMshareM!AS$2:AS$78)-IMshareM!AS$45),0))</f>
        <v>3.0147693280702933E-4</v>
      </c>
      <c r="AT31" s="8">
        <f>IF($A31=AT$1,0,IF(SUM(IMshareM!AT$2:AT$78)-IMshareM!AT$46&gt;0,IMshareM!AT31/(SUM(IMshareM!AT$2:AT$78)-IMshareM!AT$46),0))</f>
        <v>2.7972231635723141E-5</v>
      </c>
      <c r="AU31" s="8">
        <f>IF($A31=AU$1,0,IF(SUM(IMshareM!AU$2:AU$78)-IMshareM!AU$47&gt;0,IMshareM!AU31/(SUM(IMshareM!AU$2:AU$78)-IMshareM!AU$47),0))</f>
        <v>2.8349702755472409E-4</v>
      </c>
      <c r="AV31" s="8">
        <f>IF($A31=AV$1,0,IF(SUM(IMshareM!AV$2:AV$78)-IMshareM!AV$48&gt;0,IMshareM!AV31/(SUM(IMshareM!AV$2:AV$78)-IMshareM!AV$48),0))</f>
        <v>5.2022018479196715E-6</v>
      </c>
      <c r="AW31" s="8">
        <f>IF($A31=AW$1,0,IF(SUM(IMshareM!AW$2:AW$78)-IMshareM!AW$49&gt;0,IMshareM!AW31/(SUM(IMshareM!AW$2:AW$78)-IMshareM!AW$49),0))</f>
        <v>2.2775934954300335E-5</v>
      </c>
      <c r="AX31" s="8">
        <f>IF($A31=AX$1,0,IF(SUM(IMshareM!AX$2:AX$78)-IMshareM!AX$50&gt;0,IMshareM!AX31/(SUM(IMshareM!AX$2:AX$78)-IMshareM!AX$50),0))</f>
        <v>0</v>
      </c>
      <c r="AY31" s="8">
        <f>IF($A31=AY$1,0,IF(SUM(IMshareM!AY$2:AY$78)-IMshareM!AY$51&gt;0,IMshareM!AY31/(SUM(IMshareM!AY$2:AY$78)-IMshareM!AY$51),0))</f>
        <v>0</v>
      </c>
      <c r="AZ31" s="8">
        <f>IF($A31=AZ$1,0,IF(SUM(IMshareM!AZ$2:AZ$78)-IMshareM!AZ$52&gt;0,IMshareM!AZ31/(SUM(IMshareM!AZ$2:AZ$78)-IMshareM!AZ$52),0))</f>
        <v>3.2833243726346842E-6</v>
      </c>
      <c r="BA31" s="8">
        <f>IF($A31=BA$1,0,IF(SUM(IMshareM!BA$2:BA$78)-IMshareM!BA$53&gt;0,IMshareM!BA31/(SUM(IMshareM!BA$2:BA$78)-IMshareM!BA$53),0))</f>
        <v>2.3932111662426549E-5</v>
      </c>
      <c r="BB31" s="8">
        <f>IF($A31=BB$1,0,IF(SUM(IMshareM!BB$2:BB$78)-IMshareM!BB$54&gt;0,IMshareM!BB31/(SUM(IMshareM!BB$2:BB$78)-IMshareM!BB$54),0))</f>
        <v>9.6331115598189776E-5</v>
      </c>
      <c r="BC31" s="8">
        <f>IF($A31=BC$1,0,IF(SUM(IMshareM!BC$2:BC$78)-IMshareM!BC$55&gt;0,IMshareM!BC31/(SUM(IMshareM!BC$2:BC$78)-IMshareM!BC$55),0))</f>
        <v>3.0714782291120651E-3</v>
      </c>
      <c r="BD31" s="8">
        <f>IF($A31=BD$1,0,IF(SUM(IMshareM!BD$2:BD$78)-IMshareM!BD$56&gt;0,IMshareM!BD31/(SUM(IMshareM!BD$2:BD$78)-IMshareM!BD$56),0))</f>
        <v>4.2095289393294243E-5</v>
      </c>
      <c r="BE31" s="8">
        <f>IF($A31=BE$1,0,IF(SUM(IMshareM!BE$2:BE$78)-IMshareM!BE$57&gt;0,IMshareM!BE31/(SUM(IMshareM!BE$2:BE$78)-IMshareM!BE$57),0))</f>
        <v>1.833744810255901E-5</v>
      </c>
      <c r="BF31" s="8">
        <f>IF($A31=BF$1,0,IF(SUM(IMshareM!BF$2:BF$78)-IMshareM!BF$58&gt;0,IMshareM!BF31/(SUM(IMshareM!BF$2:BF$78)-IMshareM!BF$58),0))</f>
        <v>4.5409889455953929E-5</v>
      </c>
      <c r="BG31" s="8">
        <f>IF($A31=BG$1,0,IF(SUM(IMshareM!BG$2:BG$78)-IMshareM!BG$59&gt;0,IMshareM!BG31/(SUM(IMshareM!BG$2:BG$78)-IMshareM!BG$59),0))</f>
        <v>6.1210740302590876E-6</v>
      </c>
      <c r="BH31" s="8">
        <f>IF($A31=BH$1,0,IF(SUM(IMshareM!BH$2:BH$78)-IMshareM!BH$60&gt;0,IMshareM!BH31/(SUM(IMshareM!BH$2:BH$78)-IMshareM!BH$60),0))</f>
        <v>7.627849884097995E-4</v>
      </c>
      <c r="BI31" s="8">
        <f>IF($A31=BI$1,0,IF(SUM(IMshareM!BI$2:BI$78)-IMshareM!BI$61&gt;0,IMshareM!BI31/(SUM(IMshareM!BI$2:BI$78)-IMshareM!BI$61),0))</f>
        <v>2.0103351689541429E-4</v>
      </c>
      <c r="BJ31" s="8">
        <f>IF($A31=BJ$1,0,IF(SUM(IMshareM!BJ$2:BJ$78)-IMshareM!BJ$62&gt;0,IMshareM!BJ31/(SUM(IMshareM!BJ$2:BJ$78)-IMshareM!BJ$62),0))</f>
        <v>6.4444373244519398E-4</v>
      </c>
      <c r="BK31" s="8">
        <f>IF($A31=BK$1,0,IF(SUM(IMshareM!BK$2:BK$78)-IMshareM!BK$63&gt;0,IMshareM!BK31/(SUM(IMshareM!BK$2:BK$78)-IMshareM!BK$63),0))</f>
        <v>8.412505049490053E-6</v>
      </c>
      <c r="BL31" s="8">
        <f>IF($A31=BL$1,0,IF(SUM(IMshareM!BL$2:BL$78)-IMshareM!BL$64&gt;0,IMshareM!BL31/(SUM(IMshareM!BL$2:BL$78)-IMshareM!BL$64),0))</f>
        <v>0</v>
      </c>
      <c r="BM31" s="8">
        <f>IF($A31=BM$1,0,IF(SUM(IMshareM!BM$2:BM$78)-IMshareM!BM$65&gt;0,IMshareM!BM31/(SUM(IMshareM!BM$2:BM$78)-IMshareM!BM$65),0))</f>
        <v>0</v>
      </c>
      <c r="BN31" s="8">
        <f>IF($A31=BN$1,0,IF(SUM(IMshareM!BN$2:BN$78)-IMshareM!BN$66&gt;0,IMshareM!BN31/(SUM(IMshareM!BN$2:BN$78)-IMshareM!BN$66),0))</f>
        <v>2.3637680317214151E-5</v>
      </c>
      <c r="BO31" s="8">
        <f>IF($A31=BO$1,0,IF(SUM(IMshareM!BO$2:BO$78)-IMshareM!BO$67&gt;0,IMshareM!BO31/(SUM(IMshareM!BO$2:BO$78)-IMshareM!BO$67),0))</f>
        <v>1.0670481359325542E-5</v>
      </c>
      <c r="BP31" s="8">
        <f>IF($A31=BP$1,0,IF(SUM(IMshareM!BP$2:BP$78)-IMshareM!BP$68&gt;0,IMshareM!BP31/(SUM(IMshareM!BP$2:BP$78)-IMshareM!BP$68),0))</f>
        <v>4.9010174121678013E-3</v>
      </c>
      <c r="BQ31" s="8">
        <f>IF($A31=BQ$1,0,IF(SUM(IMshareM!BQ$2:BQ$78)-IMshareM!BQ$69&gt;0,IMshareM!BQ31/(SUM(IMshareM!BQ$2:BQ$78)-IMshareM!BQ$69),0))</f>
        <v>2.5403330504005216E-4</v>
      </c>
      <c r="BR31" s="8">
        <f>IF($A31=BR$1,0,IF(SUM(IMshareM!BR$2:BR$78)-IMshareM!BR$70&gt;0,IMshareM!BR31/(SUM(IMshareM!BR$2:BR$78)-IMshareM!BR$70),0))</f>
        <v>1.1079014508627388E-5</v>
      </c>
      <c r="BS31" s="8">
        <f>IF($A31=BS$1,0,IF(SUM(IMshareM!BS$2:BS$78)-IMshareM!BS$71&gt;0,IMshareM!BS31/(SUM(IMshareM!BS$2:BS$78)-IMshareM!BS$71),0))</f>
        <v>0</v>
      </c>
      <c r="BT31" s="8">
        <f>IF($A31=BT$1,0,IF(SUM(IMshareM!BT$2:BT$78)-IMshareM!BT$72&gt;0,IMshareM!BT31/(SUM(IMshareM!BT$2:BT$78)-IMshareM!BT$72),0))</f>
        <v>1.82987355861301E-4</v>
      </c>
      <c r="BU31" s="8">
        <f>IF($A31=BU$1,0,IF(SUM(IMshareM!BU$2:BU$78)-IMshareM!BU$73&gt;0,IMshareM!BU31/(SUM(IMshareM!BU$2:BU$78)-IMshareM!BU$73),0))</f>
        <v>1.5721067699447054E-6</v>
      </c>
      <c r="BV31" s="8">
        <f>IF($A31=BV$1,0,IF(SUM(IMshareM!BV$2:BV$78)-IMshareM!BV$74&gt;0,IMshareM!BV31/(SUM(IMshareM!BV$2:BV$78)-IMshareM!BV$74),0))</f>
        <v>3.0749963107454622E-4</v>
      </c>
      <c r="BW31" s="8">
        <f>IF($A31=BW$1,0,IF(SUM(IMshareM!BW$2:BW$78)-IMshareM!BW$75&gt;0,IMshareM!BW31/(SUM(IMshareM!BW$2:BW$78)-IMshareM!BW$75),0))</f>
        <v>5.8719877452564727E-5</v>
      </c>
      <c r="BX31" s="8">
        <f>IF($A31=BX$1,0,IF(SUM(IMshareM!BX$2:BX$78)-IMshareM!BX$76&gt;0,IMshareM!BX31/(SUM(IMshareM!BX$2:BX$78)-IMshareM!BX$76),0))</f>
        <v>9.6418452588486641E-7</v>
      </c>
      <c r="BY31" s="8">
        <f>IF($A31=BY$1,0,IF(SUM(IMshareM!BY$2:BY$78)-IMshareM!BY$77&gt;0,IMshareM!BY31/(SUM(IMshareM!BY$2:BY$78)-IMshareM!BY$77),0))</f>
        <v>7.7116978840937922E-5</v>
      </c>
      <c r="BZ31" s="8">
        <f>IF($A31=BZ$1,0,IF(SUM(IMshareM!BZ$2:BZ$78)-IMshareM!BZ$78&gt;0,IMshareM!BZ31/(SUM(IMshareM!BZ$2:BZ$78)-IMshareM!BZ$78),0))</f>
        <v>1.2576246552893429E-3</v>
      </c>
    </row>
    <row r="32" spans="1:78">
      <c r="A32" s="4" t="s">
        <v>131</v>
      </c>
      <c r="B32" s="8">
        <f>IF($A32=B$1,0,IF(SUM(IMshareM!B$2:B$78)-IMshareM!B$2&gt;0,IMshareM!B32/(SUM(IMshareM!B$2:B$78)-IMshareM!B$2),0))</f>
        <v>6.0833557528188762E-3</v>
      </c>
      <c r="C32" s="8">
        <f>IF($A32=C$1,0,IF(SUM(IMshareM!C$2:C$78)-IMshareM!C$3&gt;0,IMshareM!C32/(SUM(IMshareM!C$2:C$78)-IMshareM!C$3),0))</f>
        <v>9.3418531388490232E-3</v>
      </c>
      <c r="D32" s="8">
        <f>IF($A32=D$1,0,IF(SUM(IMshareM!D$2:D$78)-IMshareM!D$4&gt;0,IMshareM!D32/(SUM(IMshareM!D$2:D$78)-IMshareM!D$4),0))</f>
        <v>5.9854361936336198E-2</v>
      </c>
      <c r="E32" s="8">
        <f>IF($A32=E$1,0,IF(SUM(IMshareM!E$2:E$78)-IMshareM!E$5&gt;0,IMshareM!E32/(SUM(IMshareM!E$2:E$78)-IMshareM!E$5),0))</f>
        <v>0.25579698151687197</v>
      </c>
      <c r="F32" s="8">
        <f>IF($A32=F$1,0,IF(SUM(IMshareM!F$2:F$78)-IMshareM!F$6&gt;0,IMshareM!F32/(SUM(IMshareM!F$2:F$78)-IMshareM!F$6),0))</f>
        <v>1.0578649884547018E-6</v>
      </c>
      <c r="G32" s="8">
        <f>IF($A32=G$1,0,IF(SUM(IMshareM!G$2:G$78)-IMshareM!G$7&gt;0,IMshareM!G32/(SUM(IMshareM!G$2:G$78)-IMshareM!G$7),0))</f>
        <v>0.35229723123523032</v>
      </c>
      <c r="H32" s="8">
        <f>IF($A32=H$1,0,IF(SUM(IMshareM!H$2:H$78)-IMshareM!H$8&gt;0,IMshareM!H32/(SUM(IMshareM!H$2:H$78)-IMshareM!H$8),0))</f>
        <v>8.9802560968364769E-5</v>
      </c>
      <c r="I32" s="8">
        <f>IF($A32=I$1,0,IF(SUM(IMshareM!I$2:I$78)-IMshareM!I$9&gt;0,IMshareM!I32/(SUM(IMshareM!I$2:I$78)-IMshareM!I$9),0))</f>
        <v>1.506968833954695E-3</v>
      </c>
      <c r="J32" s="8">
        <f>IF($A32=J$1,0,IF(SUM(IMshareM!J$2:J$78)-IMshareM!J$10&gt;0,IMshareM!J32/(SUM(IMshareM!J$2:J$78)-IMshareM!J$10),0))</f>
        <v>2.9629750113014671E-4</v>
      </c>
      <c r="K32" s="8">
        <f>IF($A32=K$1,0,IF(SUM(IMshareM!K$2:K$78)-IMshareM!K$11&gt;0,IMshareM!K32/(SUM(IMshareM!K$2:K$78)-IMshareM!K$11),0))</f>
        <v>1.590035270886534E-3</v>
      </c>
      <c r="L32" s="8">
        <f>IF($A32=L$1,0,IF(SUM(IMshareM!L$2:L$78)-IMshareM!L$12&gt;0,IMshareM!L32/(SUM(IMshareM!L$2:L$78)-IMshareM!L$12),0))</f>
        <v>4.6359425060852444E-2</v>
      </c>
      <c r="M32" s="8">
        <f>IF($A32=M$1,0,IF(SUM(IMshareM!M$2:M$78)-IMshareM!M$13&gt;0,IMshareM!M32/(SUM(IMshareM!M$2:M$78)-IMshareM!M$13),0))</f>
        <v>4.6714879657292857E-4</v>
      </c>
      <c r="N32" s="8">
        <f>IF($A32=N$1,0,IF(SUM(IMshareM!N$2:N$78)-IMshareM!N$14&gt;0,IMshareM!N32/(SUM(IMshareM!N$2:N$78)-IMshareM!N$14),0))</f>
        <v>1.6270692070706319E-2</v>
      </c>
      <c r="O32" s="8">
        <f>IF($A32=O$1,0,IF(SUM(IMshareM!O$2:O$78)-IMshareM!O$15&gt;0,IMshareM!O32/(SUM(IMshareM!O$2:O$78)-IMshareM!O$15),0))</f>
        <v>1.1725529721596021E-3</v>
      </c>
      <c r="P32" s="8">
        <f>IF($A32=P$1,0,IF(SUM(IMshareM!P$2:P$78)-IMshareM!P$16&gt;0,IMshareM!P32/(SUM(IMshareM!P$2:P$78)-IMshareM!P$16),0))</f>
        <v>0</v>
      </c>
      <c r="Q32" s="8">
        <f>IF($A32=Q$1,0,IF(SUM(IMshareM!Q$2:Q$78)-IMshareM!Q$17&gt;0,IMshareM!Q32/(SUM(IMshareM!Q$2:Q$78)-IMshareM!Q$17),0))</f>
        <v>2.7822970543005983E-3</v>
      </c>
      <c r="R32" s="8">
        <f>IF($A32=R$1,0,IF(SUM(IMshareM!R$2:R$78)-IMshareM!R$18&gt;0,IMshareM!R32/(SUM(IMshareM!R$2:R$78)-IMshareM!R$18),0))</f>
        <v>5.1526695321869598E-3</v>
      </c>
      <c r="S32" s="8">
        <f>IF($A32=S$1,0,IF(SUM(IMshareM!S$2:S$78)-IMshareM!S$19&gt;0,IMshareM!S32/(SUM(IMshareM!S$2:S$78)-IMshareM!S$19),0))</f>
        <v>5.5826486635941698E-4</v>
      </c>
      <c r="T32" s="8">
        <f>IF($A32=T$1,0,IF(SUM(IMshareM!T$2:T$78)-IMshareM!T$20&gt;0,IMshareM!T32/(SUM(IMshareM!T$2:T$78)-IMshareM!T$20),0))</f>
        <v>3.7143311497741499E-2</v>
      </c>
      <c r="U32" s="8">
        <f>IF($A32=U$1,0,IF(SUM(IMshareM!U$2:U$78)-IMshareM!U$21&gt;0,IMshareM!U32/(SUM(IMshareM!U$2:U$78)-IMshareM!U$21),0))</f>
        <v>0.10745290660000563</v>
      </c>
      <c r="V32" s="8">
        <f>IF($A32=V$1,0,IF(SUM(IMshareM!V$2:V$78)-IMshareM!V$22&gt;0,IMshareM!V32/(SUM(IMshareM!V$2:V$78)-IMshareM!V$22),0))</f>
        <v>6.2555589391819322E-2</v>
      </c>
      <c r="W32" s="8">
        <f>IF($A32=W$1,0,IF(SUM(IMshareM!W$2:W$78)-IMshareM!W$23&gt;0,IMshareM!W32/(SUM(IMshareM!W$2:W$78)-IMshareM!W$23),0))</f>
        <v>1.0818318507272739E-3</v>
      </c>
      <c r="X32" s="8">
        <f>IF($A32=X$1,0,IF(SUM(IMshareM!X$2:X$78)-IMshareM!X$24&gt;0,IMshareM!X32/(SUM(IMshareM!X$2:X$78)-IMshareM!X$24),0))</f>
        <v>1.4738258162487522E-2</v>
      </c>
      <c r="Y32" s="8">
        <f>IF($A32=Y$1,0,IF(SUM(IMshareM!Y$2:Y$78)-IMshareM!Y$25&gt;0,IMshareM!Y32/(SUM(IMshareM!Y$2:Y$78)-IMshareM!Y$25),0))</f>
        <v>2.3898786710926244E-3</v>
      </c>
      <c r="Z32" s="8">
        <f>IF($A32=Z$1,0,IF(SUM(IMshareM!Z$2:Z$78)-IMshareM!Z$26&gt;0,IMshareM!Z32/(SUM(IMshareM!Z$2:Z$78)-IMshareM!Z$26),0))</f>
        <v>8.7859638059418071E-3</v>
      </c>
      <c r="AA32" s="8">
        <f>IF($A32=AA$1,0,IF(SUM(IMshareM!AA$2:AA$78)-IMshareM!AA$27&gt;0,IMshareM!AA32/(SUM(IMshareM!AA$2:AA$78)-IMshareM!AA$27),0))</f>
        <v>2.2838092260934629E-2</v>
      </c>
      <c r="AB32" s="8">
        <f>IF($A32=AB$1,0,IF(SUM(IMshareM!AB$2:AB$78)-IMshareM!AB$28&gt;0,IMshareM!AB32/(SUM(IMshareM!AB$2:AB$78)-IMshareM!AB$28),0))</f>
        <v>9.9091983863250788E-3</v>
      </c>
      <c r="AC32" s="8">
        <f>IF($A32=AC$1,0,IF(SUM(IMshareM!AC$2:AC$78)-IMshareM!AC$29&gt;0,IMshareM!AC32/(SUM(IMshareM!AC$2:AC$78)-IMshareM!AC$29),0))</f>
        <v>1.2303604362737286E-2</v>
      </c>
      <c r="AD32" s="8">
        <f>IF($A32=AD$1,0,IF(SUM(IMshareM!AD$2:AD$78)-IMshareM!AD$30&gt;0,IMshareM!AD32/(SUM(IMshareM!AD$2:AD$78)-IMshareM!AD$30),0))</f>
        <v>2.07365543127605E-7</v>
      </c>
      <c r="AE32" s="8">
        <f>IF($A32=AE$1,0,IF(SUM(IMshareM!AE$2:AE$78)-IMshareM!AE$31&gt;0,IMshareM!AE32/(SUM(IMshareM!AE$2:AE$78)-IMshareM!AE$31),0))</f>
        <v>2.538757875047153E-2</v>
      </c>
      <c r="AF32" s="8">
        <f>IF($A32=AF$1,0,IF(SUM(IMshareM!AF$2:AF$78)-IMshareM!AF$32&gt;0,IMshareM!AF32/(SUM(IMshareM!AF$2:AF$78)-IMshareM!AF$32),0))</f>
        <v>0</v>
      </c>
      <c r="AG32" s="8">
        <f>IF($A32=AG$1,0,IF(SUM(IMshareM!AG$2:AG$78)-IMshareM!AG$33&gt;0,IMshareM!AG32/(SUM(IMshareM!AG$2:AG$78)-IMshareM!AG$33),0))</f>
        <v>4.9477893010253934E-4</v>
      </c>
      <c r="AH32" s="8">
        <f>IF($A32=AH$1,0,IF(SUM(IMshareM!AH$2:AH$78)-IMshareM!AH$34&gt;0,IMshareM!AH32/(SUM(IMshareM!AH$2:AH$78)-IMshareM!AH$34),0))</f>
        <v>2.4150584817482011E-3</v>
      </c>
      <c r="AI32" s="8">
        <f>IF($A32=AI$1,0,IF(SUM(IMshareM!AI$2:AI$78)-IMshareM!AI$35&gt;0,IMshareM!AI32/(SUM(IMshareM!AI$2:AI$78)-IMshareM!AI$35),0))</f>
        <v>5.088171924695498E-4</v>
      </c>
      <c r="AJ32" s="8">
        <f>IF($A32=AJ$1,0,IF(SUM(IMshareM!AJ$2:AJ$78)-IMshareM!AJ$36&gt;0,IMshareM!AJ32/(SUM(IMshareM!AJ$2:AJ$78)-IMshareM!AJ$36),0))</f>
        <v>7.7418376216871424E-3</v>
      </c>
      <c r="AK32" s="8">
        <f>IF($A32=AK$1,0,IF(SUM(IMshareM!AK$2:AK$78)-IMshareM!AK$37&gt;0,IMshareM!AK32/(SUM(IMshareM!AK$2:AK$78)-IMshareM!AK$37),0))</f>
        <v>3.5821455057868712E-4</v>
      </c>
      <c r="AL32" s="8">
        <f>IF($A32=AL$1,0,IF(SUM(IMshareM!AL$2:AL$78)-IMshareM!AL$38&gt;0,IMshareM!AL32/(SUM(IMshareM!AL$2:AL$78)-IMshareM!AL$38),0))</f>
        <v>1.4942289997777362E-2</v>
      </c>
      <c r="AM32" s="8">
        <f>IF($A32=AM$1,0,IF(SUM(IMshareM!AM$2:AM$78)-IMshareM!AM$39&gt;0,IMshareM!AM32/(SUM(IMshareM!AM$2:AM$78)-IMshareM!AM$39),0))</f>
        <v>5.8840605716368793E-3</v>
      </c>
      <c r="AN32" s="8">
        <f>IF($A32=AN$1,0,IF(SUM(IMshareM!AN$2:AN$78)-IMshareM!AN$40&gt;0,IMshareM!AN32/(SUM(IMshareM!AN$2:AN$78)-IMshareM!AN$40),0))</f>
        <v>7.578057287290981E-3</v>
      </c>
      <c r="AO32" s="8">
        <f>IF($A32=AO$1,0,IF(SUM(IMshareM!AO$2:AO$78)-IMshareM!AO$41&gt;0,IMshareM!AO32/(SUM(IMshareM!AO$2:AO$78)-IMshareM!AO$41),0))</f>
        <v>2.3751240367674435E-4</v>
      </c>
      <c r="AP32" s="8">
        <f>IF($A32=AP$1,0,IF(SUM(IMshareM!AP$2:AP$78)-IMshareM!AP$42&gt;0,IMshareM!AP32/(SUM(IMshareM!AP$2:AP$78)-IMshareM!AP$42),0))</f>
        <v>1.3081706590776516E-5</v>
      </c>
      <c r="AQ32" s="8">
        <f>IF($A32=AQ$1,0,IF(SUM(IMshareM!AQ$2:AQ$78)-IMshareM!AQ$43&gt;0,IMshareM!AQ32/(SUM(IMshareM!AQ$2:AQ$78)-IMshareM!AQ$43),0))</f>
        <v>5.426766752869276E-3</v>
      </c>
      <c r="AR32" s="8">
        <f>IF($A32=AR$1,0,IF(SUM(IMshareM!AR$2:AR$78)-IMshareM!AR$44&gt;0,IMshareM!AR32/(SUM(IMshareM!AR$2:AR$78)-IMshareM!AR$44),0))</f>
        <v>0</v>
      </c>
      <c r="AS32" s="8">
        <f>IF($A32=AS$1,0,IF(SUM(IMshareM!AS$2:AS$78)-IMshareM!AS$45&gt;0,IMshareM!AS32/(SUM(IMshareM!AS$2:AS$78)-IMshareM!AS$45),0))</f>
        <v>5.2748695177157331E-4</v>
      </c>
      <c r="AT32" s="8">
        <f>IF($A32=AT$1,0,IF(SUM(IMshareM!AT$2:AT$78)-IMshareM!AT$46&gt;0,IMshareM!AT32/(SUM(IMshareM!AT$2:AT$78)-IMshareM!AT$46),0))</f>
        <v>1.689563510263563E-3</v>
      </c>
      <c r="AU32" s="8">
        <f>IF($A32=AU$1,0,IF(SUM(IMshareM!AU$2:AU$78)-IMshareM!AU$47&gt;0,IMshareM!AU32/(SUM(IMshareM!AU$2:AU$78)-IMshareM!AU$47),0))</f>
        <v>5.0200894449041727E-3</v>
      </c>
      <c r="AV32" s="8">
        <f>IF($A32=AV$1,0,IF(SUM(IMshareM!AV$2:AV$78)-IMshareM!AV$48&gt;0,IMshareM!AV32/(SUM(IMshareM!AV$2:AV$78)-IMshareM!AV$48),0))</f>
        <v>1.4811164362853683E-3</v>
      </c>
      <c r="AW32" s="8">
        <f>IF($A32=AW$1,0,IF(SUM(IMshareM!AW$2:AW$78)-IMshareM!AW$49&gt;0,IMshareM!AW32/(SUM(IMshareM!AW$2:AW$78)-IMshareM!AW$49),0))</f>
        <v>5.9084417484203105E-3</v>
      </c>
      <c r="AX32" s="8">
        <f>IF($A32=AX$1,0,IF(SUM(IMshareM!AX$2:AX$78)-IMshareM!AX$50&gt;0,IMshareM!AX32/(SUM(IMshareM!AX$2:AX$78)-IMshareM!AX$50),0))</f>
        <v>3.7519713577671965E-5</v>
      </c>
      <c r="AY32" s="8">
        <f>IF($A32=AY$1,0,IF(SUM(IMshareM!AY$2:AY$78)-IMshareM!AY$51&gt;0,IMshareM!AY32/(SUM(IMshareM!AY$2:AY$78)-IMshareM!AY$51),0))</f>
        <v>7.474511144524518E-5</v>
      </c>
      <c r="AZ32" s="8">
        <f>IF($A32=AZ$1,0,IF(SUM(IMshareM!AZ$2:AZ$78)-IMshareM!AZ$52&gt;0,IMshareM!AZ32/(SUM(IMshareM!AZ$2:AZ$78)-IMshareM!AZ$52),0))</f>
        <v>2.6719840442208112E-4</v>
      </c>
      <c r="BA32" s="8">
        <f>IF($A32=BA$1,0,IF(SUM(IMshareM!BA$2:BA$78)-IMshareM!BA$53&gt;0,IMshareM!BA32/(SUM(IMshareM!BA$2:BA$78)-IMshareM!BA$53),0))</f>
        <v>7.5043906509839824E-6</v>
      </c>
      <c r="BB32" s="8">
        <f>IF($A32=BB$1,0,IF(SUM(IMshareM!BB$2:BB$78)-IMshareM!BB$54&gt;0,IMshareM!BB32/(SUM(IMshareM!BB$2:BB$78)-IMshareM!BB$54),0))</f>
        <v>8.7190234041940977E-3</v>
      </c>
      <c r="BC32" s="8">
        <f>IF($A32=BC$1,0,IF(SUM(IMshareM!BC$2:BC$78)-IMshareM!BC$55&gt;0,IMshareM!BC32/(SUM(IMshareM!BC$2:BC$78)-IMshareM!BC$55),0))</f>
        <v>6.5568562511745384E-3</v>
      </c>
      <c r="BD32" s="8">
        <f>IF($A32=BD$1,0,IF(SUM(IMshareM!BD$2:BD$78)-IMshareM!BD$56&gt;0,IMshareM!BD32/(SUM(IMshareM!BD$2:BD$78)-IMshareM!BD$56),0))</f>
        <v>6.1117362825271774E-3</v>
      </c>
      <c r="BE32" s="8">
        <f>IF($A32=BE$1,0,IF(SUM(IMshareM!BE$2:BE$78)-IMshareM!BE$57&gt;0,IMshareM!BE32/(SUM(IMshareM!BE$2:BE$78)-IMshareM!BE$57),0))</f>
        <v>1.1967971769060619E-4</v>
      </c>
      <c r="BF32" s="8">
        <f>IF($A32=BF$1,0,IF(SUM(IMshareM!BF$2:BF$78)-IMshareM!BF$58&gt;0,IMshareM!BF32/(SUM(IMshareM!BF$2:BF$78)-IMshareM!BF$58),0))</f>
        <v>1.808267344424584E-3</v>
      </c>
      <c r="BG32" s="8">
        <f>IF($A32=BG$1,0,IF(SUM(IMshareM!BG$2:BG$78)-IMshareM!BG$59&gt;0,IMshareM!BG32/(SUM(IMshareM!BG$2:BG$78)-IMshareM!BG$59),0))</f>
        <v>1.7160713221002963E-4</v>
      </c>
      <c r="BH32" s="8">
        <f>IF($A32=BH$1,0,IF(SUM(IMshareM!BH$2:BH$78)-IMshareM!BH$60&gt;0,IMshareM!BH32/(SUM(IMshareM!BH$2:BH$78)-IMshareM!BH$60),0))</f>
        <v>1.8549869047952149E-2</v>
      </c>
      <c r="BI32" s="8">
        <f>IF($A32=BI$1,0,IF(SUM(IMshareM!BI$2:BI$78)-IMshareM!BI$61&gt;0,IMshareM!BI32/(SUM(IMshareM!BI$2:BI$78)-IMshareM!BI$61),0))</f>
        <v>1.8366033482430568E-3</v>
      </c>
      <c r="BJ32" s="8">
        <f>IF($A32=BJ$1,0,IF(SUM(IMshareM!BJ$2:BJ$78)-IMshareM!BJ$62&gt;0,IMshareM!BJ32/(SUM(IMshareM!BJ$2:BJ$78)-IMshareM!BJ$62),0))</f>
        <v>1.4222424641243974E-2</v>
      </c>
      <c r="BK32" s="8">
        <f>IF($A32=BK$1,0,IF(SUM(IMshareM!BK$2:BK$78)-IMshareM!BK$63&gt;0,IMshareM!BK32/(SUM(IMshareM!BK$2:BK$78)-IMshareM!BK$63),0))</f>
        <v>6.3129735510460217E-3</v>
      </c>
      <c r="BL32" s="8">
        <f>IF($A32=BL$1,0,IF(SUM(IMshareM!BL$2:BL$78)-IMshareM!BL$64&gt;0,IMshareM!BL32/(SUM(IMshareM!BL$2:BL$78)-IMshareM!BL$64),0))</f>
        <v>8.3441863523502638E-5</v>
      </c>
      <c r="BM32" s="8">
        <f>IF($A32=BM$1,0,IF(SUM(IMshareM!BM$2:BM$78)-IMshareM!BM$65&gt;0,IMshareM!BM32/(SUM(IMshareM!BM$2:BM$78)-IMshareM!BM$65),0))</f>
        <v>0</v>
      </c>
      <c r="BN32" s="8">
        <f>IF($A32=BN$1,0,IF(SUM(IMshareM!BN$2:BN$78)-IMshareM!BN$66&gt;0,IMshareM!BN32/(SUM(IMshareM!BN$2:BN$78)-IMshareM!BN$66),0))</f>
        <v>9.575848547347195E-3</v>
      </c>
      <c r="BO32" s="8">
        <f>IF($A32=BO$1,0,IF(SUM(IMshareM!BO$2:BO$78)-IMshareM!BO$67&gt;0,IMshareM!BO32/(SUM(IMshareM!BO$2:BO$78)-IMshareM!BO$67),0))</f>
        <v>0.20460296723239677</v>
      </c>
      <c r="BP32" s="8">
        <f>IF($A32=BP$1,0,IF(SUM(IMshareM!BP$2:BP$78)-IMshareM!BP$68&gt;0,IMshareM!BP32/(SUM(IMshareM!BP$2:BP$78)-IMshareM!BP$68),0))</f>
        <v>1.1082050973593853E-2</v>
      </c>
      <c r="BQ32" s="8">
        <f>IF($A32=BQ$1,0,IF(SUM(IMshareM!BQ$2:BQ$78)-IMshareM!BQ$69&gt;0,IMshareM!BQ32/(SUM(IMshareM!BQ$2:BQ$78)-IMshareM!BQ$69),0))</f>
        <v>4.2385055262236587E-4</v>
      </c>
      <c r="BR32" s="8">
        <f>IF($A32=BR$1,0,IF(SUM(IMshareM!BR$2:BR$78)-IMshareM!BR$70&gt;0,IMshareM!BR32/(SUM(IMshareM!BR$2:BR$78)-IMshareM!BR$70),0))</f>
        <v>4.2833453181419867E-3</v>
      </c>
      <c r="BS32" s="8">
        <f>IF($A32=BS$1,0,IF(SUM(IMshareM!BS$2:BS$78)-IMshareM!BS$71&gt;0,IMshareM!BS32/(SUM(IMshareM!BS$2:BS$78)-IMshareM!BS$71),0))</f>
        <v>1.5140291467900995E-3</v>
      </c>
      <c r="BT32" s="8">
        <f>IF($A32=BT$1,0,IF(SUM(IMshareM!BT$2:BT$78)-IMshareM!BT$72&gt;0,IMshareM!BT32/(SUM(IMshareM!BT$2:BT$78)-IMshareM!BT$72),0))</f>
        <v>2.4371999301466551E-3</v>
      </c>
      <c r="BU32" s="8">
        <f>IF($A32=BU$1,0,IF(SUM(IMshareM!BU$2:BU$78)-IMshareM!BU$73&gt;0,IMshareM!BU32/(SUM(IMshareM!BU$2:BU$78)-IMshareM!BU$73),0))</f>
        <v>8.5019047382773882E-2</v>
      </c>
      <c r="BV32" s="8">
        <f>IF($A32=BV$1,0,IF(SUM(IMshareM!BV$2:BV$78)-IMshareM!BV$74&gt;0,IMshareM!BV32/(SUM(IMshareM!BV$2:BV$78)-IMshareM!BV$74),0))</f>
        <v>4.1848388654678022E-3</v>
      </c>
      <c r="BW32" s="8">
        <f>IF($A32=BW$1,0,IF(SUM(IMshareM!BW$2:BW$78)-IMshareM!BW$75&gt;0,IMshareM!BW32/(SUM(IMshareM!BW$2:BW$78)-IMshareM!BW$75),0))</f>
        <v>9.8605461961383881E-3</v>
      </c>
      <c r="BX32" s="8">
        <f>IF($A32=BX$1,0,IF(SUM(IMshareM!BX$2:BX$78)-IMshareM!BX$76&gt;0,IMshareM!BX32/(SUM(IMshareM!BX$2:BX$78)-IMshareM!BX$76),0))</f>
        <v>7.1456360384716311E-2</v>
      </c>
      <c r="BY32" s="8">
        <f>IF($A32=BY$1,0,IF(SUM(IMshareM!BY$2:BY$78)-IMshareM!BY$77&gt;0,IMshareM!BY32/(SUM(IMshareM!BY$2:BY$78)-IMshareM!BY$77),0))</f>
        <v>6.6648095147990001E-3</v>
      </c>
      <c r="BZ32" s="8">
        <f>IF($A32=BZ$1,0,IF(SUM(IMshareM!BZ$2:BZ$78)-IMshareM!BZ$78&gt;0,IMshareM!BZ32/(SUM(IMshareM!BZ$2:BZ$78)-IMshareM!BZ$78),0))</f>
        <v>3.2213677425625737E-3</v>
      </c>
    </row>
    <row r="33" spans="1:78">
      <c r="A33" s="4" t="s">
        <v>133</v>
      </c>
      <c r="B33" s="8">
        <f>IF($A33=B$1,0,IF(SUM(IMshareM!B$2:B$78)-IMshareM!B$2&gt;0,IMshareM!B33/(SUM(IMshareM!B$2:B$78)-IMshareM!B$2),0))</f>
        <v>2.258532716607238E-2</v>
      </c>
      <c r="C33" s="8">
        <f>IF($A33=C$1,0,IF(SUM(IMshareM!C$2:C$78)-IMshareM!C$3&gt;0,IMshareM!C33/(SUM(IMshareM!C$2:C$78)-IMshareM!C$3),0))</f>
        <v>2.4718691501167438E-4</v>
      </c>
      <c r="D33" s="8">
        <f>IF($A33=D$1,0,IF(SUM(IMshareM!D$2:D$78)-IMshareM!D$4&gt;0,IMshareM!D33/(SUM(IMshareM!D$2:D$78)-IMshareM!D$4),0))</f>
        <v>2.934564331754161E-5</v>
      </c>
      <c r="E33" s="8">
        <f>IF($A33=E$1,0,IF(SUM(IMshareM!E$2:E$78)-IMshareM!E$5&gt;0,IMshareM!E33/(SUM(IMshareM!E$2:E$78)-IMshareM!E$5),0))</f>
        <v>1.1155342153243962E-4</v>
      </c>
      <c r="F33" s="8">
        <f>IF($A33=F$1,0,IF(SUM(IMshareM!F$2:F$78)-IMshareM!F$6&gt;0,IMshareM!F33/(SUM(IMshareM!F$2:F$78)-IMshareM!F$6),0))</f>
        <v>1.4300801506243138E-3</v>
      </c>
      <c r="G33" s="8">
        <f>IF($A33=G$1,0,IF(SUM(IMshareM!G$2:G$78)-IMshareM!G$7&gt;0,IMshareM!G33/(SUM(IMshareM!G$2:G$78)-IMshareM!G$7),0))</f>
        <v>0</v>
      </c>
      <c r="H33" s="8">
        <f>IF($A33=H$1,0,IF(SUM(IMshareM!H$2:H$78)-IMshareM!H$8&gt;0,IMshareM!H33/(SUM(IMshareM!H$2:H$78)-IMshareM!H$8),0))</f>
        <v>0</v>
      </c>
      <c r="I33" s="8">
        <f>IF($A33=I$1,0,IF(SUM(IMshareM!I$2:I$78)-IMshareM!I$9&gt;0,IMshareM!I33/(SUM(IMshareM!I$2:I$78)-IMshareM!I$9),0))</f>
        <v>8.8697745964099461E-3</v>
      </c>
      <c r="J33" s="8">
        <f>IF($A33=J$1,0,IF(SUM(IMshareM!J$2:J$78)-IMshareM!J$10&gt;0,IMshareM!J33/(SUM(IMshareM!J$2:J$78)-IMshareM!J$10),0))</f>
        <v>8.615624177253851E-3</v>
      </c>
      <c r="K33" s="8">
        <f>IF($A33=K$1,0,IF(SUM(IMshareM!K$2:K$78)-IMshareM!K$11&gt;0,IMshareM!K33/(SUM(IMshareM!K$2:K$78)-IMshareM!K$11),0))</f>
        <v>1.141343457223838E-3</v>
      </c>
      <c r="L33" s="8">
        <f>IF($A33=L$1,0,IF(SUM(IMshareM!L$2:L$78)-IMshareM!L$12&gt;0,IMshareM!L33/(SUM(IMshareM!L$2:L$78)-IMshareM!L$12),0))</f>
        <v>1.0699616594516752E-4</v>
      </c>
      <c r="M33" s="8">
        <f>IF($A33=M$1,0,IF(SUM(IMshareM!M$2:M$78)-IMshareM!M$13&gt;0,IMshareM!M33/(SUM(IMshareM!M$2:M$78)-IMshareM!M$13),0))</f>
        <v>2.5230150004617946E-3</v>
      </c>
      <c r="N33" s="8">
        <f>IF($A33=N$1,0,IF(SUM(IMshareM!N$2:N$78)-IMshareM!N$14&gt;0,IMshareM!N33/(SUM(IMshareM!N$2:N$78)-IMshareM!N$14),0))</f>
        <v>6.4927977959132006E-3</v>
      </c>
      <c r="O33" s="8">
        <f>IF($A33=O$1,0,IF(SUM(IMshareM!O$2:O$78)-IMshareM!O$15&gt;0,IMshareM!O33/(SUM(IMshareM!O$2:O$78)-IMshareM!O$15),0))</f>
        <v>2.290231437187147E-5</v>
      </c>
      <c r="P33" s="8">
        <f>IF($A33=P$1,0,IF(SUM(IMshareM!P$2:P$78)-IMshareM!P$16&gt;0,IMshareM!P33/(SUM(IMshareM!P$2:P$78)-IMshareM!P$16),0))</f>
        <v>0</v>
      </c>
      <c r="Q33" s="8">
        <f>IF($A33=Q$1,0,IF(SUM(IMshareM!Q$2:Q$78)-IMshareM!Q$17&gt;0,IMshareM!Q33/(SUM(IMshareM!Q$2:Q$78)-IMshareM!Q$17),0))</f>
        <v>6.6221927908726743E-4</v>
      </c>
      <c r="R33" s="8">
        <f>IF($A33=R$1,0,IF(SUM(IMshareM!R$2:R$78)-IMshareM!R$18&gt;0,IMshareM!R33/(SUM(IMshareM!R$2:R$78)-IMshareM!R$18),0))</f>
        <v>3.5185685078637597E-4</v>
      </c>
      <c r="S33" s="8">
        <f>IF($A33=S$1,0,IF(SUM(IMshareM!S$2:S$78)-IMshareM!S$19&gt;0,IMshareM!S33/(SUM(IMshareM!S$2:S$78)-IMshareM!S$19),0))</f>
        <v>9.2940521931898635E-6</v>
      </c>
      <c r="T33" s="8">
        <f>IF($A33=T$1,0,IF(SUM(IMshareM!T$2:T$78)-IMshareM!T$20&gt;0,IMshareM!T33/(SUM(IMshareM!T$2:T$78)-IMshareM!T$20),0))</f>
        <v>1.3804815841990864E-2</v>
      </c>
      <c r="U33" s="8">
        <f>IF($A33=U$1,0,IF(SUM(IMshareM!U$2:U$78)-IMshareM!U$21&gt;0,IMshareM!U33/(SUM(IMshareM!U$2:U$78)-IMshareM!U$21),0))</f>
        <v>1.9209573168145605E-4</v>
      </c>
      <c r="V33" s="8">
        <f>IF($A33=V$1,0,IF(SUM(IMshareM!V$2:V$78)-IMshareM!V$22&gt;0,IMshareM!V33/(SUM(IMshareM!V$2:V$78)-IMshareM!V$22),0))</f>
        <v>1.9048554404739091E-4</v>
      </c>
      <c r="W33" s="8">
        <f>IF($A33=W$1,0,IF(SUM(IMshareM!W$2:W$78)-IMshareM!W$23&gt;0,IMshareM!W33/(SUM(IMshareM!W$2:W$78)-IMshareM!W$23),0))</f>
        <v>1.7548615016657601E-3</v>
      </c>
      <c r="X33" s="8">
        <f>IF($A33=X$1,0,IF(SUM(IMshareM!X$2:X$78)-IMshareM!X$24&gt;0,IMshareM!X33/(SUM(IMshareM!X$2:X$78)-IMshareM!X$24),0))</f>
        <v>7.8084406263636142E-5</v>
      </c>
      <c r="Y33" s="8">
        <f>IF($A33=Y$1,0,IF(SUM(IMshareM!Y$2:Y$78)-IMshareM!Y$25&gt;0,IMshareM!Y33/(SUM(IMshareM!Y$2:Y$78)-IMshareM!Y$25),0))</f>
        <v>2.8496894932675695E-5</v>
      </c>
      <c r="Z33" s="8">
        <f>IF($A33=Z$1,0,IF(SUM(IMshareM!Z$2:Z$78)-IMshareM!Z$26&gt;0,IMshareM!Z33/(SUM(IMshareM!Z$2:Z$78)-IMshareM!Z$26),0))</f>
        <v>1.9756559855990135E-5</v>
      </c>
      <c r="AA33" s="8">
        <f>IF($A33=AA$1,0,IF(SUM(IMshareM!AA$2:AA$78)-IMshareM!AA$27&gt;0,IMshareM!AA33/(SUM(IMshareM!AA$2:AA$78)-IMshareM!AA$27),0))</f>
        <v>4.5839465739217923E-5</v>
      </c>
      <c r="AB33" s="8">
        <f>IF($A33=AB$1,0,IF(SUM(IMshareM!AB$2:AB$78)-IMshareM!AB$28&gt;0,IMshareM!AB33/(SUM(IMshareM!AB$2:AB$78)-IMshareM!AB$28),0))</f>
        <v>5.0817132712077282E-4</v>
      </c>
      <c r="AC33" s="8">
        <f>IF($A33=AC$1,0,IF(SUM(IMshareM!AC$2:AC$78)-IMshareM!AC$29&gt;0,IMshareM!AC33/(SUM(IMshareM!AC$2:AC$78)-IMshareM!AC$29),0))</f>
        <v>0</v>
      </c>
      <c r="AD33" s="8">
        <f>IF($A33=AD$1,0,IF(SUM(IMshareM!AD$2:AD$78)-IMshareM!AD$30&gt;0,IMshareM!AD33/(SUM(IMshareM!AD$2:AD$78)-IMshareM!AD$30),0))</f>
        <v>5.3523741870125708E-4</v>
      </c>
      <c r="AE33" s="8">
        <f>IF($A33=AE$1,0,IF(SUM(IMshareM!AE$2:AE$78)-IMshareM!AE$31&gt;0,IMshareM!AE33/(SUM(IMshareM!AE$2:AE$78)-IMshareM!AE$31),0))</f>
        <v>1.6539260467199859E-7</v>
      </c>
      <c r="AF33" s="8">
        <f>IF($A33=AF$1,0,IF(SUM(IMshareM!AF$2:AF$78)-IMshareM!AF$32&gt;0,IMshareM!AF33/(SUM(IMshareM!AF$2:AF$78)-IMshareM!AF$32),0))</f>
        <v>0</v>
      </c>
      <c r="AG33" s="8">
        <f>IF($A33=AG$1,0,IF(SUM(IMshareM!AG$2:AG$78)-IMshareM!AG$33&gt;0,IMshareM!AG33/(SUM(IMshareM!AG$2:AG$78)-IMshareM!AG$33),0))</f>
        <v>0</v>
      </c>
      <c r="AH33" s="8">
        <f>IF($A33=AH$1,0,IF(SUM(IMshareM!AH$2:AH$78)-IMshareM!AH$34&gt;0,IMshareM!AH33/(SUM(IMshareM!AH$2:AH$78)-IMshareM!AH$34),0))</f>
        <v>1.5937113806880652E-2</v>
      </c>
      <c r="AI33" s="8">
        <f>IF($A33=AI$1,0,IF(SUM(IMshareM!AI$2:AI$78)-IMshareM!AI$35&gt;0,IMshareM!AI33/(SUM(IMshareM!AI$2:AI$78)-IMshareM!AI$35),0))</f>
        <v>1.3338777075100241E-3</v>
      </c>
      <c r="AJ33" s="8">
        <f>IF($A33=AJ$1,0,IF(SUM(IMshareM!AJ$2:AJ$78)-IMshareM!AJ$36&gt;0,IMshareM!AJ33/(SUM(IMshareM!AJ$2:AJ$78)-IMshareM!AJ$36),0))</f>
        <v>2.1184853049275908E-3</v>
      </c>
      <c r="AK33" s="8">
        <f>IF($A33=AK$1,0,IF(SUM(IMshareM!AK$2:AK$78)-IMshareM!AK$37&gt;0,IMshareM!AK33/(SUM(IMshareM!AK$2:AK$78)-IMshareM!AK$37),0))</f>
        <v>9.2714354267424919E-5</v>
      </c>
      <c r="AL33" s="8">
        <f>IF($A33=AL$1,0,IF(SUM(IMshareM!AL$2:AL$78)-IMshareM!AL$38&gt;0,IMshareM!AL33/(SUM(IMshareM!AL$2:AL$78)-IMshareM!AL$38),0))</f>
        <v>4.3321123305223705E-5</v>
      </c>
      <c r="AM33" s="8">
        <f>IF($A33=AM$1,0,IF(SUM(IMshareM!AM$2:AM$78)-IMshareM!AM$39&gt;0,IMshareM!AM33/(SUM(IMshareM!AM$2:AM$78)-IMshareM!AM$39),0))</f>
        <v>0</v>
      </c>
      <c r="AN33" s="8">
        <f>IF($A33=AN$1,0,IF(SUM(IMshareM!AN$2:AN$78)-IMshareM!AN$40&gt;0,IMshareM!AN33/(SUM(IMshareM!AN$2:AN$78)-IMshareM!AN$40),0))</f>
        <v>2.0689987298731307E-2</v>
      </c>
      <c r="AO33" s="8">
        <f>IF($A33=AO$1,0,IF(SUM(IMshareM!AO$2:AO$78)-IMshareM!AO$41&gt;0,IMshareM!AO33/(SUM(IMshareM!AO$2:AO$78)-IMshareM!AO$41),0))</f>
        <v>3.1692618164158435E-8</v>
      </c>
      <c r="AP33" s="8">
        <f>IF($A33=AP$1,0,IF(SUM(IMshareM!AP$2:AP$78)-IMshareM!AP$42&gt;0,IMshareM!AP33/(SUM(IMshareM!AP$2:AP$78)-IMshareM!AP$42),0))</f>
        <v>2.0460437735646338E-3</v>
      </c>
      <c r="AQ33" s="8">
        <f>IF($A33=AQ$1,0,IF(SUM(IMshareM!AQ$2:AQ$78)-IMshareM!AQ$43&gt;0,IMshareM!AQ33/(SUM(IMshareM!AQ$2:AQ$78)-IMshareM!AQ$43),0))</f>
        <v>6.1018577385044491E-5</v>
      </c>
      <c r="AR33" s="8">
        <f>IF($A33=AR$1,0,IF(SUM(IMshareM!AR$2:AR$78)-IMshareM!AR$44&gt;0,IMshareM!AR33/(SUM(IMshareM!AR$2:AR$78)-IMshareM!AR$44),0))</f>
        <v>0</v>
      </c>
      <c r="AS33" s="8">
        <f>IF($A33=AS$1,0,IF(SUM(IMshareM!AS$2:AS$78)-IMshareM!AS$45&gt;0,IMshareM!AS33/(SUM(IMshareM!AS$2:AS$78)-IMshareM!AS$45),0))</f>
        <v>8.0373929559059376E-5</v>
      </c>
      <c r="AT33" s="8">
        <f>IF($A33=AT$1,0,IF(SUM(IMshareM!AT$2:AT$78)-IMshareM!AT$46&gt;0,IMshareM!AT33/(SUM(IMshareM!AT$2:AT$78)-IMshareM!AT$46),0))</f>
        <v>1.0118140560739299E-5</v>
      </c>
      <c r="AU33" s="8">
        <f>IF($A33=AU$1,0,IF(SUM(IMshareM!AU$2:AU$78)-IMshareM!AU$47&gt;0,IMshareM!AU33/(SUM(IMshareM!AU$2:AU$78)-IMshareM!AU$47),0))</f>
        <v>0</v>
      </c>
      <c r="AV33" s="8">
        <f>IF($A33=AV$1,0,IF(SUM(IMshareM!AV$2:AV$78)-IMshareM!AV$48&gt;0,IMshareM!AV33/(SUM(IMshareM!AV$2:AV$78)-IMshareM!AV$48),0))</f>
        <v>1.0094558661616996E-4</v>
      </c>
      <c r="AW33" s="8">
        <f>IF($A33=AW$1,0,IF(SUM(IMshareM!AW$2:AW$78)-IMshareM!AW$49&gt;0,IMshareM!AW33/(SUM(IMshareM!AW$2:AW$78)-IMshareM!AW$49),0))</f>
        <v>3.1156404895402983E-3</v>
      </c>
      <c r="AX33" s="8">
        <f>IF($A33=AX$1,0,IF(SUM(IMshareM!AX$2:AX$78)-IMshareM!AX$50&gt;0,IMshareM!AX33/(SUM(IMshareM!AX$2:AX$78)-IMshareM!AX$50),0))</f>
        <v>0</v>
      </c>
      <c r="AY33" s="8">
        <f>IF($A33=AY$1,0,IF(SUM(IMshareM!AY$2:AY$78)-IMshareM!AY$51&gt;0,IMshareM!AY33/(SUM(IMshareM!AY$2:AY$78)-IMshareM!AY$51),0))</f>
        <v>7.8967164484555728E-3</v>
      </c>
      <c r="AZ33" s="8">
        <f>IF($A33=AZ$1,0,IF(SUM(IMshareM!AZ$2:AZ$78)-IMshareM!AZ$52&gt;0,IMshareM!AZ33/(SUM(IMshareM!AZ$2:AZ$78)-IMshareM!AZ$52),0))</f>
        <v>1.7045692092436546E-2</v>
      </c>
      <c r="BA33" s="8">
        <f>IF($A33=BA$1,0,IF(SUM(IMshareM!BA$2:BA$78)-IMshareM!BA$53&gt;0,IMshareM!BA33/(SUM(IMshareM!BA$2:BA$78)-IMshareM!BA$53),0))</f>
        <v>9.1065885207042388E-5</v>
      </c>
      <c r="BB33" s="8">
        <f>IF($A33=BB$1,0,IF(SUM(IMshareM!BB$2:BB$78)-IMshareM!BB$54&gt;0,IMshareM!BB33/(SUM(IMshareM!BB$2:BB$78)-IMshareM!BB$54),0))</f>
        <v>4.1024972288007382E-5</v>
      </c>
      <c r="BC33" s="8">
        <f>IF($A33=BC$1,0,IF(SUM(IMshareM!BC$2:BC$78)-IMshareM!BC$55&gt;0,IMshareM!BC33/(SUM(IMshareM!BC$2:BC$78)-IMshareM!BC$55),0))</f>
        <v>1.350361519066353E-4</v>
      </c>
      <c r="BD33" s="8">
        <f>IF($A33=BD$1,0,IF(SUM(IMshareM!BD$2:BD$78)-IMshareM!BD$56&gt;0,IMshareM!BD33/(SUM(IMshareM!BD$2:BD$78)-IMshareM!BD$56),0))</f>
        <v>4.4384190118808211E-4</v>
      </c>
      <c r="BE33" s="8">
        <f>IF($A33=BE$1,0,IF(SUM(IMshareM!BE$2:BE$78)-IMshareM!BE$57&gt;0,IMshareM!BE33/(SUM(IMshareM!BE$2:BE$78)-IMshareM!BE$57),0))</f>
        <v>8.4447604887380803E-3</v>
      </c>
      <c r="BF33" s="8">
        <f>IF($A33=BF$1,0,IF(SUM(IMshareM!BF$2:BF$78)-IMshareM!BF$58&gt;0,IMshareM!BF33/(SUM(IMshareM!BF$2:BF$78)-IMshareM!BF$58),0))</f>
        <v>1.4575998941377549E-4</v>
      </c>
      <c r="BG33" s="8">
        <f>IF($A33=BG$1,0,IF(SUM(IMshareM!BG$2:BG$78)-IMshareM!BG$59&gt;0,IMshareM!BG33/(SUM(IMshareM!BG$2:BG$78)-IMshareM!BG$59),0))</f>
        <v>6.3812891355411877E-2</v>
      </c>
      <c r="BH33" s="8">
        <f>IF($A33=BH$1,0,IF(SUM(IMshareM!BH$2:BH$78)-IMshareM!BH$60&gt;0,IMshareM!BH33/(SUM(IMshareM!BH$2:BH$78)-IMshareM!BH$60),0))</f>
        <v>4.0082181252836298E-3</v>
      </c>
      <c r="BI33" s="8">
        <f>IF($A33=BI$1,0,IF(SUM(IMshareM!BI$2:BI$78)-IMshareM!BI$61&gt;0,IMshareM!BI33/(SUM(IMshareM!BI$2:BI$78)-IMshareM!BI$61),0))</f>
        <v>1.1948431778326256E-6</v>
      </c>
      <c r="BJ33" s="8">
        <f>IF($A33=BJ$1,0,IF(SUM(IMshareM!BJ$2:BJ$78)-IMshareM!BJ$62&gt;0,IMshareM!BJ33/(SUM(IMshareM!BJ$2:BJ$78)-IMshareM!BJ$62),0))</f>
        <v>0</v>
      </c>
      <c r="BK33" s="8">
        <f>IF($A33=BK$1,0,IF(SUM(IMshareM!BK$2:BK$78)-IMshareM!BK$63&gt;0,IMshareM!BK33/(SUM(IMshareM!BK$2:BK$78)-IMshareM!BK$63),0))</f>
        <v>8.2973084881295626E-6</v>
      </c>
      <c r="BL33" s="8">
        <f>IF($A33=BL$1,0,IF(SUM(IMshareM!BL$2:BL$78)-IMshareM!BL$64&gt;0,IMshareM!BL33/(SUM(IMshareM!BL$2:BL$78)-IMshareM!BL$64),0))</f>
        <v>2.408130151446779E-6</v>
      </c>
      <c r="BM33" s="8">
        <f>IF($A33=BM$1,0,IF(SUM(IMshareM!BM$2:BM$78)-IMshareM!BM$65&gt;0,IMshareM!BM33/(SUM(IMshareM!BM$2:BM$78)-IMshareM!BM$65),0))</f>
        <v>4.0898405811043552E-6</v>
      </c>
      <c r="BN33" s="8">
        <f>IF($A33=BN$1,0,IF(SUM(IMshareM!BN$2:BN$78)-IMshareM!BN$66&gt;0,IMshareM!BN33/(SUM(IMshareM!BN$2:BN$78)-IMshareM!BN$66),0))</f>
        <v>1.5427236471594269E-3</v>
      </c>
      <c r="BO33" s="8">
        <f>IF($A33=BO$1,0,IF(SUM(IMshareM!BO$2:BO$78)-IMshareM!BO$67&gt;0,IMshareM!BO33/(SUM(IMshareM!BO$2:BO$78)-IMshareM!BO$67),0))</f>
        <v>3.1934696090858934E-5</v>
      </c>
      <c r="BP33" s="8">
        <f>IF($A33=BP$1,0,IF(SUM(IMshareM!BP$2:BP$78)-IMshareM!BP$68&gt;0,IMshareM!BP33/(SUM(IMshareM!BP$2:BP$78)-IMshareM!BP$68),0))</f>
        <v>7.3317615708681181E-6</v>
      </c>
      <c r="BQ33" s="8">
        <f>IF($A33=BQ$1,0,IF(SUM(IMshareM!BQ$2:BQ$78)-IMshareM!BQ$69&gt;0,IMshareM!BQ33/(SUM(IMshareM!BQ$2:BQ$78)-IMshareM!BQ$69),0))</f>
        <v>2.2162117065557226E-6</v>
      </c>
      <c r="BR33" s="8">
        <f>IF($A33=BR$1,0,IF(SUM(IMshareM!BR$2:BR$78)-IMshareM!BR$70&gt;0,IMshareM!BR33/(SUM(IMshareM!BR$2:BR$78)-IMshareM!BR$70),0))</f>
        <v>5.8818282116039844E-2</v>
      </c>
      <c r="BS33" s="8">
        <f>IF($A33=BS$1,0,IF(SUM(IMshareM!BS$2:BS$78)-IMshareM!BS$71&gt;0,IMshareM!BS33/(SUM(IMshareM!BS$2:BS$78)-IMshareM!BS$71),0))</f>
        <v>2.7601387106671126E-5</v>
      </c>
      <c r="BT33" s="8">
        <f>IF($A33=BT$1,0,IF(SUM(IMshareM!BT$2:BT$78)-IMshareM!BT$72&gt;0,IMshareM!BT33/(SUM(IMshareM!BT$2:BT$78)-IMshareM!BT$72),0))</f>
        <v>3.0381266341849571E-3</v>
      </c>
      <c r="BU33" s="8">
        <f>IF($A33=BU$1,0,IF(SUM(IMshareM!BU$2:BU$78)-IMshareM!BU$73&gt;0,IMshareM!BU33/(SUM(IMshareM!BU$2:BU$78)-IMshareM!BU$73),0))</f>
        <v>8.7648863859937105E-3</v>
      </c>
      <c r="BV33" s="8">
        <f>IF($A33=BV$1,0,IF(SUM(IMshareM!BV$2:BV$78)-IMshareM!BV$74&gt;0,IMshareM!BV33/(SUM(IMshareM!BV$2:BV$78)-IMshareM!BV$74),0))</f>
        <v>2.2967025502320529E-3</v>
      </c>
      <c r="BW33" s="8">
        <f>IF($A33=BW$1,0,IF(SUM(IMshareM!BW$2:BW$78)-IMshareM!BW$75&gt;0,IMshareM!BW33/(SUM(IMshareM!BW$2:BW$78)-IMshareM!BW$75),0))</f>
        <v>4.1791117962216261E-3</v>
      </c>
      <c r="BX33" s="8">
        <f>IF($A33=BX$1,0,IF(SUM(IMshareM!BX$2:BX$78)-IMshareM!BX$76&gt;0,IMshareM!BX33/(SUM(IMshareM!BX$2:BX$78)-IMshareM!BX$76),0))</f>
        <v>5.8299257414639559E-3</v>
      </c>
      <c r="BY33" s="8">
        <f>IF($A33=BY$1,0,IF(SUM(IMshareM!BY$2:BY$78)-IMshareM!BY$77&gt;0,IMshareM!BY33/(SUM(IMshareM!BY$2:BY$78)-IMshareM!BY$77),0))</f>
        <v>2.7464064845552517E-2</v>
      </c>
      <c r="BZ33" s="8">
        <f>IF($A33=BZ$1,0,IF(SUM(IMshareM!BZ$2:BZ$78)-IMshareM!BZ$78&gt;0,IMshareM!BZ33/(SUM(IMshareM!BZ$2:BZ$78)-IMshareM!BZ$78),0))</f>
        <v>1.056180757425095E-3</v>
      </c>
    </row>
    <row r="34" spans="1:78">
      <c r="A34" s="4" t="s">
        <v>135</v>
      </c>
      <c r="B34" s="8">
        <f>IF($A34=B$1,0,IF(SUM(IMshareM!B$2:B$78)-IMshareM!B$2&gt;0,IMshareM!B34/(SUM(IMshareM!B$2:B$78)-IMshareM!B$2),0))</f>
        <v>3.0859301025831011E-3</v>
      </c>
      <c r="C34" s="8">
        <f>IF($A34=C$1,0,IF(SUM(IMshareM!C$2:C$78)-IMshareM!C$3&gt;0,IMshareM!C34/(SUM(IMshareM!C$2:C$78)-IMshareM!C$3),0))</f>
        <v>3.1306606320142913E-2</v>
      </c>
      <c r="D34" s="8">
        <f>IF($A34=D$1,0,IF(SUM(IMshareM!D$2:D$78)-IMshareM!D$4&gt;0,IMshareM!D34/(SUM(IMshareM!D$2:D$78)-IMshareM!D$4),0))</f>
        <v>1.432654780093978E-2</v>
      </c>
      <c r="E34" s="8">
        <f>IF($A34=E$1,0,IF(SUM(IMshareM!E$2:E$78)-IMshareM!E$5&gt;0,IMshareM!E34/(SUM(IMshareM!E$2:E$78)-IMshareM!E$5),0))</f>
        <v>8.2922832634349432E-4</v>
      </c>
      <c r="F34" s="8">
        <f>IF($A34=F$1,0,IF(SUM(IMshareM!F$2:F$78)-IMshareM!F$6&gt;0,IMshareM!F34/(SUM(IMshareM!F$2:F$78)-IMshareM!F$6),0))</f>
        <v>8.9324067405365873E-2</v>
      </c>
      <c r="G34" s="8">
        <f>IF($A34=G$1,0,IF(SUM(IMshareM!G$2:G$78)-IMshareM!G$7&gt;0,IMshareM!G34/(SUM(IMshareM!G$2:G$78)-IMshareM!G$7),0))</f>
        <v>5.2816954253524675E-4</v>
      </c>
      <c r="H34" s="8">
        <f>IF($A34=H$1,0,IF(SUM(IMshareM!H$2:H$78)-IMshareM!H$8&gt;0,IMshareM!H34/(SUM(IMshareM!H$2:H$78)-IMshareM!H$8),0))</f>
        <v>4.0490649103571871E-5</v>
      </c>
      <c r="I34" s="8">
        <f>IF($A34=I$1,0,IF(SUM(IMshareM!I$2:I$78)-IMshareM!I$9&gt;0,IMshareM!I34/(SUM(IMshareM!I$2:I$78)-IMshareM!I$9),0))</f>
        <v>1.088793765019049E-2</v>
      </c>
      <c r="J34" s="8">
        <f>IF($A34=J$1,0,IF(SUM(IMshareM!J$2:J$78)-IMshareM!J$10&gt;0,IMshareM!J34/(SUM(IMshareM!J$2:J$78)-IMshareM!J$10),0))</f>
        <v>3.6890500179672671E-3</v>
      </c>
      <c r="K34" s="8">
        <f>IF($A34=K$1,0,IF(SUM(IMshareM!K$2:K$78)-IMshareM!K$11&gt;0,IMshareM!K34/(SUM(IMshareM!K$2:K$78)-IMshareM!K$11),0))</f>
        <v>7.5007674915384967E-3</v>
      </c>
      <c r="L34" s="8">
        <f>IF($A34=L$1,0,IF(SUM(IMshareM!L$2:L$78)-IMshareM!L$12&gt;0,IMshareM!L34/(SUM(IMshareM!L$2:L$78)-IMshareM!L$12),0))</f>
        <v>8.8774375008402635E-3</v>
      </c>
      <c r="M34" s="8">
        <f>IF($A34=M$1,0,IF(SUM(IMshareM!M$2:M$78)-IMshareM!M$13&gt;0,IMshareM!M34/(SUM(IMshareM!M$2:M$78)-IMshareM!M$13),0))</f>
        <v>7.0463569349711866E-3</v>
      </c>
      <c r="N34" s="8">
        <f>IF($A34=N$1,0,IF(SUM(IMshareM!N$2:N$78)-IMshareM!N$14&gt;0,IMshareM!N34/(SUM(IMshareM!N$2:N$78)-IMshareM!N$14),0))</f>
        <v>6.1369298548890894E-3</v>
      </c>
      <c r="O34" s="8">
        <f>IF($A34=O$1,0,IF(SUM(IMshareM!O$2:O$78)-IMshareM!O$15&gt;0,IMshareM!O34/(SUM(IMshareM!O$2:O$78)-IMshareM!O$15),0))</f>
        <v>2.2983099335963091E-2</v>
      </c>
      <c r="P34" s="8">
        <f>IF($A34=P$1,0,IF(SUM(IMshareM!P$2:P$78)-IMshareM!P$16&gt;0,IMshareM!P34/(SUM(IMshareM!P$2:P$78)-IMshareM!P$16),0))</f>
        <v>1.8279893463485391E-2</v>
      </c>
      <c r="Q34" s="8">
        <f>IF($A34=Q$1,0,IF(SUM(IMshareM!Q$2:Q$78)-IMshareM!Q$17&gt;0,IMshareM!Q34/(SUM(IMshareM!Q$2:Q$78)-IMshareM!Q$17),0))</f>
        <v>7.9212796963044722E-3</v>
      </c>
      <c r="R34" s="8">
        <f>IF($A34=R$1,0,IF(SUM(IMshareM!R$2:R$78)-IMshareM!R$18&gt;0,IMshareM!R34/(SUM(IMshareM!R$2:R$78)-IMshareM!R$18),0))</f>
        <v>3.3434828918320839E-3</v>
      </c>
      <c r="S34" s="8">
        <f>IF($A34=S$1,0,IF(SUM(IMshareM!S$2:S$78)-IMshareM!S$19&gt;0,IMshareM!S34/(SUM(IMshareM!S$2:S$78)-IMshareM!S$19),0))</f>
        <v>1.0786926610751408E-2</v>
      </c>
      <c r="T34" s="8">
        <f>IF($A34=T$1,0,IF(SUM(IMshareM!T$2:T$78)-IMshareM!T$20&gt;0,IMshareM!T34/(SUM(IMshareM!T$2:T$78)-IMshareM!T$20),0))</f>
        <v>3.7639843474514328E-3</v>
      </c>
      <c r="U34" s="8">
        <f>IF($A34=U$1,0,IF(SUM(IMshareM!U$2:U$78)-IMshareM!U$21&gt;0,IMshareM!U34/(SUM(IMshareM!U$2:U$78)-IMshareM!U$21),0))</f>
        <v>6.6703943174310351E-3</v>
      </c>
      <c r="V34" s="8">
        <f>IF($A34=V$1,0,IF(SUM(IMshareM!V$2:V$78)-IMshareM!V$22&gt;0,IMshareM!V34/(SUM(IMshareM!V$2:V$78)-IMshareM!V$22),0))</f>
        <v>3.7121880487052338E-3</v>
      </c>
      <c r="W34" s="8">
        <f>IF($A34=W$1,0,IF(SUM(IMshareM!W$2:W$78)-IMshareM!W$23&gt;0,IMshareM!W34/(SUM(IMshareM!W$2:W$78)-IMshareM!W$23),0))</f>
        <v>2.5253631009299379E-2</v>
      </c>
      <c r="X34" s="8">
        <f>IF($A34=X$1,0,IF(SUM(IMshareM!X$2:X$78)-IMshareM!X$24&gt;0,IMshareM!X34/(SUM(IMshareM!X$2:X$78)-IMshareM!X$24),0))</f>
        <v>2.691605751589177E-2</v>
      </c>
      <c r="Y34" s="8">
        <f>IF($A34=Y$1,0,IF(SUM(IMshareM!Y$2:Y$78)-IMshareM!Y$25&gt;0,IMshareM!Y34/(SUM(IMshareM!Y$2:Y$78)-IMshareM!Y$25),0))</f>
        <v>1.0308707079315672E-3</v>
      </c>
      <c r="Z34" s="8">
        <f>IF($A34=Z$1,0,IF(SUM(IMshareM!Z$2:Z$78)-IMshareM!Z$26&gt;0,IMshareM!Z34/(SUM(IMshareM!Z$2:Z$78)-IMshareM!Z$26),0))</f>
        <v>3.0331828221574781E-3</v>
      </c>
      <c r="AA34" s="8">
        <f>IF($A34=AA$1,0,IF(SUM(IMshareM!AA$2:AA$78)-IMshareM!AA$27&gt;0,IMshareM!AA34/(SUM(IMshareM!AA$2:AA$78)-IMshareM!AA$27),0))</f>
        <v>9.1639893602300775E-3</v>
      </c>
      <c r="AB34" s="8">
        <f>IF($A34=AB$1,0,IF(SUM(IMshareM!AB$2:AB$78)-IMshareM!AB$28&gt;0,IMshareM!AB34/(SUM(IMshareM!AB$2:AB$78)-IMshareM!AB$28),0))</f>
        <v>5.6916233939237259E-3</v>
      </c>
      <c r="AC34" s="8">
        <f>IF($A34=AC$1,0,IF(SUM(IMshareM!AC$2:AC$78)-IMshareM!AC$29&gt;0,IMshareM!AC34/(SUM(IMshareM!AC$2:AC$78)-IMshareM!AC$29),0))</f>
        <v>2.6478453574944097E-3</v>
      </c>
      <c r="AD34" s="8">
        <f>IF($A34=AD$1,0,IF(SUM(IMshareM!AD$2:AD$78)-IMshareM!AD$30&gt;0,IMshareM!AD34/(SUM(IMshareM!AD$2:AD$78)-IMshareM!AD$30),0))</f>
        <v>6.0458719723828535E-4</v>
      </c>
      <c r="AE34" s="8">
        <f>IF($A34=AE$1,0,IF(SUM(IMshareM!AE$2:AE$78)-IMshareM!AE$31&gt;0,IMshareM!AE34/(SUM(IMshareM!AE$2:AE$78)-IMshareM!AE$31),0))</f>
        <v>1.3190060222591891E-4</v>
      </c>
      <c r="AF34" s="8">
        <f>IF($A34=AF$1,0,IF(SUM(IMshareM!AF$2:AF$78)-IMshareM!AF$32&gt;0,IMshareM!AF34/(SUM(IMshareM!AF$2:AF$78)-IMshareM!AF$32),0))</f>
        <v>3.1938452916543947E-4</v>
      </c>
      <c r="AG34" s="8">
        <f>IF($A34=AG$1,0,IF(SUM(IMshareM!AG$2:AG$78)-IMshareM!AG$33&gt;0,IMshareM!AG34/(SUM(IMshareM!AG$2:AG$78)-IMshareM!AG$33),0))</f>
        <v>1.9352121661981633E-2</v>
      </c>
      <c r="AH34" s="8">
        <f>IF($A34=AH$1,0,IF(SUM(IMshareM!AH$2:AH$78)-IMshareM!AH$34&gt;0,IMshareM!AH34/(SUM(IMshareM!AH$2:AH$78)-IMshareM!AH$34),0))</f>
        <v>0</v>
      </c>
      <c r="AI34" s="8">
        <f>IF($A34=AI$1,0,IF(SUM(IMshareM!AI$2:AI$78)-IMshareM!AI$35&gt;0,IMshareM!AI34/(SUM(IMshareM!AI$2:AI$78)-IMshareM!AI$35),0))</f>
        <v>3.3350479764049116E-3</v>
      </c>
      <c r="AJ34" s="8">
        <f>IF($A34=AJ$1,0,IF(SUM(IMshareM!AJ$2:AJ$78)-IMshareM!AJ$36&gt;0,IMshareM!AJ34/(SUM(IMshareM!AJ$2:AJ$78)-IMshareM!AJ$36),0))</f>
        <v>1.3849513336288901E-3</v>
      </c>
      <c r="AK34" s="8">
        <f>IF($A34=AK$1,0,IF(SUM(IMshareM!AK$2:AK$78)-IMshareM!AK$37&gt;0,IMshareM!AK34/(SUM(IMshareM!AK$2:AK$78)-IMshareM!AK$37),0))</f>
        <v>1.5011296813662162E-2</v>
      </c>
      <c r="AL34" s="8">
        <f>IF($A34=AL$1,0,IF(SUM(IMshareM!AL$2:AL$78)-IMshareM!AL$38&gt;0,IMshareM!AL34/(SUM(IMshareM!AL$2:AL$78)-IMshareM!AL$38),0))</f>
        <v>7.9916309459068299E-3</v>
      </c>
      <c r="AM34" s="8">
        <f>IF($A34=AM$1,0,IF(SUM(IMshareM!AM$2:AM$78)-IMshareM!AM$39&gt;0,IMshareM!AM34/(SUM(IMshareM!AM$2:AM$78)-IMshareM!AM$39),0))</f>
        <v>2.4786128078973221E-2</v>
      </c>
      <c r="AN34" s="8">
        <f>IF($A34=AN$1,0,IF(SUM(IMshareM!AN$2:AN$78)-IMshareM!AN$40&gt;0,IMshareM!AN34/(SUM(IMshareM!AN$2:AN$78)-IMshareM!AN$40),0))</f>
        <v>5.4370545858016183E-3</v>
      </c>
      <c r="AO34" s="8">
        <f>IF($A34=AO$1,0,IF(SUM(IMshareM!AO$2:AO$78)-IMshareM!AO$41&gt;0,IMshareM!AO34/(SUM(IMshareM!AO$2:AO$78)-IMshareM!AO$41),0))</f>
        <v>1.6291197616515045E-3</v>
      </c>
      <c r="AP34" s="8">
        <f>IF($A34=AP$1,0,IF(SUM(IMshareM!AP$2:AP$78)-IMshareM!AP$42&gt;0,IMshareM!AP34/(SUM(IMshareM!AP$2:AP$78)-IMshareM!AP$42),0))</f>
        <v>1.4989526297565487E-2</v>
      </c>
      <c r="AQ34" s="8">
        <f>IF($A34=AQ$1,0,IF(SUM(IMshareM!AQ$2:AQ$78)-IMshareM!AQ$43&gt;0,IMshareM!AQ34/(SUM(IMshareM!AQ$2:AQ$78)-IMshareM!AQ$43),0))</f>
        <v>1.925316814474432E-3</v>
      </c>
      <c r="AR34" s="8">
        <f>IF($A34=AR$1,0,IF(SUM(IMshareM!AR$2:AR$78)-IMshareM!AR$44&gt;0,IMshareM!AR34/(SUM(IMshareM!AR$2:AR$78)-IMshareM!AR$44),0))</f>
        <v>9.3851942322656666E-5</v>
      </c>
      <c r="AS34" s="8">
        <f>IF($A34=AS$1,0,IF(SUM(IMshareM!AS$2:AS$78)-IMshareM!AS$45&gt;0,IMshareM!AS34/(SUM(IMshareM!AS$2:AS$78)-IMshareM!AS$45),0))</f>
        <v>9.0374243719995757E-3</v>
      </c>
      <c r="AT34" s="8">
        <f>IF($A34=AT$1,0,IF(SUM(IMshareM!AT$2:AT$78)-IMshareM!AT$46&gt;0,IMshareM!AT34/(SUM(IMshareM!AT$2:AT$78)-IMshareM!AT$46),0))</f>
        <v>1.7123705719314001E-4</v>
      </c>
      <c r="AU34" s="8">
        <f>IF($A34=AU$1,0,IF(SUM(IMshareM!AU$2:AU$78)-IMshareM!AU$47&gt;0,IMshareM!AU34/(SUM(IMshareM!AU$2:AU$78)-IMshareM!AU$47),0))</f>
        <v>1.199877958528615E-3</v>
      </c>
      <c r="AV34" s="8">
        <f>IF($A34=AV$1,0,IF(SUM(IMshareM!AV$2:AV$78)-IMshareM!AV$48&gt;0,IMshareM!AV34/(SUM(IMshareM!AV$2:AV$78)-IMshareM!AV$48),0))</f>
        <v>1.4852892100824532E-2</v>
      </c>
      <c r="AW34" s="8">
        <f>IF($A34=AW$1,0,IF(SUM(IMshareM!AW$2:AW$78)-IMshareM!AW$49&gt;0,IMshareM!AW34/(SUM(IMshareM!AW$2:AW$78)-IMshareM!AW$49),0))</f>
        <v>1.7442761459086086E-2</v>
      </c>
      <c r="AX34" s="8">
        <f>IF($A34=AX$1,0,IF(SUM(IMshareM!AX$2:AX$78)-IMshareM!AX$50&gt;0,IMshareM!AX34/(SUM(IMshareM!AX$2:AX$78)-IMshareM!AX$50),0))</f>
        <v>1.0746252621068697E-4</v>
      </c>
      <c r="AY34" s="8">
        <f>IF($A34=AY$1,0,IF(SUM(IMshareM!AY$2:AY$78)-IMshareM!AY$51&gt;0,IMshareM!AY34/(SUM(IMshareM!AY$2:AY$78)-IMshareM!AY$51),0))</f>
        <v>2.0337563663830719E-2</v>
      </c>
      <c r="AZ34" s="8">
        <f>IF($A34=AZ$1,0,IF(SUM(IMshareM!AZ$2:AZ$78)-IMshareM!AZ$52&gt;0,IMshareM!AZ34/(SUM(IMshareM!AZ$2:AZ$78)-IMshareM!AZ$52),0))</f>
        <v>2.592854977718322E-3</v>
      </c>
      <c r="BA34" s="8">
        <f>IF($A34=BA$1,0,IF(SUM(IMshareM!BA$2:BA$78)-IMshareM!BA$53&gt;0,IMshareM!BA34/(SUM(IMshareM!BA$2:BA$78)-IMshareM!BA$53),0))</f>
        <v>5.2946541360797059E-2</v>
      </c>
      <c r="BB34" s="8">
        <f>IF($A34=BB$1,0,IF(SUM(IMshareM!BB$2:BB$78)-IMshareM!BB$54&gt;0,IMshareM!BB34/(SUM(IMshareM!BB$2:BB$78)-IMshareM!BB$54),0))</f>
        <v>2.0172411200118671E-3</v>
      </c>
      <c r="BC34" s="8">
        <f>IF($A34=BC$1,0,IF(SUM(IMshareM!BC$2:BC$78)-IMshareM!BC$55&gt;0,IMshareM!BC34/(SUM(IMshareM!BC$2:BC$78)-IMshareM!BC$55),0))</f>
        <v>1.55349059902195E-2</v>
      </c>
      <c r="BD34" s="8">
        <f>IF($A34=BD$1,0,IF(SUM(IMshareM!BD$2:BD$78)-IMshareM!BD$56&gt;0,IMshareM!BD34/(SUM(IMshareM!BD$2:BD$78)-IMshareM!BD$56),0))</f>
        <v>7.721090906080314E-3</v>
      </c>
      <c r="BE34" s="8">
        <f>IF($A34=BE$1,0,IF(SUM(IMshareM!BE$2:BE$78)-IMshareM!BE$57&gt;0,IMshareM!BE34/(SUM(IMshareM!BE$2:BE$78)-IMshareM!BE$57),0))</f>
        <v>0</v>
      </c>
      <c r="BF34" s="8">
        <f>IF($A34=BF$1,0,IF(SUM(IMshareM!BF$2:BF$78)-IMshareM!BF$58&gt;0,IMshareM!BF34/(SUM(IMshareM!BF$2:BF$78)-IMshareM!BF$58),0))</f>
        <v>4.8799096736591979E-3</v>
      </c>
      <c r="BG34" s="8">
        <f>IF($A34=BG$1,0,IF(SUM(IMshareM!BG$2:BG$78)-IMshareM!BG$59&gt;0,IMshareM!BG34/(SUM(IMshareM!BG$2:BG$78)-IMshareM!BG$59),0))</f>
        <v>4.4035628810523836E-3</v>
      </c>
      <c r="BH34" s="8">
        <f>IF($A34=BH$1,0,IF(SUM(IMshareM!BH$2:BH$78)-IMshareM!BH$60&gt;0,IMshareM!BH34/(SUM(IMshareM!BH$2:BH$78)-IMshareM!BH$60),0))</f>
        <v>8.7253269016294554E-3</v>
      </c>
      <c r="BI34" s="8">
        <f>IF($A34=BI$1,0,IF(SUM(IMshareM!BI$2:BI$78)-IMshareM!BI$61&gt;0,IMshareM!BI34/(SUM(IMshareM!BI$2:BI$78)-IMshareM!BI$61),0))</f>
        <v>1.7609051731649838E-3</v>
      </c>
      <c r="BJ34" s="8">
        <f>IF($A34=BJ$1,0,IF(SUM(IMshareM!BJ$2:BJ$78)-IMshareM!BJ$62&gt;0,IMshareM!BJ34/(SUM(IMshareM!BJ$2:BJ$78)-IMshareM!BJ$62),0))</f>
        <v>3.231500306321917E-3</v>
      </c>
      <c r="BK34" s="8">
        <f>IF($A34=BK$1,0,IF(SUM(IMshareM!BK$2:BK$78)-IMshareM!BK$63&gt;0,IMshareM!BK34/(SUM(IMshareM!BK$2:BK$78)-IMshareM!BK$63),0))</f>
        <v>5.9309296878849709E-3</v>
      </c>
      <c r="BL34" s="8">
        <f>IF($A34=BL$1,0,IF(SUM(IMshareM!BL$2:BL$78)-IMshareM!BL$64&gt;0,IMshareM!BL34/(SUM(IMshareM!BL$2:BL$78)-IMshareM!BL$64),0))</f>
        <v>8.4568637266187269E-2</v>
      </c>
      <c r="BM34" s="8">
        <f>IF($A34=BM$1,0,IF(SUM(IMshareM!BM$2:BM$78)-IMshareM!BM$65&gt;0,IMshareM!BM34/(SUM(IMshareM!BM$2:BM$78)-IMshareM!BM$65),0))</f>
        <v>2.2301572645502418E-2</v>
      </c>
      <c r="BN34" s="8">
        <f>IF($A34=BN$1,0,IF(SUM(IMshareM!BN$2:BN$78)-IMshareM!BN$66&gt;0,IMshareM!BN34/(SUM(IMshareM!BN$2:BN$78)-IMshareM!BN$66),0))</f>
        <v>1.0062587545242641E-2</v>
      </c>
      <c r="BO34" s="8">
        <f>IF($A34=BO$1,0,IF(SUM(IMshareM!BO$2:BO$78)-IMshareM!BO$67&gt;0,IMshareM!BO34/(SUM(IMshareM!BO$2:BO$78)-IMshareM!BO$67),0))</f>
        <v>3.3328393267266347E-4</v>
      </c>
      <c r="BP34" s="8">
        <f>IF($A34=BP$1,0,IF(SUM(IMshareM!BP$2:BP$78)-IMshareM!BP$68&gt;0,IMshareM!BP34/(SUM(IMshareM!BP$2:BP$78)-IMshareM!BP$68),0))</f>
        <v>2.154930759455971E-3</v>
      </c>
      <c r="BQ34" s="8">
        <f>IF($A34=BQ$1,0,IF(SUM(IMshareM!BQ$2:BQ$78)-IMshareM!BQ$69&gt;0,IMshareM!BQ34/(SUM(IMshareM!BQ$2:BQ$78)-IMshareM!BQ$69),0))</f>
        <v>2.0873947159774564E-3</v>
      </c>
      <c r="BR34" s="8">
        <f>IF($A34=BR$1,0,IF(SUM(IMshareM!BR$2:BR$78)-IMshareM!BR$70&gt;0,IMshareM!BR34/(SUM(IMshareM!BR$2:BR$78)-IMshareM!BR$70),0))</f>
        <v>4.3177495381762007E-3</v>
      </c>
      <c r="BS34" s="8">
        <f>IF($A34=BS$1,0,IF(SUM(IMshareM!BS$2:BS$78)-IMshareM!BS$71&gt;0,IMshareM!BS34/(SUM(IMshareM!BS$2:BS$78)-IMshareM!BS$71),0))</f>
        <v>5.2655690111769876E-4</v>
      </c>
      <c r="BT34" s="8">
        <f>IF($A34=BT$1,0,IF(SUM(IMshareM!BT$2:BT$78)-IMshareM!BT$72&gt;0,IMshareM!BT34/(SUM(IMshareM!BT$2:BT$78)-IMshareM!BT$72),0))</f>
        <v>1.9198192884538279E-2</v>
      </c>
      <c r="BU34" s="8">
        <f>IF($A34=BU$1,0,IF(SUM(IMshareM!BU$2:BU$78)-IMshareM!BU$73&gt;0,IMshareM!BU34/(SUM(IMshareM!BU$2:BU$78)-IMshareM!BU$73),0))</f>
        <v>2.8900379732654038E-3</v>
      </c>
      <c r="BV34" s="8">
        <f>IF($A34=BV$1,0,IF(SUM(IMshareM!BV$2:BV$78)-IMshareM!BV$74&gt;0,IMshareM!BV34/(SUM(IMshareM!BV$2:BV$78)-IMshareM!BV$74),0))</f>
        <v>1.473821424269639E-2</v>
      </c>
      <c r="BW34" s="8">
        <f>IF($A34=BW$1,0,IF(SUM(IMshareM!BW$2:BW$78)-IMshareM!BW$75&gt;0,IMshareM!BW34/(SUM(IMshareM!BW$2:BW$78)-IMshareM!BW$75),0))</f>
        <v>1.7679875074578816E-2</v>
      </c>
      <c r="BX34" s="8">
        <f>IF($A34=BX$1,0,IF(SUM(IMshareM!BX$2:BX$78)-IMshareM!BX$76&gt;0,IMshareM!BX34/(SUM(IMshareM!BX$2:BX$78)-IMshareM!BX$76),0))</f>
        <v>1.0089378362397573E-2</v>
      </c>
      <c r="BY34" s="8">
        <f>IF($A34=BY$1,0,IF(SUM(IMshareM!BY$2:BY$78)-IMshareM!BY$77&gt;0,IMshareM!BY34/(SUM(IMshareM!BY$2:BY$78)-IMshareM!BY$77),0))</f>
        <v>3.6535341665098836E-2</v>
      </c>
      <c r="BZ34" s="8">
        <f>IF($A34=BZ$1,0,IF(SUM(IMshareM!BZ$2:BZ$78)-IMshareM!BZ$78&gt;0,IMshareM!BZ34/(SUM(IMshareM!BZ$2:BZ$78)-IMshareM!BZ$78),0))</f>
        <v>5.9735298637072984E-2</v>
      </c>
    </row>
    <row r="35" spans="1:78">
      <c r="A35" s="4" t="s">
        <v>137</v>
      </c>
      <c r="B35" s="8">
        <f>IF($A35=B$1,0,IF(SUM(IMshareM!B$2:B$78)-IMshareM!B$2&gt;0,IMshareM!B35/(SUM(IMshareM!B$2:B$78)-IMshareM!B$2),0))</f>
        <v>2.788687392926077E-5</v>
      </c>
      <c r="C35" s="8">
        <f>IF($A35=C$1,0,IF(SUM(IMshareM!C$2:C$78)-IMshareM!C$3&gt;0,IMshareM!C35/(SUM(IMshareM!C$2:C$78)-IMshareM!C$3),0))</f>
        <v>3.5614538324206649E-4</v>
      </c>
      <c r="D35" s="8">
        <f>IF($A35=D$1,0,IF(SUM(IMshareM!D$2:D$78)-IMshareM!D$4&gt;0,IMshareM!D35/(SUM(IMshareM!D$2:D$78)-IMshareM!D$4),0))</f>
        <v>1.0685773588893094E-4</v>
      </c>
      <c r="E35" s="8">
        <f>IF($A35=E$1,0,IF(SUM(IMshareM!E$2:E$78)-IMshareM!E$5&gt;0,IMshareM!E35/(SUM(IMshareM!E$2:E$78)-IMshareM!E$5),0))</f>
        <v>2.0932586028927832E-4</v>
      </c>
      <c r="F35" s="8">
        <f>IF($A35=F$1,0,IF(SUM(IMshareM!F$2:F$78)-IMshareM!F$6&gt;0,IMshareM!F35/(SUM(IMshareM!F$2:F$78)-IMshareM!F$6),0))</f>
        <v>0</v>
      </c>
      <c r="G35" s="8">
        <f>IF($A35=G$1,0,IF(SUM(IMshareM!G$2:G$78)-IMshareM!G$7&gt;0,IMshareM!G35/(SUM(IMshareM!G$2:G$78)-IMshareM!G$7),0))</f>
        <v>2.7534810408597056E-6</v>
      </c>
      <c r="H35" s="8">
        <f>IF($A35=H$1,0,IF(SUM(IMshareM!H$2:H$78)-IMshareM!H$8&gt;0,IMshareM!H35/(SUM(IMshareM!H$2:H$78)-IMshareM!H$8),0))</f>
        <v>9.9773928161497179E-6</v>
      </c>
      <c r="I35" s="8">
        <f>IF($A35=I$1,0,IF(SUM(IMshareM!I$2:I$78)-IMshareM!I$9&gt;0,IMshareM!I35/(SUM(IMshareM!I$2:I$78)-IMshareM!I$9),0))</f>
        <v>1.4820115513092141E-3</v>
      </c>
      <c r="J35" s="8">
        <f>IF($A35=J$1,0,IF(SUM(IMshareM!J$2:J$78)-IMshareM!J$10&gt;0,IMshareM!J35/(SUM(IMshareM!J$2:J$78)-IMshareM!J$10),0))</f>
        <v>0</v>
      </c>
      <c r="K35" s="8">
        <f>IF($A35=K$1,0,IF(SUM(IMshareM!K$2:K$78)-IMshareM!K$11&gt;0,IMshareM!K35/(SUM(IMshareM!K$2:K$78)-IMshareM!K$11),0))</f>
        <v>5.6396942412040462E-5</v>
      </c>
      <c r="L35" s="8">
        <f>IF($A35=L$1,0,IF(SUM(IMshareM!L$2:L$78)-IMshareM!L$12&gt;0,IMshareM!L35/(SUM(IMshareM!L$2:L$78)-IMshareM!L$12),0))</f>
        <v>1.7163302108776253E-4</v>
      </c>
      <c r="M35" s="8">
        <f>IF($A35=M$1,0,IF(SUM(IMshareM!M$2:M$78)-IMshareM!M$13&gt;0,IMshareM!M35/(SUM(IMshareM!M$2:M$78)-IMshareM!M$13),0))</f>
        <v>2.8047805673936714E-6</v>
      </c>
      <c r="N35" s="8">
        <f>IF($A35=N$1,0,IF(SUM(IMshareM!N$2:N$78)-IMshareM!N$14&gt;0,IMshareM!N35/(SUM(IMshareM!N$2:N$78)-IMshareM!N$14),0))</f>
        <v>9.2033335367727043E-5</v>
      </c>
      <c r="O35" s="8">
        <f>IF($A35=O$1,0,IF(SUM(IMshareM!O$2:O$78)-IMshareM!O$15&gt;0,IMshareM!O35/(SUM(IMshareM!O$2:O$78)-IMshareM!O$15),0))</f>
        <v>8.3374345177989685E-5</v>
      </c>
      <c r="P35" s="8">
        <f>IF($A35=P$1,0,IF(SUM(IMshareM!P$2:P$78)-IMshareM!P$16&gt;0,IMshareM!P35/(SUM(IMshareM!P$2:P$78)-IMshareM!P$16),0))</f>
        <v>0</v>
      </c>
      <c r="Q35" s="8">
        <f>IF($A35=Q$1,0,IF(SUM(IMshareM!Q$2:Q$78)-IMshareM!Q$17&gt;0,IMshareM!Q35/(SUM(IMshareM!Q$2:Q$78)-IMshareM!Q$17),0))</f>
        <v>1.6017165502165201E-5</v>
      </c>
      <c r="R35" s="8">
        <f>IF($A35=R$1,0,IF(SUM(IMshareM!R$2:R$78)-IMshareM!R$18&gt;0,IMshareM!R35/(SUM(IMshareM!R$2:R$78)-IMshareM!R$18),0))</f>
        <v>2.0870207861322024E-4</v>
      </c>
      <c r="S35" s="8">
        <f>IF($A35=S$1,0,IF(SUM(IMshareM!S$2:S$78)-IMshareM!S$19&gt;0,IMshareM!S35/(SUM(IMshareM!S$2:S$78)-IMshareM!S$19),0))</f>
        <v>1.0339156957305618E-3</v>
      </c>
      <c r="T35" s="8">
        <f>IF($A35=T$1,0,IF(SUM(IMshareM!T$2:T$78)-IMshareM!T$20&gt;0,IMshareM!T35/(SUM(IMshareM!T$2:T$78)-IMshareM!T$20),0))</f>
        <v>2.8558212019565268E-5</v>
      </c>
      <c r="U35" s="8">
        <f>IF($A35=U$1,0,IF(SUM(IMshareM!U$2:U$78)-IMshareM!U$21&gt;0,IMshareM!U35/(SUM(IMshareM!U$2:U$78)-IMshareM!U$21),0))</f>
        <v>1.3338875809391483E-3</v>
      </c>
      <c r="V35" s="8">
        <f>IF($A35=V$1,0,IF(SUM(IMshareM!V$2:V$78)-IMshareM!V$22&gt;0,IMshareM!V35/(SUM(IMshareM!V$2:V$78)-IMshareM!V$22),0))</f>
        <v>8.7947251424727043E-5</v>
      </c>
      <c r="W35" s="8">
        <f>IF($A35=W$1,0,IF(SUM(IMshareM!W$2:W$78)-IMshareM!W$23&gt;0,IMshareM!W35/(SUM(IMshareM!W$2:W$78)-IMshareM!W$23),0))</f>
        <v>7.9459419648680429E-5</v>
      </c>
      <c r="X35" s="8">
        <f>IF($A35=X$1,0,IF(SUM(IMshareM!X$2:X$78)-IMshareM!X$24&gt;0,IMshareM!X35/(SUM(IMshareM!X$2:X$78)-IMshareM!X$24),0))</f>
        <v>3.9375661364400116E-4</v>
      </c>
      <c r="Y35" s="8">
        <f>IF($A35=Y$1,0,IF(SUM(IMshareM!Y$2:Y$78)-IMshareM!Y$25&gt;0,IMshareM!Y35/(SUM(IMshareM!Y$2:Y$78)-IMshareM!Y$25),0))</f>
        <v>3.6431256453738844E-5</v>
      </c>
      <c r="Z35" s="8">
        <f>IF($A35=Z$1,0,IF(SUM(IMshareM!Z$2:Z$78)-IMshareM!Z$26&gt;0,IMshareM!Z35/(SUM(IMshareM!Z$2:Z$78)-IMshareM!Z$26),0))</f>
        <v>1.9536123987015644E-4</v>
      </c>
      <c r="AA35" s="8">
        <f>IF($A35=AA$1,0,IF(SUM(IMshareM!AA$2:AA$78)-IMshareM!AA$27&gt;0,IMshareM!AA35/(SUM(IMshareM!AA$2:AA$78)-IMshareM!AA$27),0))</f>
        <v>1.5774178969896254E-3</v>
      </c>
      <c r="AB35" s="8">
        <f>IF($A35=AB$1,0,IF(SUM(IMshareM!AB$2:AB$78)-IMshareM!AB$28&gt;0,IMshareM!AB35/(SUM(IMshareM!AB$2:AB$78)-IMshareM!AB$28),0))</f>
        <v>5.4296986690078666E-3</v>
      </c>
      <c r="AC35" s="8">
        <f>IF($A35=AC$1,0,IF(SUM(IMshareM!AC$2:AC$78)-IMshareM!AC$29&gt;0,IMshareM!AC35/(SUM(IMshareM!AC$2:AC$78)-IMshareM!AC$29),0))</f>
        <v>4.4904156116297565E-6</v>
      </c>
      <c r="AD35" s="8">
        <f>IF($A35=AD$1,0,IF(SUM(IMshareM!AD$2:AD$78)-IMshareM!AD$30&gt;0,IMshareM!AD35/(SUM(IMshareM!AD$2:AD$78)-IMshareM!AD$30),0))</f>
        <v>3.3244274765044649E-7</v>
      </c>
      <c r="AE35" s="8">
        <f>IF($A35=AE$1,0,IF(SUM(IMshareM!AE$2:AE$78)-IMshareM!AE$31&gt;0,IMshareM!AE35/(SUM(IMshareM!AE$2:AE$78)-IMshareM!AE$31),0))</f>
        <v>2.7945147966892562E-4</v>
      </c>
      <c r="AF35" s="8">
        <f>IF($A35=AF$1,0,IF(SUM(IMshareM!AF$2:AF$78)-IMshareM!AF$32&gt;0,IMshareM!AF35/(SUM(IMshareM!AF$2:AF$78)-IMshareM!AF$32),0))</f>
        <v>5.7056677439829777E-2</v>
      </c>
      <c r="AG35" s="8">
        <f>IF($A35=AG$1,0,IF(SUM(IMshareM!AG$2:AG$78)-IMshareM!AG$33&gt;0,IMshareM!AG35/(SUM(IMshareM!AG$2:AG$78)-IMshareM!AG$33),0))</f>
        <v>4.3479069665188712E-7</v>
      </c>
      <c r="AH35" s="8">
        <f>IF($A35=AH$1,0,IF(SUM(IMshareM!AH$2:AH$78)-IMshareM!AH$34&gt;0,IMshareM!AH35/(SUM(IMshareM!AH$2:AH$78)-IMshareM!AH$34),0))</f>
        <v>7.426743729813672E-5</v>
      </c>
      <c r="AI35" s="8">
        <f>IF($A35=AI$1,0,IF(SUM(IMshareM!AI$2:AI$78)-IMshareM!AI$35&gt;0,IMshareM!AI35/(SUM(IMshareM!AI$2:AI$78)-IMshareM!AI$35),0))</f>
        <v>0</v>
      </c>
      <c r="AJ35" s="8">
        <f>IF($A35=AJ$1,0,IF(SUM(IMshareM!AJ$2:AJ$78)-IMshareM!AJ$36&gt;0,IMshareM!AJ35/(SUM(IMshareM!AJ$2:AJ$78)-IMshareM!AJ$36),0))</f>
        <v>1.0014617460014084E-3</v>
      </c>
      <c r="AK35" s="8">
        <f>IF($A35=AK$1,0,IF(SUM(IMshareM!AK$2:AK$78)-IMshareM!AK$37&gt;0,IMshareM!AK35/(SUM(IMshareM!AK$2:AK$78)-IMshareM!AK$37),0))</f>
        <v>2.3895017668013612E-3</v>
      </c>
      <c r="AL35" s="8">
        <f>IF($A35=AL$1,0,IF(SUM(IMshareM!AL$2:AL$78)-IMshareM!AL$38&gt;0,IMshareM!AL35/(SUM(IMshareM!AL$2:AL$78)-IMshareM!AL$38),0))</f>
        <v>2.0409440686161564E-3</v>
      </c>
      <c r="AM35" s="8">
        <f>IF($A35=AM$1,0,IF(SUM(IMshareM!AM$2:AM$78)-IMshareM!AM$39&gt;0,IMshareM!AM35/(SUM(IMshareM!AM$2:AM$78)-IMshareM!AM$39),0))</f>
        <v>2.0700364058702788E-6</v>
      </c>
      <c r="AN35" s="8">
        <f>IF($A35=AN$1,0,IF(SUM(IMshareM!AN$2:AN$78)-IMshareM!AN$40&gt;0,IMshareM!AN35/(SUM(IMshareM!AN$2:AN$78)-IMshareM!AN$40),0))</f>
        <v>1.9073086136657324E-4</v>
      </c>
      <c r="AO35" s="8">
        <f>IF($A35=AO$1,0,IF(SUM(IMshareM!AO$2:AO$78)-IMshareM!AO$41&gt;0,IMshareM!AO35/(SUM(IMshareM!AO$2:AO$78)-IMshareM!AO$41),0))</f>
        <v>5.9071712533084087E-6</v>
      </c>
      <c r="AP35" s="8">
        <f>IF($A35=AP$1,0,IF(SUM(IMshareM!AP$2:AP$78)-IMshareM!AP$42&gt;0,IMshareM!AP35/(SUM(IMshareM!AP$2:AP$78)-IMshareM!AP$42),0))</f>
        <v>0</v>
      </c>
      <c r="AQ35" s="8">
        <f>IF($A35=AQ$1,0,IF(SUM(IMshareM!AQ$2:AQ$78)-IMshareM!AQ$43&gt;0,IMshareM!AQ35/(SUM(IMshareM!AQ$2:AQ$78)-IMshareM!AQ$43),0))</f>
        <v>2.6104865960162181E-3</v>
      </c>
      <c r="AR35" s="8">
        <f>IF($A35=AR$1,0,IF(SUM(IMshareM!AR$2:AR$78)-IMshareM!AR$44&gt;0,IMshareM!AR35/(SUM(IMshareM!AR$2:AR$78)-IMshareM!AR$44),0))</f>
        <v>0</v>
      </c>
      <c r="AS35" s="8">
        <f>IF($A35=AS$1,0,IF(SUM(IMshareM!AS$2:AS$78)-IMshareM!AS$45&gt;0,IMshareM!AS35/(SUM(IMshareM!AS$2:AS$78)-IMshareM!AS$45),0))</f>
        <v>4.300821152055758E-4</v>
      </c>
      <c r="AT35" s="8">
        <f>IF($A35=AT$1,0,IF(SUM(IMshareM!AT$2:AT$78)-IMshareM!AT$46&gt;0,IMshareM!AT35/(SUM(IMshareM!AT$2:AT$78)-IMshareM!AT$46),0))</f>
        <v>8.2542661489024395E-4</v>
      </c>
      <c r="AU35" s="8">
        <f>IF($A35=AU$1,0,IF(SUM(IMshareM!AU$2:AU$78)-IMshareM!AU$47&gt;0,IMshareM!AU35/(SUM(IMshareM!AU$2:AU$78)-IMshareM!AU$47),0))</f>
        <v>4.2961569701278632E-3</v>
      </c>
      <c r="AV35" s="8">
        <f>IF($A35=AV$1,0,IF(SUM(IMshareM!AV$2:AV$78)-IMshareM!AV$48&gt;0,IMshareM!AV35/(SUM(IMshareM!AV$2:AV$78)-IMshareM!AV$48),0))</f>
        <v>1.3381235631485433E-5</v>
      </c>
      <c r="AW35" s="8">
        <f>IF($A35=AW$1,0,IF(SUM(IMshareM!AW$2:AW$78)-IMshareM!AW$49&gt;0,IMshareM!AW35/(SUM(IMshareM!AW$2:AW$78)-IMshareM!AW$49),0))</f>
        <v>5.4277236965593267E-4</v>
      </c>
      <c r="AX35" s="8">
        <f>IF($A35=AX$1,0,IF(SUM(IMshareM!AX$2:AX$78)-IMshareM!AX$50&gt;0,IMshareM!AX35/(SUM(IMshareM!AX$2:AX$78)-IMshareM!AX$50),0))</f>
        <v>3.1160473752820473E-4</v>
      </c>
      <c r="AY35" s="8">
        <f>IF($A35=AY$1,0,IF(SUM(IMshareM!AY$2:AY$78)-IMshareM!AY$51&gt;0,IMshareM!AY35/(SUM(IMshareM!AY$2:AY$78)-IMshareM!AY$51),0))</f>
        <v>0</v>
      </c>
      <c r="AZ35" s="8">
        <f>IF($A35=AZ$1,0,IF(SUM(IMshareM!AZ$2:AZ$78)-IMshareM!AZ$52&gt;0,IMshareM!AZ35/(SUM(IMshareM!AZ$2:AZ$78)-IMshareM!AZ$52),0))</f>
        <v>5.1170165994121731E-6</v>
      </c>
      <c r="BA35" s="8">
        <f>IF($A35=BA$1,0,IF(SUM(IMshareM!BA$2:BA$78)-IMshareM!BA$53&gt;0,IMshareM!BA35/(SUM(IMshareM!BA$2:BA$78)-IMshareM!BA$53),0))</f>
        <v>1.979701201052372E-5</v>
      </c>
      <c r="BB35" s="8">
        <f>IF($A35=BB$1,0,IF(SUM(IMshareM!BB$2:BB$78)-IMshareM!BB$54&gt;0,IMshareM!BB35/(SUM(IMshareM!BB$2:BB$78)-IMshareM!BB$54),0))</f>
        <v>2.1350313025157211E-3</v>
      </c>
      <c r="BC35" s="8">
        <f>IF($A35=BC$1,0,IF(SUM(IMshareM!BC$2:BC$78)-IMshareM!BC$55&gt;0,IMshareM!BC35/(SUM(IMshareM!BC$2:BC$78)-IMshareM!BC$55),0))</f>
        <v>5.7468247748236785E-4</v>
      </c>
      <c r="BD35" s="8">
        <f>IF($A35=BD$1,0,IF(SUM(IMshareM!BD$2:BD$78)-IMshareM!BD$56&gt;0,IMshareM!BD35/(SUM(IMshareM!BD$2:BD$78)-IMshareM!BD$56),0))</f>
        <v>8.9528718948018443E-5</v>
      </c>
      <c r="BE35" s="8">
        <f>IF($A35=BE$1,0,IF(SUM(IMshareM!BE$2:BE$78)-IMshareM!BE$57&gt;0,IMshareM!BE35/(SUM(IMshareM!BE$2:BE$78)-IMshareM!BE$57),0))</f>
        <v>1.110041671893407E-4</v>
      </c>
      <c r="BF35" s="8">
        <f>IF($A35=BF$1,0,IF(SUM(IMshareM!BF$2:BF$78)-IMshareM!BF$58&gt;0,IMshareM!BF35/(SUM(IMshareM!BF$2:BF$78)-IMshareM!BF$58),0))</f>
        <v>2.4250352963303069E-5</v>
      </c>
      <c r="BG35" s="8">
        <f>IF($A35=BG$1,0,IF(SUM(IMshareM!BG$2:BG$78)-IMshareM!BG$59&gt;0,IMshareM!BG35/(SUM(IMshareM!BG$2:BG$78)-IMshareM!BG$59),0))</f>
        <v>6.6745754053357089E-6</v>
      </c>
      <c r="BH35" s="8">
        <f>IF($A35=BH$1,0,IF(SUM(IMshareM!BH$2:BH$78)-IMshareM!BH$60&gt;0,IMshareM!BH35/(SUM(IMshareM!BH$2:BH$78)-IMshareM!BH$60),0))</f>
        <v>1.1426494729706331E-3</v>
      </c>
      <c r="BI35" s="8">
        <f>IF($A35=BI$1,0,IF(SUM(IMshareM!BI$2:BI$78)-IMshareM!BI$61&gt;0,IMshareM!BI35/(SUM(IMshareM!BI$2:BI$78)-IMshareM!BI$61),0))</f>
        <v>3.2919898791475932E-6</v>
      </c>
      <c r="BJ35" s="8">
        <f>IF($A35=BJ$1,0,IF(SUM(IMshareM!BJ$2:BJ$78)-IMshareM!BJ$62&gt;0,IMshareM!BJ35/(SUM(IMshareM!BJ$2:BJ$78)-IMshareM!BJ$62),0))</f>
        <v>1.6633673229551724E-3</v>
      </c>
      <c r="BK35" s="8">
        <f>IF($A35=BK$1,0,IF(SUM(IMshareM!BK$2:BK$78)-IMshareM!BK$63&gt;0,IMshareM!BK35/(SUM(IMshareM!BK$2:BK$78)-IMshareM!BK$63),0))</f>
        <v>2.2657928018135215E-5</v>
      </c>
      <c r="BL35" s="8">
        <f>IF($A35=BL$1,0,IF(SUM(IMshareM!BL$2:BL$78)-IMshareM!BL$64&gt;0,IMshareM!BL35/(SUM(IMshareM!BL$2:BL$78)-IMshareM!BL$64),0))</f>
        <v>6.6690128239731044E-3</v>
      </c>
      <c r="BM35" s="8">
        <f>IF($A35=BM$1,0,IF(SUM(IMshareM!BM$2:BM$78)-IMshareM!BM$65&gt;0,IMshareM!BM35/(SUM(IMshareM!BM$2:BM$78)-IMshareM!BM$65),0))</f>
        <v>0</v>
      </c>
      <c r="BN35" s="8">
        <f>IF($A35=BN$1,0,IF(SUM(IMshareM!BN$2:BN$78)-IMshareM!BN$66&gt;0,IMshareM!BN35/(SUM(IMshareM!BN$2:BN$78)-IMshareM!BN$66),0))</f>
        <v>8.7965279826171392E-5</v>
      </c>
      <c r="BO35" s="8">
        <f>IF($A35=BO$1,0,IF(SUM(IMshareM!BO$2:BO$78)-IMshareM!BO$67&gt;0,IMshareM!BO35/(SUM(IMshareM!BO$2:BO$78)-IMshareM!BO$67),0))</f>
        <v>2.0678023511388134E-3</v>
      </c>
      <c r="BP35" s="8">
        <f>IF($A35=BP$1,0,IF(SUM(IMshareM!BP$2:BP$78)-IMshareM!BP$68&gt;0,IMshareM!BP35/(SUM(IMshareM!BP$2:BP$78)-IMshareM!BP$68),0))</f>
        <v>4.2879650110503266E-5</v>
      </c>
      <c r="BQ35" s="8">
        <f>IF($A35=BQ$1,0,IF(SUM(IMshareM!BQ$2:BQ$78)-IMshareM!BQ$69&gt;0,IMshareM!BQ35/(SUM(IMshareM!BQ$2:BQ$78)-IMshareM!BQ$69),0))</f>
        <v>4.0584382655252966E-5</v>
      </c>
      <c r="BR35" s="8">
        <f>IF($A35=BR$1,0,IF(SUM(IMshareM!BR$2:BR$78)-IMshareM!BR$70&gt;0,IMshareM!BR35/(SUM(IMshareM!BR$2:BR$78)-IMshareM!BR$70),0))</f>
        <v>3.7755435939865654E-5</v>
      </c>
      <c r="BS35" s="8">
        <f>IF($A35=BS$1,0,IF(SUM(IMshareM!BS$2:BS$78)-IMshareM!BS$71&gt;0,IMshareM!BS35/(SUM(IMshareM!BS$2:BS$78)-IMshareM!BS$71),0))</f>
        <v>2.9429853004825925E-5</v>
      </c>
      <c r="BT35" s="8">
        <f>IF($A35=BT$1,0,IF(SUM(IMshareM!BT$2:BT$78)-IMshareM!BT$72&gt;0,IMshareM!BT35/(SUM(IMshareM!BT$2:BT$78)-IMshareM!BT$72),0))</f>
        <v>1.3394118345730461E-3</v>
      </c>
      <c r="BU35" s="8">
        <f>IF($A35=BU$1,0,IF(SUM(IMshareM!BU$2:BU$78)-IMshareM!BU$73&gt;0,IMshareM!BU35/(SUM(IMshareM!BU$2:BU$78)-IMshareM!BU$73),0))</f>
        <v>9.8769803461815701E-6</v>
      </c>
      <c r="BV35" s="8">
        <f>IF($A35=BV$1,0,IF(SUM(IMshareM!BV$2:BV$78)-IMshareM!BV$74&gt;0,IMshareM!BV35/(SUM(IMshareM!BV$2:BV$78)-IMshareM!BV$74),0))</f>
        <v>1.356285767256718E-2</v>
      </c>
      <c r="BW35" s="8">
        <f>IF($A35=BW$1,0,IF(SUM(IMshareM!BW$2:BW$78)-IMshareM!BW$75&gt;0,IMshareM!BW35/(SUM(IMshareM!BW$2:BW$78)-IMshareM!BW$75),0))</f>
        <v>2.9396618619273039E-3</v>
      </c>
      <c r="BX35" s="8">
        <f>IF($A35=BX$1,0,IF(SUM(IMshareM!BX$2:BX$78)-IMshareM!BX$76&gt;0,IMshareM!BX35/(SUM(IMshareM!BX$2:BX$78)-IMshareM!BX$76),0))</f>
        <v>5.6955953087192865E-6</v>
      </c>
      <c r="BY35" s="8">
        <f>IF($A35=BY$1,0,IF(SUM(IMshareM!BY$2:BY$78)-IMshareM!BY$77&gt;0,IMshareM!BY35/(SUM(IMshareM!BY$2:BY$78)-IMshareM!BY$77),0))</f>
        <v>4.8063855072590382E-4</v>
      </c>
      <c r="BZ35" s="8">
        <f>IF($A35=BZ$1,0,IF(SUM(IMshareM!BZ$2:BZ$78)-IMshareM!BZ$78&gt;0,IMshareM!BZ35/(SUM(IMshareM!BZ$2:BZ$78)-IMshareM!BZ$78),0))</f>
        <v>1.5832764946150038E-4</v>
      </c>
    </row>
    <row r="36" spans="1:78">
      <c r="A36" s="4" t="s">
        <v>139</v>
      </c>
      <c r="B36" s="8">
        <f>IF($A36=B$1,0,IF(SUM(IMshareM!B$2:B$78)-IMshareM!B$2&gt;0,IMshareM!B36/(SUM(IMshareM!B$2:B$78)-IMshareM!B$2),0))</f>
        <v>0</v>
      </c>
      <c r="C36" s="8">
        <f>IF($A36=C$1,0,IF(SUM(IMshareM!C$2:C$78)-IMshareM!C$3&gt;0,IMshareM!C36/(SUM(IMshareM!C$2:C$78)-IMshareM!C$3),0))</f>
        <v>1.5640870858481891E-4</v>
      </c>
      <c r="D36" s="8">
        <f>IF($A36=D$1,0,IF(SUM(IMshareM!D$2:D$78)-IMshareM!D$4&gt;0,IMshareM!D36/(SUM(IMshareM!D$2:D$78)-IMshareM!D$4),0))</f>
        <v>8.7728978369651177E-8</v>
      </c>
      <c r="E36" s="8">
        <f>IF($A36=E$1,0,IF(SUM(IMshareM!E$2:E$78)-IMshareM!E$5&gt;0,IMshareM!E36/(SUM(IMshareM!E$2:E$78)-IMshareM!E$5),0))</f>
        <v>9.9127438148636325E-5</v>
      </c>
      <c r="F36" s="8">
        <f>IF($A36=F$1,0,IF(SUM(IMshareM!F$2:F$78)-IMshareM!F$6&gt;0,IMshareM!F36/(SUM(IMshareM!F$2:F$78)-IMshareM!F$6),0))</f>
        <v>0</v>
      </c>
      <c r="G36" s="8">
        <f>IF($A36=G$1,0,IF(SUM(IMshareM!G$2:G$78)-IMshareM!G$7&gt;0,IMshareM!G36/(SUM(IMshareM!G$2:G$78)-IMshareM!G$7),0))</f>
        <v>0</v>
      </c>
      <c r="H36" s="8">
        <f>IF($A36=H$1,0,IF(SUM(IMshareM!H$2:H$78)-IMshareM!H$8&gt;0,IMshareM!H36/(SUM(IMshareM!H$2:H$78)-IMshareM!H$8),0))</f>
        <v>0</v>
      </c>
      <c r="I36" s="8">
        <f>IF($A36=I$1,0,IF(SUM(IMshareM!I$2:I$78)-IMshareM!I$9&gt;0,IMshareM!I36/(SUM(IMshareM!I$2:I$78)-IMshareM!I$9),0))</f>
        <v>7.0670518055700659E-6</v>
      </c>
      <c r="J36" s="8">
        <f>IF($A36=J$1,0,IF(SUM(IMshareM!J$2:J$78)-IMshareM!J$10&gt;0,IMshareM!J36/(SUM(IMshareM!J$2:J$78)-IMshareM!J$10),0))</f>
        <v>0</v>
      </c>
      <c r="K36" s="8">
        <f>IF($A36=K$1,0,IF(SUM(IMshareM!K$2:K$78)-IMshareM!K$11&gt;0,IMshareM!K36/(SUM(IMshareM!K$2:K$78)-IMshareM!K$11),0))</f>
        <v>4.0989080991442536E-6</v>
      </c>
      <c r="L36" s="8">
        <f>IF($A36=L$1,0,IF(SUM(IMshareM!L$2:L$78)-IMshareM!L$12&gt;0,IMshareM!L36/(SUM(IMshareM!L$2:L$78)-IMshareM!L$12),0))</f>
        <v>2.6245135194794785E-5</v>
      </c>
      <c r="M36" s="8">
        <f>IF($A36=M$1,0,IF(SUM(IMshareM!M$2:M$78)-IMshareM!M$13&gt;0,IMshareM!M36/(SUM(IMshareM!M$2:M$78)-IMshareM!M$13),0))</f>
        <v>2.5425041307540115E-6</v>
      </c>
      <c r="N36" s="8">
        <f>IF($A36=N$1,0,IF(SUM(IMshareM!N$2:N$78)-IMshareM!N$14&gt;0,IMshareM!N36/(SUM(IMshareM!N$2:N$78)-IMshareM!N$14),0))</f>
        <v>0</v>
      </c>
      <c r="O36" s="8">
        <f>IF($A36=O$1,0,IF(SUM(IMshareM!O$2:O$78)-IMshareM!O$15&gt;0,IMshareM!O36/(SUM(IMshareM!O$2:O$78)-IMshareM!O$15),0))</f>
        <v>0</v>
      </c>
      <c r="P36" s="8">
        <f>IF($A36=P$1,0,IF(SUM(IMshareM!P$2:P$78)-IMshareM!P$16&gt;0,IMshareM!P36/(SUM(IMshareM!P$2:P$78)-IMshareM!P$16),0))</f>
        <v>0</v>
      </c>
      <c r="Q36" s="8">
        <f>IF($A36=Q$1,0,IF(SUM(IMshareM!Q$2:Q$78)-IMshareM!Q$17&gt;0,IMshareM!Q36/(SUM(IMshareM!Q$2:Q$78)-IMshareM!Q$17),0))</f>
        <v>0</v>
      </c>
      <c r="R36" s="8">
        <f>IF($A36=R$1,0,IF(SUM(IMshareM!R$2:R$78)-IMshareM!R$18&gt;0,IMshareM!R36/(SUM(IMshareM!R$2:R$78)-IMshareM!R$18),0))</f>
        <v>0</v>
      </c>
      <c r="S36" s="8">
        <f>IF($A36=S$1,0,IF(SUM(IMshareM!S$2:S$78)-IMshareM!S$19&gt;0,IMshareM!S36/(SUM(IMshareM!S$2:S$78)-IMshareM!S$19),0))</f>
        <v>0</v>
      </c>
      <c r="T36" s="8">
        <f>IF($A36=T$1,0,IF(SUM(IMshareM!T$2:T$78)-IMshareM!T$20&gt;0,IMshareM!T36/(SUM(IMshareM!T$2:T$78)-IMshareM!T$20),0))</f>
        <v>5.8100947791822736E-8</v>
      </c>
      <c r="U36" s="8">
        <f>IF($A36=U$1,0,IF(SUM(IMshareM!U$2:U$78)-IMshareM!U$21&gt;0,IMshareM!U36/(SUM(IMshareM!U$2:U$78)-IMshareM!U$21),0))</f>
        <v>2.4841041847508803E-6</v>
      </c>
      <c r="V36" s="8">
        <f>IF($A36=V$1,0,IF(SUM(IMshareM!V$2:V$78)-IMshareM!V$22&gt;0,IMshareM!V36/(SUM(IMshareM!V$2:V$78)-IMshareM!V$22),0))</f>
        <v>4.5608130115344457E-4</v>
      </c>
      <c r="W36" s="8">
        <f>IF($A36=W$1,0,IF(SUM(IMshareM!W$2:W$78)-IMshareM!W$23&gt;0,IMshareM!W36/(SUM(IMshareM!W$2:W$78)-IMshareM!W$23),0))</f>
        <v>2.3988667704067579E-6</v>
      </c>
      <c r="X36" s="8">
        <f>IF($A36=X$1,0,IF(SUM(IMshareM!X$2:X$78)-IMshareM!X$24&gt;0,IMshareM!X36/(SUM(IMshareM!X$2:X$78)-IMshareM!X$24),0))</f>
        <v>2.7358515501863648E-6</v>
      </c>
      <c r="Y36" s="8">
        <f>IF($A36=Y$1,0,IF(SUM(IMshareM!Y$2:Y$78)-IMshareM!Y$25&gt;0,IMshareM!Y36/(SUM(IMshareM!Y$2:Y$78)-IMshareM!Y$25),0))</f>
        <v>0</v>
      </c>
      <c r="Z36" s="8">
        <f>IF($A36=Z$1,0,IF(SUM(IMshareM!Z$2:Z$78)-IMshareM!Z$26&gt;0,IMshareM!Z36/(SUM(IMshareM!Z$2:Z$78)-IMshareM!Z$26),0))</f>
        <v>0</v>
      </c>
      <c r="AA36" s="8">
        <f>IF($A36=AA$1,0,IF(SUM(IMshareM!AA$2:AA$78)-IMshareM!AA$27&gt;0,IMshareM!AA36/(SUM(IMshareM!AA$2:AA$78)-IMshareM!AA$27),0))</f>
        <v>4.3168194967594428E-5</v>
      </c>
      <c r="AB36" s="8">
        <f>IF($A36=AB$1,0,IF(SUM(IMshareM!AB$2:AB$78)-IMshareM!AB$28&gt;0,IMshareM!AB36/(SUM(IMshareM!AB$2:AB$78)-IMshareM!AB$28),0))</f>
        <v>3.4116310499899294E-5</v>
      </c>
      <c r="AC36" s="8">
        <f>IF($A36=AC$1,0,IF(SUM(IMshareM!AC$2:AC$78)-IMshareM!AC$29&gt;0,IMshareM!AC36/(SUM(IMshareM!AC$2:AC$78)-IMshareM!AC$29),0))</f>
        <v>6.1822791049081842E-6</v>
      </c>
      <c r="AD36" s="8">
        <f>IF($A36=AD$1,0,IF(SUM(IMshareM!AD$2:AD$78)-IMshareM!AD$30&gt;0,IMshareM!AD36/(SUM(IMshareM!AD$2:AD$78)-IMshareM!AD$30),0))</f>
        <v>0</v>
      </c>
      <c r="AE36" s="8">
        <f>IF($A36=AE$1,0,IF(SUM(IMshareM!AE$2:AE$78)-IMshareM!AE$31&gt;0,IMshareM!AE36/(SUM(IMshareM!AE$2:AE$78)-IMshareM!AE$31),0))</f>
        <v>0</v>
      </c>
      <c r="AF36" s="8">
        <f>IF($A36=AF$1,0,IF(SUM(IMshareM!AF$2:AF$78)-IMshareM!AF$32&gt;0,IMshareM!AF36/(SUM(IMshareM!AF$2:AF$78)-IMshareM!AF$32),0))</f>
        <v>0</v>
      </c>
      <c r="AG36" s="8">
        <f>IF($A36=AG$1,0,IF(SUM(IMshareM!AG$2:AG$78)-IMshareM!AG$33&gt;0,IMshareM!AG36/(SUM(IMshareM!AG$2:AG$78)-IMshareM!AG$33),0))</f>
        <v>0</v>
      </c>
      <c r="AH36" s="8">
        <f>IF($A36=AH$1,0,IF(SUM(IMshareM!AH$2:AH$78)-IMshareM!AH$34&gt;0,IMshareM!AH36/(SUM(IMshareM!AH$2:AH$78)-IMshareM!AH$34),0))</f>
        <v>0</v>
      </c>
      <c r="AI36" s="8">
        <f>IF($A36=AI$1,0,IF(SUM(IMshareM!AI$2:AI$78)-IMshareM!AI$35&gt;0,IMshareM!AI36/(SUM(IMshareM!AI$2:AI$78)-IMshareM!AI$35),0))</f>
        <v>1.0015741792073182E-5</v>
      </c>
      <c r="AJ36" s="8">
        <f>IF($A36=AJ$1,0,IF(SUM(IMshareM!AJ$2:AJ$78)-IMshareM!AJ$36&gt;0,IMshareM!AJ36/(SUM(IMshareM!AJ$2:AJ$78)-IMshareM!AJ$36),0))</f>
        <v>0</v>
      </c>
      <c r="AK36" s="8">
        <f>IF($A36=AK$1,0,IF(SUM(IMshareM!AK$2:AK$78)-IMshareM!AK$37&gt;0,IMshareM!AK36/(SUM(IMshareM!AK$2:AK$78)-IMshareM!AK$37),0))</f>
        <v>0</v>
      </c>
      <c r="AL36" s="8">
        <f>IF($A36=AL$1,0,IF(SUM(IMshareM!AL$2:AL$78)-IMshareM!AL$38&gt;0,IMshareM!AL36/(SUM(IMshareM!AL$2:AL$78)-IMshareM!AL$38),0))</f>
        <v>0</v>
      </c>
      <c r="AM36" s="8">
        <f>IF($A36=AM$1,0,IF(SUM(IMshareM!AM$2:AM$78)-IMshareM!AM$39&gt;0,IMshareM!AM36/(SUM(IMshareM!AM$2:AM$78)-IMshareM!AM$39),0))</f>
        <v>0</v>
      </c>
      <c r="AN36" s="8">
        <f>IF($A36=AN$1,0,IF(SUM(IMshareM!AN$2:AN$78)-IMshareM!AN$40&gt;0,IMshareM!AN36/(SUM(IMshareM!AN$2:AN$78)-IMshareM!AN$40),0))</f>
        <v>7.2418464157548031E-6</v>
      </c>
      <c r="AO36" s="8">
        <f>IF($A36=AO$1,0,IF(SUM(IMshareM!AO$2:AO$78)-IMshareM!AO$41&gt;0,IMshareM!AO36/(SUM(IMshareM!AO$2:AO$78)-IMshareM!AO$41),0))</f>
        <v>0</v>
      </c>
      <c r="AP36" s="8">
        <f>IF($A36=AP$1,0,IF(SUM(IMshareM!AP$2:AP$78)-IMshareM!AP$42&gt;0,IMshareM!AP36/(SUM(IMshareM!AP$2:AP$78)-IMshareM!AP$42),0))</f>
        <v>0</v>
      </c>
      <c r="AQ36" s="8">
        <f>IF($A36=AQ$1,0,IF(SUM(IMshareM!AQ$2:AQ$78)-IMshareM!AQ$43&gt;0,IMshareM!AQ36/(SUM(IMshareM!AQ$2:AQ$78)-IMshareM!AQ$43),0))</f>
        <v>8.3656470499290273E-9</v>
      </c>
      <c r="AR36" s="8">
        <f>IF($A36=AR$1,0,IF(SUM(IMshareM!AR$2:AR$78)-IMshareM!AR$44&gt;0,IMshareM!AR36/(SUM(IMshareM!AR$2:AR$78)-IMshareM!AR$44),0))</f>
        <v>0</v>
      </c>
      <c r="AS36" s="8">
        <f>IF($A36=AS$1,0,IF(SUM(IMshareM!AS$2:AS$78)-IMshareM!AS$45&gt;0,IMshareM!AS36/(SUM(IMshareM!AS$2:AS$78)-IMshareM!AS$45),0))</f>
        <v>1.4213107817936038E-4</v>
      </c>
      <c r="AT36" s="8">
        <f>IF($A36=AT$1,0,IF(SUM(IMshareM!AT$2:AT$78)-IMshareM!AT$46&gt;0,IMshareM!AT36/(SUM(IMshareM!AT$2:AT$78)-IMshareM!AT$46),0))</f>
        <v>0</v>
      </c>
      <c r="AU36" s="8">
        <f>IF($A36=AU$1,0,IF(SUM(IMshareM!AU$2:AU$78)-IMshareM!AU$47&gt;0,IMshareM!AU36/(SUM(IMshareM!AU$2:AU$78)-IMshareM!AU$47),0))</f>
        <v>0</v>
      </c>
      <c r="AV36" s="8">
        <f>IF($A36=AV$1,0,IF(SUM(IMshareM!AV$2:AV$78)-IMshareM!AV$48&gt;0,IMshareM!AV36/(SUM(IMshareM!AV$2:AV$78)-IMshareM!AV$48),0))</f>
        <v>0</v>
      </c>
      <c r="AW36" s="8">
        <f>IF($A36=AW$1,0,IF(SUM(IMshareM!AW$2:AW$78)-IMshareM!AW$49&gt;0,IMshareM!AW36/(SUM(IMshareM!AW$2:AW$78)-IMshareM!AW$49),0))</f>
        <v>0</v>
      </c>
      <c r="AX36" s="8">
        <f>IF($A36=AX$1,0,IF(SUM(IMshareM!AX$2:AX$78)-IMshareM!AX$50&gt;0,IMshareM!AX36/(SUM(IMshareM!AX$2:AX$78)-IMshareM!AX$50),0))</f>
        <v>0</v>
      </c>
      <c r="AY36" s="8">
        <f>IF($A36=AY$1,0,IF(SUM(IMshareM!AY$2:AY$78)-IMshareM!AY$51&gt;0,IMshareM!AY36/(SUM(IMshareM!AY$2:AY$78)-IMshareM!AY$51),0))</f>
        <v>0</v>
      </c>
      <c r="AZ36" s="8">
        <f>IF($A36=AZ$1,0,IF(SUM(IMshareM!AZ$2:AZ$78)-IMshareM!AZ$52&gt;0,IMshareM!AZ36/(SUM(IMshareM!AZ$2:AZ$78)-IMshareM!AZ$52),0))</f>
        <v>0</v>
      </c>
      <c r="BA36" s="8">
        <f>IF($A36=BA$1,0,IF(SUM(IMshareM!BA$2:BA$78)-IMshareM!BA$53&gt;0,IMshareM!BA36/(SUM(IMshareM!BA$2:BA$78)-IMshareM!BA$53),0))</f>
        <v>0</v>
      </c>
      <c r="BB36" s="8">
        <f>IF($A36=BB$1,0,IF(SUM(IMshareM!BB$2:BB$78)-IMshareM!BB$54&gt;0,IMshareM!BB36/(SUM(IMshareM!BB$2:BB$78)-IMshareM!BB$54),0))</f>
        <v>2.3361109036720308E-4</v>
      </c>
      <c r="BC36" s="8">
        <f>IF($A36=BC$1,0,IF(SUM(IMshareM!BC$2:BC$78)-IMshareM!BC$55&gt;0,IMshareM!BC36/(SUM(IMshareM!BC$2:BC$78)-IMshareM!BC$55),0))</f>
        <v>2.6706655653471831E-4</v>
      </c>
      <c r="BD36" s="8">
        <f>IF($A36=BD$1,0,IF(SUM(IMshareM!BD$2:BD$78)-IMshareM!BD$56&gt;0,IMshareM!BD36/(SUM(IMshareM!BD$2:BD$78)-IMshareM!BD$56),0))</f>
        <v>4.8423438302932028E-5</v>
      </c>
      <c r="BE36" s="8">
        <f>IF($A36=BE$1,0,IF(SUM(IMshareM!BE$2:BE$78)-IMshareM!BE$57&gt;0,IMshareM!BE36/(SUM(IMshareM!BE$2:BE$78)-IMshareM!BE$57),0))</f>
        <v>0</v>
      </c>
      <c r="BF36" s="8">
        <f>IF($A36=BF$1,0,IF(SUM(IMshareM!BF$2:BF$78)-IMshareM!BF$58&gt;0,IMshareM!BF36/(SUM(IMshareM!BF$2:BF$78)-IMshareM!BF$58),0))</f>
        <v>0</v>
      </c>
      <c r="BG36" s="8">
        <f>IF($A36=BG$1,0,IF(SUM(IMshareM!BG$2:BG$78)-IMshareM!BG$59&gt;0,IMshareM!BG36/(SUM(IMshareM!BG$2:BG$78)-IMshareM!BG$59),0))</f>
        <v>0</v>
      </c>
      <c r="BH36" s="8">
        <f>IF($A36=BH$1,0,IF(SUM(IMshareM!BH$2:BH$78)-IMshareM!BH$60&gt;0,IMshareM!BH36/(SUM(IMshareM!BH$2:BH$78)-IMshareM!BH$60),0))</f>
        <v>2.067138924190359E-6</v>
      </c>
      <c r="BI36" s="8">
        <f>IF($A36=BI$1,0,IF(SUM(IMshareM!BI$2:BI$78)-IMshareM!BI$61&gt;0,IMshareM!BI36/(SUM(IMshareM!BI$2:BI$78)-IMshareM!BI$61),0))</f>
        <v>0</v>
      </c>
      <c r="BJ36" s="8">
        <f>IF($A36=BJ$1,0,IF(SUM(IMshareM!BJ$2:BJ$78)-IMshareM!BJ$62&gt;0,IMshareM!BJ36/(SUM(IMshareM!BJ$2:BJ$78)-IMshareM!BJ$62),0))</f>
        <v>0</v>
      </c>
      <c r="BK36" s="8">
        <f>IF($A36=BK$1,0,IF(SUM(IMshareM!BK$2:BK$78)-IMshareM!BK$63&gt;0,IMshareM!BK36/(SUM(IMshareM!BK$2:BK$78)-IMshareM!BK$63),0))</f>
        <v>0</v>
      </c>
      <c r="BL36" s="8">
        <f>IF($A36=BL$1,0,IF(SUM(IMshareM!BL$2:BL$78)-IMshareM!BL$64&gt;0,IMshareM!BL36/(SUM(IMshareM!BL$2:BL$78)-IMshareM!BL$64),0))</f>
        <v>1.614265596658742E-5</v>
      </c>
      <c r="BM36" s="8">
        <f>IF($A36=BM$1,0,IF(SUM(IMshareM!BM$2:BM$78)-IMshareM!BM$65&gt;0,IMshareM!BM36/(SUM(IMshareM!BM$2:BM$78)-IMshareM!BM$65),0))</f>
        <v>0</v>
      </c>
      <c r="BN36" s="8">
        <f>IF($A36=BN$1,0,IF(SUM(IMshareM!BN$2:BN$78)-IMshareM!BN$66&gt;0,IMshareM!BN36/(SUM(IMshareM!BN$2:BN$78)-IMshareM!BN$66),0))</f>
        <v>1.5534776038977051E-5</v>
      </c>
      <c r="BO36" s="8">
        <f>IF($A36=BO$1,0,IF(SUM(IMshareM!BO$2:BO$78)-IMshareM!BO$67&gt;0,IMshareM!BO36/(SUM(IMshareM!BO$2:BO$78)-IMshareM!BO$67),0))</f>
        <v>2.8862400179269749E-6</v>
      </c>
      <c r="BP36" s="8">
        <f>IF($A36=BP$1,0,IF(SUM(IMshareM!BP$2:BP$78)-IMshareM!BP$68&gt;0,IMshareM!BP36/(SUM(IMshareM!BP$2:BP$78)-IMshareM!BP$68),0))</f>
        <v>0</v>
      </c>
      <c r="BQ36" s="8">
        <f>IF($A36=BQ$1,0,IF(SUM(IMshareM!BQ$2:BQ$78)-IMshareM!BQ$69&gt;0,IMshareM!BQ36/(SUM(IMshareM!BQ$2:BQ$78)-IMshareM!BQ$69),0))</f>
        <v>9.2803877470402415E-6</v>
      </c>
      <c r="BR36" s="8">
        <f>IF($A36=BR$1,0,IF(SUM(IMshareM!BR$2:BR$78)-IMshareM!BR$70&gt;0,IMshareM!BR36/(SUM(IMshareM!BR$2:BR$78)-IMshareM!BR$70),0))</f>
        <v>0</v>
      </c>
      <c r="BS36" s="8">
        <f>IF($A36=BS$1,0,IF(SUM(IMshareM!BS$2:BS$78)-IMshareM!BS$71&gt;0,IMshareM!BS36/(SUM(IMshareM!BS$2:BS$78)-IMshareM!BS$71),0))</f>
        <v>0</v>
      </c>
      <c r="BT36" s="8">
        <f>IF($A36=BT$1,0,IF(SUM(IMshareM!BT$2:BT$78)-IMshareM!BT$72&gt;0,IMshareM!BT36/(SUM(IMshareM!BT$2:BT$78)-IMshareM!BT$72),0))</f>
        <v>0</v>
      </c>
      <c r="BU36" s="8">
        <f>IF($A36=BU$1,0,IF(SUM(IMshareM!BU$2:BU$78)-IMshareM!BU$73&gt;0,IMshareM!BU36/(SUM(IMshareM!BU$2:BU$78)-IMshareM!BU$73),0))</f>
        <v>0</v>
      </c>
      <c r="BV36" s="8">
        <f>IF($A36=BV$1,0,IF(SUM(IMshareM!BV$2:BV$78)-IMshareM!BV$74&gt;0,IMshareM!BV36/(SUM(IMshareM!BV$2:BV$78)-IMshareM!BV$74),0))</f>
        <v>0</v>
      </c>
      <c r="BW36" s="8">
        <f>IF($A36=BW$1,0,IF(SUM(IMshareM!BW$2:BW$78)-IMshareM!BW$75&gt;0,IMshareM!BW36/(SUM(IMshareM!BW$2:BW$78)-IMshareM!BW$75),0))</f>
        <v>1.1472805150812593E-5</v>
      </c>
      <c r="BX36" s="8">
        <f>IF($A36=BX$1,0,IF(SUM(IMshareM!BX$2:BX$78)-IMshareM!BX$76&gt;0,IMshareM!BX36/(SUM(IMshareM!BX$2:BX$78)-IMshareM!BX$76),0))</f>
        <v>0</v>
      </c>
      <c r="BY36" s="8">
        <f>IF($A36=BY$1,0,IF(SUM(IMshareM!BY$2:BY$78)-IMshareM!BY$77&gt;0,IMshareM!BY36/(SUM(IMshareM!BY$2:BY$78)-IMshareM!BY$77),0))</f>
        <v>0</v>
      </c>
      <c r="BZ36" s="8">
        <f>IF($A36=BZ$1,0,IF(SUM(IMshareM!BZ$2:BZ$78)-IMshareM!BZ$78&gt;0,IMshareM!BZ36/(SUM(IMshareM!BZ$2:BZ$78)-IMshareM!BZ$78),0))</f>
        <v>9.6692239005860845E-7</v>
      </c>
    </row>
    <row r="37" spans="1:78">
      <c r="A37" s="4" t="s">
        <v>141</v>
      </c>
      <c r="B37" s="8">
        <f>IF($A37=B$1,0,IF(SUM(IMshareM!B$2:B$78)-IMshareM!B$2&gt;0,IMshareM!B37/(SUM(IMshareM!B$2:B$78)-IMshareM!B$2),0))</f>
        <v>5.3693727868986039E-4</v>
      </c>
      <c r="C37" s="8">
        <f>IF($A37=C$1,0,IF(SUM(IMshareM!C$2:C$78)-IMshareM!C$3&gt;0,IMshareM!C37/(SUM(IMshareM!C$2:C$78)-IMshareM!C$3),0))</f>
        <v>2.6279004334764508E-4</v>
      </c>
      <c r="D37" s="8">
        <f>IF($A37=D$1,0,IF(SUM(IMshareM!D$2:D$78)-IMshareM!D$4&gt;0,IMshareM!D37/(SUM(IMshareM!D$2:D$78)-IMshareM!D$4),0))</f>
        <v>1.9655952664493046E-3</v>
      </c>
      <c r="E37" s="8">
        <f>IF($A37=E$1,0,IF(SUM(IMshareM!E$2:E$78)-IMshareM!E$5&gt;0,IMshareM!E37/(SUM(IMshareM!E$2:E$78)-IMshareM!E$5),0))</f>
        <v>2.1611157537100302E-4</v>
      </c>
      <c r="F37" s="8">
        <f>IF($A37=F$1,0,IF(SUM(IMshareM!F$2:F$78)-IMshareM!F$6&gt;0,IMshareM!F37/(SUM(IMshareM!F$2:F$78)-IMshareM!F$6),0))</f>
        <v>0</v>
      </c>
      <c r="G37" s="8">
        <f>IF($A37=G$1,0,IF(SUM(IMshareM!G$2:G$78)-IMshareM!G$7&gt;0,IMshareM!G37/(SUM(IMshareM!G$2:G$78)-IMshareM!G$7),0))</f>
        <v>3.8155000658141893E-5</v>
      </c>
      <c r="H37" s="8">
        <f>IF($A37=H$1,0,IF(SUM(IMshareM!H$2:H$78)-IMshareM!H$8&gt;0,IMshareM!H37/(SUM(IMshareM!H$2:H$78)-IMshareM!H$8),0))</f>
        <v>4.446494226568733E-3</v>
      </c>
      <c r="I37" s="8">
        <f>IF($A37=I$1,0,IF(SUM(IMshareM!I$2:I$78)-IMshareM!I$9&gt;0,IMshareM!I37/(SUM(IMshareM!I$2:I$78)-IMshareM!I$9),0))</f>
        <v>7.5764414418308807E-5</v>
      </c>
      <c r="J37" s="8">
        <f>IF($A37=J$1,0,IF(SUM(IMshareM!J$2:J$78)-IMshareM!J$10&gt;0,IMshareM!J37/(SUM(IMshareM!J$2:J$78)-IMshareM!J$10),0))</f>
        <v>0</v>
      </c>
      <c r="K37" s="8">
        <f>IF($A37=K$1,0,IF(SUM(IMshareM!K$2:K$78)-IMshareM!K$11&gt;0,IMshareM!K37/(SUM(IMshareM!K$2:K$78)-IMshareM!K$11),0))</f>
        <v>2.906393290465002E-4</v>
      </c>
      <c r="L37" s="8">
        <f>IF($A37=L$1,0,IF(SUM(IMshareM!L$2:L$78)-IMshareM!L$12&gt;0,IMshareM!L37/(SUM(IMshareM!L$2:L$78)-IMshareM!L$12),0))</f>
        <v>2.4448206611472566E-3</v>
      </c>
      <c r="M37" s="8">
        <f>IF($A37=M$1,0,IF(SUM(IMshareM!M$2:M$78)-IMshareM!M$13&gt;0,IMshareM!M37/(SUM(IMshareM!M$2:M$78)-IMshareM!M$13),0))</f>
        <v>1.1250908525055377E-4</v>
      </c>
      <c r="N37" s="8">
        <f>IF($A37=N$1,0,IF(SUM(IMshareM!N$2:N$78)-IMshareM!N$14&gt;0,IMshareM!N37/(SUM(IMshareM!N$2:N$78)-IMshareM!N$14),0))</f>
        <v>8.5484887078661486E-4</v>
      </c>
      <c r="O37" s="8">
        <f>IF($A37=O$1,0,IF(SUM(IMshareM!O$2:O$78)-IMshareM!O$15&gt;0,IMshareM!O37/(SUM(IMshareM!O$2:O$78)-IMshareM!O$15),0))</f>
        <v>5.2182118543676973E-5</v>
      </c>
      <c r="P37" s="8">
        <f>IF($A37=P$1,0,IF(SUM(IMshareM!P$2:P$78)-IMshareM!P$16&gt;0,IMshareM!P37/(SUM(IMshareM!P$2:P$78)-IMshareM!P$16),0))</f>
        <v>0</v>
      </c>
      <c r="Q37" s="8">
        <f>IF($A37=Q$1,0,IF(SUM(IMshareM!Q$2:Q$78)-IMshareM!Q$17&gt;0,IMshareM!Q37/(SUM(IMshareM!Q$2:Q$78)-IMshareM!Q$17),0))</f>
        <v>1.1006153307549834E-3</v>
      </c>
      <c r="R37" s="8">
        <f>IF($A37=R$1,0,IF(SUM(IMshareM!R$2:R$78)-IMshareM!R$18&gt;0,IMshareM!R37/(SUM(IMshareM!R$2:R$78)-IMshareM!R$18),0))</f>
        <v>1.8409612476685236E-4</v>
      </c>
      <c r="S37" s="8">
        <f>IF($A37=S$1,0,IF(SUM(IMshareM!S$2:S$78)-IMshareM!S$19&gt;0,IMshareM!S37/(SUM(IMshareM!S$2:S$78)-IMshareM!S$19),0))</f>
        <v>8.9243926280847385E-4</v>
      </c>
      <c r="T37" s="8">
        <f>IF($A37=T$1,0,IF(SUM(IMshareM!T$2:T$78)-IMshareM!T$20&gt;0,IMshareM!T37/(SUM(IMshareM!T$2:T$78)-IMshareM!T$20),0))</f>
        <v>1.0212754752943253E-3</v>
      </c>
      <c r="U37" s="8">
        <f>IF($A37=U$1,0,IF(SUM(IMshareM!U$2:U$78)-IMshareM!U$21&gt;0,IMshareM!U37/(SUM(IMshareM!U$2:U$78)-IMshareM!U$21),0))</f>
        <v>6.27845775495786E-4</v>
      </c>
      <c r="V37" s="8">
        <f>IF($A37=V$1,0,IF(SUM(IMshareM!V$2:V$78)-IMshareM!V$22&gt;0,IMshareM!V37/(SUM(IMshareM!V$2:V$78)-IMshareM!V$22),0))</f>
        <v>8.2382855981021495E-5</v>
      </c>
      <c r="W37" s="8">
        <f>IF($A37=W$1,0,IF(SUM(IMshareM!W$2:W$78)-IMshareM!W$23&gt;0,IMshareM!W37/(SUM(IMshareM!W$2:W$78)-IMshareM!W$23),0))</f>
        <v>1.0193943228665929E-6</v>
      </c>
      <c r="X37" s="8">
        <f>IF($A37=X$1,0,IF(SUM(IMshareM!X$2:X$78)-IMshareM!X$24&gt;0,IMshareM!X37/(SUM(IMshareM!X$2:X$78)-IMshareM!X$24),0))</f>
        <v>1.2727338246187254E-4</v>
      </c>
      <c r="Y37" s="8">
        <f>IF($A37=Y$1,0,IF(SUM(IMshareM!Y$2:Y$78)-IMshareM!Y$25&gt;0,IMshareM!Y37/(SUM(IMshareM!Y$2:Y$78)-IMshareM!Y$25),0))</f>
        <v>1.1904815565586223E-3</v>
      </c>
      <c r="Z37" s="8">
        <f>IF($A37=Z$1,0,IF(SUM(IMshareM!Z$2:Z$78)-IMshareM!Z$26&gt;0,IMshareM!Z37/(SUM(IMshareM!Z$2:Z$78)-IMshareM!Z$26),0))</f>
        <v>1.3605566052721338E-4</v>
      </c>
      <c r="AA37" s="8">
        <f>IF($A37=AA$1,0,IF(SUM(IMshareM!AA$2:AA$78)-IMshareM!AA$27&gt;0,IMshareM!AA37/(SUM(IMshareM!AA$2:AA$78)-IMshareM!AA$27),0))</f>
        <v>3.5667483938823244E-4</v>
      </c>
      <c r="AB37" s="8">
        <f>IF($A37=AB$1,0,IF(SUM(IMshareM!AB$2:AB$78)-IMshareM!AB$28&gt;0,IMshareM!AB37/(SUM(IMshareM!AB$2:AB$78)-IMshareM!AB$28),0))</f>
        <v>2.9508408045445097E-4</v>
      </c>
      <c r="AC37" s="8">
        <f>IF($A37=AC$1,0,IF(SUM(IMshareM!AC$2:AC$78)-IMshareM!AC$29&gt;0,IMshareM!AC37/(SUM(IMshareM!AC$2:AC$78)-IMshareM!AC$29),0))</f>
        <v>5.8486480960153507E-3</v>
      </c>
      <c r="AD37" s="8">
        <f>IF($A37=AD$1,0,IF(SUM(IMshareM!AD$2:AD$78)-IMshareM!AD$30&gt;0,IMshareM!AD37/(SUM(IMshareM!AD$2:AD$78)-IMshareM!AD$30),0))</f>
        <v>1.4148480230127649E-5</v>
      </c>
      <c r="AE37" s="8">
        <f>IF($A37=AE$1,0,IF(SUM(IMshareM!AE$2:AE$78)-IMshareM!AE$31&gt;0,IMshareM!AE37/(SUM(IMshareM!AE$2:AE$78)-IMshareM!AE$31),0))</f>
        <v>0</v>
      </c>
      <c r="AF37" s="8">
        <f>IF($A37=AF$1,0,IF(SUM(IMshareM!AF$2:AF$78)-IMshareM!AF$32&gt;0,IMshareM!AF37/(SUM(IMshareM!AF$2:AF$78)-IMshareM!AF$32),0))</f>
        <v>8.0885851910785224E-5</v>
      </c>
      <c r="AG37" s="8">
        <f>IF($A37=AG$1,0,IF(SUM(IMshareM!AG$2:AG$78)-IMshareM!AG$33&gt;0,IMshareM!AG37/(SUM(IMshareM!AG$2:AG$78)-IMshareM!AG$33),0))</f>
        <v>1.9699239230157533E-5</v>
      </c>
      <c r="AH37" s="8">
        <f>IF($A37=AH$1,0,IF(SUM(IMshareM!AH$2:AH$78)-IMshareM!AH$34&gt;0,IMshareM!AH37/(SUM(IMshareM!AH$2:AH$78)-IMshareM!AH$34),0))</f>
        <v>1.8016837195843651E-3</v>
      </c>
      <c r="AI37" s="8">
        <f>IF($A37=AI$1,0,IF(SUM(IMshareM!AI$2:AI$78)-IMshareM!AI$35&gt;0,IMshareM!AI37/(SUM(IMshareM!AI$2:AI$78)-IMshareM!AI$35),0))</f>
        <v>3.0892846680598984E-4</v>
      </c>
      <c r="AJ37" s="8">
        <f>IF($A37=AJ$1,0,IF(SUM(IMshareM!AJ$2:AJ$78)-IMshareM!AJ$36&gt;0,IMshareM!AJ37/(SUM(IMshareM!AJ$2:AJ$78)-IMshareM!AJ$36),0))</f>
        <v>1.8397424274370607E-4</v>
      </c>
      <c r="AK37" s="8">
        <f>IF($A37=AK$1,0,IF(SUM(IMshareM!AK$2:AK$78)-IMshareM!AK$37&gt;0,IMshareM!AK37/(SUM(IMshareM!AK$2:AK$78)-IMshareM!AK$37),0))</f>
        <v>0</v>
      </c>
      <c r="AL37" s="8">
        <f>IF($A37=AL$1,0,IF(SUM(IMshareM!AL$2:AL$78)-IMshareM!AL$38&gt;0,IMshareM!AL37/(SUM(IMshareM!AL$2:AL$78)-IMshareM!AL$38),0))</f>
        <v>5.7423465810483958E-4</v>
      </c>
      <c r="AM37" s="8">
        <f>IF($A37=AM$1,0,IF(SUM(IMshareM!AM$2:AM$78)-IMshareM!AM$39&gt;0,IMshareM!AM37/(SUM(IMshareM!AM$2:AM$78)-IMshareM!AM$39),0))</f>
        <v>3.423116344825354E-3</v>
      </c>
      <c r="AN37" s="8">
        <f>IF($A37=AN$1,0,IF(SUM(IMshareM!AN$2:AN$78)-IMshareM!AN$40&gt;0,IMshareM!AN37/(SUM(IMshareM!AN$2:AN$78)-IMshareM!AN$40),0))</f>
        <v>3.2511336472574193E-4</v>
      </c>
      <c r="AO37" s="8">
        <f>IF($A37=AO$1,0,IF(SUM(IMshareM!AO$2:AO$78)-IMshareM!AO$41&gt;0,IMshareM!AO37/(SUM(IMshareM!AO$2:AO$78)-IMshareM!AO$41),0))</f>
        <v>0</v>
      </c>
      <c r="AP37" s="8">
        <f>IF($A37=AP$1,0,IF(SUM(IMshareM!AP$2:AP$78)-IMshareM!AP$42&gt;0,IMshareM!AP37/(SUM(IMshareM!AP$2:AP$78)-IMshareM!AP$42),0))</f>
        <v>0</v>
      </c>
      <c r="AQ37" s="8">
        <f>IF($A37=AQ$1,0,IF(SUM(IMshareM!AQ$2:AQ$78)-IMshareM!AQ$43&gt;0,IMshareM!AQ37/(SUM(IMshareM!AQ$2:AQ$78)-IMshareM!AQ$43),0))</f>
        <v>2.7258262589778472E-4</v>
      </c>
      <c r="AR37" s="8">
        <f>IF($A37=AR$1,0,IF(SUM(IMshareM!AR$2:AR$78)-IMshareM!AR$44&gt;0,IMshareM!AR37/(SUM(IMshareM!AR$2:AR$78)-IMshareM!AR$44),0))</f>
        <v>0</v>
      </c>
      <c r="AS37" s="8">
        <f>IF($A37=AS$1,0,IF(SUM(IMshareM!AS$2:AS$78)-IMshareM!AS$45&gt;0,IMshareM!AS37/(SUM(IMshareM!AS$2:AS$78)-IMshareM!AS$45),0))</f>
        <v>2.7036852169516585E-4</v>
      </c>
      <c r="AT37" s="8">
        <f>IF($A37=AT$1,0,IF(SUM(IMshareM!AT$2:AT$78)-IMshareM!AT$46&gt;0,IMshareM!AT37/(SUM(IMshareM!AT$2:AT$78)-IMshareM!AT$46),0))</f>
        <v>9.6617178908904426E-4</v>
      </c>
      <c r="AU37" s="8">
        <f>IF($A37=AU$1,0,IF(SUM(IMshareM!AU$2:AU$78)-IMshareM!AU$47&gt;0,IMshareM!AU37/(SUM(IMshareM!AU$2:AU$78)-IMshareM!AU$47),0))</f>
        <v>7.4801100204438027E-5</v>
      </c>
      <c r="AV37" s="8">
        <f>IF($A37=AV$1,0,IF(SUM(IMshareM!AV$2:AV$78)-IMshareM!AV$48&gt;0,IMshareM!AV37/(SUM(IMshareM!AV$2:AV$78)-IMshareM!AV$48),0))</f>
        <v>1.6426078137506392E-5</v>
      </c>
      <c r="AW37" s="8">
        <f>IF($A37=AW$1,0,IF(SUM(IMshareM!AW$2:AW$78)-IMshareM!AW$49&gt;0,IMshareM!AW37/(SUM(IMshareM!AW$2:AW$78)-IMshareM!AW$49),0))</f>
        <v>6.6576082405532504E-6</v>
      </c>
      <c r="AX37" s="8">
        <f>IF($A37=AX$1,0,IF(SUM(IMshareM!AX$2:AX$78)-IMshareM!AX$50&gt;0,IMshareM!AX37/(SUM(IMshareM!AX$2:AX$78)-IMshareM!AX$50),0))</f>
        <v>2.9314772781159982E-3</v>
      </c>
      <c r="AY37" s="8">
        <f>IF($A37=AY$1,0,IF(SUM(IMshareM!AY$2:AY$78)-IMshareM!AY$51&gt;0,IMshareM!AY37/(SUM(IMshareM!AY$2:AY$78)-IMshareM!AY$51),0))</f>
        <v>0</v>
      </c>
      <c r="AZ37" s="8">
        <f>IF($A37=AZ$1,0,IF(SUM(IMshareM!AZ$2:AZ$78)-IMshareM!AZ$52&gt;0,IMshareM!AZ37/(SUM(IMshareM!AZ$2:AZ$78)-IMshareM!AZ$52),0))</f>
        <v>0</v>
      </c>
      <c r="BA37" s="8">
        <f>IF($A37=BA$1,0,IF(SUM(IMshareM!BA$2:BA$78)-IMshareM!BA$53&gt;0,IMshareM!BA37/(SUM(IMshareM!BA$2:BA$78)-IMshareM!BA$53),0))</f>
        <v>1.7392362543860396E-5</v>
      </c>
      <c r="BB37" s="8">
        <f>IF($A37=BB$1,0,IF(SUM(IMshareM!BB$2:BB$78)-IMshareM!BB$54&gt;0,IMshareM!BB37/(SUM(IMshareM!BB$2:BB$78)-IMshareM!BB$54),0))</f>
        <v>1.0979129494682626E-3</v>
      </c>
      <c r="BC37" s="8">
        <f>IF($A37=BC$1,0,IF(SUM(IMshareM!BC$2:BC$78)-IMshareM!BC$55&gt;0,IMshareM!BC37/(SUM(IMshareM!BC$2:BC$78)-IMshareM!BC$55),0))</f>
        <v>1.8528308520207441E-4</v>
      </c>
      <c r="BD37" s="8">
        <f>IF($A37=BD$1,0,IF(SUM(IMshareM!BD$2:BD$78)-IMshareM!BD$56&gt;0,IMshareM!BD37/(SUM(IMshareM!BD$2:BD$78)-IMshareM!BD$56),0))</f>
        <v>9.9481095580560485E-4</v>
      </c>
      <c r="BE37" s="8">
        <f>IF($A37=BE$1,0,IF(SUM(IMshareM!BE$2:BE$78)-IMshareM!BE$57&gt;0,IMshareM!BE37/(SUM(IMshareM!BE$2:BE$78)-IMshareM!BE$57),0))</f>
        <v>0</v>
      </c>
      <c r="BF37" s="8">
        <f>IF($A37=BF$1,0,IF(SUM(IMshareM!BF$2:BF$78)-IMshareM!BF$58&gt;0,IMshareM!BF37/(SUM(IMshareM!BF$2:BF$78)-IMshareM!BF$58),0))</f>
        <v>4.3490875456676488E-4</v>
      </c>
      <c r="BG37" s="8">
        <f>IF($A37=BG$1,0,IF(SUM(IMshareM!BG$2:BG$78)-IMshareM!BG$59&gt;0,IMshareM!BG37/(SUM(IMshareM!BG$2:BG$78)-IMshareM!BG$59),0))</f>
        <v>5.5039019087684252E-5</v>
      </c>
      <c r="BH37" s="8">
        <f>IF($A37=BH$1,0,IF(SUM(IMshareM!BH$2:BH$78)-IMshareM!BH$60&gt;0,IMshareM!BH37/(SUM(IMshareM!BH$2:BH$78)-IMshareM!BH$60),0))</f>
        <v>4.0386789296106558E-5</v>
      </c>
      <c r="BI37" s="8">
        <f>IF($A37=BI$1,0,IF(SUM(IMshareM!BI$2:BI$78)-IMshareM!BI$61&gt;0,IMshareM!BI37/(SUM(IMshareM!BI$2:BI$78)-IMshareM!BI$61),0))</f>
        <v>5.4620971122740676E-5</v>
      </c>
      <c r="BJ37" s="8">
        <f>IF($A37=BJ$1,0,IF(SUM(IMshareM!BJ$2:BJ$78)-IMshareM!BJ$62&gt;0,IMshareM!BJ37/(SUM(IMshareM!BJ$2:BJ$78)-IMshareM!BJ$62),0))</f>
        <v>5.0152727814992311E-4</v>
      </c>
      <c r="BK37" s="8">
        <f>IF($A37=BK$1,0,IF(SUM(IMshareM!BK$2:BK$78)-IMshareM!BK$63&gt;0,IMshareM!BK37/(SUM(IMshareM!BK$2:BK$78)-IMshareM!BK$63),0))</f>
        <v>3.6294807003990097E-5</v>
      </c>
      <c r="BL37" s="8">
        <f>IF($A37=BL$1,0,IF(SUM(IMshareM!BL$2:BL$78)-IMshareM!BL$64&gt;0,IMshareM!BL37/(SUM(IMshareM!BL$2:BL$78)-IMshareM!BL$64),0))</f>
        <v>0</v>
      </c>
      <c r="BM37" s="8">
        <f>IF($A37=BM$1,0,IF(SUM(IMshareM!BM$2:BM$78)-IMshareM!BM$65&gt;0,IMshareM!BM37/(SUM(IMshareM!BM$2:BM$78)-IMshareM!BM$65),0))</f>
        <v>0</v>
      </c>
      <c r="BN37" s="8">
        <f>IF($A37=BN$1,0,IF(SUM(IMshareM!BN$2:BN$78)-IMshareM!BN$66&gt;0,IMshareM!BN37/(SUM(IMshareM!BN$2:BN$78)-IMshareM!BN$66),0))</f>
        <v>1.196088625351432E-3</v>
      </c>
      <c r="BO37" s="8">
        <f>IF($A37=BO$1,0,IF(SUM(IMshareM!BO$2:BO$78)-IMshareM!BO$67&gt;0,IMshareM!BO37/(SUM(IMshareM!BO$2:BO$78)-IMshareM!BO$67),0))</f>
        <v>2.2417037963871295E-4</v>
      </c>
      <c r="BP37" s="8">
        <f>IF($A37=BP$1,0,IF(SUM(IMshareM!BP$2:BP$78)-IMshareM!BP$68&gt;0,IMshareM!BP37/(SUM(IMshareM!BP$2:BP$78)-IMshareM!BP$68),0))</f>
        <v>4.4671235542676559E-4</v>
      </c>
      <c r="BQ37" s="8">
        <f>IF($A37=BQ$1,0,IF(SUM(IMshareM!BQ$2:BQ$78)-IMshareM!BQ$69&gt;0,IMshareM!BQ37/(SUM(IMshareM!BQ$2:BQ$78)-IMshareM!BQ$69),0))</f>
        <v>5.595935469675827E-5</v>
      </c>
      <c r="BR37" s="8">
        <f>IF($A37=BR$1,0,IF(SUM(IMshareM!BR$2:BR$78)-IMshareM!BR$70&gt;0,IMshareM!BR37/(SUM(IMshareM!BR$2:BR$78)-IMshareM!BR$70),0))</f>
        <v>9.6639225038211516E-5</v>
      </c>
      <c r="BS37" s="8">
        <f>IF($A37=BS$1,0,IF(SUM(IMshareM!BS$2:BS$78)-IMshareM!BS$71&gt;0,IMshareM!BS37/(SUM(IMshareM!BS$2:BS$78)-IMshareM!BS$71),0))</f>
        <v>0</v>
      </c>
      <c r="BT37" s="8">
        <f>IF($A37=BT$1,0,IF(SUM(IMshareM!BT$2:BT$78)-IMshareM!BT$72&gt;0,IMshareM!BT37/(SUM(IMshareM!BT$2:BT$78)-IMshareM!BT$72),0))</f>
        <v>1.091526956201626E-4</v>
      </c>
      <c r="BU37" s="8">
        <f>IF($A37=BU$1,0,IF(SUM(IMshareM!BU$2:BU$78)-IMshareM!BU$73&gt;0,IMshareM!BU37/(SUM(IMshareM!BU$2:BU$78)-IMshareM!BU$73),0))</f>
        <v>1.0674362704443125E-3</v>
      </c>
      <c r="BV37" s="8">
        <f>IF($A37=BV$1,0,IF(SUM(IMshareM!BV$2:BV$78)-IMshareM!BV$74&gt;0,IMshareM!BV37/(SUM(IMshareM!BV$2:BV$78)-IMshareM!BV$74),0))</f>
        <v>4.1263675144296028E-5</v>
      </c>
      <c r="BW37" s="8">
        <f>IF($A37=BW$1,0,IF(SUM(IMshareM!BW$2:BW$78)-IMshareM!BW$75&gt;0,IMshareM!BW37/(SUM(IMshareM!BW$2:BW$78)-IMshareM!BW$75),0))</f>
        <v>5.0386752831974686E-4</v>
      </c>
      <c r="BX37" s="8">
        <f>IF($A37=BX$1,0,IF(SUM(IMshareM!BX$2:BX$78)-IMshareM!BX$76&gt;0,IMshareM!BX37/(SUM(IMshareM!BX$2:BX$78)-IMshareM!BX$76),0))</f>
        <v>2.940341059487909E-4</v>
      </c>
      <c r="BY37" s="8">
        <f>IF($A37=BY$1,0,IF(SUM(IMshareM!BY$2:BY$78)-IMshareM!BY$77&gt;0,IMshareM!BY37/(SUM(IMshareM!BY$2:BY$78)-IMshareM!BY$77),0))</f>
        <v>2.2643355455609975E-4</v>
      </c>
      <c r="BZ37" s="8">
        <f>IF($A37=BZ$1,0,IF(SUM(IMshareM!BZ$2:BZ$78)-IMshareM!BZ$78&gt;0,IMshareM!BZ37/(SUM(IMshareM!BZ$2:BZ$78)-IMshareM!BZ$78),0))</f>
        <v>2.3427351981521144E-3</v>
      </c>
    </row>
    <row r="38" spans="1:78">
      <c r="A38" s="4" t="s">
        <v>143</v>
      </c>
      <c r="B38" s="8">
        <f>IF($A38=B$1,0,IF(SUM(IMshareM!B$2:B$78)-IMshareM!B$2&gt;0,IMshareM!B38/(SUM(IMshareM!B$2:B$78)-IMshareM!B$2),0))</f>
        <v>5.0105826987040553E-2</v>
      </c>
      <c r="C38" s="8">
        <f>IF($A38=C$1,0,IF(SUM(IMshareM!C$2:C$78)-IMshareM!C$3&gt;0,IMshareM!C38/(SUM(IMshareM!C$2:C$78)-IMshareM!C$3),0))</f>
        <v>2.8324215250604721E-2</v>
      </c>
      <c r="D38" s="8">
        <f>IF($A38=D$1,0,IF(SUM(IMshareM!D$2:D$78)-IMshareM!D$4&gt;0,IMshareM!D38/(SUM(IMshareM!D$2:D$78)-IMshareM!D$4),0))</f>
        <v>9.8825536398122638E-2</v>
      </c>
      <c r="E38" s="8">
        <f>IF($A38=E$1,0,IF(SUM(IMshareM!E$2:E$78)-IMshareM!E$5&gt;0,IMshareM!E38/(SUM(IMshareM!E$2:E$78)-IMshareM!E$5),0))</f>
        <v>1.9568517178130632E-2</v>
      </c>
      <c r="F38" s="8">
        <f>IF($A38=F$1,0,IF(SUM(IMshareM!F$2:F$78)-IMshareM!F$6&gt;0,IMshareM!F38/(SUM(IMshareM!F$2:F$78)-IMshareM!F$6),0))</f>
        <v>1.3070559518318347E-2</v>
      </c>
      <c r="G38" s="8">
        <f>IF($A38=G$1,0,IF(SUM(IMshareM!G$2:G$78)-IMshareM!G$7&gt;0,IMshareM!G38/(SUM(IMshareM!G$2:G$78)-IMshareM!G$7),0))</f>
        <v>4.348269248318478E-2</v>
      </c>
      <c r="H38" s="8">
        <f>IF($A38=H$1,0,IF(SUM(IMshareM!H$2:H$78)-IMshareM!H$8&gt;0,IMshareM!H38/(SUM(IMshareM!H$2:H$78)-IMshareM!H$8),0))</f>
        <v>1.1766982572953454E-2</v>
      </c>
      <c r="I38" s="8">
        <f>IF($A38=I$1,0,IF(SUM(IMshareM!I$2:I$78)-IMshareM!I$9&gt;0,IMshareM!I38/(SUM(IMshareM!I$2:I$78)-IMshareM!I$9),0))</f>
        <v>2.7942864578462338E-2</v>
      </c>
      <c r="J38" s="8">
        <f>IF($A38=J$1,0,IF(SUM(IMshareM!J$2:J$78)-IMshareM!J$10&gt;0,IMshareM!J38/(SUM(IMshareM!J$2:J$78)-IMshareM!J$10),0))</f>
        <v>4.0964918623857963E-3</v>
      </c>
      <c r="K38" s="8">
        <f>IF($A38=K$1,0,IF(SUM(IMshareM!K$2:K$78)-IMshareM!K$11&gt;0,IMshareM!K38/(SUM(IMshareM!K$2:K$78)-IMshareM!K$11),0))</f>
        <v>2.3912942190547889E-2</v>
      </c>
      <c r="L38" s="8">
        <f>IF($A38=L$1,0,IF(SUM(IMshareM!L$2:L$78)-IMshareM!L$12&gt;0,IMshareM!L38/(SUM(IMshareM!L$2:L$78)-IMshareM!L$12),0))</f>
        <v>6.6186689049271621E-2</v>
      </c>
      <c r="M38" s="8">
        <f>IF($A38=M$1,0,IF(SUM(IMshareM!M$2:M$78)-IMshareM!M$13&gt;0,IMshareM!M38/(SUM(IMshareM!M$2:M$78)-IMshareM!M$13),0))</f>
        <v>1.9904528143287435E-2</v>
      </c>
      <c r="N38" s="8">
        <f>IF($A38=N$1,0,IF(SUM(IMshareM!N$2:N$78)-IMshareM!N$14&gt;0,IMshareM!N38/(SUM(IMshareM!N$2:N$78)-IMshareM!N$14),0))</f>
        <v>2.043218132152947E-2</v>
      </c>
      <c r="O38" s="8">
        <f>IF($A38=O$1,0,IF(SUM(IMshareM!O$2:O$78)-IMshareM!O$15&gt;0,IMshareM!O38/(SUM(IMshareM!O$2:O$78)-IMshareM!O$15),0))</f>
        <v>2.533495394149143E-2</v>
      </c>
      <c r="P38" s="8">
        <f>IF($A38=P$1,0,IF(SUM(IMshareM!P$2:P$78)-IMshareM!P$16&gt;0,IMshareM!P38/(SUM(IMshareM!P$2:P$78)-IMshareM!P$16),0))</f>
        <v>3.8534131553756659E-3</v>
      </c>
      <c r="Q38" s="8">
        <f>IF($A38=Q$1,0,IF(SUM(IMshareM!Q$2:Q$78)-IMshareM!Q$17&gt;0,IMshareM!Q38/(SUM(IMshareM!Q$2:Q$78)-IMshareM!Q$17),0))</f>
        <v>3.4499826951440757E-2</v>
      </c>
      <c r="R38" s="8">
        <f>IF($A38=R$1,0,IF(SUM(IMshareM!R$2:R$78)-IMshareM!R$18&gt;0,IMshareM!R38/(SUM(IMshareM!R$2:R$78)-IMshareM!R$18),0))</f>
        <v>3.8551747623127124E-2</v>
      </c>
      <c r="S38" s="8">
        <f>IF($A38=S$1,0,IF(SUM(IMshareM!S$2:S$78)-IMshareM!S$19&gt;0,IMshareM!S38/(SUM(IMshareM!S$2:S$78)-IMshareM!S$19),0))</f>
        <v>0.12030372238452278</v>
      </c>
      <c r="T38" s="8">
        <f>IF($A38=T$1,0,IF(SUM(IMshareM!T$2:T$78)-IMshareM!T$20&gt;0,IMshareM!T38/(SUM(IMshareM!T$2:T$78)-IMshareM!T$20),0))</f>
        <v>4.3458608064356655E-2</v>
      </c>
      <c r="U38" s="8">
        <f>IF($A38=U$1,0,IF(SUM(IMshareM!U$2:U$78)-IMshareM!U$21&gt;0,IMshareM!U38/(SUM(IMshareM!U$2:U$78)-IMshareM!U$21),0))</f>
        <v>6.1182909288835491E-2</v>
      </c>
      <c r="V38" s="8">
        <f>IF($A38=V$1,0,IF(SUM(IMshareM!V$2:V$78)-IMshareM!V$22&gt;0,IMshareM!V38/(SUM(IMshareM!V$2:V$78)-IMshareM!V$22),0))</f>
        <v>7.9098042166718327E-2</v>
      </c>
      <c r="W38" s="8">
        <f>IF($A38=W$1,0,IF(SUM(IMshareM!W$2:W$78)-IMshareM!W$23&gt;0,IMshareM!W38/(SUM(IMshareM!W$2:W$78)-IMshareM!W$23),0))</f>
        <v>8.597379513406106E-2</v>
      </c>
      <c r="X38" s="8">
        <f>IF($A38=X$1,0,IF(SUM(IMshareM!X$2:X$78)-IMshareM!X$24&gt;0,IMshareM!X38/(SUM(IMshareM!X$2:X$78)-IMshareM!X$24),0))</f>
        <v>8.2820962592509775E-2</v>
      </c>
      <c r="Y38" s="8">
        <f>IF($A38=Y$1,0,IF(SUM(IMshareM!Y$2:Y$78)-IMshareM!Y$25&gt;0,IMshareM!Y38/(SUM(IMshareM!Y$2:Y$78)-IMshareM!Y$25),0))</f>
        <v>4.265133131654851E-2</v>
      </c>
      <c r="Z38" s="8">
        <f>IF($A38=Z$1,0,IF(SUM(IMshareM!Z$2:Z$78)-IMshareM!Z$26&gt;0,IMshareM!Z38/(SUM(IMshareM!Z$2:Z$78)-IMshareM!Z$26),0))</f>
        <v>5.0188752788666989E-2</v>
      </c>
      <c r="AA38" s="8">
        <f>IF($A38=AA$1,0,IF(SUM(IMshareM!AA$2:AA$78)-IMshareM!AA$27&gt;0,IMshareM!AA38/(SUM(IMshareM!AA$2:AA$78)-IMshareM!AA$27),0))</f>
        <v>6.239547815671697E-2</v>
      </c>
      <c r="AB38" s="8">
        <f>IF($A38=AB$1,0,IF(SUM(IMshareM!AB$2:AB$78)-IMshareM!AB$28&gt;0,IMshareM!AB38/(SUM(IMshareM!AB$2:AB$78)-IMshareM!AB$28),0))</f>
        <v>4.1401513771428915E-2</v>
      </c>
      <c r="AC38" s="8">
        <f>IF($A38=AC$1,0,IF(SUM(IMshareM!AC$2:AC$78)-IMshareM!AC$29&gt;0,IMshareM!AC38/(SUM(IMshareM!AC$2:AC$78)-IMshareM!AC$29),0))</f>
        <v>0.16242697916827781</v>
      </c>
      <c r="AD38" s="8">
        <f>IF($A38=AD$1,0,IF(SUM(IMshareM!AD$2:AD$78)-IMshareM!AD$30&gt;0,IMshareM!AD38/(SUM(IMshareM!AD$2:AD$78)-IMshareM!AD$30),0))</f>
        <v>2.7708473711194289E-3</v>
      </c>
      <c r="AE38" s="8">
        <f>IF($A38=AE$1,0,IF(SUM(IMshareM!AE$2:AE$78)-IMshareM!AE$31&gt;0,IMshareM!AE38/(SUM(IMshareM!AE$2:AE$78)-IMshareM!AE$31),0))</f>
        <v>0.14659172438036269</v>
      </c>
      <c r="AF38" s="8">
        <f>IF($A38=AF$1,0,IF(SUM(IMshareM!AF$2:AF$78)-IMshareM!AF$32&gt;0,IMshareM!AF38/(SUM(IMshareM!AF$2:AF$78)-IMshareM!AF$32),0))</f>
        <v>2.6089791660848263E-2</v>
      </c>
      <c r="AG38" s="8">
        <f>IF($A38=AG$1,0,IF(SUM(IMshareM!AG$2:AG$78)-IMshareM!AG$33&gt;0,IMshareM!AG38/(SUM(IMshareM!AG$2:AG$78)-IMshareM!AG$33),0))</f>
        <v>9.8541720347063051E-3</v>
      </c>
      <c r="AH38" s="8">
        <f>IF($A38=AH$1,0,IF(SUM(IMshareM!AH$2:AH$78)-IMshareM!AH$34&gt;0,IMshareM!AH38/(SUM(IMshareM!AH$2:AH$78)-IMshareM!AH$34),0))</f>
        <v>2.4397949953160331E-2</v>
      </c>
      <c r="AI38" s="8">
        <f>IF($A38=AI$1,0,IF(SUM(IMshareM!AI$2:AI$78)-IMshareM!AI$35&gt;0,IMshareM!AI38/(SUM(IMshareM!AI$2:AI$78)-IMshareM!AI$35),0))</f>
        <v>2.4599079524265245E-2</v>
      </c>
      <c r="AJ38" s="8">
        <f>IF($A38=AJ$1,0,IF(SUM(IMshareM!AJ$2:AJ$78)-IMshareM!AJ$36&gt;0,IMshareM!AJ38/(SUM(IMshareM!AJ$2:AJ$78)-IMshareM!AJ$36),0))</f>
        <v>6.463351105282035E-2</v>
      </c>
      <c r="AK38" s="8">
        <f>IF($A38=AK$1,0,IF(SUM(IMshareM!AK$2:AK$78)-IMshareM!AK$37&gt;0,IMshareM!AK38/(SUM(IMshareM!AK$2:AK$78)-IMshareM!AK$37),0))</f>
        <v>5.8270971657076565E-2</v>
      </c>
      <c r="AL38" s="8">
        <f>IF($A38=AL$1,0,IF(SUM(IMshareM!AL$2:AL$78)-IMshareM!AL$38&gt;0,IMshareM!AL38/(SUM(IMshareM!AL$2:AL$78)-IMshareM!AL$38),0))</f>
        <v>0</v>
      </c>
      <c r="AM38" s="8">
        <f>IF($A38=AM$1,0,IF(SUM(IMshareM!AM$2:AM$78)-IMshareM!AM$39&gt;0,IMshareM!AM38/(SUM(IMshareM!AM$2:AM$78)-IMshareM!AM$39),0))</f>
        <v>0.19913877882987169</v>
      </c>
      <c r="AN38" s="8">
        <f>IF($A38=AN$1,0,IF(SUM(IMshareM!AN$2:AN$78)-IMshareM!AN$40&gt;0,IMshareM!AN38/(SUM(IMshareM!AN$2:AN$78)-IMshareM!AN$40),0))</f>
        <v>3.7040092240046771E-3</v>
      </c>
      <c r="AO38" s="8">
        <f>IF($A38=AO$1,0,IF(SUM(IMshareM!AO$2:AO$78)-IMshareM!AO$41&gt;0,IMshareM!AO38/(SUM(IMshareM!AO$2:AO$78)-IMshareM!AO$41),0))</f>
        <v>1.3037576674303407E-2</v>
      </c>
      <c r="AP38" s="8">
        <f>IF($A38=AP$1,0,IF(SUM(IMshareM!AP$2:AP$78)-IMshareM!AP$42&gt;0,IMshareM!AP38/(SUM(IMshareM!AP$2:AP$78)-IMshareM!AP$42),0))</f>
        <v>5.5895851370414825E-4</v>
      </c>
      <c r="AQ38" s="8">
        <f>IF($A38=AQ$1,0,IF(SUM(IMshareM!AQ$2:AQ$78)-IMshareM!AQ$43&gt;0,IMshareM!AQ38/(SUM(IMshareM!AQ$2:AQ$78)-IMshareM!AQ$43),0))</f>
        <v>6.7005330603098984E-3</v>
      </c>
      <c r="AR38" s="8">
        <f>IF($A38=AR$1,0,IF(SUM(IMshareM!AR$2:AR$78)-IMshareM!AR$44&gt;0,IMshareM!AR38/(SUM(IMshareM!AR$2:AR$78)-IMshareM!AR$44),0))</f>
        <v>9.4786192604387812E-5</v>
      </c>
      <c r="AS38" s="8">
        <f>IF($A38=AS$1,0,IF(SUM(IMshareM!AS$2:AS$78)-IMshareM!AS$45&gt;0,IMshareM!AS38/(SUM(IMshareM!AS$2:AS$78)-IMshareM!AS$45),0))</f>
        <v>5.0187474301747519E-2</v>
      </c>
      <c r="AT38" s="8">
        <f>IF($A38=AT$1,0,IF(SUM(IMshareM!AT$2:AT$78)-IMshareM!AT$46&gt;0,IMshareM!AT38/(SUM(IMshareM!AT$2:AT$78)-IMshareM!AT$46),0))</f>
        <v>2.093664569640177E-2</v>
      </c>
      <c r="AU38" s="8">
        <f>IF($A38=AU$1,0,IF(SUM(IMshareM!AU$2:AU$78)-IMshareM!AU$47&gt;0,IMshareM!AU38/(SUM(IMshareM!AU$2:AU$78)-IMshareM!AU$47),0))</f>
        <v>9.2036173535569102E-2</v>
      </c>
      <c r="AV38" s="8">
        <f>IF($A38=AV$1,0,IF(SUM(IMshareM!AV$2:AV$78)-IMshareM!AV$48&gt;0,IMshareM!AV38/(SUM(IMshareM!AV$2:AV$78)-IMshareM!AV$48),0))</f>
        <v>0.11532038826573804</v>
      </c>
      <c r="AW38" s="8">
        <f>IF($A38=AW$1,0,IF(SUM(IMshareM!AW$2:AW$78)-IMshareM!AW$49&gt;0,IMshareM!AW38/(SUM(IMshareM!AW$2:AW$78)-IMshareM!AW$49),0))</f>
        <v>3.2090281707431764E-2</v>
      </c>
      <c r="AX38" s="8">
        <f>IF($A38=AX$1,0,IF(SUM(IMshareM!AX$2:AX$78)-IMshareM!AX$50&gt;0,IMshareM!AX38/(SUM(IMshareM!AX$2:AX$78)-IMshareM!AX$50),0))</f>
        <v>4.6391307118010053E-2</v>
      </c>
      <c r="AY38" s="8">
        <f>IF($A38=AY$1,0,IF(SUM(IMshareM!AY$2:AY$78)-IMshareM!AY$51&gt;0,IMshareM!AY38/(SUM(IMshareM!AY$2:AY$78)-IMshareM!AY$51),0))</f>
        <v>2.4604927849103887E-3</v>
      </c>
      <c r="AZ38" s="8">
        <f>IF($A38=AZ$1,0,IF(SUM(IMshareM!AZ$2:AZ$78)-IMshareM!AZ$52&gt;0,IMshareM!AZ38/(SUM(IMshareM!AZ$2:AZ$78)-IMshareM!AZ$52),0))</f>
        <v>8.2681872772628826E-3</v>
      </c>
      <c r="BA38" s="8">
        <f>IF($A38=BA$1,0,IF(SUM(IMshareM!BA$2:BA$78)-IMshareM!BA$53&gt;0,IMshareM!BA38/(SUM(IMshareM!BA$2:BA$78)-IMshareM!BA$53),0))</f>
        <v>1.4827377571854167E-2</v>
      </c>
      <c r="BB38" s="8">
        <f>IF($A38=BB$1,0,IF(SUM(IMshareM!BB$2:BB$78)-IMshareM!BB$54&gt;0,IMshareM!BB38/(SUM(IMshareM!BB$2:BB$78)-IMshareM!BB$54),0))</f>
        <v>3.5178871152623636E-2</v>
      </c>
      <c r="BC38" s="8">
        <f>IF($A38=BC$1,0,IF(SUM(IMshareM!BC$2:BC$78)-IMshareM!BC$55&gt;0,IMshareM!BC38/(SUM(IMshareM!BC$2:BC$78)-IMshareM!BC$55),0))</f>
        <v>3.969029485282282E-2</v>
      </c>
      <c r="BD38" s="8">
        <f>IF($A38=BD$1,0,IF(SUM(IMshareM!BD$2:BD$78)-IMshareM!BD$56&gt;0,IMshareM!BD38/(SUM(IMshareM!BD$2:BD$78)-IMshareM!BD$56),0))</f>
        <v>5.1357973267941164E-2</v>
      </c>
      <c r="BE38" s="8">
        <f>IF($A38=BE$1,0,IF(SUM(IMshareM!BE$2:BE$78)-IMshareM!BE$57&gt;0,IMshareM!BE38/(SUM(IMshareM!BE$2:BE$78)-IMshareM!BE$57),0))</f>
        <v>1.133299316521025E-2</v>
      </c>
      <c r="BF38" s="8">
        <f>IF($A38=BF$1,0,IF(SUM(IMshareM!BF$2:BF$78)-IMshareM!BF$58&gt;0,IMshareM!BF38/(SUM(IMshareM!BF$2:BF$78)-IMshareM!BF$58),0))</f>
        <v>5.2994932421356222E-2</v>
      </c>
      <c r="BG38" s="8">
        <f>IF($A38=BG$1,0,IF(SUM(IMshareM!BG$2:BG$78)-IMshareM!BG$59&gt;0,IMshareM!BG38/(SUM(IMshareM!BG$2:BG$78)-IMshareM!BG$59),0))</f>
        <v>7.0601126278408734E-3</v>
      </c>
      <c r="BH38" s="8">
        <f>IF($A38=BH$1,0,IF(SUM(IMshareM!BH$2:BH$78)-IMshareM!BH$60&gt;0,IMshareM!BH38/(SUM(IMshareM!BH$2:BH$78)-IMshareM!BH$60),0))</f>
        <v>0.10758938276821101</v>
      </c>
      <c r="BI38" s="8">
        <f>IF($A38=BI$1,0,IF(SUM(IMshareM!BI$2:BI$78)-IMshareM!BI$61&gt;0,IMshareM!BI38/(SUM(IMshareM!BI$2:BI$78)-IMshareM!BI$61),0))</f>
        <v>4.8039676375208618E-2</v>
      </c>
      <c r="BJ38" s="8">
        <f>IF($A38=BJ$1,0,IF(SUM(IMshareM!BJ$2:BJ$78)-IMshareM!BJ$62&gt;0,IMshareM!BJ38/(SUM(IMshareM!BJ$2:BJ$78)-IMshareM!BJ$62),0))</f>
        <v>7.1425816264904018E-2</v>
      </c>
      <c r="BK38" s="8">
        <f>IF($A38=BK$1,0,IF(SUM(IMshareM!BK$2:BK$78)-IMshareM!BK$63&gt;0,IMshareM!BK38/(SUM(IMshareM!BK$2:BK$78)-IMshareM!BK$63),0))</f>
        <v>4.6168467256083486E-2</v>
      </c>
      <c r="BL38" s="8">
        <f>IF($A38=BL$1,0,IF(SUM(IMshareM!BL$2:BL$78)-IMshareM!BL$64&gt;0,IMshareM!BL38/(SUM(IMshareM!BL$2:BL$78)-IMshareM!BL$64),0))</f>
        <v>7.1068166711695274E-2</v>
      </c>
      <c r="BM38" s="8">
        <f>IF($A38=BM$1,0,IF(SUM(IMshareM!BM$2:BM$78)-IMshareM!BM$65&gt;0,IMshareM!BM38/(SUM(IMshareM!BM$2:BM$78)-IMshareM!BM$65),0))</f>
        <v>3.9637770946149694E-3</v>
      </c>
      <c r="BN38" s="8">
        <f>IF($A38=BN$1,0,IF(SUM(IMshareM!BN$2:BN$78)-IMshareM!BN$66&gt;0,IMshareM!BN38/(SUM(IMshareM!BN$2:BN$78)-IMshareM!BN$66),0))</f>
        <v>1.0352268372758249E-2</v>
      </c>
      <c r="BO38" s="8">
        <f>IF($A38=BO$1,0,IF(SUM(IMshareM!BO$2:BO$78)-IMshareM!BO$67&gt;0,IMshareM!BO38/(SUM(IMshareM!BO$2:BO$78)-IMshareM!BO$67),0))</f>
        <v>2.9964728780712178E-2</v>
      </c>
      <c r="BP38" s="8">
        <f>IF($A38=BP$1,0,IF(SUM(IMshareM!BP$2:BP$78)-IMshareM!BP$68&gt;0,IMshareM!BP38/(SUM(IMshareM!BP$2:BP$78)-IMshareM!BP$68),0))</f>
        <v>3.3952214088928234E-2</v>
      </c>
      <c r="BQ38" s="8">
        <f>IF($A38=BQ$1,0,IF(SUM(IMshareM!BQ$2:BQ$78)-IMshareM!BQ$69&gt;0,IMshareM!BQ38/(SUM(IMshareM!BQ$2:BQ$78)-IMshareM!BQ$69),0))</f>
        <v>2.9039441933730134E-2</v>
      </c>
      <c r="BR38" s="8">
        <f>IF($A38=BR$1,0,IF(SUM(IMshareM!BR$2:BR$78)-IMshareM!BR$70&gt;0,IMshareM!BR38/(SUM(IMshareM!BR$2:BR$78)-IMshareM!BR$70),0))</f>
        <v>9.0721926124364138E-3</v>
      </c>
      <c r="BS38" s="8">
        <f>IF($A38=BS$1,0,IF(SUM(IMshareM!BS$2:BS$78)-IMshareM!BS$71&gt;0,IMshareM!BS38/(SUM(IMshareM!BS$2:BS$78)-IMshareM!BS$71),0))</f>
        <v>0.27163572884857085</v>
      </c>
      <c r="BT38" s="8">
        <f>IF($A38=BT$1,0,IF(SUM(IMshareM!BT$2:BT$78)-IMshareM!BT$72&gt;0,IMshareM!BT38/(SUM(IMshareM!BT$2:BT$78)-IMshareM!BT$72),0))</f>
        <v>5.2326073747949932E-2</v>
      </c>
      <c r="BU38" s="8">
        <f>IF($A38=BU$1,0,IF(SUM(IMshareM!BU$2:BU$78)-IMshareM!BU$73&gt;0,IMshareM!BU38/(SUM(IMshareM!BU$2:BU$78)-IMshareM!BU$73),0))</f>
        <v>9.0871364029516885E-3</v>
      </c>
      <c r="BV38" s="8">
        <f>IF($A38=BV$1,0,IF(SUM(IMshareM!BV$2:BV$78)-IMshareM!BV$74&gt;0,IMshareM!BV38/(SUM(IMshareM!BV$2:BV$78)-IMshareM!BV$74),0))</f>
        <v>3.8211730997994797E-2</v>
      </c>
      <c r="BW38" s="8">
        <f>IF($A38=BW$1,0,IF(SUM(IMshareM!BW$2:BW$78)-IMshareM!BW$75&gt;0,IMshareM!BW38/(SUM(IMshareM!BW$2:BW$78)-IMshareM!BW$75),0))</f>
        <v>2.5980968326250617E-2</v>
      </c>
      <c r="BX38" s="8">
        <f>IF($A38=BX$1,0,IF(SUM(IMshareM!BX$2:BX$78)-IMshareM!BX$76&gt;0,IMshareM!BX38/(SUM(IMshareM!BX$2:BX$78)-IMshareM!BX$76),0))</f>
        <v>6.374143254201243E-3</v>
      </c>
      <c r="BY38" s="8">
        <f>IF($A38=BY$1,0,IF(SUM(IMshareM!BY$2:BY$78)-IMshareM!BY$77&gt;0,IMshareM!BY38/(SUM(IMshareM!BY$2:BY$78)-IMshareM!BY$77),0))</f>
        <v>4.7274903899314026E-2</v>
      </c>
      <c r="BZ38" s="8">
        <f>IF($A38=BZ$1,0,IF(SUM(IMshareM!BZ$2:BZ$78)-IMshareM!BZ$78&gt;0,IMshareM!BZ38/(SUM(IMshareM!BZ$2:BZ$78)-IMshareM!BZ$78),0))</f>
        <v>4.1111432700566622E-2</v>
      </c>
    </row>
    <row r="39" spans="1:78">
      <c r="A39" s="4" t="s">
        <v>145</v>
      </c>
      <c r="B39" s="8">
        <f>IF($A39=B$1,0,IF(SUM(IMshareM!B$2:B$78)-IMshareM!B$2&gt;0,IMshareM!B39/(SUM(IMshareM!B$2:B$78)-IMshareM!B$2),0))</f>
        <v>0</v>
      </c>
      <c r="C39" s="8">
        <f>IF($A39=C$1,0,IF(SUM(IMshareM!C$2:C$78)-IMshareM!C$3&gt;0,IMshareM!C39/(SUM(IMshareM!C$2:C$78)-IMshareM!C$3),0))</f>
        <v>0</v>
      </c>
      <c r="D39" s="8">
        <f>IF($A39=D$1,0,IF(SUM(IMshareM!D$2:D$78)-IMshareM!D$4&gt;0,IMshareM!D39/(SUM(IMshareM!D$2:D$78)-IMshareM!D$4),0))</f>
        <v>0</v>
      </c>
      <c r="E39" s="8">
        <f>IF($A39=E$1,0,IF(SUM(IMshareM!E$2:E$78)-IMshareM!E$5&gt;0,IMshareM!E39/(SUM(IMshareM!E$2:E$78)-IMshareM!E$5),0))</f>
        <v>0</v>
      </c>
      <c r="F39" s="8">
        <f>IF($A39=F$1,0,IF(SUM(IMshareM!F$2:F$78)-IMshareM!F$6&gt;0,IMshareM!F39/(SUM(IMshareM!F$2:F$78)-IMshareM!F$6),0))</f>
        <v>0</v>
      </c>
      <c r="G39" s="8">
        <f>IF($A39=G$1,0,IF(SUM(IMshareM!G$2:G$78)-IMshareM!G$7&gt;0,IMshareM!G39/(SUM(IMshareM!G$2:G$78)-IMshareM!G$7),0))</f>
        <v>0</v>
      </c>
      <c r="H39" s="8">
        <f>IF($A39=H$1,0,IF(SUM(IMshareM!H$2:H$78)-IMshareM!H$8&gt;0,IMshareM!H39/(SUM(IMshareM!H$2:H$78)-IMshareM!H$8),0))</f>
        <v>0</v>
      </c>
      <c r="I39" s="8">
        <f>IF($A39=I$1,0,IF(SUM(IMshareM!I$2:I$78)-IMshareM!I$9&gt;0,IMshareM!I39/(SUM(IMshareM!I$2:I$78)-IMshareM!I$9),0))</f>
        <v>0</v>
      </c>
      <c r="J39" s="8">
        <f>IF($A39=J$1,0,IF(SUM(IMshareM!J$2:J$78)-IMshareM!J$10&gt;0,IMshareM!J39/(SUM(IMshareM!J$2:J$78)-IMshareM!J$10),0))</f>
        <v>0</v>
      </c>
      <c r="K39" s="8">
        <f>IF($A39=K$1,0,IF(SUM(IMshareM!K$2:K$78)-IMshareM!K$11&gt;0,IMshareM!K39/(SUM(IMshareM!K$2:K$78)-IMshareM!K$11),0))</f>
        <v>2.225985606750959E-5</v>
      </c>
      <c r="L39" s="8">
        <f>IF($A39=L$1,0,IF(SUM(IMshareM!L$2:L$78)-IMshareM!L$12&gt;0,IMshareM!L39/(SUM(IMshareM!L$2:L$78)-IMshareM!L$12),0))</f>
        <v>0</v>
      </c>
      <c r="M39" s="8">
        <f>IF($A39=M$1,0,IF(SUM(IMshareM!M$2:M$78)-IMshareM!M$13&gt;0,IMshareM!M39/(SUM(IMshareM!M$2:M$78)-IMshareM!M$13),0))</f>
        <v>7.9340801775853575E-7</v>
      </c>
      <c r="N39" s="8">
        <f>IF($A39=N$1,0,IF(SUM(IMshareM!N$2:N$78)-IMshareM!N$14&gt;0,IMshareM!N39/(SUM(IMshareM!N$2:N$78)-IMshareM!N$14),0))</f>
        <v>0</v>
      </c>
      <c r="O39" s="8">
        <f>IF($A39=O$1,0,IF(SUM(IMshareM!O$2:O$78)-IMshareM!O$15&gt;0,IMshareM!O39/(SUM(IMshareM!O$2:O$78)-IMshareM!O$15),0))</f>
        <v>0</v>
      </c>
      <c r="P39" s="8">
        <f>IF($A39=P$1,0,IF(SUM(IMshareM!P$2:P$78)-IMshareM!P$16&gt;0,IMshareM!P39/(SUM(IMshareM!P$2:P$78)-IMshareM!P$16),0))</f>
        <v>0</v>
      </c>
      <c r="Q39" s="8">
        <f>IF($A39=Q$1,0,IF(SUM(IMshareM!Q$2:Q$78)-IMshareM!Q$17&gt;0,IMshareM!Q39/(SUM(IMshareM!Q$2:Q$78)-IMshareM!Q$17),0))</f>
        <v>0</v>
      </c>
      <c r="R39" s="8">
        <f>IF($A39=R$1,0,IF(SUM(IMshareM!R$2:R$78)-IMshareM!R$18&gt;0,IMshareM!R39/(SUM(IMshareM!R$2:R$78)-IMshareM!R$18),0))</f>
        <v>0</v>
      </c>
      <c r="S39" s="8">
        <f>IF($A39=S$1,0,IF(SUM(IMshareM!S$2:S$78)-IMshareM!S$19&gt;0,IMshareM!S39/(SUM(IMshareM!S$2:S$78)-IMshareM!S$19),0))</f>
        <v>0</v>
      </c>
      <c r="T39" s="8">
        <f>IF($A39=T$1,0,IF(SUM(IMshareM!T$2:T$78)-IMshareM!T$20&gt;0,IMshareM!T39/(SUM(IMshareM!T$2:T$78)-IMshareM!T$20),0))</f>
        <v>8.0064383001039243E-7</v>
      </c>
      <c r="U39" s="8">
        <f>IF($A39=U$1,0,IF(SUM(IMshareM!U$2:U$78)-IMshareM!U$21&gt;0,IMshareM!U39/(SUM(IMshareM!U$2:U$78)-IMshareM!U$21),0))</f>
        <v>1.4524159974656805E-6</v>
      </c>
      <c r="V39" s="8">
        <f>IF($A39=V$1,0,IF(SUM(IMshareM!V$2:V$78)-IMshareM!V$22&gt;0,IMshareM!V39/(SUM(IMshareM!V$2:V$78)-IMshareM!V$22),0))</f>
        <v>0</v>
      </c>
      <c r="W39" s="8">
        <f>IF($A39=W$1,0,IF(SUM(IMshareM!W$2:W$78)-IMshareM!W$23&gt;0,IMshareM!W39/(SUM(IMshareM!W$2:W$78)-IMshareM!W$23),0))</f>
        <v>1.7985574121980871E-5</v>
      </c>
      <c r="X39" s="8">
        <f>IF($A39=X$1,0,IF(SUM(IMshareM!X$2:X$78)-IMshareM!X$24&gt;0,IMshareM!X39/(SUM(IMshareM!X$2:X$78)-IMshareM!X$24),0))</f>
        <v>8.1527235011710137E-7</v>
      </c>
      <c r="Y39" s="8">
        <f>IF($A39=Y$1,0,IF(SUM(IMshareM!Y$2:Y$78)-IMshareM!Y$25&gt;0,IMshareM!Y39/(SUM(IMshareM!Y$2:Y$78)-IMshareM!Y$25),0))</f>
        <v>0</v>
      </c>
      <c r="Z39" s="8">
        <f>IF($A39=Z$1,0,IF(SUM(IMshareM!Z$2:Z$78)-IMshareM!Z$26&gt;0,IMshareM!Z39/(SUM(IMshareM!Z$2:Z$78)-IMshareM!Z$26),0))</f>
        <v>0</v>
      </c>
      <c r="AA39" s="8">
        <f>IF($A39=AA$1,0,IF(SUM(IMshareM!AA$2:AA$78)-IMshareM!AA$27&gt;0,IMshareM!AA39/(SUM(IMshareM!AA$2:AA$78)-IMshareM!AA$27),0))</f>
        <v>1.2835628852677764E-6</v>
      </c>
      <c r="AB39" s="8">
        <f>IF($A39=AB$1,0,IF(SUM(IMshareM!AB$2:AB$78)-IMshareM!AB$28&gt;0,IMshareM!AB39/(SUM(IMshareM!AB$2:AB$78)-IMshareM!AB$28),0))</f>
        <v>1.3602208641457061E-4</v>
      </c>
      <c r="AC39" s="8">
        <f>IF($A39=AC$1,0,IF(SUM(IMshareM!AC$2:AC$78)-IMshareM!AC$29&gt;0,IMshareM!AC39/(SUM(IMshareM!AC$2:AC$78)-IMshareM!AC$29),0))</f>
        <v>0</v>
      </c>
      <c r="AD39" s="8">
        <f>IF($A39=AD$1,0,IF(SUM(IMshareM!AD$2:AD$78)-IMshareM!AD$30&gt;0,IMshareM!AD39/(SUM(IMshareM!AD$2:AD$78)-IMshareM!AD$30),0))</f>
        <v>0</v>
      </c>
      <c r="AE39" s="8">
        <f>IF($A39=AE$1,0,IF(SUM(IMshareM!AE$2:AE$78)-IMshareM!AE$31&gt;0,IMshareM!AE39/(SUM(IMshareM!AE$2:AE$78)-IMshareM!AE$31),0))</f>
        <v>0</v>
      </c>
      <c r="AF39" s="8">
        <f>IF($A39=AF$1,0,IF(SUM(IMshareM!AF$2:AF$78)-IMshareM!AF$32&gt;0,IMshareM!AF39/(SUM(IMshareM!AF$2:AF$78)-IMshareM!AF$32),0))</f>
        <v>0</v>
      </c>
      <c r="AG39" s="8">
        <f>IF($A39=AG$1,0,IF(SUM(IMshareM!AG$2:AG$78)-IMshareM!AG$33&gt;0,IMshareM!AG39/(SUM(IMshareM!AG$2:AG$78)-IMshareM!AG$33),0))</f>
        <v>0</v>
      </c>
      <c r="AH39" s="8">
        <f>IF($A39=AH$1,0,IF(SUM(IMshareM!AH$2:AH$78)-IMshareM!AH$34&gt;0,IMshareM!AH39/(SUM(IMshareM!AH$2:AH$78)-IMshareM!AH$34),0))</f>
        <v>3.7672496894643133E-7</v>
      </c>
      <c r="AI39" s="8">
        <f>IF($A39=AI$1,0,IF(SUM(IMshareM!AI$2:AI$78)-IMshareM!AI$35&gt;0,IMshareM!AI39/(SUM(IMshareM!AI$2:AI$78)-IMshareM!AI$35),0))</f>
        <v>1.4629726796616922E-5</v>
      </c>
      <c r="AJ39" s="8">
        <f>IF($A39=AJ$1,0,IF(SUM(IMshareM!AJ$2:AJ$78)-IMshareM!AJ$36&gt;0,IMshareM!AJ39/(SUM(IMshareM!AJ$2:AJ$78)-IMshareM!AJ$36),0))</f>
        <v>0</v>
      </c>
      <c r="AK39" s="8">
        <f>IF($A39=AK$1,0,IF(SUM(IMshareM!AK$2:AK$78)-IMshareM!AK$37&gt;0,IMshareM!AK39/(SUM(IMshareM!AK$2:AK$78)-IMshareM!AK$37),0))</f>
        <v>5.4785754794387445E-5</v>
      </c>
      <c r="AL39" s="8">
        <f>IF($A39=AL$1,0,IF(SUM(IMshareM!AL$2:AL$78)-IMshareM!AL$38&gt;0,IMshareM!AL39/(SUM(IMshareM!AL$2:AL$78)-IMshareM!AL$38),0))</f>
        <v>6.1334195496024624E-6</v>
      </c>
      <c r="AM39" s="8">
        <f>IF($A39=AM$1,0,IF(SUM(IMshareM!AM$2:AM$78)-IMshareM!AM$39&gt;0,IMshareM!AM39/(SUM(IMshareM!AM$2:AM$78)-IMshareM!AM$39),0))</f>
        <v>0</v>
      </c>
      <c r="AN39" s="8">
        <f>IF($A39=AN$1,0,IF(SUM(IMshareM!AN$2:AN$78)-IMshareM!AN$40&gt;0,IMshareM!AN39/(SUM(IMshareM!AN$2:AN$78)-IMshareM!AN$40),0))</f>
        <v>0</v>
      </c>
      <c r="AO39" s="8">
        <f>IF($A39=AO$1,0,IF(SUM(IMshareM!AO$2:AO$78)-IMshareM!AO$41&gt;0,IMshareM!AO39/(SUM(IMshareM!AO$2:AO$78)-IMshareM!AO$41),0))</f>
        <v>0</v>
      </c>
      <c r="AP39" s="8">
        <f>IF($A39=AP$1,0,IF(SUM(IMshareM!AP$2:AP$78)-IMshareM!AP$42&gt;0,IMshareM!AP39/(SUM(IMshareM!AP$2:AP$78)-IMshareM!AP$42),0))</f>
        <v>0</v>
      </c>
      <c r="AQ39" s="8">
        <f>IF($A39=AQ$1,0,IF(SUM(IMshareM!AQ$2:AQ$78)-IMshareM!AQ$43&gt;0,IMshareM!AQ39/(SUM(IMshareM!AQ$2:AQ$78)-IMshareM!AQ$43),0))</f>
        <v>0</v>
      </c>
      <c r="AR39" s="8">
        <f>IF($A39=AR$1,0,IF(SUM(IMshareM!AR$2:AR$78)-IMshareM!AR$44&gt;0,IMshareM!AR39/(SUM(IMshareM!AR$2:AR$78)-IMshareM!AR$44),0))</f>
        <v>0</v>
      </c>
      <c r="AS39" s="8">
        <f>IF($A39=AS$1,0,IF(SUM(IMshareM!AS$2:AS$78)-IMshareM!AS$45&gt;0,IMshareM!AS39/(SUM(IMshareM!AS$2:AS$78)-IMshareM!AS$45),0))</f>
        <v>0</v>
      </c>
      <c r="AT39" s="8">
        <f>IF($A39=AT$1,0,IF(SUM(IMshareM!AT$2:AT$78)-IMshareM!AT$46&gt;0,IMshareM!AT39/(SUM(IMshareM!AT$2:AT$78)-IMshareM!AT$46),0))</f>
        <v>0</v>
      </c>
      <c r="AU39" s="8">
        <f>IF($A39=AU$1,0,IF(SUM(IMshareM!AU$2:AU$78)-IMshareM!AU$47&gt;0,IMshareM!AU39/(SUM(IMshareM!AU$2:AU$78)-IMshareM!AU$47),0))</f>
        <v>0</v>
      </c>
      <c r="AV39" s="8">
        <f>IF($A39=AV$1,0,IF(SUM(IMshareM!AV$2:AV$78)-IMshareM!AV$48&gt;0,IMshareM!AV39/(SUM(IMshareM!AV$2:AV$78)-IMshareM!AV$48),0))</f>
        <v>0</v>
      </c>
      <c r="AW39" s="8">
        <f>IF($A39=AW$1,0,IF(SUM(IMshareM!AW$2:AW$78)-IMshareM!AW$49&gt;0,IMshareM!AW39/(SUM(IMshareM!AW$2:AW$78)-IMshareM!AW$49),0))</f>
        <v>0</v>
      </c>
      <c r="AX39" s="8">
        <f>IF($A39=AX$1,0,IF(SUM(IMshareM!AX$2:AX$78)-IMshareM!AX$50&gt;0,IMshareM!AX39/(SUM(IMshareM!AX$2:AX$78)-IMshareM!AX$50),0))</f>
        <v>0</v>
      </c>
      <c r="AY39" s="8">
        <f>IF($A39=AY$1,0,IF(SUM(IMshareM!AY$2:AY$78)-IMshareM!AY$51&gt;0,IMshareM!AY39/(SUM(IMshareM!AY$2:AY$78)-IMshareM!AY$51),0))</f>
        <v>0</v>
      </c>
      <c r="AZ39" s="8">
        <f>IF($A39=AZ$1,0,IF(SUM(IMshareM!AZ$2:AZ$78)-IMshareM!AZ$52&gt;0,IMshareM!AZ39/(SUM(IMshareM!AZ$2:AZ$78)-IMshareM!AZ$52),0))</f>
        <v>0</v>
      </c>
      <c r="BA39" s="8">
        <f>IF($A39=BA$1,0,IF(SUM(IMshareM!BA$2:BA$78)-IMshareM!BA$53&gt;0,IMshareM!BA39/(SUM(IMshareM!BA$2:BA$78)-IMshareM!BA$53),0))</f>
        <v>0</v>
      </c>
      <c r="BB39" s="8">
        <f>IF($A39=BB$1,0,IF(SUM(IMshareM!BB$2:BB$78)-IMshareM!BB$54&gt;0,IMshareM!BB39/(SUM(IMshareM!BB$2:BB$78)-IMshareM!BB$54),0))</f>
        <v>7.9636667894074137E-6</v>
      </c>
      <c r="BC39" s="8">
        <f>IF($A39=BC$1,0,IF(SUM(IMshareM!BC$2:BC$78)-IMshareM!BC$55&gt;0,IMshareM!BC39/(SUM(IMshareM!BC$2:BC$78)-IMshareM!BC$55),0))</f>
        <v>0</v>
      </c>
      <c r="BD39" s="8">
        <f>IF($A39=BD$1,0,IF(SUM(IMshareM!BD$2:BD$78)-IMshareM!BD$56&gt;0,IMshareM!BD39/(SUM(IMshareM!BD$2:BD$78)-IMshareM!BD$56),0))</f>
        <v>0</v>
      </c>
      <c r="BE39" s="8">
        <f>IF($A39=BE$1,0,IF(SUM(IMshareM!BE$2:BE$78)-IMshareM!BE$57&gt;0,IMshareM!BE39/(SUM(IMshareM!BE$2:BE$78)-IMshareM!BE$57),0))</f>
        <v>0</v>
      </c>
      <c r="BF39" s="8">
        <f>IF($A39=BF$1,0,IF(SUM(IMshareM!BF$2:BF$78)-IMshareM!BF$58&gt;0,IMshareM!BF39/(SUM(IMshareM!BF$2:BF$78)-IMshareM!BF$58),0))</f>
        <v>0</v>
      </c>
      <c r="BG39" s="8">
        <f>IF($A39=BG$1,0,IF(SUM(IMshareM!BG$2:BG$78)-IMshareM!BG$59&gt;0,IMshareM!BG39/(SUM(IMshareM!BG$2:BG$78)-IMshareM!BG$59),0))</f>
        <v>6.4683690106993204E-6</v>
      </c>
      <c r="BH39" s="8">
        <f>IF($A39=BH$1,0,IF(SUM(IMshareM!BH$2:BH$78)-IMshareM!BH$60&gt;0,IMshareM!BH39/(SUM(IMshareM!BH$2:BH$78)-IMshareM!BH$60),0))</f>
        <v>3.640910204765586E-6</v>
      </c>
      <c r="BI39" s="8">
        <f>IF($A39=BI$1,0,IF(SUM(IMshareM!BI$2:BI$78)-IMshareM!BI$61&gt;0,IMshareM!BI39/(SUM(IMshareM!BI$2:BI$78)-IMshareM!BI$61),0))</f>
        <v>0</v>
      </c>
      <c r="BJ39" s="8">
        <f>IF($A39=BJ$1,0,IF(SUM(IMshareM!BJ$2:BJ$78)-IMshareM!BJ$62&gt;0,IMshareM!BJ39/(SUM(IMshareM!BJ$2:BJ$78)-IMshareM!BJ$62),0))</f>
        <v>0</v>
      </c>
      <c r="BK39" s="8">
        <f>IF($A39=BK$1,0,IF(SUM(IMshareM!BK$2:BK$78)-IMshareM!BK$63&gt;0,IMshareM!BK39/(SUM(IMshareM!BK$2:BK$78)-IMshareM!BK$63),0))</f>
        <v>0</v>
      </c>
      <c r="BL39" s="8">
        <f>IF($A39=BL$1,0,IF(SUM(IMshareM!BL$2:BL$78)-IMshareM!BL$64&gt;0,IMshareM!BL39/(SUM(IMshareM!BL$2:BL$78)-IMshareM!BL$64),0))</f>
        <v>1.3063875407791169E-4</v>
      </c>
      <c r="BM39" s="8">
        <f>IF($A39=BM$1,0,IF(SUM(IMshareM!BM$2:BM$78)-IMshareM!BM$65&gt;0,IMshareM!BM39/(SUM(IMshareM!BM$2:BM$78)-IMshareM!BM$65),0))</f>
        <v>0</v>
      </c>
      <c r="BN39" s="8">
        <f>IF($A39=BN$1,0,IF(SUM(IMshareM!BN$2:BN$78)-IMshareM!BN$66&gt;0,IMshareM!BN39/(SUM(IMshareM!BN$2:BN$78)-IMshareM!BN$66),0))</f>
        <v>3.4588177340343251E-6</v>
      </c>
      <c r="BO39" s="8">
        <f>IF($A39=BO$1,0,IF(SUM(IMshareM!BO$2:BO$78)-IMshareM!BO$67&gt;0,IMshareM!BO39/(SUM(IMshareM!BO$2:BO$78)-IMshareM!BO$67),0))</f>
        <v>1.8257032033072375E-6</v>
      </c>
      <c r="BP39" s="8">
        <f>IF($A39=BP$1,0,IF(SUM(IMshareM!BP$2:BP$78)-IMshareM!BP$68&gt;0,IMshareM!BP39/(SUM(IMshareM!BP$2:BP$78)-IMshareM!BP$68),0))</f>
        <v>0</v>
      </c>
      <c r="BQ39" s="8">
        <f>IF($A39=BQ$1,0,IF(SUM(IMshareM!BQ$2:BQ$78)-IMshareM!BQ$69&gt;0,IMshareM!BQ39/(SUM(IMshareM!BQ$2:BQ$78)-IMshareM!BQ$69),0))</f>
        <v>1.4572979689438976E-5</v>
      </c>
      <c r="BR39" s="8">
        <f>IF($A39=BR$1,0,IF(SUM(IMshareM!BR$2:BR$78)-IMshareM!BR$70&gt;0,IMshareM!BR39/(SUM(IMshareM!BR$2:BR$78)-IMshareM!BR$70),0))</f>
        <v>9.0072988146630179E-7</v>
      </c>
      <c r="BS39" s="8">
        <f>IF($A39=BS$1,0,IF(SUM(IMshareM!BS$2:BS$78)-IMshareM!BS$71&gt;0,IMshareM!BS39/(SUM(IMshareM!BS$2:BS$78)-IMshareM!BS$71),0))</f>
        <v>0</v>
      </c>
      <c r="BT39" s="8">
        <f>IF($A39=BT$1,0,IF(SUM(IMshareM!BT$2:BT$78)-IMshareM!BT$72&gt;0,IMshareM!BT39/(SUM(IMshareM!BT$2:BT$78)-IMshareM!BT$72),0))</f>
        <v>9.1329020251087917E-7</v>
      </c>
      <c r="BU39" s="8">
        <f>IF($A39=BU$1,0,IF(SUM(IMshareM!BU$2:BU$78)-IMshareM!BU$73&gt;0,IMshareM!BU39/(SUM(IMshareM!BU$2:BU$78)-IMshareM!BU$73),0))</f>
        <v>0</v>
      </c>
      <c r="BV39" s="8">
        <f>IF($A39=BV$1,0,IF(SUM(IMshareM!BV$2:BV$78)-IMshareM!BV$74&gt;0,IMshareM!BV39/(SUM(IMshareM!BV$2:BV$78)-IMshareM!BV$74),0))</f>
        <v>0</v>
      </c>
      <c r="BW39" s="8">
        <f>IF($A39=BW$1,0,IF(SUM(IMshareM!BW$2:BW$78)-IMshareM!BW$75&gt;0,IMshareM!BW39/(SUM(IMshareM!BW$2:BW$78)-IMshareM!BW$75),0))</f>
        <v>8.2660463734340084E-5</v>
      </c>
      <c r="BX39" s="8">
        <f>IF($A39=BX$1,0,IF(SUM(IMshareM!BX$2:BX$78)-IMshareM!BX$76&gt;0,IMshareM!BX39/(SUM(IMshareM!BX$2:BX$78)-IMshareM!BX$76),0))</f>
        <v>0</v>
      </c>
      <c r="BY39" s="8">
        <f>IF($A39=BY$1,0,IF(SUM(IMshareM!BY$2:BY$78)-IMshareM!BY$77&gt;0,IMshareM!BY39/(SUM(IMshareM!BY$2:BY$78)-IMshareM!BY$77),0))</f>
        <v>1.1211883291270593E-6</v>
      </c>
      <c r="BZ39" s="8">
        <f>IF($A39=BZ$1,0,IF(SUM(IMshareM!BZ$2:BZ$78)-IMshareM!BZ$78&gt;0,IMshareM!BZ39/(SUM(IMshareM!BZ$2:BZ$78)-IMshareM!BZ$78),0))</f>
        <v>9.5602919124749343E-5</v>
      </c>
    </row>
    <row r="40" spans="1:78">
      <c r="A40" s="4" t="s">
        <v>147</v>
      </c>
      <c r="B40" s="8">
        <f>IF($A40=B$1,0,IF(SUM(IMshareM!B$2:B$78)-IMshareM!B$2&gt;0,IMshareM!B40/(SUM(IMshareM!B$2:B$78)-IMshareM!B$2),0))</f>
        <v>2.7735000135421111E-2</v>
      </c>
      <c r="C40" s="8">
        <f>IF($A40=C$1,0,IF(SUM(IMshareM!C$2:C$78)-IMshareM!C$3&gt;0,IMshareM!C40/(SUM(IMshareM!C$2:C$78)-IMshareM!C$3),0))</f>
        <v>2.5040635157996882E-2</v>
      </c>
      <c r="D40" s="8">
        <f>IF($A40=D$1,0,IF(SUM(IMshareM!D$2:D$78)-IMshareM!D$4&gt;0,IMshareM!D40/(SUM(IMshareM!D$2:D$78)-IMshareM!D$4),0))</f>
        <v>7.9570378459888104E-3</v>
      </c>
      <c r="E40" s="8">
        <f>IF($A40=E$1,0,IF(SUM(IMshareM!E$2:E$78)-IMshareM!E$5&gt;0,IMshareM!E40/(SUM(IMshareM!E$2:E$78)-IMshareM!E$5),0))</f>
        <v>1.3027569437947672E-2</v>
      </c>
      <c r="F40" s="8">
        <f>IF($A40=F$1,0,IF(SUM(IMshareM!F$2:F$78)-IMshareM!F$6&gt;0,IMshareM!F40/(SUM(IMshareM!F$2:F$78)-IMshareM!F$6),0))</f>
        <v>4.7488880298474603E-2</v>
      </c>
      <c r="G40" s="8">
        <f>IF($A40=G$1,0,IF(SUM(IMshareM!G$2:G$78)-IMshareM!G$7&gt;0,IMshareM!G40/(SUM(IMshareM!G$2:G$78)-IMshareM!G$7),0))</f>
        <v>0.16265304307729236</v>
      </c>
      <c r="H40" s="8">
        <f>IF($A40=H$1,0,IF(SUM(IMshareM!H$2:H$78)-IMshareM!H$8&gt;0,IMshareM!H40/(SUM(IMshareM!H$2:H$78)-IMshareM!H$8),0))</f>
        <v>4.7877003244266688E-4</v>
      </c>
      <c r="I40" s="8">
        <f>IF($A40=I$1,0,IF(SUM(IMshareM!I$2:I$78)-IMshareM!I$9&gt;0,IMshareM!I40/(SUM(IMshareM!I$2:I$78)-IMshareM!I$9),0))</f>
        <v>6.8189364775059824E-2</v>
      </c>
      <c r="J40" s="8">
        <f>IF($A40=J$1,0,IF(SUM(IMshareM!J$2:J$78)-IMshareM!J$10&gt;0,IMshareM!J40/(SUM(IMshareM!J$2:J$78)-IMshareM!J$10),0))</f>
        <v>3.9176693287368537E-2</v>
      </c>
      <c r="K40" s="8">
        <f>IF($A40=K$1,0,IF(SUM(IMshareM!K$2:K$78)-IMshareM!K$11&gt;0,IMshareM!K40/(SUM(IMshareM!K$2:K$78)-IMshareM!K$11),0))</f>
        <v>4.4073026913691027E-2</v>
      </c>
      <c r="L40" s="8">
        <f>IF($A40=L$1,0,IF(SUM(IMshareM!L$2:L$78)-IMshareM!L$12&gt;0,IMshareM!L40/(SUM(IMshareM!L$2:L$78)-IMshareM!L$12),0))</f>
        <v>4.5245484007157749E-2</v>
      </c>
      <c r="M40" s="8">
        <f>IF($A40=M$1,0,IF(SUM(IMshareM!M$2:M$78)-IMshareM!M$13&gt;0,IMshareM!M40/(SUM(IMshareM!M$2:M$78)-IMshareM!M$13),0))</f>
        <v>7.7287512791064856E-4</v>
      </c>
      <c r="N40" s="8">
        <f>IF($A40=N$1,0,IF(SUM(IMshareM!N$2:N$78)-IMshareM!N$14&gt;0,IMshareM!N40/(SUM(IMshareM!N$2:N$78)-IMshareM!N$14),0))</f>
        <v>0.2383580764873626</v>
      </c>
      <c r="O40" s="8">
        <f>IF($A40=O$1,0,IF(SUM(IMshareM!O$2:O$78)-IMshareM!O$15&gt;0,IMshareM!O40/(SUM(IMshareM!O$2:O$78)-IMshareM!O$15),0))</f>
        <v>6.153480835986172E-3</v>
      </c>
      <c r="P40" s="8">
        <f>IF($A40=P$1,0,IF(SUM(IMshareM!P$2:P$78)-IMshareM!P$16&gt;0,IMshareM!P40/(SUM(IMshareM!P$2:P$78)-IMshareM!P$16),0))</f>
        <v>1.4344651821068051E-4</v>
      </c>
      <c r="Q40" s="8">
        <f>IF($A40=Q$1,0,IF(SUM(IMshareM!Q$2:Q$78)-IMshareM!Q$17&gt;0,IMshareM!Q40/(SUM(IMshareM!Q$2:Q$78)-IMshareM!Q$17),0))</f>
        <v>6.6636478003865539E-3</v>
      </c>
      <c r="R40" s="8">
        <f>IF($A40=R$1,0,IF(SUM(IMshareM!R$2:R$78)-IMshareM!R$18&gt;0,IMshareM!R40/(SUM(IMshareM!R$2:R$78)-IMshareM!R$18),0))</f>
        <v>1.3534177749529844E-2</v>
      </c>
      <c r="S40" s="8">
        <f>IF($A40=S$1,0,IF(SUM(IMshareM!S$2:S$78)-IMshareM!S$19&gt;0,IMshareM!S40/(SUM(IMshareM!S$2:S$78)-IMshareM!S$19),0))</f>
        <v>9.5501912271489281E-4</v>
      </c>
      <c r="T40" s="8">
        <f>IF($A40=T$1,0,IF(SUM(IMshareM!T$2:T$78)-IMshareM!T$20&gt;0,IMshareM!T40/(SUM(IMshareM!T$2:T$78)-IMshareM!T$20),0))</f>
        <v>6.2384790688877471E-2</v>
      </c>
      <c r="U40" s="8">
        <f>IF($A40=U$1,0,IF(SUM(IMshareM!U$2:U$78)-IMshareM!U$21&gt;0,IMshareM!U40/(SUM(IMshareM!U$2:U$78)-IMshareM!U$21),0))</f>
        <v>2.2061814352075975E-2</v>
      </c>
      <c r="V40" s="8">
        <f>IF($A40=V$1,0,IF(SUM(IMshareM!V$2:V$78)-IMshareM!V$22&gt;0,IMshareM!V40/(SUM(IMshareM!V$2:V$78)-IMshareM!V$22),0))</f>
        <v>4.1003052293167022E-3</v>
      </c>
      <c r="W40" s="8">
        <f>IF($A40=W$1,0,IF(SUM(IMshareM!W$2:W$78)-IMshareM!W$23&gt;0,IMshareM!W40/(SUM(IMshareM!W$2:W$78)-IMshareM!W$23),0))</f>
        <v>5.5827416305911336E-3</v>
      </c>
      <c r="X40" s="8">
        <f>IF($A40=X$1,0,IF(SUM(IMshareM!X$2:X$78)-IMshareM!X$24&gt;0,IMshareM!X40/(SUM(IMshareM!X$2:X$78)-IMshareM!X$24),0))</f>
        <v>3.3747811009100029E-2</v>
      </c>
      <c r="Y40" s="8">
        <f>IF($A40=Y$1,0,IF(SUM(IMshareM!Y$2:Y$78)-IMshareM!Y$25&gt;0,IMshareM!Y40/(SUM(IMshareM!Y$2:Y$78)-IMshareM!Y$25),0))</f>
        <v>3.4456895945585937E-2</v>
      </c>
      <c r="Z40" s="8">
        <f>IF($A40=Z$1,0,IF(SUM(IMshareM!Z$2:Z$78)-IMshareM!Z$26&gt;0,IMshareM!Z40/(SUM(IMshareM!Z$2:Z$78)-IMshareM!Z$26),0))</f>
        <v>1.6739804204918815E-2</v>
      </c>
      <c r="AA40" s="8">
        <f>IF($A40=AA$1,0,IF(SUM(IMshareM!AA$2:AA$78)-IMshareM!AA$27&gt;0,IMshareM!AA40/(SUM(IMshareM!AA$2:AA$78)-IMshareM!AA$27),0))</f>
        <v>3.0103358534393665E-2</v>
      </c>
      <c r="AB40" s="8">
        <f>IF($A40=AB$1,0,IF(SUM(IMshareM!AB$2:AB$78)-IMshareM!AB$28&gt;0,IMshareM!AB40/(SUM(IMshareM!AB$2:AB$78)-IMshareM!AB$28),0))</f>
        <v>2.7965114778457895E-2</v>
      </c>
      <c r="AC40" s="8">
        <f>IF($A40=AC$1,0,IF(SUM(IMshareM!AC$2:AC$78)-IMshareM!AC$29&gt;0,IMshareM!AC40/(SUM(IMshareM!AC$2:AC$78)-IMshareM!AC$29),0))</f>
        <v>2.414299111640273E-2</v>
      </c>
      <c r="AD40" s="8">
        <f>IF($A40=AD$1,0,IF(SUM(IMshareM!AD$2:AD$78)-IMshareM!AD$30&gt;0,IMshareM!AD40/(SUM(IMshareM!AD$2:AD$78)-IMshareM!AD$30),0))</f>
        <v>7.8413020939906881E-3</v>
      </c>
      <c r="AE40" s="8">
        <f>IF($A40=AE$1,0,IF(SUM(IMshareM!AE$2:AE$78)-IMshareM!AE$31&gt;0,IMshareM!AE40/(SUM(IMshareM!AE$2:AE$78)-IMshareM!AE$31),0))</f>
        <v>4.4503015102118028E-4</v>
      </c>
      <c r="AF40" s="8">
        <f>IF($A40=AF$1,0,IF(SUM(IMshareM!AF$2:AF$78)-IMshareM!AF$32&gt;0,IMshareM!AF40/(SUM(IMshareM!AF$2:AF$78)-IMshareM!AF$32),0))</f>
        <v>3.9413482388988307E-2</v>
      </c>
      <c r="AG40" s="8">
        <f>IF($A40=AG$1,0,IF(SUM(IMshareM!AG$2:AG$78)-IMshareM!AG$33&gt;0,IMshareM!AG40/(SUM(IMshareM!AG$2:AG$78)-IMshareM!AG$33),0))</f>
        <v>7.906082495308453E-2</v>
      </c>
      <c r="AH40" s="8">
        <f>IF($A40=AH$1,0,IF(SUM(IMshareM!AH$2:AH$78)-IMshareM!AH$34&gt;0,IMshareM!AH40/(SUM(IMshareM!AH$2:AH$78)-IMshareM!AH$34),0))</f>
        <v>5.7341790717592579E-2</v>
      </c>
      <c r="AI40" s="8">
        <f>IF($A40=AI$1,0,IF(SUM(IMshareM!AI$2:AI$78)-IMshareM!AI$35&gt;0,IMshareM!AI40/(SUM(IMshareM!AI$2:AI$78)-IMshareM!AI$35),0))</f>
        <v>1.7116342288000925E-2</v>
      </c>
      <c r="AJ40" s="8">
        <f>IF($A40=AJ$1,0,IF(SUM(IMshareM!AJ$2:AJ$78)-IMshareM!AJ$36&gt;0,IMshareM!AJ40/(SUM(IMshareM!AJ$2:AJ$78)-IMshareM!AJ$36),0))</f>
        <v>1.4131450371729101E-2</v>
      </c>
      <c r="AK40" s="8">
        <f>IF($A40=AK$1,0,IF(SUM(IMshareM!AK$2:AK$78)-IMshareM!AK$37&gt;0,IMshareM!AK40/(SUM(IMshareM!AK$2:AK$78)-IMshareM!AK$37),0))</f>
        <v>1.9659657393524418E-2</v>
      </c>
      <c r="AL40" s="8">
        <f>IF($A40=AL$1,0,IF(SUM(IMshareM!AL$2:AL$78)-IMshareM!AL$38&gt;0,IMshareM!AL40/(SUM(IMshareM!AL$2:AL$78)-IMshareM!AL$38),0))</f>
        <v>8.6756926159886182E-3</v>
      </c>
      <c r="AM40" s="8">
        <f>IF($A40=AM$1,0,IF(SUM(IMshareM!AM$2:AM$78)-IMshareM!AM$39&gt;0,IMshareM!AM40/(SUM(IMshareM!AM$2:AM$78)-IMshareM!AM$39),0))</f>
        <v>2.590649338436752E-2</v>
      </c>
      <c r="AN40" s="8">
        <f>IF($A40=AN$1,0,IF(SUM(IMshareM!AN$2:AN$78)-IMshareM!AN$40&gt;0,IMshareM!AN40/(SUM(IMshareM!AN$2:AN$78)-IMshareM!AN$40),0))</f>
        <v>0</v>
      </c>
      <c r="AO40" s="8">
        <f>IF($A40=AO$1,0,IF(SUM(IMshareM!AO$2:AO$78)-IMshareM!AO$41&gt;0,IMshareM!AO40/(SUM(IMshareM!AO$2:AO$78)-IMshareM!AO$41),0))</f>
        <v>1.2981503590530547E-3</v>
      </c>
      <c r="AP40" s="8">
        <f>IF($A40=AP$1,0,IF(SUM(IMshareM!AP$2:AP$78)-IMshareM!AP$42&gt;0,IMshareM!AP40/(SUM(IMshareM!AP$2:AP$78)-IMshareM!AP$42),0))</f>
        <v>8.2998484970337547E-3</v>
      </c>
      <c r="AQ40" s="8">
        <f>IF($A40=AQ$1,0,IF(SUM(IMshareM!AQ$2:AQ$78)-IMshareM!AQ$43&gt;0,IMshareM!AQ40/(SUM(IMshareM!AQ$2:AQ$78)-IMshareM!AQ$43),0))</f>
        <v>5.9812054826886903E-2</v>
      </c>
      <c r="AR40" s="8">
        <f>IF($A40=AR$1,0,IF(SUM(IMshareM!AR$2:AR$78)-IMshareM!AR$44&gt;0,IMshareM!AR40/(SUM(IMshareM!AR$2:AR$78)-IMshareM!AR$44),0))</f>
        <v>2.2946501288127269E-4</v>
      </c>
      <c r="AS40" s="8">
        <f>IF($A40=AS$1,0,IF(SUM(IMshareM!AS$2:AS$78)-IMshareM!AS$45&gt;0,IMshareM!AS40/(SUM(IMshareM!AS$2:AS$78)-IMshareM!AS$45),0))</f>
        <v>1.8016389753483436E-2</v>
      </c>
      <c r="AT40" s="8">
        <f>IF($A40=AT$1,0,IF(SUM(IMshareM!AT$2:AT$78)-IMshareM!AT$46&gt;0,IMshareM!AT40/(SUM(IMshareM!AT$2:AT$78)-IMshareM!AT$46),0))</f>
        <v>0.602422194959775</v>
      </c>
      <c r="AU40" s="8">
        <f>IF($A40=AU$1,0,IF(SUM(IMshareM!AU$2:AU$78)-IMshareM!AU$47&gt;0,IMshareM!AU40/(SUM(IMshareM!AU$2:AU$78)-IMshareM!AU$47),0))</f>
        <v>1.465507349479822E-3</v>
      </c>
      <c r="AV40" s="8">
        <f>IF($A40=AV$1,0,IF(SUM(IMshareM!AV$2:AV$78)-IMshareM!AV$48&gt;0,IMshareM!AV40/(SUM(IMshareM!AV$2:AV$78)-IMshareM!AV$48),0))</f>
        <v>3.5528102536704874E-3</v>
      </c>
      <c r="AW40" s="8">
        <f>IF($A40=AW$1,0,IF(SUM(IMshareM!AW$2:AW$78)-IMshareM!AW$49&gt;0,IMshareM!AW40/(SUM(IMshareM!AW$2:AW$78)-IMshareM!AW$49),0))</f>
        <v>6.1130194590095749E-2</v>
      </c>
      <c r="AX40" s="8">
        <f>IF($A40=AX$1,0,IF(SUM(IMshareM!AX$2:AX$78)-IMshareM!AX$50&gt;0,IMshareM!AX40/(SUM(IMshareM!AX$2:AX$78)-IMshareM!AX$50),0))</f>
        <v>6.94864747695949E-4</v>
      </c>
      <c r="AY40" s="8">
        <f>IF($A40=AY$1,0,IF(SUM(IMshareM!AY$2:AY$78)-IMshareM!AY$51&gt;0,IMshareM!AY40/(SUM(IMshareM!AY$2:AY$78)-IMshareM!AY$51),0))</f>
        <v>5.632982325597409E-2</v>
      </c>
      <c r="AZ40" s="8">
        <f>IF($A40=AZ$1,0,IF(SUM(IMshareM!AZ$2:AZ$78)-IMshareM!AZ$52&gt;0,IMshareM!AZ40/(SUM(IMshareM!AZ$2:AZ$78)-IMshareM!AZ$52),0))</f>
        <v>6.5588414768157036E-2</v>
      </c>
      <c r="BA40" s="8">
        <f>IF($A40=BA$1,0,IF(SUM(IMshareM!BA$2:BA$78)-IMshareM!BA$53&gt;0,IMshareM!BA40/(SUM(IMshareM!BA$2:BA$78)-IMshareM!BA$53),0))</f>
        <v>3.1008779541986872E-3</v>
      </c>
      <c r="BB40" s="8">
        <f>IF($A40=BB$1,0,IF(SUM(IMshareM!BB$2:BB$78)-IMshareM!BB$54&gt;0,IMshareM!BB40/(SUM(IMshareM!BB$2:BB$78)-IMshareM!BB$54),0))</f>
        <v>5.9066753020265969E-2</v>
      </c>
      <c r="BC40" s="8">
        <f>IF($A40=BC$1,0,IF(SUM(IMshareM!BC$2:BC$78)-IMshareM!BC$55&gt;0,IMshareM!BC40/(SUM(IMshareM!BC$2:BC$78)-IMshareM!BC$55),0))</f>
        <v>9.2183890660645796E-3</v>
      </c>
      <c r="BD40" s="8">
        <f>IF($A40=BD$1,0,IF(SUM(IMshareM!BD$2:BD$78)-IMshareM!BD$56&gt;0,IMshareM!BD40/(SUM(IMshareM!BD$2:BD$78)-IMshareM!BD$56),0))</f>
        <v>3.2086704684611084E-2</v>
      </c>
      <c r="BE40" s="8">
        <f>IF($A40=BE$1,0,IF(SUM(IMshareM!BE$2:BE$78)-IMshareM!BE$57&gt;0,IMshareM!BE40/(SUM(IMshareM!BE$2:BE$78)-IMshareM!BE$57),0))</f>
        <v>1.1664162203449679E-2</v>
      </c>
      <c r="BF40" s="8">
        <f>IF($A40=BF$1,0,IF(SUM(IMshareM!BF$2:BF$78)-IMshareM!BF$58&gt;0,IMshareM!BF40/(SUM(IMshareM!BF$2:BF$78)-IMshareM!BF$58),0))</f>
        <v>2.056348771567542E-2</v>
      </c>
      <c r="BG40" s="8">
        <f>IF($A40=BG$1,0,IF(SUM(IMshareM!BG$2:BG$78)-IMshareM!BG$59&gt;0,IMshareM!BG40/(SUM(IMshareM!BG$2:BG$78)-IMshareM!BG$59),0))</f>
        <v>5.5670875275066652E-2</v>
      </c>
      <c r="BH40" s="8">
        <f>IF($A40=BH$1,0,IF(SUM(IMshareM!BH$2:BH$78)-IMshareM!BH$60&gt;0,IMshareM!BH40/(SUM(IMshareM!BH$2:BH$78)-IMshareM!BH$60),0))</f>
        <v>1.013150619884761E-2</v>
      </c>
      <c r="BI40" s="8">
        <f>IF($A40=BI$1,0,IF(SUM(IMshareM!BI$2:BI$78)-IMshareM!BI$61&gt;0,IMshareM!BI40/(SUM(IMshareM!BI$2:BI$78)-IMshareM!BI$61),0))</f>
        <v>1.2610522467331615E-2</v>
      </c>
      <c r="BJ40" s="8">
        <f>IF($A40=BJ$1,0,IF(SUM(IMshareM!BJ$2:BJ$78)-IMshareM!BJ$62&gt;0,IMshareM!BJ40/(SUM(IMshareM!BJ$2:BJ$78)-IMshareM!BJ$62),0))</f>
        <v>7.6199934351308361E-3</v>
      </c>
      <c r="BK40" s="8">
        <f>IF($A40=BK$1,0,IF(SUM(IMshareM!BK$2:BK$78)-IMshareM!BK$63&gt;0,IMshareM!BK40/(SUM(IMshareM!BK$2:BK$78)-IMshareM!BK$63),0))</f>
        <v>6.7548534654154639E-3</v>
      </c>
      <c r="BL40" s="8">
        <f>IF($A40=BL$1,0,IF(SUM(IMshareM!BL$2:BL$78)-IMshareM!BL$64&gt;0,IMshareM!BL40/(SUM(IMshareM!BL$2:BL$78)-IMshareM!BL$64),0))</f>
        <v>2.934578510796795E-2</v>
      </c>
      <c r="BM40" s="8">
        <f>IF($A40=BM$1,0,IF(SUM(IMshareM!BM$2:BM$78)-IMshareM!BM$65&gt;0,IMshareM!BM40/(SUM(IMshareM!BM$2:BM$78)-IMshareM!BM$65),0))</f>
        <v>2.6668500781989735E-3</v>
      </c>
      <c r="BN40" s="8">
        <f>IF($A40=BN$1,0,IF(SUM(IMshareM!BN$2:BN$78)-IMshareM!BN$66&gt;0,IMshareM!BN40/(SUM(IMshareM!BN$2:BN$78)-IMshareM!BN$66),0))</f>
        <v>9.1971246648174326E-2</v>
      </c>
      <c r="BO40" s="8">
        <f>IF($A40=BO$1,0,IF(SUM(IMshareM!BO$2:BO$78)-IMshareM!BO$67&gt;0,IMshareM!BO40/(SUM(IMshareM!BO$2:BO$78)-IMshareM!BO$67),0))</f>
        <v>6.4851119514114444E-3</v>
      </c>
      <c r="BP40" s="8">
        <f>IF($A40=BP$1,0,IF(SUM(IMshareM!BP$2:BP$78)-IMshareM!BP$68&gt;0,IMshareM!BP40/(SUM(IMshareM!BP$2:BP$78)-IMshareM!BP$68),0))</f>
        <v>2.4222377554993037E-2</v>
      </c>
      <c r="BQ40" s="8">
        <f>IF($A40=BQ$1,0,IF(SUM(IMshareM!BQ$2:BQ$78)-IMshareM!BQ$69&gt;0,IMshareM!BQ40/(SUM(IMshareM!BQ$2:BQ$78)-IMshareM!BQ$69),0))</f>
        <v>7.4461954363857271E-3</v>
      </c>
      <c r="BR40" s="8">
        <f>IF($A40=BR$1,0,IF(SUM(IMshareM!BR$2:BR$78)-IMshareM!BR$70&gt;0,IMshareM!BR40/(SUM(IMshareM!BR$2:BR$78)-IMshareM!BR$70),0))</f>
        <v>0.14099091262818386</v>
      </c>
      <c r="BS40" s="8">
        <f>IF($A40=BS$1,0,IF(SUM(IMshareM!BS$2:BS$78)-IMshareM!BS$71&gt;0,IMshareM!BS40/(SUM(IMshareM!BS$2:BS$78)-IMshareM!BS$71),0))</f>
        <v>3.841166957438389E-3</v>
      </c>
      <c r="BT40" s="8">
        <f>IF($A40=BT$1,0,IF(SUM(IMshareM!BT$2:BT$78)-IMshareM!BT$72&gt;0,IMshareM!BT40/(SUM(IMshareM!BT$2:BT$78)-IMshareM!BT$72),0))</f>
        <v>3.2659066854553283E-2</v>
      </c>
      <c r="BU40" s="8">
        <f>IF($A40=BU$1,0,IF(SUM(IMshareM!BU$2:BU$78)-IMshareM!BU$73&gt;0,IMshareM!BU40/(SUM(IMshareM!BU$2:BU$78)-IMshareM!BU$73),0))</f>
        <v>0.26545976964220014</v>
      </c>
      <c r="BV40" s="8">
        <f>IF($A40=BV$1,0,IF(SUM(IMshareM!BV$2:BV$78)-IMshareM!BV$74&gt;0,IMshareM!BV40/(SUM(IMshareM!BV$2:BV$78)-IMshareM!BV$74),0))</f>
        <v>2.0512145970166609E-3</v>
      </c>
      <c r="BW40" s="8">
        <f>IF($A40=BW$1,0,IF(SUM(IMshareM!BW$2:BW$78)-IMshareM!BW$75&gt;0,IMshareM!BW40/(SUM(IMshareM!BW$2:BW$78)-IMshareM!BW$75),0))</f>
        <v>8.4121329031270869E-2</v>
      </c>
      <c r="BX40" s="8">
        <f>IF($A40=BX$1,0,IF(SUM(IMshareM!BX$2:BX$78)-IMshareM!BX$76&gt;0,IMshareM!BX40/(SUM(IMshareM!BX$2:BX$78)-IMshareM!BX$76),0))</f>
        <v>3.5720021893172312E-2</v>
      </c>
      <c r="BY40" s="8">
        <f>IF($A40=BY$1,0,IF(SUM(IMshareM!BY$2:BY$78)-IMshareM!BY$77&gt;0,IMshareM!BY40/(SUM(IMshareM!BY$2:BY$78)-IMshareM!BY$77),0))</f>
        <v>1.7500361026690642E-2</v>
      </c>
      <c r="BZ40" s="8">
        <f>IF($A40=BZ$1,0,IF(SUM(IMshareM!BZ$2:BZ$78)-IMshareM!BZ$78&gt;0,IMshareM!BZ40/(SUM(IMshareM!BZ$2:BZ$78)-IMshareM!BZ$78),0))</f>
        <v>1.7947521778484958E-2</v>
      </c>
    </row>
    <row r="41" spans="1:78">
      <c r="A41" s="4" t="s">
        <v>149</v>
      </c>
      <c r="B41" s="8">
        <f>IF($A41=B$1,0,IF(SUM(IMshareM!B$2:B$78)-IMshareM!B$2&gt;0,IMshareM!B41/(SUM(IMshareM!B$2:B$78)-IMshareM!B$2),0))</f>
        <v>0</v>
      </c>
      <c r="C41" s="8">
        <f>IF($A41=C$1,0,IF(SUM(IMshareM!C$2:C$78)-IMshareM!C$3&gt;0,IMshareM!C41/(SUM(IMshareM!C$2:C$78)-IMshareM!C$3),0))</f>
        <v>0</v>
      </c>
      <c r="D41" s="8">
        <f>IF($A41=D$1,0,IF(SUM(IMshareM!D$2:D$78)-IMshareM!D$4&gt;0,IMshareM!D41/(SUM(IMshareM!D$2:D$78)-IMshareM!D$4),0))</f>
        <v>0</v>
      </c>
      <c r="E41" s="8">
        <f>IF($A41=E$1,0,IF(SUM(IMshareM!E$2:E$78)-IMshareM!E$5&gt;0,IMshareM!E41/(SUM(IMshareM!E$2:E$78)-IMshareM!E$5),0))</f>
        <v>0</v>
      </c>
      <c r="F41" s="8">
        <f>IF($A41=F$1,0,IF(SUM(IMshareM!F$2:F$78)-IMshareM!F$6&gt;0,IMshareM!F41/(SUM(IMshareM!F$2:F$78)-IMshareM!F$6),0))</f>
        <v>0</v>
      </c>
      <c r="G41" s="8">
        <f>IF($A41=G$1,0,IF(SUM(IMshareM!G$2:G$78)-IMshareM!G$7&gt;0,IMshareM!G41/(SUM(IMshareM!G$2:G$78)-IMshareM!G$7),0))</f>
        <v>0</v>
      </c>
      <c r="H41" s="8">
        <f>IF($A41=H$1,0,IF(SUM(IMshareM!H$2:H$78)-IMshareM!H$8&gt;0,IMshareM!H41/(SUM(IMshareM!H$2:H$78)-IMshareM!H$8),0))</f>
        <v>9.7857094367648362E-3</v>
      </c>
      <c r="I41" s="8">
        <f>IF($A41=I$1,0,IF(SUM(IMshareM!I$2:I$78)-IMshareM!I$9&gt;0,IMshareM!I41/(SUM(IMshareM!I$2:I$78)-IMshareM!I$9),0))</f>
        <v>0</v>
      </c>
      <c r="J41" s="8">
        <f>IF($A41=J$1,0,IF(SUM(IMshareM!J$2:J$78)-IMshareM!J$10&gt;0,IMshareM!J41/(SUM(IMshareM!J$2:J$78)-IMshareM!J$10),0))</f>
        <v>0</v>
      </c>
      <c r="K41" s="8">
        <f>IF($A41=K$1,0,IF(SUM(IMshareM!K$2:K$78)-IMshareM!K$11&gt;0,IMshareM!K41/(SUM(IMshareM!K$2:K$78)-IMshareM!K$11),0))</f>
        <v>0</v>
      </c>
      <c r="L41" s="8">
        <f>IF($A41=L$1,0,IF(SUM(IMshareM!L$2:L$78)-IMshareM!L$12&gt;0,IMshareM!L41/(SUM(IMshareM!L$2:L$78)-IMshareM!L$12),0))</f>
        <v>0</v>
      </c>
      <c r="M41" s="8">
        <f>IF($A41=M$1,0,IF(SUM(IMshareM!M$2:M$78)-IMshareM!M$13&gt;0,IMshareM!M41/(SUM(IMshareM!M$2:M$78)-IMshareM!M$13),0))</f>
        <v>0</v>
      </c>
      <c r="N41" s="8">
        <f>IF($A41=N$1,0,IF(SUM(IMshareM!N$2:N$78)-IMshareM!N$14&gt;0,IMshareM!N41/(SUM(IMshareM!N$2:N$78)-IMshareM!N$14),0))</f>
        <v>0</v>
      </c>
      <c r="O41" s="8">
        <f>IF($A41=O$1,0,IF(SUM(IMshareM!O$2:O$78)-IMshareM!O$15&gt;0,IMshareM!O41/(SUM(IMshareM!O$2:O$78)-IMshareM!O$15),0))</f>
        <v>0</v>
      </c>
      <c r="P41" s="8">
        <f>IF($A41=P$1,0,IF(SUM(IMshareM!P$2:P$78)-IMshareM!P$16&gt;0,IMshareM!P41/(SUM(IMshareM!P$2:P$78)-IMshareM!P$16),0))</f>
        <v>0</v>
      </c>
      <c r="Q41" s="8">
        <f>IF($A41=Q$1,0,IF(SUM(IMshareM!Q$2:Q$78)-IMshareM!Q$17&gt;0,IMshareM!Q41/(SUM(IMshareM!Q$2:Q$78)-IMshareM!Q$17),0))</f>
        <v>0</v>
      </c>
      <c r="R41" s="8">
        <f>IF($A41=R$1,0,IF(SUM(IMshareM!R$2:R$78)-IMshareM!R$18&gt;0,IMshareM!R41/(SUM(IMshareM!R$2:R$78)-IMshareM!R$18),0))</f>
        <v>0</v>
      </c>
      <c r="S41" s="8">
        <f>IF($A41=S$1,0,IF(SUM(IMshareM!S$2:S$78)-IMshareM!S$19&gt;0,IMshareM!S41/(SUM(IMshareM!S$2:S$78)-IMshareM!S$19),0))</f>
        <v>0</v>
      </c>
      <c r="T41" s="8">
        <f>IF($A41=T$1,0,IF(SUM(IMshareM!T$2:T$78)-IMshareM!T$20&gt;0,IMshareM!T41/(SUM(IMshareM!T$2:T$78)-IMshareM!T$20),0))</f>
        <v>0</v>
      </c>
      <c r="U41" s="8">
        <f>IF($A41=U$1,0,IF(SUM(IMshareM!U$2:U$78)-IMshareM!U$21&gt;0,IMshareM!U41/(SUM(IMshareM!U$2:U$78)-IMshareM!U$21),0))</f>
        <v>0</v>
      </c>
      <c r="V41" s="8">
        <f>IF($A41=V$1,0,IF(SUM(IMshareM!V$2:V$78)-IMshareM!V$22&gt;0,IMshareM!V41/(SUM(IMshareM!V$2:V$78)-IMshareM!V$22),0))</f>
        <v>0</v>
      </c>
      <c r="W41" s="8">
        <f>IF($A41=W$1,0,IF(SUM(IMshareM!W$2:W$78)-IMshareM!W$23&gt;0,IMshareM!W41/(SUM(IMshareM!W$2:W$78)-IMshareM!W$23),0))</f>
        <v>0</v>
      </c>
      <c r="X41" s="8">
        <f>IF($A41=X$1,0,IF(SUM(IMshareM!X$2:X$78)-IMshareM!X$24&gt;0,IMshareM!X41/(SUM(IMshareM!X$2:X$78)-IMshareM!X$24),0))</f>
        <v>2.7351597650096736E-5</v>
      </c>
      <c r="Y41" s="8">
        <f>IF($A41=Y$1,0,IF(SUM(IMshareM!Y$2:Y$78)-IMshareM!Y$25&gt;0,IMshareM!Y41/(SUM(IMshareM!Y$2:Y$78)-IMshareM!Y$25),0))</f>
        <v>0</v>
      </c>
      <c r="Z41" s="8">
        <f>IF($A41=Z$1,0,IF(SUM(IMshareM!Z$2:Z$78)-IMshareM!Z$26&gt;0,IMshareM!Z41/(SUM(IMshareM!Z$2:Z$78)-IMshareM!Z$26),0))</f>
        <v>0</v>
      </c>
      <c r="AA41" s="8">
        <f>IF($A41=AA$1,0,IF(SUM(IMshareM!AA$2:AA$78)-IMshareM!AA$27&gt;0,IMshareM!AA41/(SUM(IMshareM!AA$2:AA$78)-IMshareM!AA$27),0))</f>
        <v>1.0118765912728476E-3</v>
      </c>
      <c r="AB41" s="8">
        <f>IF($A41=AB$1,0,IF(SUM(IMshareM!AB$2:AB$78)-IMshareM!AB$28&gt;0,IMshareM!AB41/(SUM(IMshareM!AB$2:AB$78)-IMshareM!AB$28),0))</f>
        <v>1.7148070059383492E-6</v>
      </c>
      <c r="AC41" s="8">
        <f>IF($A41=AC$1,0,IF(SUM(IMshareM!AC$2:AC$78)-IMshareM!AC$29&gt;0,IMshareM!AC41/(SUM(IMshareM!AC$2:AC$78)-IMshareM!AC$29),0))</f>
        <v>0</v>
      </c>
      <c r="AD41" s="8">
        <f>IF($A41=AD$1,0,IF(SUM(IMshareM!AD$2:AD$78)-IMshareM!AD$30&gt;0,IMshareM!AD41/(SUM(IMshareM!AD$2:AD$78)-IMshareM!AD$30),0))</f>
        <v>0</v>
      </c>
      <c r="AE41" s="8">
        <f>IF($A41=AE$1,0,IF(SUM(IMshareM!AE$2:AE$78)-IMshareM!AE$31&gt;0,IMshareM!AE41/(SUM(IMshareM!AE$2:AE$78)-IMshareM!AE$31),0))</f>
        <v>0</v>
      </c>
      <c r="AF41" s="8">
        <f>IF($A41=AF$1,0,IF(SUM(IMshareM!AF$2:AF$78)-IMshareM!AF$32&gt;0,IMshareM!AF41/(SUM(IMshareM!AF$2:AF$78)-IMshareM!AF$32),0))</f>
        <v>1.1114052586054197E-7</v>
      </c>
      <c r="AG41" s="8">
        <f>IF($A41=AG$1,0,IF(SUM(IMshareM!AG$2:AG$78)-IMshareM!AG$33&gt;0,IMshareM!AG41/(SUM(IMshareM!AG$2:AG$78)-IMshareM!AG$33),0))</f>
        <v>0</v>
      </c>
      <c r="AH41" s="8">
        <f>IF($A41=AH$1,0,IF(SUM(IMshareM!AH$2:AH$78)-IMshareM!AH$34&gt;0,IMshareM!AH41/(SUM(IMshareM!AH$2:AH$78)-IMshareM!AH$34),0))</f>
        <v>0</v>
      </c>
      <c r="AI41" s="8">
        <f>IF($A41=AI$1,0,IF(SUM(IMshareM!AI$2:AI$78)-IMshareM!AI$35&gt;0,IMshareM!AI41/(SUM(IMshareM!AI$2:AI$78)-IMshareM!AI$35),0))</f>
        <v>0</v>
      </c>
      <c r="AJ41" s="8">
        <f>IF($A41=AJ$1,0,IF(SUM(IMshareM!AJ$2:AJ$78)-IMshareM!AJ$36&gt;0,IMshareM!AJ41/(SUM(IMshareM!AJ$2:AJ$78)-IMshareM!AJ$36),0))</f>
        <v>0</v>
      </c>
      <c r="AK41" s="8">
        <f>IF($A41=AK$1,0,IF(SUM(IMshareM!AK$2:AK$78)-IMshareM!AK$37&gt;0,IMshareM!AK41/(SUM(IMshareM!AK$2:AK$78)-IMshareM!AK$37),0))</f>
        <v>0</v>
      </c>
      <c r="AL41" s="8">
        <f>IF($A41=AL$1,0,IF(SUM(IMshareM!AL$2:AL$78)-IMshareM!AL$38&gt;0,IMshareM!AL41/(SUM(IMshareM!AL$2:AL$78)-IMshareM!AL$38),0))</f>
        <v>5.2970243761830995E-6</v>
      </c>
      <c r="AM41" s="8">
        <f>IF($A41=AM$1,0,IF(SUM(IMshareM!AM$2:AM$78)-IMshareM!AM$39&gt;0,IMshareM!AM41/(SUM(IMshareM!AM$2:AM$78)-IMshareM!AM$39),0))</f>
        <v>0</v>
      </c>
      <c r="AN41" s="8">
        <f>IF($A41=AN$1,0,IF(SUM(IMshareM!AN$2:AN$78)-IMshareM!AN$40&gt;0,IMshareM!AN41/(SUM(IMshareM!AN$2:AN$78)-IMshareM!AN$40),0))</f>
        <v>0</v>
      </c>
      <c r="AO41" s="8">
        <f>IF($A41=AO$1,0,IF(SUM(IMshareM!AO$2:AO$78)-IMshareM!AO$41&gt;0,IMshareM!AO41/(SUM(IMshareM!AO$2:AO$78)-IMshareM!AO$41),0))</f>
        <v>0</v>
      </c>
      <c r="AP41" s="8">
        <f>IF($A41=AP$1,0,IF(SUM(IMshareM!AP$2:AP$78)-IMshareM!AP$42&gt;0,IMshareM!AP41/(SUM(IMshareM!AP$2:AP$78)-IMshareM!AP$42),0))</f>
        <v>0</v>
      </c>
      <c r="AQ41" s="8">
        <f>IF($A41=AQ$1,0,IF(SUM(IMshareM!AQ$2:AQ$78)-IMshareM!AQ$43&gt;0,IMshareM!AQ41/(SUM(IMshareM!AQ$2:AQ$78)-IMshareM!AQ$43),0))</f>
        <v>7.0090556364270229E-9</v>
      </c>
      <c r="AR41" s="8">
        <f>IF($A41=AR$1,0,IF(SUM(IMshareM!AR$2:AR$78)-IMshareM!AR$44&gt;0,IMshareM!AR41/(SUM(IMshareM!AR$2:AR$78)-IMshareM!AR$44),0))</f>
        <v>0</v>
      </c>
      <c r="AS41" s="8">
        <f>IF($A41=AS$1,0,IF(SUM(IMshareM!AS$2:AS$78)-IMshareM!AS$45&gt;0,IMshareM!AS41/(SUM(IMshareM!AS$2:AS$78)-IMshareM!AS$45),0))</f>
        <v>0</v>
      </c>
      <c r="AT41" s="8">
        <f>IF($A41=AT$1,0,IF(SUM(IMshareM!AT$2:AT$78)-IMshareM!AT$46&gt;0,IMshareM!AT41/(SUM(IMshareM!AT$2:AT$78)-IMshareM!AT$46),0))</f>
        <v>0</v>
      </c>
      <c r="AU41" s="8">
        <f>IF($A41=AU$1,0,IF(SUM(IMshareM!AU$2:AU$78)-IMshareM!AU$47&gt;0,IMshareM!AU41/(SUM(IMshareM!AU$2:AU$78)-IMshareM!AU$47),0))</f>
        <v>0</v>
      </c>
      <c r="AV41" s="8">
        <f>IF($A41=AV$1,0,IF(SUM(IMshareM!AV$2:AV$78)-IMshareM!AV$48&gt;0,IMshareM!AV41/(SUM(IMshareM!AV$2:AV$78)-IMshareM!AV$48),0))</f>
        <v>0</v>
      </c>
      <c r="AW41" s="8">
        <f>IF($A41=AW$1,0,IF(SUM(IMshareM!AW$2:AW$78)-IMshareM!AW$49&gt;0,IMshareM!AW41/(SUM(IMshareM!AW$2:AW$78)-IMshareM!AW$49),0))</f>
        <v>0</v>
      </c>
      <c r="AX41" s="8">
        <f>IF($A41=AX$1,0,IF(SUM(IMshareM!AX$2:AX$78)-IMshareM!AX$50&gt;0,IMshareM!AX41/(SUM(IMshareM!AX$2:AX$78)-IMshareM!AX$50),0))</f>
        <v>0</v>
      </c>
      <c r="AY41" s="8">
        <f>IF($A41=AY$1,0,IF(SUM(IMshareM!AY$2:AY$78)-IMshareM!AY$51&gt;0,IMshareM!AY41/(SUM(IMshareM!AY$2:AY$78)-IMshareM!AY$51),0))</f>
        <v>0</v>
      </c>
      <c r="AZ41" s="8">
        <f>IF($A41=AZ$1,0,IF(SUM(IMshareM!AZ$2:AZ$78)-IMshareM!AZ$52&gt;0,IMshareM!AZ41/(SUM(IMshareM!AZ$2:AZ$78)-IMshareM!AZ$52),0))</f>
        <v>0</v>
      </c>
      <c r="BA41" s="8">
        <f>IF($A41=BA$1,0,IF(SUM(IMshareM!BA$2:BA$78)-IMshareM!BA$53&gt;0,IMshareM!BA41/(SUM(IMshareM!BA$2:BA$78)-IMshareM!BA$53),0))</f>
        <v>0</v>
      </c>
      <c r="BB41" s="8">
        <f>IF($A41=BB$1,0,IF(SUM(IMshareM!BB$2:BB$78)-IMshareM!BB$54&gt;0,IMshareM!BB41/(SUM(IMshareM!BB$2:BB$78)-IMshareM!BB$54),0))</f>
        <v>1.4334674839552264E-4</v>
      </c>
      <c r="BC41" s="8">
        <f>IF($A41=BC$1,0,IF(SUM(IMshareM!BC$2:BC$78)-IMshareM!BC$55&gt;0,IMshareM!BC41/(SUM(IMshareM!BC$2:BC$78)-IMshareM!BC$55),0))</f>
        <v>0</v>
      </c>
      <c r="BD41" s="8">
        <f>IF($A41=BD$1,0,IF(SUM(IMshareM!BD$2:BD$78)-IMshareM!BD$56&gt;0,IMshareM!BD41/(SUM(IMshareM!BD$2:BD$78)-IMshareM!BD$56),0))</f>
        <v>0</v>
      </c>
      <c r="BE41" s="8">
        <f>IF($A41=BE$1,0,IF(SUM(IMshareM!BE$2:BE$78)-IMshareM!BE$57&gt;0,IMshareM!BE41/(SUM(IMshareM!BE$2:BE$78)-IMshareM!BE$57),0))</f>
        <v>0</v>
      </c>
      <c r="BF41" s="8">
        <f>IF($A41=BF$1,0,IF(SUM(IMshareM!BF$2:BF$78)-IMshareM!BF$58&gt;0,IMshareM!BF41/(SUM(IMshareM!BF$2:BF$78)-IMshareM!BF$58),0))</f>
        <v>0</v>
      </c>
      <c r="BG41" s="8">
        <f>IF($A41=BG$1,0,IF(SUM(IMshareM!BG$2:BG$78)-IMshareM!BG$59&gt;0,IMshareM!BG41/(SUM(IMshareM!BG$2:BG$78)-IMshareM!BG$59),0))</f>
        <v>0</v>
      </c>
      <c r="BH41" s="8">
        <f>IF($A41=BH$1,0,IF(SUM(IMshareM!BH$2:BH$78)-IMshareM!BH$60&gt;0,IMshareM!BH41/(SUM(IMshareM!BH$2:BH$78)-IMshareM!BH$60),0))</f>
        <v>0</v>
      </c>
      <c r="BI41" s="8">
        <f>IF($A41=BI$1,0,IF(SUM(IMshareM!BI$2:BI$78)-IMshareM!BI$61&gt;0,IMshareM!BI41/(SUM(IMshareM!BI$2:BI$78)-IMshareM!BI$61),0))</f>
        <v>0</v>
      </c>
      <c r="BJ41" s="8">
        <f>IF($A41=BJ$1,0,IF(SUM(IMshareM!BJ$2:BJ$78)-IMshareM!BJ$62&gt;0,IMshareM!BJ41/(SUM(IMshareM!BJ$2:BJ$78)-IMshareM!BJ$62),0))</f>
        <v>0</v>
      </c>
      <c r="BK41" s="8">
        <f>IF($A41=BK$1,0,IF(SUM(IMshareM!BK$2:BK$78)-IMshareM!BK$63&gt;0,IMshareM!BK41/(SUM(IMshareM!BK$2:BK$78)-IMshareM!BK$63),0))</f>
        <v>6.8544805045483645E-3</v>
      </c>
      <c r="BL41" s="8">
        <f>IF($A41=BL$1,0,IF(SUM(IMshareM!BL$2:BL$78)-IMshareM!BL$64&gt;0,IMshareM!BL41/(SUM(IMshareM!BL$2:BL$78)-IMshareM!BL$64),0))</f>
        <v>0</v>
      </c>
      <c r="BM41" s="8">
        <f>IF($A41=BM$1,0,IF(SUM(IMshareM!BM$2:BM$78)-IMshareM!BM$65&gt;0,IMshareM!BM41/(SUM(IMshareM!BM$2:BM$78)-IMshareM!BM$65),0))</f>
        <v>0</v>
      </c>
      <c r="BN41" s="8">
        <f>IF($A41=BN$1,0,IF(SUM(IMshareM!BN$2:BN$78)-IMshareM!BN$66&gt;0,IMshareM!BN41/(SUM(IMshareM!BN$2:BN$78)-IMshareM!BN$66),0))</f>
        <v>0</v>
      </c>
      <c r="BO41" s="8">
        <f>IF($A41=BO$1,0,IF(SUM(IMshareM!BO$2:BO$78)-IMshareM!BO$67&gt;0,IMshareM!BO41/(SUM(IMshareM!BO$2:BO$78)-IMshareM!BO$67),0))</f>
        <v>0</v>
      </c>
      <c r="BP41" s="8">
        <f>IF($A41=BP$1,0,IF(SUM(IMshareM!BP$2:BP$78)-IMshareM!BP$68&gt;0,IMshareM!BP41/(SUM(IMshareM!BP$2:BP$78)-IMshareM!BP$68),0))</f>
        <v>0</v>
      </c>
      <c r="BQ41" s="8">
        <f>IF($A41=BQ$1,0,IF(SUM(IMshareM!BQ$2:BQ$78)-IMshareM!BQ$69&gt;0,IMshareM!BQ41/(SUM(IMshareM!BQ$2:BQ$78)-IMshareM!BQ$69),0))</f>
        <v>0</v>
      </c>
      <c r="BR41" s="8">
        <f>IF($A41=BR$1,0,IF(SUM(IMshareM!BR$2:BR$78)-IMshareM!BR$70&gt;0,IMshareM!BR41/(SUM(IMshareM!BR$2:BR$78)-IMshareM!BR$70),0))</f>
        <v>0</v>
      </c>
      <c r="BS41" s="8">
        <f>IF($A41=BS$1,0,IF(SUM(IMshareM!BS$2:BS$78)-IMshareM!BS$71&gt;0,IMshareM!BS41/(SUM(IMshareM!BS$2:BS$78)-IMshareM!BS$71),0))</f>
        <v>0</v>
      </c>
      <c r="BT41" s="8">
        <f>IF($A41=BT$1,0,IF(SUM(IMshareM!BT$2:BT$78)-IMshareM!BT$72&gt;0,IMshareM!BT41/(SUM(IMshareM!BT$2:BT$78)-IMshareM!BT$72),0))</f>
        <v>1.9078723576521539E-7</v>
      </c>
      <c r="BU41" s="8">
        <f>IF($A41=BU$1,0,IF(SUM(IMshareM!BU$2:BU$78)-IMshareM!BU$73&gt;0,IMshareM!BU41/(SUM(IMshareM!BU$2:BU$78)-IMshareM!BU$73),0))</f>
        <v>0</v>
      </c>
      <c r="BV41" s="8">
        <f>IF($A41=BV$1,0,IF(SUM(IMshareM!BV$2:BV$78)-IMshareM!BV$74&gt;0,IMshareM!BV41/(SUM(IMshareM!BV$2:BV$78)-IMshareM!BV$74),0))</f>
        <v>0</v>
      </c>
      <c r="BW41" s="8">
        <f>IF($A41=BW$1,0,IF(SUM(IMshareM!BW$2:BW$78)-IMshareM!BW$75&gt;0,IMshareM!BW41/(SUM(IMshareM!BW$2:BW$78)-IMshareM!BW$75),0))</f>
        <v>1.2518302187017896E-4</v>
      </c>
      <c r="BX41" s="8">
        <f>IF($A41=BX$1,0,IF(SUM(IMshareM!BX$2:BX$78)-IMshareM!BX$76&gt;0,IMshareM!BX41/(SUM(IMshareM!BX$2:BX$78)-IMshareM!BX$76),0))</f>
        <v>0</v>
      </c>
      <c r="BY41" s="8">
        <f>IF($A41=BY$1,0,IF(SUM(IMshareM!BY$2:BY$78)-IMshareM!BY$77&gt;0,IMshareM!BY41/(SUM(IMshareM!BY$2:BY$78)-IMshareM!BY$77),0))</f>
        <v>0</v>
      </c>
      <c r="BZ41" s="8">
        <f>IF($A41=BZ$1,0,IF(SUM(IMshareM!BZ$2:BZ$78)-IMshareM!BZ$78&gt;0,IMshareM!BZ41/(SUM(IMshareM!BZ$2:BZ$78)-IMshareM!BZ$78),0))</f>
        <v>3.0747357801667798E-4</v>
      </c>
    </row>
    <row r="42" spans="1:78">
      <c r="A42" s="4" t="s">
        <v>151</v>
      </c>
      <c r="B42" s="8">
        <f>IF($A42=B$1,0,IF(SUM(IMshareM!B$2:B$78)-IMshareM!B$2&gt;0,IMshareM!B42/(SUM(IMshareM!B$2:B$78)-IMshareM!B$2),0))</f>
        <v>3.7536010608367199E-7</v>
      </c>
      <c r="C42" s="8">
        <f>IF($A42=C$1,0,IF(SUM(IMshareM!C$2:C$78)-IMshareM!C$3&gt;0,IMshareM!C42/(SUM(IMshareM!C$2:C$78)-IMshareM!C$3),0))</f>
        <v>8.3739379776334616E-7</v>
      </c>
      <c r="D42" s="8">
        <f>IF($A42=D$1,0,IF(SUM(IMshareM!D$2:D$78)-IMshareM!D$4&gt;0,IMshareM!D42/(SUM(IMshareM!D$2:D$78)-IMshareM!D$4),0))</f>
        <v>3.4218417670586201E-4</v>
      </c>
      <c r="E42" s="8">
        <f>IF($A42=E$1,0,IF(SUM(IMshareM!E$2:E$78)-IMshareM!E$5&gt;0,IMshareM!E42/(SUM(IMshareM!E$2:E$78)-IMshareM!E$5),0))</f>
        <v>1.5208692279948355E-8</v>
      </c>
      <c r="F42" s="8">
        <f>IF($A42=F$1,0,IF(SUM(IMshareM!F$2:F$78)-IMshareM!F$6&gt;0,IMshareM!F42/(SUM(IMshareM!F$2:F$78)-IMshareM!F$6),0))</f>
        <v>0</v>
      </c>
      <c r="G42" s="8">
        <f>IF($A42=G$1,0,IF(SUM(IMshareM!G$2:G$78)-IMshareM!G$7&gt;0,IMshareM!G42/(SUM(IMshareM!G$2:G$78)-IMshareM!G$7),0))</f>
        <v>0</v>
      </c>
      <c r="H42" s="8">
        <f>IF($A42=H$1,0,IF(SUM(IMshareM!H$2:H$78)-IMshareM!H$8&gt;0,IMshareM!H42/(SUM(IMshareM!H$2:H$78)-IMshareM!H$8),0))</f>
        <v>0</v>
      </c>
      <c r="I42" s="8">
        <f>IF($A42=I$1,0,IF(SUM(IMshareM!I$2:I$78)-IMshareM!I$9&gt;0,IMshareM!I42/(SUM(IMshareM!I$2:I$78)-IMshareM!I$9),0))</f>
        <v>2.1881926462200891E-6</v>
      </c>
      <c r="J42" s="8">
        <f>IF($A42=J$1,0,IF(SUM(IMshareM!J$2:J$78)-IMshareM!J$10&gt;0,IMshareM!J42/(SUM(IMshareM!J$2:J$78)-IMshareM!J$10),0))</f>
        <v>0</v>
      </c>
      <c r="K42" s="8">
        <f>IF($A42=K$1,0,IF(SUM(IMshareM!K$2:K$78)-IMshareM!K$11&gt;0,IMshareM!K42/(SUM(IMshareM!K$2:K$78)-IMshareM!K$11),0))</f>
        <v>8.8934776533680195E-6</v>
      </c>
      <c r="L42" s="8">
        <f>IF($A42=L$1,0,IF(SUM(IMshareM!L$2:L$78)-IMshareM!L$12&gt;0,IMshareM!L42/(SUM(IMshareM!L$2:L$78)-IMshareM!L$12),0))</f>
        <v>0</v>
      </c>
      <c r="M42" s="8">
        <f>IF($A42=M$1,0,IF(SUM(IMshareM!M$2:M$78)-IMshareM!M$13&gt;0,IMshareM!M42/(SUM(IMshareM!M$2:M$78)-IMshareM!M$13),0))</f>
        <v>1.7716539473465329E-7</v>
      </c>
      <c r="N42" s="8">
        <f>IF($A42=N$1,0,IF(SUM(IMshareM!N$2:N$78)-IMshareM!N$14&gt;0,IMshareM!N42/(SUM(IMshareM!N$2:N$78)-IMshareM!N$14),0))</f>
        <v>1.619661657113804E-2</v>
      </c>
      <c r="O42" s="8">
        <f>IF($A42=O$1,0,IF(SUM(IMshareM!O$2:O$78)-IMshareM!O$15&gt;0,IMshareM!O42/(SUM(IMshareM!O$2:O$78)-IMshareM!O$15),0))</f>
        <v>0</v>
      </c>
      <c r="P42" s="8">
        <f>IF($A42=P$1,0,IF(SUM(IMshareM!P$2:P$78)-IMshareM!P$16&gt;0,IMshareM!P42/(SUM(IMshareM!P$2:P$78)-IMshareM!P$16),0))</f>
        <v>0</v>
      </c>
      <c r="Q42" s="8">
        <f>IF($A42=Q$1,0,IF(SUM(IMshareM!Q$2:Q$78)-IMshareM!Q$17&gt;0,IMshareM!Q42/(SUM(IMshareM!Q$2:Q$78)-IMshareM!Q$17),0))</f>
        <v>0</v>
      </c>
      <c r="R42" s="8">
        <f>IF($A42=R$1,0,IF(SUM(IMshareM!R$2:R$78)-IMshareM!R$18&gt;0,IMshareM!R42/(SUM(IMshareM!R$2:R$78)-IMshareM!R$18),0))</f>
        <v>7.8118272436746909E-7</v>
      </c>
      <c r="S42" s="8">
        <f>IF($A42=S$1,0,IF(SUM(IMshareM!S$2:S$78)-IMshareM!S$19&gt;0,IMshareM!S42/(SUM(IMshareM!S$2:S$78)-IMshareM!S$19),0))</f>
        <v>0</v>
      </c>
      <c r="T42" s="8">
        <f>IF($A42=T$1,0,IF(SUM(IMshareM!T$2:T$78)-IMshareM!T$20&gt;0,IMshareM!T42/(SUM(IMshareM!T$2:T$78)-IMshareM!T$20),0))</f>
        <v>8.6053249927273265E-6</v>
      </c>
      <c r="U42" s="8">
        <f>IF($A42=U$1,0,IF(SUM(IMshareM!U$2:U$78)-IMshareM!U$21&gt;0,IMshareM!U42/(SUM(IMshareM!U$2:U$78)-IMshareM!U$21),0))</f>
        <v>3.4584452837413956E-5</v>
      </c>
      <c r="V42" s="8">
        <f>IF($A42=V$1,0,IF(SUM(IMshareM!V$2:V$78)-IMshareM!V$22&gt;0,IMshareM!V42/(SUM(IMshareM!V$2:V$78)-IMshareM!V$22),0))</f>
        <v>1.040671042734809E-6</v>
      </c>
      <c r="W42" s="8">
        <f>IF($A42=W$1,0,IF(SUM(IMshareM!W$2:W$78)-IMshareM!W$23&gt;0,IMshareM!W42/(SUM(IMshareM!W$2:W$78)-IMshareM!W$23),0))</f>
        <v>0</v>
      </c>
      <c r="X42" s="8">
        <f>IF($A42=X$1,0,IF(SUM(IMshareM!X$2:X$78)-IMshareM!X$24&gt;0,IMshareM!X42/(SUM(IMshareM!X$2:X$78)-IMshareM!X$24),0))</f>
        <v>0</v>
      </c>
      <c r="Y42" s="8">
        <f>IF($A42=Y$1,0,IF(SUM(IMshareM!Y$2:Y$78)-IMshareM!Y$25&gt;0,IMshareM!Y42/(SUM(IMshareM!Y$2:Y$78)-IMshareM!Y$25),0))</f>
        <v>1.0213829168150231E-5</v>
      </c>
      <c r="Z42" s="8">
        <f>IF($A42=Z$1,0,IF(SUM(IMshareM!Z$2:Z$78)-IMshareM!Z$26&gt;0,IMshareM!Z42/(SUM(IMshareM!Z$2:Z$78)-IMshareM!Z$26),0))</f>
        <v>5.0308318758632894E-4</v>
      </c>
      <c r="AA42" s="8">
        <f>IF($A42=AA$1,0,IF(SUM(IMshareM!AA$2:AA$78)-IMshareM!AA$27&gt;0,IMshareM!AA42/(SUM(IMshareM!AA$2:AA$78)-IMshareM!AA$27),0))</f>
        <v>1.8939936192610234E-5</v>
      </c>
      <c r="AB42" s="8">
        <f>IF($A42=AB$1,0,IF(SUM(IMshareM!AB$2:AB$78)-IMshareM!AB$28&gt;0,IMshareM!AB42/(SUM(IMshareM!AB$2:AB$78)-IMshareM!AB$28),0))</f>
        <v>4.315517323490126E-5</v>
      </c>
      <c r="AC42" s="8">
        <f>IF($A42=AC$1,0,IF(SUM(IMshareM!AC$2:AC$78)-IMshareM!AC$29&gt;0,IMshareM!AC42/(SUM(IMshareM!AC$2:AC$78)-IMshareM!AC$29),0))</f>
        <v>2.615702185904967E-4</v>
      </c>
      <c r="AD42" s="8">
        <f>IF($A42=AD$1,0,IF(SUM(IMshareM!AD$2:AD$78)-IMshareM!AD$30&gt;0,IMshareM!AD42/(SUM(IMshareM!AD$2:AD$78)-IMshareM!AD$30),0))</f>
        <v>2.1680076412276129E-2</v>
      </c>
      <c r="AE42" s="8">
        <f>IF($A42=AE$1,0,IF(SUM(IMshareM!AE$2:AE$78)-IMshareM!AE$31&gt;0,IMshareM!AE42/(SUM(IMshareM!AE$2:AE$78)-IMshareM!AE$31),0))</f>
        <v>0</v>
      </c>
      <c r="AF42" s="8">
        <f>IF($A42=AF$1,0,IF(SUM(IMshareM!AF$2:AF$78)-IMshareM!AF$32&gt;0,IMshareM!AF42/(SUM(IMshareM!AF$2:AF$78)-IMshareM!AF$32),0))</f>
        <v>6.6198186856211163E-4</v>
      </c>
      <c r="AG42" s="8">
        <f>IF($A42=AG$1,0,IF(SUM(IMshareM!AG$2:AG$78)-IMshareM!AG$33&gt;0,IMshareM!AG42/(SUM(IMshareM!AG$2:AG$78)-IMshareM!AG$33),0))</f>
        <v>1.5503170836924985E-3</v>
      </c>
      <c r="AH42" s="8">
        <f>IF($A42=AH$1,0,IF(SUM(IMshareM!AH$2:AH$78)-IMshareM!AH$34&gt;0,IMshareM!AH42/(SUM(IMshareM!AH$2:AH$78)-IMshareM!AH$34),0))</f>
        <v>2.3363454734402962E-3</v>
      </c>
      <c r="AI42" s="8">
        <f>IF($A42=AI$1,0,IF(SUM(IMshareM!AI$2:AI$78)-IMshareM!AI$35&gt;0,IMshareM!AI42/(SUM(IMshareM!AI$2:AI$78)-IMshareM!AI$35),0))</f>
        <v>1.2218237227231532E-5</v>
      </c>
      <c r="AJ42" s="8">
        <f>IF($A42=AJ$1,0,IF(SUM(IMshareM!AJ$2:AJ$78)-IMshareM!AJ$36&gt;0,IMshareM!AJ42/(SUM(IMshareM!AJ$2:AJ$78)-IMshareM!AJ$36),0))</f>
        <v>4.8316435869078168E-6</v>
      </c>
      <c r="AK42" s="8">
        <f>IF($A42=AK$1,0,IF(SUM(IMshareM!AK$2:AK$78)-IMshareM!AK$37&gt;0,IMshareM!AK42/(SUM(IMshareM!AK$2:AK$78)-IMshareM!AK$37),0))</f>
        <v>1.6857155321349984E-5</v>
      </c>
      <c r="AL42" s="8">
        <f>IF($A42=AL$1,0,IF(SUM(IMshareM!AL$2:AL$78)-IMshareM!AL$38&gt;0,IMshareM!AL42/(SUM(IMshareM!AL$2:AL$78)-IMshareM!AL$38),0))</f>
        <v>0</v>
      </c>
      <c r="AM42" s="8">
        <f>IF($A42=AM$1,0,IF(SUM(IMshareM!AM$2:AM$78)-IMshareM!AM$39&gt;0,IMshareM!AM42/(SUM(IMshareM!AM$2:AM$78)-IMshareM!AM$39),0))</f>
        <v>0</v>
      </c>
      <c r="AN42" s="8">
        <f>IF($A42=AN$1,0,IF(SUM(IMshareM!AN$2:AN$78)-IMshareM!AN$40&gt;0,IMshareM!AN42/(SUM(IMshareM!AN$2:AN$78)-IMshareM!AN$40),0))</f>
        <v>3.4025258161386042E-3</v>
      </c>
      <c r="AO42" s="8">
        <f>IF($A42=AO$1,0,IF(SUM(IMshareM!AO$2:AO$78)-IMshareM!AO$41&gt;0,IMshareM!AO42/(SUM(IMshareM!AO$2:AO$78)-IMshareM!AO$41),0))</f>
        <v>0</v>
      </c>
      <c r="AP42" s="8">
        <f>IF($A42=AP$1,0,IF(SUM(IMshareM!AP$2:AP$78)-IMshareM!AP$42&gt;0,IMshareM!AP42/(SUM(IMshareM!AP$2:AP$78)-IMshareM!AP$42),0))</f>
        <v>0</v>
      </c>
      <c r="AQ42" s="8">
        <f>IF($A42=AQ$1,0,IF(SUM(IMshareM!AQ$2:AQ$78)-IMshareM!AQ$43&gt;0,IMshareM!AQ42/(SUM(IMshareM!AQ$2:AQ$78)-IMshareM!AQ$43),0))</f>
        <v>4.7945512910549718E-4</v>
      </c>
      <c r="AR42" s="8">
        <f>IF($A42=AR$1,0,IF(SUM(IMshareM!AR$2:AR$78)-IMshareM!AR$44&gt;0,IMshareM!AR42/(SUM(IMshareM!AR$2:AR$78)-IMshareM!AR$44),0))</f>
        <v>0</v>
      </c>
      <c r="AS42" s="8">
        <f>IF($A42=AS$1,0,IF(SUM(IMshareM!AS$2:AS$78)-IMshareM!AS$45&gt;0,IMshareM!AS42/(SUM(IMshareM!AS$2:AS$78)-IMshareM!AS$45),0))</f>
        <v>4.1922232632463331E-5</v>
      </c>
      <c r="AT42" s="8">
        <f>IF($A42=AT$1,0,IF(SUM(IMshareM!AT$2:AT$78)-IMshareM!AT$46&gt;0,IMshareM!AT42/(SUM(IMshareM!AT$2:AT$78)-IMshareM!AT$46),0))</f>
        <v>0</v>
      </c>
      <c r="AU42" s="8">
        <f>IF($A42=AU$1,0,IF(SUM(IMshareM!AU$2:AU$78)-IMshareM!AU$47&gt;0,IMshareM!AU42/(SUM(IMshareM!AU$2:AU$78)-IMshareM!AU$47),0))</f>
        <v>1.2061787301666579E-5</v>
      </c>
      <c r="AV42" s="8">
        <f>IF($A42=AV$1,0,IF(SUM(IMshareM!AV$2:AV$78)-IMshareM!AV$48&gt;0,IMshareM!AV42/(SUM(IMshareM!AV$2:AV$78)-IMshareM!AV$48),0))</f>
        <v>0</v>
      </c>
      <c r="AW42" s="8">
        <f>IF($A42=AW$1,0,IF(SUM(IMshareM!AW$2:AW$78)-IMshareM!AW$49&gt;0,IMshareM!AW42/(SUM(IMshareM!AW$2:AW$78)-IMshareM!AW$49),0))</f>
        <v>8.2552364003109018E-4</v>
      </c>
      <c r="AX42" s="8">
        <f>IF($A42=AX$1,0,IF(SUM(IMshareM!AX$2:AX$78)-IMshareM!AX$50&gt;0,IMshareM!AX42/(SUM(IMshareM!AX$2:AX$78)-IMshareM!AX$50),0))</f>
        <v>0</v>
      </c>
      <c r="AY42" s="8">
        <f>IF($A42=AY$1,0,IF(SUM(IMshareM!AY$2:AY$78)-IMshareM!AY$51&gt;0,IMshareM!AY42/(SUM(IMshareM!AY$2:AY$78)-IMshareM!AY$51),0))</f>
        <v>0</v>
      </c>
      <c r="AZ42" s="8">
        <f>IF($A42=AZ$1,0,IF(SUM(IMshareM!AZ$2:AZ$78)-IMshareM!AZ$52&gt;0,IMshareM!AZ42/(SUM(IMshareM!AZ$2:AZ$78)-IMshareM!AZ$52),0))</f>
        <v>3.5764187959846914E-3</v>
      </c>
      <c r="BA42" s="8">
        <f>IF($A42=BA$1,0,IF(SUM(IMshareM!BA$2:BA$78)-IMshareM!BA$53&gt;0,IMshareM!BA42/(SUM(IMshareM!BA$2:BA$78)-IMshareM!BA$53),0))</f>
        <v>0</v>
      </c>
      <c r="BB42" s="8">
        <f>IF($A42=BB$1,0,IF(SUM(IMshareM!BB$2:BB$78)-IMshareM!BB$54&gt;0,IMshareM!BB42/(SUM(IMshareM!BB$2:BB$78)-IMshareM!BB$54),0))</f>
        <v>7.299082685685713E-5</v>
      </c>
      <c r="BC42" s="8">
        <f>IF($A42=BC$1,0,IF(SUM(IMshareM!BC$2:BC$78)-IMshareM!BC$55&gt;0,IMshareM!BC42/(SUM(IMshareM!BC$2:BC$78)-IMshareM!BC$55),0))</f>
        <v>0</v>
      </c>
      <c r="BD42" s="8">
        <f>IF($A42=BD$1,0,IF(SUM(IMshareM!BD$2:BD$78)-IMshareM!BD$56&gt;0,IMshareM!BD42/(SUM(IMshareM!BD$2:BD$78)-IMshareM!BD$56),0))</f>
        <v>2.1384089029802504E-7</v>
      </c>
      <c r="BE42" s="8">
        <f>IF($A42=BE$1,0,IF(SUM(IMshareM!BE$2:BE$78)-IMshareM!BE$57&gt;0,IMshareM!BE42/(SUM(IMshareM!BE$2:BE$78)-IMshareM!BE$57),0))</f>
        <v>0</v>
      </c>
      <c r="BF42" s="8">
        <f>IF($A42=BF$1,0,IF(SUM(IMshareM!BF$2:BF$78)-IMshareM!BF$58&gt;0,IMshareM!BF42/(SUM(IMshareM!BF$2:BF$78)-IMshareM!BF$58),0))</f>
        <v>0</v>
      </c>
      <c r="BG42" s="8">
        <f>IF($A42=BG$1,0,IF(SUM(IMshareM!BG$2:BG$78)-IMshareM!BG$59&gt;0,IMshareM!BG42/(SUM(IMshareM!BG$2:BG$78)-IMshareM!BG$59),0))</f>
        <v>2.5047847344609461E-2</v>
      </c>
      <c r="BH42" s="8">
        <f>IF($A42=BH$1,0,IF(SUM(IMshareM!BH$2:BH$78)-IMshareM!BH$60&gt;0,IMshareM!BH42/(SUM(IMshareM!BH$2:BH$78)-IMshareM!BH$60),0))</f>
        <v>8.2942966172978791E-8</v>
      </c>
      <c r="BI42" s="8">
        <f>IF($A42=BI$1,0,IF(SUM(IMshareM!BI$2:BI$78)-IMshareM!BI$61&gt;0,IMshareM!BI42/(SUM(IMshareM!BI$2:BI$78)-IMshareM!BI$61),0))</f>
        <v>0</v>
      </c>
      <c r="BJ42" s="8">
        <f>IF($A42=BJ$1,0,IF(SUM(IMshareM!BJ$2:BJ$78)-IMshareM!BJ$62&gt;0,IMshareM!BJ42/(SUM(IMshareM!BJ$2:BJ$78)-IMshareM!BJ$62),0))</f>
        <v>4.7779845796706611E-4</v>
      </c>
      <c r="BK42" s="8">
        <f>IF($A42=BK$1,0,IF(SUM(IMshareM!BK$2:BK$78)-IMshareM!BK$63&gt;0,IMshareM!BK42/(SUM(IMshareM!BK$2:BK$78)-IMshareM!BK$63),0))</f>
        <v>0</v>
      </c>
      <c r="BL42" s="8">
        <f>IF($A42=BL$1,0,IF(SUM(IMshareM!BL$2:BL$78)-IMshareM!BL$64&gt;0,IMshareM!BL42/(SUM(IMshareM!BL$2:BL$78)-IMshareM!BL$64),0))</f>
        <v>0</v>
      </c>
      <c r="BM42" s="8">
        <f>IF($A42=BM$1,0,IF(SUM(IMshareM!BM$2:BM$78)-IMshareM!BM$65&gt;0,IMshareM!BM42/(SUM(IMshareM!BM$2:BM$78)-IMshareM!BM$65),0))</f>
        <v>0</v>
      </c>
      <c r="BN42" s="8">
        <f>IF($A42=BN$1,0,IF(SUM(IMshareM!BN$2:BN$78)-IMshareM!BN$66&gt;0,IMshareM!BN42/(SUM(IMshareM!BN$2:BN$78)-IMshareM!BN$66),0))</f>
        <v>6.9896600182043347E-3</v>
      </c>
      <c r="BO42" s="8">
        <f>IF($A42=BO$1,0,IF(SUM(IMshareM!BO$2:BO$78)-IMshareM!BO$67&gt;0,IMshareM!BO42/(SUM(IMshareM!BO$2:BO$78)-IMshareM!BO$67),0))</f>
        <v>3.4241826607619443E-4</v>
      </c>
      <c r="BP42" s="8">
        <f>IF($A42=BP$1,0,IF(SUM(IMshareM!BP$2:BP$78)-IMshareM!BP$68&gt;0,IMshareM!BP42/(SUM(IMshareM!BP$2:BP$78)-IMshareM!BP$68),0))</f>
        <v>2.4588173837784787E-8</v>
      </c>
      <c r="BQ42" s="8">
        <f>IF($A42=BQ$1,0,IF(SUM(IMshareM!BQ$2:BQ$78)-IMshareM!BQ$69&gt;0,IMshareM!BQ42/(SUM(IMshareM!BQ$2:BQ$78)-IMshareM!BQ$69),0))</f>
        <v>1.6621580794378485E-6</v>
      </c>
      <c r="BR42" s="8">
        <f>IF($A42=BR$1,0,IF(SUM(IMshareM!BR$2:BR$78)-IMshareM!BR$70&gt;0,IMshareM!BR42/(SUM(IMshareM!BR$2:BR$78)-IMshareM!BR$70),0))</f>
        <v>1.6583787090926668E-2</v>
      </c>
      <c r="BS42" s="8">
        <f>IF($A42=BS$1,0,IF(SUM(IMshareM!BS$2:BS$78)-IMshareM!BS$71&gt;0,IMshareM!BS42/(SUM(IMshareM!BS$2:BS$78)-IMshareM!BS$71),0))</f>
        <v>0</v>
      </c>
      <c r="BT42" s="8">
        <f>IF($A42=BT$1,0,IF(SUM(IMshareM!BT$2:BT$78)-IMshareM!BT$72&gt;0,IMshareM!BT42/(SUM(IMshareM!BT$2:BT$78)-IMshareM!BT$72),0))</f>
        <v>6.8453050026034078E-4</v>
      </c>
      <c r="BU42" s="8">
        <f>IF($A42=BU$1,0,IF(SUM(IMshareM!BU$2:BU$78)-IMshareM!BU$73&gt;0,IMshareM!BU42/(SUM(IMshareM!BU$2:BU$78)-IMshareM!BU$73),0))</f>
        <v>1.1033901560191695E-3</v>
      </c>
      <c r="BV42" s="8">
        <f>IF($A42=BV$1,0,IF(SUM(IMshareM!BV$2:BV$78)-IMshareM!BV$74&gt;0,IMshareM!BV42/(SUM(IMshareM!BV$2:BV$78)-IMshareM!BV$74),0))</f>
        <v>9.9582678454351439E-6</v>
      </c>
      <c r="BW42" s="8">
        <f>IF($A42=BW$1,0,IF(SUM(IMshareM!BW$2:BW$78)-IMshareM!BW$75&gt;0,IMshareM!BW42/(SUM(IMshareM!BW$2:BW$78)-IMshareM!BW$75),0))</f>
        <v>1.3534206333158495E-4</v>
      </c>
      <c r="BX42" s="8">
        <f>IF($A42=BX$1,0,IF(SUM(IMshareM!BX$2:BX$78)-IMshareM!BX$76&gt;0,IMshareM!BX42/(SUM(IMshareM!BX$2:BX$78)-IMshareM!BX$76),0))</f>
        <v>8.0553927142604162E-3</v>
      </c>
      <c r="BY42" s="8">
        <f>IF($A42=BY$1,0,IF(SUM(IMshareM!BY$2:BY$78)-IMshareM!BY$77&gt;0,IMshareM!BY42/(SUM(IMshareM!BY$2:BY$78)-IMshareM!BY$77),0))</f>
        <v>4.4284723188390618E-7</v>
      </c>
      <c r="BZ42" s="8">
        <f>IF($A42=BZ$1,0,IF(SUM(IMshareM!BZ$2:BZ$78)-IMshareM!BZ$78&gt;0,IMshareM!BZ42/(SUM(IMshareM!BZ$2:BZ$78)-IMshareM!BZ$78),0))</f>
        <v>8.9243313561197923E-7</v>
      </c>
    </row>
    <row r="43" spans="1:78">
      <c r="A43" s="4" t="s">
        <v>153</v>
      </c>
      <c r="B43" s="8">
        <f>IF($A43=B$1,0,IF(SUM(IMshareM!B$2:B$78)-IMshareM!B$2&gt;0,IMshareM!B43/(SUM(IMshareM!B$2:B$78)-IMshareM!B$2),0))</f>
        <v>3.8294815686708969E-3</v>
      </c>
      <c r="C43" s="8">
        <f>IF($A43=C$1,0,IF(SUM(IMshareM!C$2:C$78)-IMshareM!C$3&gt;0,IMshareM!C43/(SUM(IMshareM!C$2:C$78)-IMshareM!C$3),0))</f>
        <v>7.0945582035502946E-3</v>
      </c>
      <c r="D43" s="8">
        <f>IF($A43=D$1,0,IF(SUM(IMshareM!D$2:D$78)-IMshareM!D$4&gt;0,IMshareM!D43/(SUM(IMshareM!D$2:D$78)-IMshareM!D$4),0))</f>
        <v>5.3988996946853097E-3</v>
      </c>
      <c r="E43" s="8">
        <f>IF($A43=E$1,0,IF(SUM(IMshareM!E$2:E$78)-IMshareM!E$5&gt;0,IMshareM!E43/(SUM(IMshareM!E$2:E$78)-IMshareM!E$5),0))</f>
        <v>6.3731826842368978E-3</v>
      </c>
      <c r="F43" s="8">
        <f>IF($A43=F$1,0,IF(SUM(IMshareM!F$2:F$78)-IMshareM!F$6&gt;0,IMshareM!F43/(SUM(IMshareM!F$2:F$78)-IMshareM!F$6),0))</f>
        <v>3.3500591105396653E-2</v>
      </c>
      <c r="G43" s="8">
        <f>IF($A43=G$1,0,IF(SUM(IMshareM!G$2:G$78)-IMshareM!G$7&gt;0,IMshareM!G43/(SUM(IMshareM!G$2:G$78)-IMshareM!G$7),0))</f>
        <v>1.0367513708889617E-3</v>
      </c>
      <c r="H43" s="8">
        <f>IF($A43=H$1,0,IF(SUM(IMshareM!H$2:H$78)-IMshareM!H$8&gt;0,IMshareM!H43/(SUM(IMshareM!H$2:H$78)-IMshareM!H$8),0))</f>
        <v>0</v>
      </c>
      <c r="I43" s="8">
        <f>IF($A43=I$1,0,IF(SUM(IMshareM!I$2:I$78)-IMshareM!I$9&gt;0,IMshareM!I43/(SUM(IMshareM!I$2:I$78)-IMshareM!I$9),0))</f>
        <v>1.4197973982863651E-2</v>
      </c>
      <c r="J43" s="8">
        <f>IF($A43=J$1,0,IF(SUM(IMshareM!J$2:J$78)-IMshareM!J$10&gt;0,IMshareM!J43/(SUM(IMshareM!J$2:J$78)-IMshareM!J$10),0))</f>
        <v>2.2594207301599022E-2</v>
      </c>
      <c r="K43" s="8">
        <f>IF($A43=K$1,0,IF(SUM(IMshareM!K$2:K$78)-IMshareM!K$11&gt;0,IMshareM!K43/(SUM(IMshareM!K$2:K$78)-IMshareM!K$11),0))</f>
        <v>2.979675602597728E-2</v>
      </c>
      <c r="L43" s="8">
        <f>IF($A43=L$1,0,IF(SUM(IMshareM!L$2:L$78)-IMshareM!L$12&gt;0,IMshareM!L43/(SUM(IMshareM!L$2:L$78)-IMshareM!L$12),0))</f>
        <v>9.4701237600092782E-3</v>
      </c>
      <c r="M43" s="8">
        <f>IF($A43=M$1,0,IF(SUM(IMshareM!M$2:M$78)-IMshareM!M$13&gt;0,IMshareM!M43/(SUM(IMshareM!M$2:M$78)-IMshareM!M$13),0))</f>
        <v>9.0009739892313702E-4</v>
      </c>
      <c r="N43" s="8">
        <f>IF($A43=N$1,0,IF(SUM(IMshareM!N$2:N$78)-IMshareM!N$14&gt;0,IMshareM!N43/(SUM(IMshareM!N$2:N$78)-IMshareM!N$14),0))</f>
        <v>4.2800187130586059E-2</v>
      </c>
      <c r="O43" s="8">
        <f>IF($A43=O$1,0,IF(SUM(IMshareM!O$2:O$78)-IMshareM!O$15&gt;0,IMshareM!O43/(SUM(IMshareM!O$2:O$78)-IMshareM!O$15),0))</f>
        <v>1.5733762179467391E-2</v>
      </c>
      <c r="P43" s="8">
        <f>IF($A43=P$1,0,IF(SUM(IMshareM!P$2:P$78)-IMshareM!P$16&gt;0,IMshareM!P43/(SUM(IMshareM!P$2:P$78)-IMshareM!P$16),0))</f>
        <v>4.7252880814245861E-4</v>
      </c>
      <c r="Q43" s="8">
        <f>IF($A43=Q$1,0,IF(SUM(IMshareM!Q$2:Q$78)-IMshareM!Q$17&gt;0,IMshareM!Q43/(SUM(IMshareM!Q$2:Q$78)-IMshareM!Q$17),0))</f>
        <v>8.8160036620384061E-3</v>
      </c>
      <c r="R43" s="8">
        <f>IF($A43=R$1,0,IF(SUM(IMshareM!R$2:R$78)-IMshareM!R$18&gt;0,IMshareM!R43/(SUM(IMshareM!R$2:R$78)-IMshareM!R$18),0))</f>
        <v>6.44582552641199E-3</v>
      </c>
      <c r="S43" s="8">
        <f>IF($A43=S$1,0,IF(SUM(IMshareM!S$2:S$78)-IMshareM!S$19&gt;0,IMshareM!S43/(SUM(IMshareM!S$2:S$78)-IMshareM!S$19),0))</f>
        <v>5.5018943392464081E-3</v>
      </c>
      <c r="T43" s="8">
        <f>IF($A43=T$1,0,IF(SUM(IMshareM!T$2:T$78)-IMshareM!T$20&gt;0,IMshareM!T43/(SUM(IMshareM!T$2:T$78)-IMshareM!T$20),0))</f>
        <v>7.6302481349100962E-2</v>
      </c>
      <c r="U43" s="8">
        <f>IF($A43=U$1,0,IF(SUM(IMshareM!U$2:U$78)-IMshareM!U$21&gt;0,IMshareM!U43/(SUM(IMshareM!U$2:U$78)-IMshareM!U$21),0))</f>
        <v>3.6221124173219897E-3</v>
      </c>
      <c r="V43" s="8">
        <f>IF($A43=V$1,0,IF(SUM(IMshareM!V$2:V$78)-IMshareM!V$22&gt;0,IMshareM!V43/(SUM(IMshareM!V$2:V$78)-IMshareM!V$22),0))</f>
        <v>2.559088035544011E-3</v>
      </c>
      <c r="W43" s="8">
        <f>IF($A43=W$1,0,IF(SUM(IMshareM!W$2:W$78)-IMshareM!W$23&gt;0,IMshareM!W43/(SUM(IMshareM!W$2:W$78)-IMshareM!W$23),0))</f>
        <v>4.7614740220069248E-3</v>
      </c>
      <c r="X43" s="8">
        <f>IF($A43=X$1,0,IF(SUM(IMshareM!X$2:X$78)-IMshareM!X$24&gt;0,IMshareM!X43/(SUM(IMshareM!X$2:X$78)-IMshareM!X$24),0))</f>
        <v>6.2510109008857874E-3</v>
      </c>
      <c r="Y43" s="8">
        <f>IF($A43=Y$1,0,IF(SUM(IMshareM!Y$2:Y$78)-IMshareM!Y$25&gt;0,IMshareM!Y43/(SUM(IMshareM!Y$2:Y$78)-IMshareM!Y$25),0))</f>
        <v>2.0994760703399915E-3</v>
      </c>
      <c r="Z43" s="8">
        <f>IF($A43=Z$1,0,IF(SUM(IMshareM!Z$2:Z$78)-IMshareM!Z$26&gt;0,IMshareM!Z43/(SUM(IMshareM!Z$2:Z$78)-IMshareM!Z$26),0))</f>
        <v>3.1671418369570051E-3</v>
      </c>
      <c r="AA43" s="8">
        <f>IF($A43=AA$1,0,IF(SUM(IMshareM!AA$2:AA$78)-IMshareM!AA$27&gt;0,IMshareM!AA43/(SUM(IMshareM!AA$2:AA$78)-IMshareM!AA$27),0))</f>
        <v>5.8439733399423517E-3</v>
      </c>
      <c r="AB43" s="8">
        <f>IF($A43=AB$1,0,IF(SUM(IMshareM!AB$2:AB$78)-IMshareM!AB$28&gt;0,IMshareM!AB43/(SUM(IMshareM!AB$2:AB$78)-IMshareM!AB$28),0))</f>
        <v>7.8568939503352031E-3</v>
      </c>
      <c r="AC43" s="8">
        <f>IF($A43=AC$1,0,IF(SUM(IMshareM!AC$2:AC$78)-IMshareM!AC$29&gt;0,IMshareM!AC43/(SUM(IMshareM!AC$2:AC$78)-IMshareM!AC$29),0))</f>
        <v>1.2297129496198274E-3</v>
      </c>
      <c r="AD43" s="8">
        <f>IF($A43=AD$1,0,IF(SUM(IMshareM!AD$2:AD$78)-IMshareM!AD$30&gt;0,IMshareM!AD43/(SUM(IMshareM!AD$2:AD$78)-IMshareM!AD$30),0))</f>
        <v>2.4789432902546432E-3</v>
      </c>
      <c r="AE43" s="8">
        <f>IF($A43=AE$1,0,IF(SUM(IMshareM!AE$2:AE$78)-IMshareM!AE$31&gt;0,IMshareM!AE43/(SUM(IMshareM!AE$2:AE$78)-IMshareM!AE$31),0))</f>
        <v>1.7117286946452911E-2</v>
      </c>
      <c r="AF43" s="8">
        <f>IF($A43=AF$1,0,IF(SUM(IMshareM!AF$2:AF$78)-IMshareM!AF$32&gt;0,IMshareM!AF43/(SUM(IMshareM!AF$2:AF$78)-IMshareM!AF$32),0))</f>
        <v>8.2996299356351052E-3</v>
      </c>
      <c r="AG43" s="8">
        <f>IF($A43=AG$1,0,IF(SUM(IMshareM!AG$2:AG$78)-IMshareM!AG$33&gt;0,IMshareM!AG43/(SUM(IMshareM!AG$2:AG$78)-IMshareM!AG$33),0))</f>
        <v>1.2593825252035864E-2</v>
      </c>
      <c r="AH43" s="8">
        <f>IF($A43=AH$1,0,IF(SUM(IMshareM!AH$2:AH$78)-IMshareM!AH$34&gt;0,IMshareM!AH43/(SUM(IMshareM!AH$2:AH$78)-IMshareM!AH$34),0))</f>
        <v>5.4559568929702609E-2</v>
      </c>
      <c r="AI43" s="8">
        <f>IF($A43=AI$1,0,IF(SUM(IMshareM!AI$2:AI$78)-IMshareM!AI$35&gt;0,IMshareM!AI43/(SUM(IMshareM!AI$2:AI$78)-IMshareM!AI$35),0))</f>
        <v>3.3206352664181165E-3</v>
      </c>
      <c r="AJ43" s="8">
        <f>IF($A43=AJ$1,0,IF(SUM(IMshareM!AJ$2:AJ$78)-IMshareM!AJ$36&gt;0,IMshareM!AJ43/(SUM(IMshareM!AJ$2:AJ$78)-IMshareM!AJ$36),0))</f>
        <v>1.0056888020804292E-2</v>
      </c>
      <c r="AK43" s="8">
        <f>IF($A43=AK$1,0,IF(SUM(IMshareM!AK$2:AK$78)-IMshareM!AK$37&gt;0,IMshareM!AK43/(SUM(IMshareM!AK$2:AK$78)-IMshareM!AK$37),0))</f>
        <v>1.3966153183738464E-2</v>
      </c>
      <c r="AL43" s="8">
        <f>IF($A43=AL$1,0,IF(SUM(IMshareM!AL$2:AL$78)-IMshareM!AL$38&gt;0,IMshareM!AL43/(SUM(IMshareM!AL$2:AL$78)-IMshareM!AL$38),0))</f>
        <v>4.8133529842604873E-3</v>
      </c>
      <c r="AM43" s="8">
        <f>IF($A43=AM$1,0,IF(SUM(IMshareM!AM$2:AM$78)-IMshareM!AM$39&gt;0,IMshareM!AM43/(SUM(IMshareM!AM$2:AM$78)-IMshareM!AM$39),0))</f>
        <v>9.2709194375990463E-3</v>
      </c>
      <c r="AN43" s="8">
        <f>IF($A43=AN$1,0,IF(SUM(IMshareM!AN$2:AN$78)-IMshareM!AN$40&gt;0,IMshareM!AN43/(SUM(IMshareM!AN$2:AN$78)-IMshareM!AN$40),0))</f>
        <v>3.349109611121992E-2</v>
      </c>
      <c r="AO43" s="8">
        <f>IF($A43=AO$1,0,IF(SUM(IMshareM!AO$2:AO$78)-IMshareM!AO$41&gt;0,IMshareM!AO43/(SUM(IMshareM!AO$2:AO$78)-IMshareM!AO$41),0))</f>
        <v>1.1250879448276247E-4</v>
      </c>
      <c r="AP43" s="8">
        <f>IF($A43=AP$1,0,IF(SUM(IMshareM!AP$2:AP$78)-IMshareM!AP$42&gt;0,IMshareM!AP43/(SUM(IMshareM!AP$2:AP$78)-IMshareM!AP$42),0))</f>
        <v>1.8797808725697389E-3</v>
      </c>
      <c r="AQ43" s="8">
        <f>IF($A43=AQ$1,0,IF(SUM(IMshareM!AQ$2:AQ$78)-IMshareM!AQ$43&gt;0,IMshareM!AQ43/(SUM(IMshareM!AQ$2:AQ$78)-IMshareM!AQ$43),0))</f>
        <v>0</v>
      </c>
      <c r="AR43" s="8">
        <f>IF($A43=AR$1,0,IF(SUM(IMshareM!AR$2:AR$78)-IMshareM!AR$44&gt;0,IMshareM!AR43/(SUM(IMshareM!AR$2:AR$78)-IMshareM!AR$44),0))</f>
        <v>2.288638297931791E-5</v>
      </c>
      <c r="AS43" s="8">
        <f>IF($A43=AS$1,0,IF(SUM(IMshareM!AS$2:AS$78)-IMshareM!AS$45&gt;0,IMshareM!AS43/(SUM(IMshareM!AS$2:AS$78)-IMshareM!AS$45),0))</f>
        <v>1.5356545906458537E-4</v>
      </c>
      <c r="AT43" s="8">
        <f>IF($A43=AT$1,0,IF(SUM(IMshareM!AT$2:AT$78)-IMshareM!AT$46&gt;0,IMshareM!AT43/(SUM(IMshareM!AT$2:AT$78)-IMshareM!AT$46),0))</f>
        <v>1.095825030647615E-4</v>
      </c>
      <c r="AU43" s="8">
        <f>IF($A43=AU$1,0,IF(SUM(IMshareM!AU$2:AU$78)-IMshareM!AU$47&gt;0,IMshareM!AU43/(SUM(IMshareM!AU$2:AU$78)-IMshareM!AU$47),0))</f>
        <v>3.1315644098053519E-3</v>
      </c>
      <c r="AV43" s="8">
        <f>IF($A43=AV$1,0,IF(SUM(IMshareM!AV$2:AV$78)-IMshareM!AV$48&gt;0,IMshareM!AV43/(SUM(IMshareM!AV$2:AV$78)-IMshareM!AV$48),0))</f>
        <v>3.2264631161117016E-3</v>
      </c>
      <c r="AW43" s="8">
        <f>IF($A43=AW$1,0,IF(SUM(IMshareM!AW$2:AW$78)-IMshareM!AW$49&gt;0,IMshareM!AW43/(SUM(IMshareM!AW$2:AW$78)-IMshareM!AW$49),0))</f>
        <v>5.8145053732995548E-2</v>
      </c>
      <c r="AX43" s="8">
        <f>IF($A43=AX$1,0,IF(SUM(IMshareM!AX$2:AX$78)-IMshareM!AX$50&gt;0,IMshareM!AX43/(SUM(IMshareM!AX$2:AX$78)-IMshareM!AX$50),0))</f>
        <v>2.4848627779144638E-3</v>
      </c>
      <c r="AY43" s="8">
        <f>IF($A43=AY$1,0,IF(SUM(IMshareM!AY$2:AY$78)-IMshareM!AY$51&gt;0,IMshareM!AY43/(SUM(IMshareM!AY$2:AY$78)-IMshareM!AY$51),0))</f>
        <v>1.4809002655956614E-2</v>
      </c>
      <c r="AZ43" s="8">
        <f>IF($A43=AZ$1,0,IF(SUM(IMshareM!AZ$2:AZ$78)-IMshareM!AZ$52&gt;0,IMshareM!AZ43/(SUM(IMshareM!AZ$2:AZ$78)-IMshareM!AZ$52),0))</f>
        <v>1.9141749946921496E-2</v>
      </c>
      <c r="BA43" s="8">
        <f>IF($A43=BA$1,0,IF(SUM(IMshareM!BA$2:BA$78)-IMshareM!BA$53&gt;0,IMshareM!BA43/(SUM(IMshareM!BA$2:BA$78)-IMshareM!BA$53),0))</f>
        <v>4.7642701278412253E-4</v>
      </c>
      <c r="BB43" s="8">
        <f>IF($A43=BB$1,0,IF(SUM(IMshareM!BB$2:BB$78)-IMshareM!BB$54&gt;0,IMshareM!BB43/(SUM(IMshareM!BB$2:BB$78)-IMshareM!BB$54),0))</f>
        <v>4.4657865805964678E-3</v>
      </c>
      <c r="BC43" s="8">
        <f>IF($A43=BC$1,0,IF(SUM(IMshareM!BC$2:BC$78)-IMshareM!BC$55&gt;0,IMshareM!BC43/(SUM(IMshareM!BC$2:BC$78)-IMshareM!BC$55),0))</f>
        <v>1.6261771216417299E-2</v>
      </c>
      <c r="BD43" s="8">
        <f>IF($A43=BD$1,0,IF(SUM(IMshareM!BD$2:BD$78)-IMshareM!BD$56&gt;0,IMshareM!BD43/(SUM(IMshareM!BD$2:BD$78)-IMshareM!BD$56),0))</f>
        <v>8.1872041005293713E-3</v>
      </c>
      <c r="BE43" s="8">
        <f>IF($A43=BE$1,0,IF(SUM(IMshareM!BE$2:BE$78)-IMshareM!BE$57&gt;0,IMshareM!BE43/(SUM(IMshareM!BE$2:BE$78)-IMshareM!BE$57),0))</f>
        <v>8.8693273203799151E-3</v>
      </c>
      <c r="BF43" s="8">
        <f>IF($A43=BF$1,0,IF(SUM(IMshareM!BF$2:BF$78)-IMshareM!BF$58&gt;0,IMshareM!BF43/(SUM(IMshareM!BF$2:BF$78)-IMshareM!BF$58),0))</f>
        <v>4.7153530238484686E-3</v>
      </c>
      <c r="BG43" s="8">
        <f>IF($A43=BG$1,0,IF(SUM(IMshareM!BG$2:BG$78)-IMshareM!BG$59&gt;0,IMshareM!BG43/(SUM(IMshareM!BG$2:BG$78)-IMshareM!BG$59),0))</f>
        <v>1.8614019713839764E-2</v>
      </c>
      <c r="BH43" s="8">
        <f>IF($A43=BH$1,0,IF(SUM(IMshareM!BH$2:BH$78)-IMshareM!BH$60&gt;0,IMshareM!BH43/(SUM(IMshareM!BH$2:BH$78)-IMshareM!BH$60),0))</f>
        <v>4.5960337825106182E-2</v>
      </c>
      <c r="BI43" s="8">
        <f>IF($A43=BI$1,0,IF(SUM(IMshareM!BI$2:BI$78)-IMshareM!BI$61&gt;0,IMshareM!BI43/(SUM(IMshareM!BI$2:BI$78)-IMshareM!BI$61),0))</f>
        <v>1.5147389482001925E-4</v>
      </c>
      <c r="BJ43" s="8">
        <f>IF($A43=BJ$1,0,IF(SUM(IMshareM!BJ$2:BJ$78)-IMshareM!BJ$62&gt;0,IMshareM!BJ43/(SUM(IMshareM!BJ$2:BJ$78)-IMshareM!BJ$62),0))</f>
        <v>4.7931802845054402E-3</v>
      </c>
      <c r="BK43" s="8">
        <f>IF($A43=BK$1,0,IF(SUM(IMshareM!BK$2:BK$78)-IMshareM!BK$63&gt;0,IMshareM!BK43/(SUM(IMshareM!BK$2:BK$78)-IMshareM!BK$63),0))</f>
        <v>9.0543376824433527E-3</v>
      </c>
      <c r="BL43" s="8">
        <f>IF($A43=BL$1,0,IF(SUM(IMshareM!BL$2:BL$78)-IMshareM!BL$64&gt;0,IMshareM!BL43/(SUM(IMshareM!BL$2:BL$78)-IMshareM!BL$64),0))</f>
        <v>4.850130053747758E-2</v>
      </c>
      <c r="BM43" s="8">
        <f>IF($A43=BM$1,0,IF(SUM(IMshareM!BM$2:BM$78)-IMshareM!BM$65&gt;0,IMshareM!BM43/(SUM(IMshareM!BM$2:BM$78)-IMshareM!BM$65),0))</f>
        <v>1.0633902711297788E-3</v>
      </c>
      <c r="BN43" s="8">
        <f>IF($A43=BN$1,0,IF(SUM(IMshareM!BN$2:BN$78)-IMshareM!BN$66&gt;0,IMshareM!BN43/(SUM(IMshareM!BN$2:BN$78)-IMshareM!BN$66),0))</f>
        <v>9.5269002521490669E-3</v>
      </c>
      <c r="BO43" s="8">
        <f>IF($A43=BO$1,0,IF(SUM(IMshareM!BO$2:BO$78)-IMshareM!BO$67&gt;0,IMshareM!BO43/(SUM(IMshareM!BO$2:BO$78)-IMshareM!BO$67),0))</f>
        <v>0.14536127314718303</v>
      </c>
      <c r="BP43" s="8">
        <f>IF($A43=BP$1,0,IF(SUM(IMshareM!BP$2:BP$78)-IMshareM!BP$68&gt;0,IMshareM!BP43/(SUM(IMshareM!BP$2:BP$78)-IMshareM!BP$68),0))</f>
        <v>1.0733992352627234E-3</v>
      </c>
      <c r="BQ43" s="8">
        <f>IF($A43=BQ$1,0,IF(SUM(IMshareM!BQ$2:BQ$78)-IMshareM!BQ$69&gt;0,IMshareM!BQ43/(SUM(IMshareM!BQ$2:BQ$78)-IMshareM!BQ$69),0))</f>
        <v>9.0483782326868448E-3</v>
      </c>
      <c r="BR43" s="8">
        <f>IF($A43=BR$1,0,IF(SUM(IMshareM!BR$2:BR$78)-IMshareM!BR$70&gt;0,IMshareM!BR43/(SUM(IMshareM!BR$2:BR$78)-IMshareM!BR$70),0))</f>
        <v>1.6062909866756216E-2</v>
      </c>
      <c r="BS43" s="8">
        <f>IF($A43=BS$1,0,IF(SUM(IMshareM!BS$2:BS$78)-IMshareM!BS$71&gt;0,IMshareM!BS43/(SUM(IMshareM!BS$2:BS$78)-IMshareM!BS$71),0))</f>
        <v>1.2597255590455533E-3</v>
      </c>
      <c r="BT43" s="8">
        <f>IF($A43=BT$1,0,IF(SUM(IMshareM!BT$2:BT$78)-IMshareM!BT$72&gt;0,IMshareM!BT43/(SUM(IMshareM!BT$2:BT$78)-IMshareM!BT$72),0))</f>
        <v>1.555462784294403E-2</v>
      </c>
      <c r="BU43" s="8">
        <f>IF($A43=BU$1,0,IF(SUM(IMshareM!BU$2:BU$78)-IMshareM!BU$73&gt;0,IMshareM!BU43/(SUM(IMshareM!BU$2:BU$78)-IMshareM!BU$73),0))</f>
        <v>7.0742740827307599E-3</v>
      </c>
      <c r="BV43" s="8">
        <f>IF($A43=BV$1,0,IF(SUM(IMshareM!BV$2:BV$78)-IMshareM!BV$74&gt;0,IMshareM!BV43/(SUM(IMshareM!BV$2:BV$78)-IMshareM!BV$74),0))</f>
        <v>2.6938466119695338E-3</v>
      </c>
      <c r="BW43" s="8">
        <f>IF($A43=BW$1,0,IF(SUM(IMshareM!BW$2:BW$78)-IMshareM!BW$75&gt;0,IMshareM!BW43/(SUM(IMshareM!BW$2:BW$78)-IMshareM!BW$75),0))</f>
        <v>3.4717444887905222E-2</v>
      </c>
      <c r="BX43" s="8">
        <f>IF($A43=BX$1,0,IF(SUM(IMshareM!BX$2:BX$78)-IMshareM!BX$76&gt;0,IMshareM!BX43/(SUM(IMshareM!BX$2:BX$78)-IMshareM!BX$76),0))</f>
        <v>3.0057958021590281E-2</v>
      </c>
      <c r="BY43" s="8">
        <f>IF($A43=BY$1,0,IF(SUM(IMshareM!BY$2:BY$78)-IMshareM!BY$77&gt;0,IMshareM!BY43/(SUM(IMshareM!BY$2:BY$78)-IMshareM!BY$77),0))</f>
        <v>4.2194930190029307E-3</v>
      </c>
      <c r="BZ43" s="8">
        <f>IF($A43=BZ$1,0,IF(SUM(IMshareM!BZ$2:BZ$78)-IMshareM!BZ$78&gt;0,IMshareM!BZ43/(SUM(IMshareM!BZ$2:BZ$78)-IMshareM!BZ$78),0))</f>
        <v>1.9546522270821765E-2</v>
      </c>
    </row>
    <row r="44" spans="1:78">
      <c r="A44" s="4" t="s">
        <v>155</v>
      </c>
      <c r="B44" s="8">
        <f>IF($A44=B$1,0,IF(SUM(IMshareM!B$2:B$78)-IMshareM!B$2&gt;0,IMshareM!B44/(SUM(IMshareM!B$2:B$78)-IMshareM!B$2),0))</f>
        <v>0</v>
      </c>
      <c r="C44" s="8">
        <f>IF($A44=C$1,0,IF(SUM(IMshareM!C$2:C$78)-IMshareM!C$3&gt;0,IMshareM!C44/(SUM(IMshareM!C$2:C$78)-IMshareM!C$3),0))</f>
        <v>1.6083062604234949E-5</v>
      </c>
      <c r="D44" s="8">
        <f>IF($A44=D$1,0,IF(SUM(IMshareM!D$2:D$78)-IMshareM!D$4&gt;0,IMshareM!D44/(SUM(IMshareM!D$2:D$78)-IMshareM!D$4),0))</f>
        <v>0</v>
      </c>
      <c r="E44" s="8">
        <f>IF($A44=E$1,0,IF(SUM(IMshareM!E$2:E$78)-IMshareM!E$5&gt;0,IMshareM!E44/(SUM(IMshareM!E$2:E$78)-IMshareM!E$5),0))</f>
        <v>0</v>
      </c>
      <c r="F44" s="8">
        <f>IF($A44=F$1,0,IF(SUM(IMshareM!F$2:F$78)-IMshareM!F$6&gt;0,IMshareM!F44/(SUM(IMshareM!F$2:F$78)-IMshareM!F$6),0))</f>
        <v>0</v>
      </c>
      <c r="G44" s="8">
        <f>IF($A44=G$1,0,IF(SUM(IMshareM!G$2:G$78)-IMshareM!G$7&gt;0,IMshareM!G44/(SUM(IMshareM!G$2:G$78)-IMshareM!G$7),0))</f>
        <v>0</v>
      </c>
      <c r="H44" s="8">
        <f>IF($A44=H$1,0,IF(SUM(IMshareM!H$2:H$78)-IMshareM!H$8&gt;0,IMshareM!H44/(SUM(IMshareM!H$2:H$78)-IMshareM!H$8),0))</f>
        <v>0</v>
      </c>
      <c r="I44" s="8">
        <f>IF($A44=I$1,0,IF(SUM(IMshareM!I$2:I$78)-IMshareM!I$9&gt;0,IMshareM!I44/(SUM(IMshareM!I$2:I$78)-IMshareM!I$9),0))</f>
        <v>0</v>
      </c>
      <c r="J44" s="8">
        <f>IF($A44=J$1,0,IF(SUM(IMshareM!J$2:J$78)-IMshareM!J$10&gt;0,IMshareM!J44/(SUM(IMshareM!J$2:J$78)-IMshareM!J$10),0))</f>
        <v>0</v>
      </c>
      <c r="K44" s="8">
        <f>IF($A44=K$1,0,IF(SUM(IMshareM!K$2:K$78)-IMshareM!K$11&gt;0,IMshareM!K44/(SUM(IMshareM!K$2:K$78)-IMshareM!K$11),0))</f>
        <v>2.866389591594152E-8</v>
      </c>
      <c r="L44" s="8">
        <f>IF($A44=L$1,0,IF(SUM(IMshareM!L$2:L$78)-IMshareM!L$12&gt;0,IMshareM!L44/(SUM(IMshareM!L$2:L$78)-IMshareM!L$12),0))</f>
        <v>0</v>
      </c>
      <c r="M44" s="8">
        <f>IF($A44=M$1,0,IF(SUM(IMshareM!M$2:M$78)-IMshareM!M$13&gt;0,IMshareM!M44/(SUM(IMshareM!M$2:M$78)-IMshareM!M$13),0))</f>
        <v>1.9599793669463604E-7</v>
      </c>
      <c r="N44" s="8">
        <f>IF($A44=N$1,0,IF(SUM(IMshareM!N$2:N$78)-IMshareM!N$14&gt;0,IMshareM!N44/(SUM(IMshareM!N$2:N$78)-IMshareM!N$14),0))</f>
        <v>0</v>
      </c>
      <c r="O44" s="8">
        <f>IF($A44=O$1,0,IF(SUM(IMshareM!O$2:O$78)-IMshareM!O$15&gt;0,IMshareM!O44/(SUM(IMshareM!O$2:O$78)-IMshareM!O$15),0))</f>
        <v>0</v>
      </c>
      <c r="P44" s="8">
        <f>IF($A44=P$1,0,IF(SUM(IMshareM!P$2:P$78)-IMshareM!P$16&gt;0,IMshareM!P44/(SUM(IMshareM!P$2:P$78)-IMshareM!P$16),0))</f>
        <v>0</v>
      </c>
      <c r="Q44" s="8">
        <f>IF($A44=Q$1,0,IF(SUM(IMshareM!Q$2:Q$78)-IMshareM!Q$17&gt;0,IMshareM!Q44/(SUM(IMshareM!Q$2:Q$78)-IMshareM!Q$17),0))</f>
        <v>0</v>
      </c>
      <c r="R44" s="8">
        <f>IF($A44=R$1,0,IF(SUM(IMshareM!R$2:R$78)-IMshareM!R$18&gt;0,IMshareM!R44/(SUM(IMshareM!R$2:R$78)-IMshareM!R$18),0))</f>
        <v>0</v>
      </c>
      <c r="S44" s="8">
        <f>IF($A44=S$1,0,IF(SUM(IMshareM!S$2:S$78)-IMshareM!S$19&gt;0,IMshareM!S44/(SUM(IMshareM!S$2:S$78)-IMshareM!S$19),0))</f>
        <v>0</v>
      </c>
      <c r="T44" s="8">
        <f>IF($A44=T$1,0,IF(SUM(IMshareM!T$2:T$78)-IMshareM!T$20&gt;0,IMshareM!T44/(SUM(IMshareM!T$2:T$78)-IMshareM!T$20),0))</f>
        <v>0</v>
      </c>
      <c r="U44" s="8">
        <f>IF($A44=U$1,0,IF(SUM(IMshareM!U$2:U$78)-IMshareM!U$21&gt;0,IMshareM!U44/(SUM(IMshareM!U$2:U$78)-IMshareM!U$21),0))</f>
        <v>0</v>
      </c>
      <c r="V44" s="8">
        <f>IF($A44=V$1,0,IF(SUM(IMshareM!V$2:V$78)-IMshareM!V$22&gt;0,IMshareM!V44/(SUM(IMshareM!V$2:V$78)-IMshareM!V$22),0))</f>
        <v>0</v>
      </c>
      <c r="W44" s="8">
        <f>IF($A44=W$1,0,IF(SUM(IMshareM!W$2:W$78)-IMshareM!W$23&gt;0,IMshareM!W44/(SUM(IMshareM!W$2:W$78)-IMshareM!W$23),0))</f>
        <v>0</v>
      </c>
      <c r="X44" s="8">
        <f>IF($A44=X$1,0,IF(SUM(IMshareM!X$2:X$78)-IMshareM!X$24&gt;0,IMshareM!X44/(SUM(IMshareM!X$2:X$78)-IMshareM!X$24),0))</f>
        <v>0</v>
      </c>
      <c r="Y44" s="8">
        <f>IF($A44=Y$1,0,IF(SUM(IMshareM!Y$2:Y$78)-IMshareM!Y$25&gt;0,IMshareM!Y44/(SUM(IMshareM!Y$2:Y$78)-IMshareM!Y$25),0))</f>
        <v>0</v>
      </c>
      <c r="Z44" s="8">
        <f>IF($A44=Z$1,0,IF(SUM(IMshareM!Z$2:Z$78)-IMshareM!Z$26&gt;0,IMshareM!Z44/(SUM(IMshareM!Z$2:Z$78)-IMshareM!Z$26),0))</f>
        <v>0</v>
      </c>
      <c r="AA44" s="8">
        <f>IF($A44=AA$1,0,IF(SUM(IMshareM!AA$2:AA$78)-IMshareM!AA$27&gt;0,IMshareM!AA44/(SUM(IMshareM!AA$2:AA$78)-IMshareM!AA$27),0))</f>
        <v>0</v>
      </c>
      <c r="AB44" s="8">
        <f>IF($A44=AB$1,0,IF(SUM(IMshareM!AB$2:AB$78)-IMshareM!AB$28&gt;0,IMshareM!AB44/(SUM(IMshareM!AB$2:AB$78)-IMshareM!AB$28),0))</f>
        <v>0</v>
      </c>
      <c r="AC44" s="8">
        <f>IF($A44=AC$1,0,IF(SUM(IMshareM!AC$2:AC$78)-IMshareM!AC$29&gt;0,IMshareM!AC44/(SUM(IMshareM!AC$2:AC$78)-IMshareM!AC$29),0))</f>
        <v>0</v>
      </c>
      <c r="AD44" s="8">
        <f>IF($A44=AD$1,0,IF(SUM(IMshareM!AD$2:AD$78)-IMshareM!AD$30&gt;0,IMshareM!AD44/(SUM(IMshareM!AD$2:AD$78)-IMshareM!AD$30),0))</f>
        <v>0</v>
      </c>
      <c r="AE44" s="8">
        <f>IF($A44=AE$1,0,IF(SUM(IMshareM!AE$2:AE$78)-IMshareM!AE$31&gt;0,IMshareM!AE44/(SUM(IMshareM!AE$2:AE$78)-IMshareM!AE$31),0))</f>
        <v>0</v>
      </c>
      <c r="AF44" s="8">
        <f>IF($A44=AF$1,0,IF(SUM(IMshareM!AF$2:AF$78)-IMshareM!AF$32&gt;0,IMshareM!AF44/(SUM(IMshareM!AF$2:AF$78)-IMshareM!AF$32),0))</f>
        <v>0</v>
      </c>
      <c r="AG44" s="8">
        <f>IF($A44=AG$1,0,IF(SUM(IMshareM!AG$2:AG$78)-IMshareM!AG$33&gt;0,IMshareM!AG44/(SUM(IMshareM!AG$2:AG$78)-IMshareM!AG$33),0))</f>
        <v>0</v>
      </c>
      <c r="AH44" s="8">
        <f>IF($A44=AH$1,0,IF(SUM(IMshareM!AH$2:AH$78)-IMshareM!AH$34&gt;0,IMshareM!AH44/(SUM(IMshareM!AH$2:AH$78)-IMshareM!AH$34),0))</f>
        <v>0</v>
      </c>
      <c r="AI44" s="8">
        <f>IF($A44=AI$1,0,IF(SUM(IMshareM!AI$2:AI$78)-IMshareM!AI$35&gt;0,IMshareM!AI44/(SUM(IMshareM!AI$2:AI$78)-IMshareM!AI$35),0))</f>
        <v>0</v>
      </c>
      <c r="AJ44" s="8">
        <f>IF($A44=AJ$1,0,IF(SUM(IMshareM!AJ$2:AJ$78)-IMshareM!AJ$36&gt;0,IMshareM!AJ44/(SUM(IMshareM!AJ$2:AJ$78)-IMshareM!AJ$36),0))</f>
        <v>0</v>
      </c>
      <c r="AK44" s="8">
        <f>IF($A44=AK$1,0,IF(SUM(IMshareM!AK$2:AK$78)-IMshareM!AK$37&gt;0,IMshareM!AK44/(SUM(IMshareM!AK$2:AK$78)-IMshareM!AK$37),0))</f>
        <v>0</v>
      </c>
      <c r="AL44" s="8">
        <f>IF($A44=AL$1,0,IF(SUM(IMshareM!AL$2:AL$78)-IMshareM!AL$38&gt;0,IMshareM!AL44/(SUM(IMshareM!AL$2:AL$78)-IMshareM!AL$38),0))</f>
        <v>0</v>
      </c>
      <c r="AM44" s="8">
        <f>IF($A44=AM$1,0,IF(SUM(IMshareM!AM$2:AM$78)-IMshareM!AM$39&gt;0,IMshareM!AM44/(SUM(IMshareM!AM$2:AM$78)-IMshareM!AM$39),0))</f>
        <v>0</v>
      </c>
      <c r="AN44" s="8">
        <f>IF($A44=AN$1,0,IF(SUM(IMshareM!AN$2:AN$78)-IMshareM!AN$40&gt;0,IMshareM!AN44/(SUM(IMshareM!AN$2:AN$78)-IMshareM!AN$40),0))</f>
        <v>0</v>
      </c>
      <c r="AO44" s="8">
        <f>IF($A44=AO$1,0,IF(SUM(IMshareM!AO$2:AO$78)-IMshareM!AO$41&gt;0,IMshareM!AO44/(SUM(IMshareM!AO$2:AO$78)-IMshareM!AO$41),0))</f>
        <v>0</v>
      </c>
      <c r="AP44" s="8">
        <f>IF($A44=AP$1,0,IF(SUM(IMshareM!AP$2:AP$78)-IMshareM!AP$42&gt;0,IMshareM!AP44/(SUM(IMshareM!AP$2:AP$78)-IMshareM!AP$42),0))</f>
        <v>0</v>
      </c>
      <c r="AQ44" s="8">
        <f>IF($A44=AQ$1,0,IF(SUM(IMshareM!AQ$2:AQ$78)-IMshareM!AQ$43&gt;0,IMshareM!AQ44/(SUM(IMshareM!AQ$2:AQ$78)-IMshareM!AQ$43),0))</f>
        <v>0</v>
      </c>
      <c r="AR44" s="8">
        <f>IF($A44=AR$1,0,IF(SUM(IMshareM!AR$2:AR$78)-IMshareM!AR$44&gt;0,IMshareM!AR44/(SUM(IMshareM!AR$2:AR$78)-IMshareM!AR$44),0))</f>
        <v>0</v>
      </c>
      <c r="AS44" s="8">
        <f>IF($A44=AS$1,0,IF(SUM(IMshareM!AS$2:AS$78)-IMshareM!AS$45&gt;0,IMshareM!AS44/(SUM(IMshareM!AS$2:AS$78)-IMshareM!AS$45),0))</f>
        <v>0</v>
      </c>
      <c r="AT44" s="8">
        <f>IF($A44=AT$1,0,IF(SUM(IMshareM!AT$2:AT$78)-IMshareM!AT$46&gt;0,IMshareM!AT44/(SUM(IMshareM!AT$2:AT$78)-IMshareM!AT$46),0))</f>
        <v>0</v>
      </c>
      <c r="AU44" s="8">
        <f>IF($A44=AU$1,0,IF(SUM(IMshareM!AU$2:AU$78)-IMshareM!AU$47&gt;0,IMshareM!AU44/(SUM(IMshareM!AU$2:AU$78)-IMshareM!AU$47),0))</f>
        <v>0</v>
      </c>
      <c r="AV44" s="8">
        <f>IF($A44=AV$1,0,IF(SUM(IMshareM!AV$2:AV$78)-IMshareM!AV$48&gt;0,IMshareM!AV44/(SUM(IMshareM!AV$2:AV$78)-IMshareM!AV$48),0))</f>
        <v>0</v>
      </c>
      <c r="AW44" s="8">
        <f>IF($A44=AW$1,0,IF(SUM(IMshareM!AW$2:AW$78)-IMshareM!AW$49&gt;0,IMshareM!AW44/(SUM(IMshareM!AW$2:AW$78)-IMshareM!AW$49),0))</f>
        <v>0</v>
      </c>
      <c r="AX44" s="8">
        <f>IF($A44=AX$1,0,IF(SUM(IMshareM!AX$2:AX$78)-IMshareM!AX$50&gt;0,IMshareM!AX44/(SUM(IMshareM!AX$2:AX$78)-IMshareM!AX$50),0))</f>
        <v>0</v>
      </c>
      <c r="AY44" s="8">
        <f>IF($A44=AY$1,0,IF(SUM(IMshareM!AY$2:AY$78)-IMshareM!AY$51&gt;0,IMshareM!AY44/(SUM(IMshareM!AY$2:AY$78)-IMshareM!AY$51),0))</f>
        <v>0</v>
      </c>
      <c r="AZ44" s="8">
        <f>IF($A44=AZ$1,0,IF(SUM(IMshareM!AZ$2:AZ$78)-IMshareM!AZ$52&gt;0,IMshareM!AZ44/(SUM(IMshareM!AZ$2:AZ$78)-IMshareM!AZ$52),0))</f>
        <v>0</v>
      </c>
      <c r="BA44" s="8">
        <f>IF($A44=BA$1,0,IF(SUM(IMshareM!BA$2:BA$78)-IMshareM!BA$53&gt;0,IMshareM!BA44/(SUM(IMshareM!BA$2:BA$78)-IMshareM!BA$53),0))</f>
        <v>0</v>
      </c>
      <c r="BB44" s="8">
        <f>IF($A44=BB$1,0,IF(SUM(IMshareM!BB$2:BB$78)-IMshareM!BB$54&gt;0,IMshareM!BB44/(SUM(IMshareM!BB$2:BB$78)-IMshareM!BB$54),0))</f>
        <v>0</v>
      </c>
      <c r="BC44" s="8">
        <f>IF($A44=BC$1,0,IF(SUM(IMshareM!BC$2:BC$78)-IMshareM!BC$55&gt;0,IMshareM!BC44/(SUM(IMshareM!BC$2:BC$78)-IMshareM!BC$55),0))</f>
        <v>0</v>
      </c>
      <c r="BD44" s="8">
        <f>IF($A44=BD$1,0,IF(SUM(IMshareM!BD$2:BD$78)-IMshareM!BD$56&gt;0,IMshareM!BD44/(SUM(IMshareM!BD$2:BD$78)-IMshareM!BD$56),0))</f>
        <v>0</v>
      </c>
      <c r="BE44" s="8">
        <f>IF($A44=BE$1,0,IF(SUM(IMshareM!BE$2:BE$78)-IMshareM!BE$57&gt;0,IMshareM!BE44/(SUM(IMshareM!BE$2:BE$78)-IMshareM!BE$57),0))</f>
        <v>0</v>
      </c>
      <c r="BF44" s="8">
        <f>IF($A44=BF$1,0,IF(SUM(IMshareM!BF$2:BF$78)-IMshareM!BF$58&gt;0,IMshareM!BF44/(SUM(IMshareM!BF$2:BF$78)-IMshareM!BF$58),0))</f>
        <v>0</v>
      </c>
      <c r="BG44" s="8">
        <f>IF($A44=BG$1,0,IF(SUM(IMshareM!BG$2:BG$78)-IMshareM!BG$59&gt;0,IMshareM!BG44/(SUM(IMshareM!BG$2:BG$78)-IMshareM!BG$59),0))</f>
        <v>0</v>
      </c>
      <c r="BH44" s="8">
        <f>IF($A44=BH$1,0,IF(SUM(IMshareM!BH$2:BH$78)-IMshareM!BH$60&gt;0,IMshareM!BH44/(SUM(IMshareM!BH$2:BH$78)-IMshareM!BH$60),0))</f>
        <v>0</v>
      </c>
      <c r="BI44" s="8">
        <f>IF($A44=BI$1,0,IF(SUM(IMshareM!BI$2:BI$78)-IMshareM!BI$61&gt;0,IMshareM!BI44/(SUM(IMshareM!BI$2:BI$78)-IMshareM!BI$61),0))</f>
        <v>0</v>
      </c>
      <c r="BJ44" s="8">
        <f>IF($A44=BJ$1,0,IF(SUM(IMshareM!BJ$2:BJ$78)-IMshareM!BJ$62&gt;0,IMshareM!BJ44/(SUM(IMshareM!BJ$2:BJ$78)-IMshareM!BJ$62),0))</f>
        <v>0</v>
      </c>
      <c r="BK44" s="8">
        <f>IF($A44=BK$1,0,IF(SUM(IMshareM!BK$2:BK$78)-IMshareM!BK$63&gt;0,IMshareM!BK44/(SUM(IMshareM!BK$2:BK$78)-IMshareM!BK$63),0))</f>
        <v>0</v>
      </c>
      <c r="BL44" s="8">
        <f>IF($A44=BL$1,0,IF(SUM(IMshareM!BL$2:BL$78)-IMshareM!BL$64&gt;0,IMshareM!BL44/(SUM(IMshareM!BL$2:BL$78)-IMshareM!BL$64),0))</f>
        <v>0</v>
      </c>
      <c r="BM44" s="8">
        <f>IF($A44=BM$1,0,IF(SUM(IMshareM!BM$2:BM$78)-IMshareM!BM$65&gt;0,IMshareM!BM44/(SUM(IMshareM!BM$2:BM$78)-IMshareM!BM$65),0))</f>
        <v>0</v>
      </c>
      <c r="BN44" s="8">
        <f>IF($A44=BN$1,0,IF(SUM(IMshareM!BN$2:BN$78)-IMshareM!BN$66&gt;0,IMshareM!BN44/(SUM(IMshareM!BN$2:BN$78)-IMshareM!BN$66),0))</f>
        <v>0</v>
      </c>
      <c r="BO44" s="8">
        <f>IF($A44=BO$1,0,IF(SUM(IMshareM!BO$2:BO$78)-IMshareM!BO$67&gt;0,IMshareM!BO44/(SUM(IMshareM!BO$2:BO$78)-IMshareM!BO$67),0))</f>
        <v>0</v>
      </c>
      <c r="BP44" s="8">
        <f>IF($A44=BP$1,0,IF(SUM(IMshareM!BP$2:BP$78)-IMshareM!BP$68&gt;0,IMshareM!BP44/(SUM(IMshareM!BP$2:BP$78)-IMshareM!BP$68),0))</f>
        <v>0</v>
      </c>
      <c r="BQ44" s="8">
        <f>IF($A44=BQ$1,0,IF(SUM(IMshareM!BQ$2:BQ$78)-IMshareM!BQ$69&gt;0,IMshareM!BQ44/(SUM(IMshareM!BQ$2:BQ$78)-IMshareM!BQ$69),0))</f>
        <v>8.3107903971892425E-7</v>
      </c>
      <c r="BR44" s="8">
        <f>IF($A44=BR$1,0,IF(SUM(IMshareM!BR$2:BR$78)-IMshareM!BR$70&gt;0,IMshareM!BR44/(SUM(IMshareM!BR$2:BR$78)-IMshareM!BR$70),0))</f>
        <v>1.9194235686836376E-5</v>
      </c>
      <c r="BS44" s="8">
        <f>IF($A44=BS$1,0,IF(SUM(IMshareM!BS$2:BS$78)-IMshareM!BS$71&gt;0,IMshareM!BS44/(SUM(IMshareM!BS$2:BS$78)-IMshareM!BS$71),0))</f>
        <v>0</v>
      </c>
      <c r="BT44" s="8">
        <f>IF($A44=BT$1,0,IF(SUM(IMshareM!BT$2:BT$78)-IMshareM!BT$72&gt;0,IMshareM!BT44/(SUM(IMshareM!BT$2:BT$78)-IMshareM!BT$72),0))</f>
        <v>0</v>
      </c>
      <c r="BU44" s="8">
        <f>IF($A44=BU$1,0,IF(SUM(IMshareM!BU$2:BU$78)-IMshareM!BU$73&gt;0,IMshareM!BU44/(SUM(IMshareM!BU$2:BU$78)-IMshareM!BU$73),0))</f>
        <v>0</v>
      </c>
      <c r="BV44" s="8">
        <f>IF($A44=BV$1,0,IF(SUM(IMshareM!BV$2:BV$78)-IMshareM!BV$74&gt;0,IMshareM!BV44/(SUM(IMshareM!BV$2:BV$78)-IMshareM!BV$74),0))</f>
        <v>0</v>
      </c>
      <c r="BW44" s="8">
        <f>IF($A44=BW$1,0,IF(SUM(IMshareM!BW$2:BW$78)-IMshareM!BW$75&gt;0,IMshareM!BW44/(SUM(IMshareM!BW$2:BW$78)-IMshareM!BW$75),0))</f>
        <v>0</v>
      </c>
      <c r="BX44" s="8">
        <f>IF($A44=BX$1,0,IF(SUM(IMshareM!BX$2:BX$78)-IMshareM!BX$76&gt;0,IMshareM!BX44/(SUM(IMshareM!BX$2:BX$78)-IMshareM!BX$76),0))</f>
        <v>0</v>
      </c>
      <c r="BY44" s="8">
        <f>IF($A44=BY$1,0,IF(SUM(IMshareM!BY$2:BY$78)-IMshareM!BY$77&gt;0,IMshareM!BY44/(SUM(IMshareM!BY$2:BY$78)-IMshareM!BY$77),0))</f>
        <v>0</v>
      </c>
      <c r="BZ44" s="8">
        <f>IF($A44=BZ$1,0,IF(SUM(IMshareM!BZ$2:BZ$78)-IMshareM!BZ$78&gt;0,IMshareM!BZ44/(SUM(IMshareM!BZ$2:BZ$78)-IMshareM!BZ$78),0))</f>
        <v>0</v>
      </c>
    </row>
    <row r="45" spans="1:78">
      <c r="A45" s="4" t="s">
        <v>157</v>
      </c>
      <c r="B45" s="8">
        <f>IF($A45=B$1,0,IF(SUM(IMshareM!B$2:B$78)-IMshareM!B$2&gt;0,IMshareM!B45/(SUM(IMshareM!B$2:B$78)-IMshareM!B$2),0))</f>
        <v>6.9788258566528109E-5</v>
      </c>
      <c r="C45" s="8">
        <f>IF($A45=C$1,0,IF(SUM(IMshareM!C$2:C$78)-IMshareM!C$3&gt;0,IMshareM!C45/(SUM(IMshareM!C$2:C$78)-IMshareM!C$3),0))</f>
        <v>2.70408131500614E-5</v>
      </c>
      <c r="D45" s="8">
        <f>IF($A45=D$1,0,IF(SUM(IMshareM!D$2:D$78)-IMshareM!D$4&gt;0,IMshareM!D45/(SUM(IMshareM!D$2:D$78)-IMshareM!D$4),0))</f>
        <v>8.3523077248633508E-5</v>
      </c>
      <c r="E45" s="8">
        <f>IF($A45=E$1,0,IF(SUM(IMshareM!E$2:E$78)-IMshareM!E$5&gt;0,IMshareM!E45/(SUM(IMshareM!E$2:E$78)-IMshareM!E$5),0))</f>
        <v>1.4121659787892221E-5</v>
      </c>
      <c r="F45" s="8">
        <f>IF($A45=F$1,0,IF(SUM(IMshareM!F$2:F$78)-IMshareM!F$6&gt;0,IMshareM!F45/(SUM(IMshareM!F$2:F$78)-IMshareM!F$6),0))</f>
        <v>0</v>
      </c>
      <c r="G45" s="8">
        <f>IF($A45=G$1,0,IF(SUM(IMshareM!G$2:G$78)-IMshareM!G$7&gt;0,IMshareM!G45/(SUM(IMshareM!G$2:G$78)-IMshareM!G$7),0))</f>
        <v>2.8011763068371243E-5</v>
      </c>
      <c r="H45" s="8">
        <f>IF($A45=H$1,0,IF(SUM(IMshareM!H$2:H$78)-IMshareM!H$8&gt;0,IMshareM!H45/(SUM(IMshareM!H$2:H$78)-IMshareM!H$8),0))</f>
        <v>3.1172251665412126E-2</v>
      </c>
      <c r="I45" s="8">
        <f>IF($A45=I$1,0,IF(SUM(IMshareM!I$2:I$78)-IMshareM!I$9&gt;0,IMshareM!I45/(SUM(IMshareM!I$2:I$78)-IMshareM!I$9),0))</f>
        <v>1.220092995973878E-5</v>
      </c>
      <c r="J45" s="8">
        <f>IF($A45=J$1,0,IF(SUM(IMshareM!J$2:J$78)-IMshareM!J$10&gt;0,IMshareM!J45/(SUM(IMshareM!J$2:J$78)-IMshareM!J$10),0))</f>
        <v>0</v>
      </c>
      <c r="K45" s="8">
        <f>IF($A45=K$1,0,IF(SUM(IMshareM!K$2:K$78)-IMshareM!K$11&gt;0,IMshareM!K45/(SUM(IMshareM!K$2:K$78)-IMshareM!K$11),0))</f>
        <v>1.741432762073037E-5</v>
      </c>
      <c r="L45" s="8">
        <f>IF($A45=L$1,0,IF(SUM(IMshareM!L$2:L$78)-IMshareM!L$12&gt;0,IMshareM!L45/(SUM(IMshareM!L$2:L$78)-IMshareM!L$12),0))</f>
        <v>1.2204698781268102E-4</v>
      </c>
      <c r="M45" s="8">
        <f>IF($A45=M$1,0,IF(SUM(IMshareM!M$2:M$78)-IMshareM!M$13&gt;0,IMshareM!M45/(SUM(IMshareM!M$2:M$78)-IMshareM!M$13),0))</f>
        <v>4.5718056407904436E-8</v>
      </c>
      <c r="N45" s="8">
        <f>IF($A45=N$1,0,IF(SUM(IMshareM!N$2:N$78)-IMshareM!N$14&gt;0,IMshareM!N45/(SUM(IMshareM!N$2:N$78)-IMshareM!N$14),0))</f>
        <v>5.1589052736051506E-6</v>
      </c>
      <c r="O45" s="8">
        <f>IF($A45=O$1,0,IF(SUM(IMshareM!O$2:O$78)-IMshareM!O$15&gt;0,IMshareM!O45/(SUM(IMshareM!O$2:O$78)-IMshareM!O$15),0))</f>
        <v>6.160511332817561E-5</v>
      </c>
      <c r="P45" s="8">
        <f>IF($A45=P$1,0,IF(SUM(IMshareM!P$2:P$78)-IMshareM!P$16&gt;0,IMshareM!P45/(SUM(IMshareM!P$2:P$78)-IMshareM!P$16),0))</f>
        <v>0</v>
      </c>
      <c r="Q45" s="8">
        <f>IF($A45=Q$1,0,IF(SUM(IMshareM!Q$2:Q$78)-IMshareM!Q$17&gt;0,IMshareM!Q45/(SUM(IMshareM!Q$2:Q$78)-IMshareM!Q$17),0))</f>
        <v>0</v>
      </c>
      <c r="R45" s="8">
        <f>IF($A45=R$1,0,IF(SUM(IMshareM!R$2:R$78)-IMshareM!R$18&gt;0,IMshareM!R45/(SUM(IMshareM!R$2:R$78)-IMshareM!R$18),0))</f>
        <v>0</v>
      </c>
      <c r="S45" s="8">
        <f>IF($A45=S$1,0,IF(SUM(IMshareM!S$2:S$78)-IMshareM!S$19&gt;0,IMshareM!S45/(SUM(IMshareM!S$2:S$78)-IMshareM!S$19),0))</f>
        <v>1.1963981340548706E-5</v>
      </c>
      <c r="T45" s="8">
        <f>IF($A45=T$1,0,IF(SUM(IMshareM!T$2:T$78)-IMshareM!T$20&gt;0,IMshareM!T45/(SUM(IMshareM!T$2:T$78)-IMshareM!T$20),0))</f>
        <v>1.1229253181079573E-4</v>
      </c>
      <c r="U45" s="8">
        <f>IF($A45=U$1,0,IF(SUM(IMshareM!U$2:U$78)-IMshareM!U$21&gt;0,IMshareM!U45/(SUM(IMshareM!U$2:U$78)-IMshareM!U$21),0))</f>
        <v>2.0364605704807764E-4</v>
      </c>
      <c r="V45" s="8">
        <f>IF($A45=V$1,0,IF(SUM(IMshareM!V$2:V$78)-IMshareM!V$22&gt;0,IMshareM!V45/(SUM(IMshareM!V$2:V$78)-IMshareM!V$22),0))</f>
        <v>7.8802141620258257E-4</v>
      </c>
      <c r="W45" s="8">
        <f>IF($A45=W$1,0,IF(SUM(IMshareM!W$2:W$78)-IMshareM!W$23&gt;0,IMshareM!W45/(SUM(IMshareM!W$2:W$78)-IMshareM!W$23),0))</f>
        <v>1.4047667805626451E-5</v>
      </c>
      <c r="X45" s="8">
        <f>IF($A45=X$1,0,IF(SUM(IMshareM!X$2:X$78)-IMshareM!X$24&gt;0,IMshareM!X45/(SUM(IMshareM!X$2:X$78)-IMshareM!X$24),0))</f>
        <v>8.9317515780861806E-6</v>
      </c>
      <c r="Y45" s="8">
        <f>IF($A45=Y$1,0,IF(SUM(IMshareM!Y$2:Y$78)-IMshareM!Y$25&gt;0,IMshareM!Y45/(SUM(IMshareM!Y$2:Y$78)-IMshareM!Y$25),0))</f>
        <v>6.4181736156031788E-3</v>
      </c>
      <c r="Z45" s="8">
        <f>IF($A45=Z$1,0,IF(SUM(IMshareM!Z$2:Z$78)-IMshareM!Z$26&gt;0,IMshareM!Z45/(SUM(IMshareM!Z$2:Z$78)-IMshareM!Z$26),0))</f>
        <v>1.1003785603386338E-5</v>
      </c>
      <c r="AA45" s="8">
        <f>IF($A45=AA$1,0,IF(SUM(IMshareM!AA$2:AA$78)-IMshareM!AA$27&gt;0,IMshareM!AA45/(SUM(IMshareM!AA$2:AA$78)-IMshareM!AA$27),0))</f>
        <v>4.4861360395505447E-5</v>
      </c>
      <c r="AB45" s="8">
        <f>IF($A45=AB$1,0,IF(SUM(IMshareM!AB$2:AB$78)-IMshareM!AB$28&gt;0,IMshareM!AB45/(SUM(IMshareM!AB$2:AB$78)-IMshareM!AB$28),0))</f>
        <v>1.2719958085800121E-3</v>
      </c>
      <c r="AC45" s="8">
        <f>IF($A45=AC$1,0,IF(SUM(IMshareM!AC$2:AC$78)-IMshareM!AC$29&gt;0,IMshareM!AC45/(SUM(IMshareM!AC$2:AC$78)-IMshareM!AC$29),0))</f>
        <v>1.4978659808007424E-4</v>
      </c>
      <c r="AD45" s="8">
        <f>IF($A45=AD$1,0,IF(SUM(IMshareM!AD$2:AD$78)-IMshareM!AD$30&gt;0,IMshareM!AD45/(SUM(IMshareM!AD$2:AD$78)-IMshareM!AD$30),0))</f>
        <v>2.6120778695174108E-4</v>
      </c>
      <c r="AE45" s="8">
        <f>IF($A45=AE$1,0,IF(SUM(IMshareM!AE$2:AE$78)-IMshareM!AE$31&gt;0,IMshareM!AE45/(SUM(IMshareM!AE$2:AE$78)-IMshareM!AE$31),0))</f>
        <v>1.085140879252983E-3</v>
      </c>
      <c r="AF45" s="8">
        <f>IF($A45=AF$1,0,IF(SUM(IMshareM!AF$2:AF$78)-IMshareM!AF$32&gt;0,IMshareM!AF45/(SUM(IMshareM!AF$2:AF$78)-IMshareM!AF$32),0))</f>
        <v>2.2460500011682783E-4</v>
      </c>
      <c r="AG45" s="8">
        <f>IF($A45=AG$1,0,IF(SUM(IMshareM!AG$2:AG$78)-IMshareM!AG$33&gt;0,IMshareM!AG45/(SUM(IMshareM!AG$2:AG$78)-IMshareM!AG$33),0))</f>
        <v>2.2222635606652005E-7</v>
      </c>
      <c r="AH45" s="8">
        <f>IF($A45=AH$1,0,IF(SUM(IMshareM!AH$2:AH$78)-IMshareM!AH$34&gt;0,IMshareM!AH45/(SUM(IMshareM!AH$2:AH$78)-IMshareM!AH$34),0))</f>
        <v>3.7169425992312501E-6</v>
      </c>
      <c r="AI45" s="8">
        <f>IF($A45=AI$1,0,IF(SUM(IMshareM!AI$2:AI$78)-IMshareM!AI$35&gt;0,IMshareM!AI45/(SUM(IMshareM!AI$2:AI$78)-IMshareM!AI$35),0))</f>
        <v>1.9541138567880502E-5</v>
      </c>
      <c r="AJ45" s="8">
        <f>IF($A45=AJ$1,0,IF(SUM(IMshareM!AJ$2:AJ$78)-IMshareM!AJ$36&gt;0,IMshareM!AJ45/(SUM(IMshareM!AJ$2:AJ$78)-IMshareM!AJ$36),0))</f>
        <v>1.2320291594701792E-3</v>
      </c>
      <c r="AK45" s="8">
        <f>IF($A45=AK$1,0,IF(SUM(IMshareM!AK$2:AK$78)-IMshareM!AK$37&gt;0,IMshareM!AK45/(SUM(IMshareM!AK$2:AK$78)-IMshareM!AK$37),0))</f>
        <v>3.3714310642699968E-5</v>
      </c>
      <c r="AL45" s="8">
        <f>IF($A45=AL$1,0,IF(SUM(IMshareM!AL$2:AL$78)-IMshareM!AL$38&gt;0,IMshareM!AL45/(SUM(IMshareM!AL$2:AL$78)-IMshareM!AL$38),0))</f>
        <v>8.7727579060815908E-5</v>
      </c>
      <c r="AM45" s="8">
        <f>IF($A45=AM$1,0,IF(SUM(IMshareM!AM$2:AM$78)-IMshareM!AM$39&gt;0,IMshareM!AM45/(SUM(IMshareM!AM$2:AM$78)-IMshareM!AM$39),0))</f>
        <v>0</v>
      </c>
      <c r="AN45" s="8">
        <f>IF($A45=AN$1,0,IF(SUM(IMshareM!AN$2:AN$78)-IMshareM!AN$40&gt;0,IMshareM!AN45/(SUM(IMshareM!AN$2:AN$78)-IMshareM!AN$40),0))</f>
        <v>1.0869996615949738E-5</v>
      </c>
      <c r="AO45" s="8">
        <f>IF($A45=AO$1,0,IF(SUM(IMshareM!AO$2:AO$78)-IMshareM!AO$41&gt;0,IMshareM!AO45/(SUM(IMshareM!AO$2:AO$78)-IMshareM!AO$41),0))</f>
        <v>2.5294504486023581E-2</v>
      </c>
      <c r="AP45" s="8">
        <f>IF($A45=AP$1,0,IF(SUM(IMshareM!AP$2:AP$78)-IMshareM!AP$42&gt;0,IMshareM!AP45/(SUM(IMshareM!AP$2:AP$78)-IMshareM!AP$42),0))</f>
        <v>0</v>
      </c>
      <c r="AQ45" s="8">
        <f>IF($A45=AQ$1,0,IF(SUM(IMshareM!AQ$2:AQ$78)-IMshareM!AQ$43&gt;0,IMshareM!AQ45/(SUM(IMshareM!AQ$2:AQ$78)-IMshareM!AQ$43),0))</f>
        <v>3.0658965945145302E-7</v>
      </c>
      <c r="AR45" s="8">
        <f>IF($A45=AR$1,0,IF(SUM(IMshareM!AR$2:AR$78)-IMshareM!AR$44&gt;0,IMshareM!AR45/(SUM(IMshareM!AR$2:AR$78)-IMshareM!AR$44),0))</f>
        <v>0</v>
      </c>
      <c r="AS45" s="8">
        <f>IF($A45=AS$1,0,IF(SUM(IMshareM!AS$2:AS$78)-IMshareM!AS$45&gt;0,IMshareM!AS45/(SUM(IMshareM!AS$2:AS$78)-IMshareM!AS$45),0))</f>
        <v>0</v>
      </c>
      <c r="AT45" s="8">
        <f>IF($A45=AT$1,0,IF(SUM(IMshareM!AT$2:AT$78)-IMshareM!AT$46&gt;0,IMshareM!AT45/(SUM(IMshareM!AT$2:AT$78)-IMshareM!AT$46),0))</f>
        <v>6.9346200991068496E-6</v>
      </c>
      <c r="AU45" s="8">
        <f>IF($A45=AU$1,0,IF(SUM(IMshareM!AU$2:AU$78)-IMshareM!AU$47&gt;0,IMshareM!AU45/(SUM(IMshareM!AU$2:AU$78)-IMshareM!AU$47),0))</f>
        <v>0.1134179893478959</v>
      </c>
      <c r="AV45" s="8">
        <f>IF($A45=AV$1,0,IF(SUM(IMshareM!AV$2:AV$78)-IMshareM!AV$48&gt;0,IMshareM!AV45/(SUM(IMshareM!AV$2:AV$78)-IMshareM!AV$48),0))</f>
        <v>0</v>
      </c>
      <c r="AW45" s="8">
        <f>IF($A45=AW$1,0,IF(SUM(IMshareM!AW$2:AW$78)-IMshareM!AW$49&gt;0,IMshareM!AW45/(SUM(IMshareM!AW$2:AW$78)-IMshareM!AW$49),0))</f>
        <v>0</v>
      </c>
      <c r="AX45" s="8">
        <f>IF($A45=AX$1,0,IF(SUM(IMshareM!AX$2:AX$78)-IMshareM!AX$50&gt;0,IMshareM!AX45/(SUM(IMshareM!AX$2:AX$78)-IMshareM!AX$50),0))</f>
        <v>8.410644654816357E-5</v>
      </c>
      <c r="AY45" s="8">
        <f>IF($A45=AY$1,0,IF(SUM(IMshareM!AY$2:AY$78)-IMshareM!AY$51&gt;0,IMshareM!AY45/(SUM(IMshareM!AY$2:AY$78)-IMshareM!AY$51),0))</f>
        <v>0</v>
      </c>
      <c r="AZ45" s="8">
        <f>IF($A45=AZ$1,0,IF(SUM(IMshareM!AZ$2:AZ$78)-IMshareM!AZ$52&gt;0,IMshareM!AZ45/(SUM(IMshareM!AZ$2:AZ$78)-IMshareM!AZ$52),0))</f>
        <v>7.6702539197027818E-6</v>
      </c>
      <c r="BA45" s="8">
        <f>IF($A45=BA$1,0,IF(SUM(IMshareM!BA$2:BA$78)-IMshareM!BA$53&gt;0,IMshareM!BA45/(SUM(IMshareM!BA$2:BA$78)-IMshareM!BA$53),0))</f>
        <v>3.5708593692589428E-4</v>
      </c>
      <c r="BB45" s="8">
        <f>IF($A45=BB$1,0,IF(SUM(IMshareM!BB$2:BB$78)-IMshareM!BB$54&gt;0,IMshareM!BB45/(SUM(IMshareM!BB$2:BB$78)-IMshareM!BB$54),0))</f>
        <v>2.2101070706673281E-3</v>
      </c>
      <c r="BC45" s="8">
        <f>IF($A45=BC$1,0,IF(SUM(IMshareM!BC$2:BC$78)-IMshareM!BC$55&gt;0,IMshareM!BC45/(SUM(IMshareM!BC$2:BC$78)-IMshareM!BC$55),0))</f>
        <v>2.217142767683051E-4</v>
      </c>
      <c r="BD45" s="8">
        <f>IF($A45=BD$1,0,IF(SUM(IMshareM!BD$2:BD$78)-IMshareM!BD$56&gt;0,IMshareM!BD45/(SUM(IMshareM!BD$2:BD$78)-IMshareM!BD$56),0))</f>
        <v>1.5265737907421526E-3</v>
      </c>
      <c r="BE45" s="8">
        <f>IF($A45=BE$1,0,IF(SUM(IMshareM!BE$2:BE$78)-IMshareM!BE$57&gt;0,IMshareM!BE45/(SUM(IMshareM!BE$2:BE$78)-IMshareM!BE$57),0))</f>
        <v>2.4918094444479998E-4</v>
      </c>
      <c r="BF45" s="8">
        <f>IF($A45=BF$1,0,IF(SUM(IMshareM!BF$2:BF$78)-IMshareM!BF$58&gt;0,IMshareM!BF45/(SUM(IMshareM!BF$2:BF$78)-IMshareM!BF$58),0))</f>
        <v>7.4320980231635926E-5</v>
      </c>
      <c r="BG45" s="8">
        <f>IF($A45=BG$1,0,IF(SUM(IMshareM!BG$2:BG$78)-IMshareM!BG$59&gt;0,IMshareM!BG45/(SUM(IMshareM!BG$2:BG$78)-IMshareM!BG$59),0))</f>
        <v>0</v>
      </c>
      <c r="BH45" s="8">
        <f>IF($A45=BH$1,0,IF(SUM(IMshareM!BH$2:BH$78)-IMshareM!BH$60&gt;0,IMshareM!BH45/(SUM(IMshareM!BH$2:BH$78)-IMshareM!BH$60),0))</f>
        <v>8.8460103474622795E-5</v>
      </c>
      <c r="BI45" s="8">
        <f>IF($A45=BI$1,0,IF(SUM(IMshareM!BI$2:BI$78)-IMshareM!BI$61&gt;0,IMshareM!BI45/(SUM(IMshareM!BI$2:BI$78)-IMshareM!BI$61),0))</f>
        <v>5.9520188630113217E-5</v>
      </c>
      <c r="BJ45" s="8">
        <f>IF($A45=BJ$1,0,IF(SUM(IMshareM!BJ$2:BJ$78)-IMshareM!BJ$62&gt;0,IMshareM!BJ45/(SUM(IMshareM!BJ$2:BJ$78)-IMshareM!BJ$62),0))</f>
        <v>1.5806388356774323E-4</v>
      </c>
      <c r="BK45" s="8">
        <f>IF($A45=BK$1,0,IF(SUM(IMshareM!BK$2:BK$78)-IMshareM!BK$63&gt;0,IMshareM!BK45/(SUM(IMshareM!BK$2:BK$78)-IMshareM!BK$63),0))</f>
        <v>9.0631020893172723E-3</v>
      </c>
      <c r="BL45" s="8">
        <f>IF($A45=BL$1,0,IF(SUM(IMshareM!BL$2:BL$78)-IMshareM!BL$64&gt;0,IMshareM!BL45/(SUM(IMshareM!BL$2:BL$78)-IMshareM!BL$64),0))</f>
        <v>0</v>
      </c>
      <c r="BM45" s="8">
        <f>IF($A45=BM$1,0,IF(SUM(IMshareM!BM$2:BM$78)-IMshareM!BM$65&gt;0,IMshareM!BM45/(SUM(IMshareM!BM$2:BM$78)-IMshareM!BM$65),0))</f>
        <v>0</v>
      </c>
      <c r="BN45" s="8">
        <f>IF($A45=BN$1,0,IF(SUM(IMshareM!BN$2:BN$78)-IMshareM!BN$66&gt;0,IMshareM!BN45/(SUM(IMshareM!BN$2:BN$78)-IMshareM!BN$66),0))</f>
        <v>2.4356541270717288E-6</v>
      </c>
      <c r="BO45" s="8">
        <f>IF($A45=BO$1,0,IF(SUM(IMshareM!BO$2:BO$78)-IMshareM!BO$67&gt;0,IMshareM!BO45/(SUM(IMshareM!BO$2:BO$78)-IMshareM!BO$67),0))</f>
        <v>4.976730764722069E-3</v>
      </c>
      <c r="BP45" s="8">
        <f>IF($A45=BP$1,0,IF(SUM(IMshareM!BP$2:BP$78)-IMshareM!BP$68&gt;0,IMshareM!BP45/(SUM(IMshareM!BP$2:BP$78)-IMshareM!BP$68),0))</f>
        <v>5.4636579902068657E-4</v>
      </c>
      <c r="BQ45" s="8">
        <f>IF($A45=BQ$1,0,IF(SUM(IMshareM!BQ$2:BQ$78)-IMshareM!BQ$69&gt;0,IMshareM!BQ45/(SUM(IMshareM!BQ$2:BQ$78)-IMshareM!BQ$69),0))</f>
        <v>2.99327138902646E-3</v>
      </c>
      <c r="BR45" s="8">
        <f>IF($A45=BR$1,0,IF(SUM(IMshareM!BR$2:BR$78)-IMshareM!BR$70&gt;0,IMshareM!BR45/(SUM(IMshareM!BR$2:BR$78)-IMshareM!BR$70),0))</f>
        <v>5.4571828128646825E-6</v>
      </c>
      <c r="BS45" s="8">
        <f>IF($A45=BS$1,0,IF(SUM(IMshareM!BS$2:BS$78)-IMshareM!BS$71&gt;0,IMshareM!BS45/(SUM(IMshareM!BS$2:BS$78)-IMshareM!BS$71),0))</f>
        <v>0</v>
      </c>
      <c r="BT45" s="8">
        <f>IF($A45=BT$1,0,IF(SUM(IMshareM!BT$2:BT$78)-IMshareM!BT$72&gt;0,IMshareM!BT45/(SUM(IMshareM!BT$2:BT$78)-IMshareM!BT$72),0))</f>
        <v>4.0456018589153573E-5</v>
      </c>
      <c r="BU45" s="8">
        <f>IF($A45=BU$1,0,IF(SUM(IMshareM!BU$2:BU$78)-IMshareM!BU$73&gt;0,IMshareM!BU45/(SUM(IMshareM!BU$2:BU$78)-IMshareM!BU$73),0))</f>
        <v>6.835291082967738E-7</v>
      </c>
      <c r="BV45" s="8">
        <f>IF($A45=BV$1,0,IF(SUM(IMshareM!BV$2:BV$78)-IMshareM!BV$74&gt;0,IMshareM!BV45/(SUM(IMshareM!BV$2:BV$78)-IMshareM!BV$74),0))</f>
        <v>6.3051236254379052E-4</v>
      </c>
      <c r="BW45" s="8">
        <f>IF($A45=BW$1,0,IF(SUM(IMshareM!BW$2:BW$78)-IMshareM!BW$75&gt;0,IMshareM!BW45/(SUM(IMshareM!BW$2:BW$78)-IMshareM!BW$75),0))</f>
        <v>2.5396213590829267E-5</v>
      </c>
      <c r="BX45" s="8">
        <f>IF($A45=BX$1,0,IF(SUM(IMshareM!BX$2:BX$78)-IMshareM!BX$76&gt;0,IMshareM!BX45/(SUM(IMshareM!BX$2:BX$78)-IMshareM!BX$76),0))</f>
        <v>9.2720588751398145E-5</v>
      </c>
      <c r="BY45" s="8">
        <f>IF($A45=BY$1,0,IF(SUM(IMshareM!BY$2:BY$78)-IMshareM!BY$77&gt;0,IMshareM!BY45/(SUM(IMshareM!BY$2:BY$78)-IMshareM!BY$77),0))</f>
        <v>3.0470543485066458E-5</v>
      </c>
      <c r="BZ45" s="8">
        <f>IF($A45=BZ$1,0,IF(SUM(IMshareM!BZ$2:BZ$78)-IMshareM!BZ$78&gt;0,IMshareM!BZ45/(SUM(IMshareM!BZ$2:BZ$78)-IMshareM!BZ$78),0))</f>
        <v>2.8245808033615534E-4</v>
      </c>
    </row>
    <row r="46" spans="1:78">
      <c r="A46" s="4" t="s">
        <v>159</v>
      </c>
      <c r="B46" s="8">
        <f>IF($A46=B$1,0,IF(SUM(IMshareM!B$2:B$78)-IMshareM!B$2&gt;0,IMshareM!B46/(SUM(IMshareM!B$2:B$78)-IMshareM!B$2),0))</f>
        <v>2.2761225951152631E-4</v>
      </c>
      <c r="C46" s="8">
        <f>IF($A46=C$1,0,IF(SUM(IMshareM!C$2:C$78)-IMshareM!C$3&gt;0,IMshareM!C46/(SUM(IMshareM!C$2:C$78)-IMshareM!C$3),0))</f>
        <v>1.620769487099934E-6</v>
      </c>
      <c r="D46" s="8">
        <f>IF($A46=D$1,0,IF(SUM(IMshareM!D$2:D$78)-IMshareM!D$4&gt;0,IMshareM!D46/(SUM(IMshareM!D$2:D$78)-IMshareM!D$4),0))</f>
        <v>1.438557519989596E-6</v>
      </c>
      <c r="E46" s="8">
        <f>IF($A46=E$1,0,IF(SUM(IMshareM!E$2:E$78)-IMshareM!E$5&gt;0,IMshareM!E46/(SUM(IMshareM!E$2:E$78)-IMshareM!E$5),0))</f>
        <v>1.1070928274826111E-3</v>
      </c>
      <c r="F46" s="8">
        <f>IF($A46=F$1,0,IF(SUM(IMshareM!F$2:F$78)-IMshareM!F$6&gt;0,IMshareM!F46/(SUM(IMshareM!F$2:F$78)-IMshareM!F$6),0))</f>
        <v>1.3784672244651416E-4</v>
      </c>
      <c r="G46" s="8">
        <f>IF($A46=G$1,0,IF(SUM(IMshareM!G$2:G$78)-IMshareM!G$7&gt;0,IMshareM!G46/(SUM(IMshareM!G$2:G$78)-IMshareM!G$7),0))</f>
        <v>7.1376203059891365E-4</v>
      </c>
      <c r="H46" s="8">
        <f>IF($A46=H$1,0,IF(SUM(IMshareM!H$2:H$78)-IMshareM!H$8&gt;0,IMshareM!H46/(SUM(IMshareM!H$2:H$78)-IMshareM!H$8),0))</f>
        <v>0</v>
      </c>
      <c r="I46" s="8">
        <f>IF($A46=I$1,0,IF(SUM(IMshareM!I$2:I$78)-IMshareM!I$9&gt;0,IMshareM!I46/(SUM(IMshareM!I$2:I$78)-IMshareM!I$9),0))</f>
        <v>6.5233210521256093E-4</v>
      </c>
      <c r="J46" s="8">
        <f>IF($A46=J$1,0,IF(SUM(IMshareM!J$2:J$78)-IMshareM!J$10&gt;0,IMshareM!J46/(SUM(IMshareM!J$2:J$78)-IMshareM!J$10),0))</f>
        <v>0</v>
      </c>
      <c r="K46" s="8">
        <f>IF($A46=K$1,0,IF(SUM(IMshareM!K$2:K$78)-IMshareM!K$11&gt;0,IMshareM!K46/(SUM(IMshareM!K$2:K$78)-IMshareM!K$11),0))</f>
        <v>1.8470113466667029E-5</v>
      </c>
      <c r="L46" s="8">
        <f>IF($A46=L$1,0,IF(SUM(IMshareM!L$2:L$78)-IMshareM!L$12&gt;0,IMshareM!L46/(SUM(IMshareM!L$2:L$78)-IMshareM!L$12),0))</f>
        <v>1.0226134017426122E-3</v>
      </c>
      <c r="M46" s="8">
        <f>IF($A46=M$1,0,IF(SUM(IMshareM!M$2:M$78)-IMshareM!M$13&gt;0,IMshareM!M46/(SUM(IMshareM!M$2:M$78)-IMshareM!M$13),0))</f>
        <v>2.4445875944085383E-5</v>
      </c>
      <c r="N46" s="8">
        <f>IF($A46=N$1,0,IF(SUM(IMshareM!N$2:N$78)-IMshareM!N$14&gt;0,IMshareM!N46/(SUM(IMshareM!N$2:N$78)-IMshareM!N$14),0))</f>
        <v>6.5360451022437482E-6</v>
      </c>
      <c r="O46" s="8">
        <f>IF($A46=O$1,0,IF(SUM(IMshareM!O$2:O$78)-IMshareM!O$15&gt;0,IMshareM!O46/(SUM(IMshareM!O$2:O$78)-IMshareM!O$15),0))</f>
        <v>4.6109857609740482E-4</v>
      </c>
      <c r="P46" s="8">
        <f>IF($A46=P$1,0,IF(SUM(IMshareM!P$2:P$78)-IMshareM!P$16&gt;0,IMshareM!P46/(SUM(IMshareM!P$2:P$78)-IMshareM!P$16),0))</f>
        <v>9.3776320650394197E-4</v>
      </c>
      <c r="Q46" s="8">
        <f>IF($A46=Q$1,0,IF(SUM(IMshareM!Q$2:Q$78)-IMshareM!Q$17&gt;0,IMshareM!Q46/(SUM(IMshareM!Q$2:Q$78)-IMshareM!Q$17),0))</f>
        <v>4.1710625763939781E-4</v>
      </c>
      <c r="R46" s="8">
        <f>IF($A46=R$1,0,IF(SUM(IMshareM!R$2:R$78)-IMshareM!R$18&gt;0,IMshareM!R46/(SUM(IMshareM!R$2:R$78)-IMshareM!R$18),0))</f>
        <v>0</v>
      </c>
      <c r="S46" s="8">
        <f>IF($A46=S$1,0,IF(SUM(IMshareM!S$2:S$78)-IMshareM!S$19&gt;0,IMshareM!S46/(SUM(IMshareM!S$2:S$78)-IMshareM!S$19),0))</f>
        <v>1.3074101517362478E-4</v>
      </c>
      <c r="T46" s="8">
        <f>IF($A46=T$1,0,IF(SUM(IMshareM!T$2:T$78)-IMshareM!T$20&gt;0,IMshareM!T46/(SUM(IMshareM!T$2:T$78)-IMshareM!T$20),0))</f>
        <v>1.2510857933854573E-5</v>
      </c>
      <c r="U46" s="8">
        <f>IF($A46=U$1,0,IF(SUM(IMshareM!U$2:U$78)-IMshareM!U$21&gt;0,IMshareM!U46/(SUM(IMshareM!U$2:U$78)-IMshareM!U$21),0))</f>
        <v>3.0716644068934154E-5</v>
      </c>
      <c r="V46" s="8">
        <f>IF($A46=V$1,0,IF(SUM(IMshareM!V$2:V$78)-IMshareM!V$22&gt;0,IMshareM!V46/(SUM(IMshareM!V$2:V$78)-IMshareM!V$22),0))</f>
        <v>4.0883362822268898E-4</v>
      </c>
      <c r="W46" s="8">
        <f>IF($A46=W$1,0,IF(SUM(IMshareM!W$2:W$78)-IMshareM!W$23&gt;0,IMshareM!W46/(SUM(IMshareM!W$2:W$78)-IMshareM!W$23),0))</f>
        <v>3.5846287984737981E-5</v>
      </c>
      <c r="X46" s="8">
        <f>IF($A46=X$1,0,IF(SUM(IMshareM!X$2:X$78)-IMshareM!X$24&gt;0,IMshareM!X46/(SUM(IMshareM!X$2:X$78)-IMshareM!X$24),0))</f>
        <v>8.0767888430625421E-5</v>
      </c>
      <c r="Y46" s="8">
        <f>IF($A46=Y$1,0,IF(SUM(IMshareM!Y$2:Y$78)-IMshareM!Y$25&gt;0,IMshareM!Y46/(SUM(IMshareM!Y$2:Y$78)-IMshareM!Y$25),0))</f>
        <v>2.0325910472468555E-6</v>
      </c>
      <c r="Z46" s="8">
        <f>IF($A46=Z$1,0,IF(SUM(IMshareM!Z$2:Z$78)-IMshareM!Z$26&gt;0,IMshareM!Z46/(SUM(IMshareM!Z$2:Z$78)-IMshareM!Z$26),0))</f>
        <v>2.7599312997030615E-4</v>
      </c>
      <c r="AA46" s="8">
        <f>IF($A46=AA$1,0,IF(SUM(IMshareM!AA$2:AA$78)-IMshareM!AA$27&gt;0,IMshareM!AA46/(SUM(IMshareM!AA$2:AA$78)-IMshareM!AA$27),0))</f>
        <v>1.0751802450145965E-3</v>
      </c>
      <c r="AB46" s="8">
        <f>IF($A46=AB$1,0,IF(SUM(IMshareM!AB$2:AB$78)-IMshareM!AB$28&gt;0,IMshareM!AB46/(SUM(IMshareM!AB$2:AB$78)-IMshareM!AB$28),0))</f>
        <v>1.1404991792473381E-4</v>
      </c>
      <c r="AC46" s="8">
        <f>IF($A46=AC$1,0,IF(SUM(IMshareM!AC$2:AC$78)-IMshareM!AC$29&gt;0,IMshareM!AC46/(SUM(IMshareM!AC$2:AC$78)-IMshareM!AC$29),0))</f>
        <v>2.2614912792231538E-4</v>
      </c>
      <c r="AD46" s="8">
        <f>IF($A46=AD$1,0,IF(SUM(IMshareM!AD$2:AD$78)-IMshareM!AD$30&gt;0,IMshareM!AD46/(SUM(IMshareM!AD$2:AD$78)-IMshareM!AD$30),0))</f>
        <v>0</v>
      </c>
      <c r="AE46" s="8">
        <f>IF($A46=AE$1,0,IF(SUM(IMshareM!AE$2:AE$78)-IMshareM!AE$31&gt;0,IMshareM!AE46/(SUM(IMshareM!AE$2:AE$78)-IMshareM!AE$31),0))</f>
        <v>9.9965357671314369E-4</v>
      </c>
      <c r="AF46" s="8">
        <f>IF($A46=AF$1,0,IF(SUM(IMshareM!AF$2:AF$78)-IMshareM!AF$32&gt;0,IMshareM!AF46/(SUM(IMshareM!AF$2:AF$78)-IMshareM!AF$32),0))</f>
        <v>5.3032035600667925E-4</v>
      </c>
      <c r="AG46" s="8">
        <f>IF($A46=AG$1,0,IF(SUM(IMshareM!AG$2:AG$78)-IMshareM!AG$33&gt;0,IMshareM!AG46/(SUM(IMshareM!AG$2:AG$78)-IMshareM!AG$33),0))</f>
        <v>3.0153539980765137E-5</v>
      </c>
      <c r="AH46" s="8">
        <f>IF($A46=AH$1,0,IF(SUM(IMshareM!AH$2:AH$78)-IMshareM!AH$34&gt;0,IMshareM!AH46/(SUM(IMshareM!AH$2:AH$78)-IMshareM!AH$34),0))</f>
        <v>2.238357582073247E-4</v>
      </c>
      <c r="AI46" s="8">
        <f>IF($A46=AI$1,0,IF(SUM(IMshareM!AI$2:AI$78)-IMshareM!AI$35&gt;0,IMshareM!AI46/(SUM(IMshareM!AI$2:AI$78)-IMshareM!AI$35),0))</f>
        <v>2.5090294271845804E-4</v>
      </c>
      <c r="AJ46" s="8">
        <f>IF($A46=AJ$1,0,IF(SUM(IMshareM!AJ$2:AJ$78)-IMshareM!AJ$36&gt;0,IMshareM!AJ46/(SUM(IMshareM!AJ$2:AJ$78)-IMshareM!AJ$36),0))</f>
        <v>1.3029637325238581E-3</v>
      </c>
      <c r="AK46" s="8">
        <f>IF($A46=AK$1,0,IF(SUM(IMshareM!AK$2:AK$78)-IMshareM!AK$37&gt;0,IMshareM!AK46/(SUM(IMshareM!AK$2:AK$78)-IMshareM!AK$37),0))</f>
        <v>4.8464321548881206E-4</v>
      </c>
      <c r="AL46" s="8">
        <f>IF($A46=AL$1,0,IF(SUM(IMshareM!AL$2:AL$78)-IMshareM!AL$38&gt;0,IMshareM!AL46/(SUM(IMshareM!AL$2:AL$78)-IMshareM!AL$38),0))</f>
        <v>1.0732889534807793E-3</v>
      </c>
      <c r="AM46" s="8">
        <f>IF($A46=AM$1,0,IF(SUM(IMshareM!AM$2:AM$78)-IMshareM!AM$39&gt;0,IMshareM!AM46/(SUM(IMshareM!AM$2:AM$78)-IMshareM!AM$39),0))</f>
        <v>0</v>
      </c>
      <c r="AN46" s="8">
        <f>IF($A46=AN$1,0,IF(SUM(IMshareM!AN$2:AN$78)-IMshareM!AN$40&gt;0,IMshareM!AN46/(SUM(IMshareM!AN$2:AN$78)-IMshareM!AN$40),0))</f>
        <v>9.7208404486365609E-7</v>
      </c>
      <c r="AO46" s="8">
        <f>IF($A46=AO$1,0,IF(SUM(IMshareM!AO$2:AO$78)-IMshareM!AO$41&gt;0,IMshareM!AO46/(SUM(IMshareM!AO$2:AO$78)-IMshareM!AO$41),0))</f>
        <v>3.0652429197184424E-4</v>
      </c>
      <c r="AP46" s="8">
        <f>IF($A46=AP$1,0,IF(SUM(IMshareM!AP$2:AP$78)-IMshareM!AP$42&gt;0,IMshareM!AP46/(SUM(IMshareM!AP$2:AP$78)-IMshareM!AP$42),0))</f>
        <v>1.5426354071516627E-4</v>
      </c>
      <c r="AQ46" s="8">
        <f>IF($A46=AQ$1,0,IF(SUM(IMshareM!AQ$2:AQ$78)-IMshareM!AQ$43&gt;0,IMshareM!AQ46/(SUM(IMshareM!AQ$2:AQ$78)-IMshareM!AQ$43),0))</f>
        <v>4.1308208541136032E-7</v>
      </c>
      <c r="AR46" s="8">
        <f>IF($A46=AR$1,0,IF(SUM(IMshareM!AR$2:AR$78)-IMshareM!AR$44&gt;0,IMshareM!AR46/(SUM(IMshareM!AR$2:AR$78)-IMshareM!AR$44),0))</f>
        <v>0</v>
      </c>
      <c r="AS46" s="8">
        <f>IF($A46=AS$1,0,IF(SUM(IMshareM!AS$2:AS$78)-IMshareM!AS$45&gt;0,IMshareM!AS46/(SUM(IMshareM!AS$2:AS$78)-IMshareM!AS$45),0))</f>
        <v>2.2975291128044125E-3</v>
      </c>
      <c r="AT46" s="8">
        <f>IF($A46=AT$1,0,IF(SUM(IMshareM!AT$2:AT$78)-IMshareM!AT$46&gt;0,IMshareM!AT46/(SUM(IMshareM!AT$2:AT$78)-IMshareM!AT$46),0))</f>
        <v>0</v>
      </c>
      <c r="AU46" s="8">
        <f>IF($A46=AU$1,0,IF(SUM(IMshareM!AU$2:AU$78)-IMshareM!AU$47&gt;0,IMshareM!AU46/(SUM(IMshareM!AU$2:AU$78)-IMshareM!AU$47),0))</f>
        <v>8.7808026758485059E-5</v>
      </c>
      <c r="AV46" s="8">
        <f>IF($A46=AV$1,0,IF(SUM(IMshareM!AV$2:AV$78)-IMshareM!AV$48&gt;0,IMshareM!AV46/(SUM(IMshareM!AV$2:AV$78)-IMshareM!AV$48),0))</f>
        <v>4.4622628546430169E-5</v>
      </c>
      <c r="AW46" s="8">
        <f>IF($A46=AW$1,0,IF(SUM(IMshareM!AW$2:AW$78)-IMshareM!AW$49&gt;0,IMshareM!AW46/(SUM(IMshareM!AW$2:AW$78)-IMshareM!AW$49),0))</f>
        <v>1.1764047201435946E-5</v>
      </c>
      <c r="AX46" s="8">
        <f>IF($A46=AX$1,0,IF(SUM(IMshareM!AX$2:AX$78)-IMshareM!AX$50&gt;0,IMshareM!AX46/(SUM(IMshareM!AX$2:AX$78)-IMshareM!AX$50),0))</f>
        <v>0</v>
      </c>
      <c r="AY46" s="8">
        <f>IF($A46=AY$1,0,IF(SUM(IMshareM!AY$2:AY$78)-IMshareM!AY$51&gt;0,IMshareM!AY46/(SUM(IMshareM!AY$2:AY$78)-IMshareM!AY$51),0))</f>
        <v>3.0926584081975071E-4</v>
      </c>
      <c r="AZ46" s="8">
        <f>IF($A46=AZ$1,0,IF(SUM(IMshareM!AZ$2:AZ$78)-IMshareM!AZ$52&gt;0,IMshareM!AZ46/(SUM(IMshareM!AZ$2:AZ$78)-IMshareM!AZ$52),0))</f>
        <v>1.0117865142825164E-5</v>
      </c>
      <c r="BA46" s="8">
        <f>IF($A46=BA$1,0,IF(SUM(IMshareM!BA$2:BA$78)-IMshareM!BA$53&gt;0,IMshareM!BA46/(SUM(IMshareM!BA$2:BA$78)-IMshareM!BA$53),0))</f>
        <v>9.8285303783757932E-4</v>
      </c>
      <c r="BB46" s="8">
        <f>IF($A46=BB$1,0,IF(SUM(IMshareM!BB$2:BB$78)-IMshareM!BB$54&gt;0,IMshareM!BB46/(SUM(IMshareM!BB$2:BB$78)-IMshareM!BB$54),0))</f>
        <v>3.4316449059834566E-4</v>
      </c>
      <c r="BC46" s="8">
        <f>IF($A46=BC$1,0,IF(SUM(IMshareM!BC$2:BC$78)-IMshareM!BC$55&gt;0,IMshareM!BC46/(SUM(IMshareM!BC$2:BC$78)-IMshareM!BC$55),0))</f>
        <v>9.5520246995430151E-6</v>
      </c>
      <c r="BD46" s="8">
        <f>IF($A46=BD$1,0,IF(SUM(IMshareM!BD$2:BD$78)-IMshareM!BD$56&gt;0,IMshareM!BD46/(SUM(IMshareM!BD$2:BD$78)-IMshareM!BD$56),0))</f>
        <v>2.5353002935235287E-4</v>
      </c>
      <c r="BE46" s="8">
        <f>IF($A46=BE$1,0,IF(SUM(IMshareM!BE$2:BE$78)-IMshareM!BE$57&gt;0,IMshareM!BE46/(SUM(IMshareM!BE$2:BE$78)-IMshareM!BE$57),0))</f>
        <v>1.255037297311926E-6</v>
      </c>
      <c r="BF46" s="8">
        <f>IF($A46=BF$1,0,IF(SUM(IMshareM!BF$2:BF$78)-IMshareM!BF$58&gt;0,IMshareM!BF46/(SUM(IMshareM!BF$2:BF$78)-IMshareM!BF$58),0))</f>
        <v>5.8694077876009939E-5</v>
      </c>
      <c r="BG46" s="8">
        <f>IF($A46=BG$1,0,IF(SUM(IMshareM!BG$2:BG$78)-IMshareM!BG$59&gt;0,IMshareM!BG46/(SUM(IMshareM!BG$2:BG$78)-IMshareM!BG$59),0))</f>
        <v>1.9320092115011032E-4</v>
      </c>
      <c r="BH46" s="8">
        <f>IF($A46=BH$1,0,IF(SUM(IMshareM!BH$2:BH$78)-IMshareM!BH$60&gt;0,IMshareM!BH46/(SUM(IMshareM!BH$2:BH$78)-IMshareM!BH$60),0))</f>
        <v>2.824351003304019E-6</v>
      </c>
      <c r="BI46" s="8">
        <f>IF($A46=BI$1,0,IF(SUM(IMshareM!BI$2:BI$78)-IMshareM!BI$61&gt;0,IMshareM!BI46/(SUM(IMshareM!BI$2:BI$78)-IMshareM!BI$61),0))</f>
        <v>4.1779740129786476E-4</v>
      </c>
      <c r="BJ46" s="8">
        <f>IF($A46=BJ$1,0,IF(SUM(IMshareM!BJ$2:BJ$78)-IMshareM!BJ$62&gt;0,IMshareM!BJ46/(SUM(IMshareM!BJ$2:BJ$78)-IMshareM!BJ$62),0))</f>
        <v>2.9445747124529884E-4</v>
      </c>
      <c r="BK46" s="8">
        <f>IF($A46=BK$1,0,IF(SUM(IMshareM!BK$2:BK$78)-IMshareM!BK$63&gt;0,IMshareM!BK46/(SUM(IMshareM!BK$2:BK$78)-IMshareM!BK$63),0))</f>
        <v>1.4219544929054833E-4</v>
      </c>
      <c r="BL46" s="8">
        <f>IF($A46=BL$1,0,IF(SUM(IMshareM!BL$2:BL$78)-IMshareM!BL$64&gt;0,IMshareM!BL46/(SUM(IMshareM!BL$2:BL$78)-IMshareM!BL$64),0))</f>
        <v>5.2968710126121647E-4</v>
      </c>
      <c r="BM46" s="8">
        <f>IF($A46=BM$1,0,IF(SUM(IMshareM!BM$2:BM$78)-IMshareM!BM$65&gt;0,IMshareM!BM46/(SUM(IMshareM!BM$2:BM$78)-IMshareM!BM$65),0))</f>
        <v>3.8296981863746226E-5</v>
      </c>
      <c r="BN46" s="8">
        <f>IF($A46=BN$1,0,IF(SUM(IMshareM!BN$2:BN$78)-IMshareM!BN$66&gt;0,IMshareM!BN46/(SUM(IMshareM!BN$2:BN$78)-IMshareM!BN$66),0))</f>
        <v>0</v>
      </c>
      <c r="BO46" s="8">
        <f>IF($A46=BO$1,0,IF(SUM(IMshareM!BO$2:BO$78)-IMshareM!BO$67&gt;0,IMshareM!BO46/(SUM(IMshareM!BO$2:BO$78)-IMshareM!BO$67),0))</f>
        <v>1.7338375191587425E-6</v>
      </c>
      <c r="BP46" s="8">
        <f>IF($A46=BP$1,0,IF(SUM(IMshareM!BP$2:BP$78)-IMshareM!BP$68&gt;0,IMshareM!BP46/(SUM(IMshareM!BP$2:BP$78)-IMshareM!BP$68),0))</f>
        <v>3.742966745505699E-4</v>
      </c>
      <c r="BQ46" s="8">
        <f>IF($A46=BQ$1,0,IF(SUM(IMshareM!BQ$2:BQ$78)-IMshareM!BQ$69&gt;0,IMshareM!BQ46/(SUM(IMshareM!BQ$2:BQ$78)-IMshareM!BQ$69),0))</f>
        <v>4.9878622093210625E-4</v>
      </c>
      <c r="BR46" s="8">
        <f>IF($A46=BR$1,0,IF(SUM(IMshareM!BR$2:BR$78)-IMshareM!BR$70&gt;0,IMshareM!BR46/(SUM(IMshareM!BR$2:BR$78)-IMshareM!BR$70),0))</f>
        <v>5.3166232968216997E-6</v>
      </c>
      <c r="BS46" s="8">
        <f>IF($A46=BS$1,0,IF(SUM(IMshareM!BS$2:BS$78)-IMshareM!BS$71&gt;0,IMshareM!BS46/(SUM(IMshareM!BS$2:BS$78)-IMshareM!BS$71),0))</f>
        <v>2.8529091226018036E-5</v>
      </c>
      <c r="BT46" s="8">
        <f>IF($A46=BT$1,0,IF(SUM(IMshareM!BT$2:BT$78)-IMshareM!BT$72&gt;0,IMshareM!BT46/(SUM(IMshareM!BT$2:BT$78)-IMshareM!BT$72),0))</f>
        <v>1.156336550681349E-5</v>
      </c>
      <c r="BU46" s="8">
        <f>IF($A46=BU$1,0,IF(SUM(IMshareM!BU$2:BU$78)-IMshareM!BU$73&gt;0,IMshareM!BU46/(SUM(IMshareM!BU$2:BU$78)-IMshareM!BU$73),0))</f>
        <v>1.6596736178442088E-5</v>
      </c>
      <c r="BV46" s="8">
        <f>IF($A46=BV$1,0,IF(SUM(IMshareM!BV$2:BV$78)-IMshareM!BV$74&gt;0,IMshareM!BV46/(SUM(IMshareM!BV$2:BV$78)-IMshareM!BV$74),0))</f>
        <v>1.0928482633066389E-4</v>
      </c>
      <c r="BW46" s="8">
        <f>IF($A46=BW$1,0,IF(SUM(IMshareM!BW$2:BW$78)-IMshareM!BW$75&gt;0,IMshareM!BW46/(SUM(IMshareM!BW$2:BW$78)-IMshareM!BW$75),0))</f>
        <v>4.9841469853222555E-7</v>
      </c>
      <c r="BX46" s="8">
        <f>IF($A46=BX$1,0,IF(SUM(IMshareM!BX$2:BX$78)-IMshareM!BX$76&gt;0,IMshareM!BX46/(SUM(IMshareM!BX$2:BX$78)-IMshareM!BX$76),0))</f>
        <v>9.2424698789163522E-7</v>
      </c>
      <c r="BY46" s="8">
        <f>IF($A46=BY$1,0,IF(SUM(IMshareM!BY$2:BY$78)-IMshareM!BY$77&gt;0,IMshareM!BY46/(SUM(IMshareM!BY$2:BY$78)-IMshareM!BY$77),0))</f>
        <v>7.1181921327604248E-4</v>
      </c>
      <c r="BZ46" s="8">
        <f>IF($A46=BZ$1,0,IF(SUM(IMshareM!BZ$2:BZ$78)-IMshareM!BZ$78&gt;0,IMshareM!BZ46/(SUM(IMshareM!BZ$2:BZ$78)-IMshareM!BZ$78),0))</f>
        <v>2.3893295348589538E-4</v>
      </c>
    </row>
    <row r="47" spans="1:78">
      <c r="A47" s="4" t="s">
        <v>161</v>
      </c>
      <c r="B47" s="8">
        <f>IF($A47=B$1,0,IF(SUM(IMshareM!B$2:B$78)-IMshareM!B$2&gt;0,IMshareM!B47/(SUM(IMshareM!B$2:B$78)-IMshareM!B$2),0))</f>
        <v>0</v>
      </c>
      <c r="C47" s="8">
        <f>IF($A47=C$1,0,IF(SUM(IMshareM!C$2:C$78)-IMshareM!C$3&gt;0,IMshareM!C47/(SUM(IMshareM!C$2:C$78)-IMshareM!C$3),0))</f>
        <v>3.4156044726710162E-6</v>
      </c>
      <c r="D47" s="8">
        <f>IF($A47=D$1,0,IF(SUM(IMshareM!D$2:D$78)-IMshareM!D$4&gt;0,IMshareM!D47/(SUM(IMshareM!D$2:D$78)-IMshareM!D$4),0))</f>
        <v>2.0806527010973228E-4</v>
      </c>
      <c r="E47" s="8">
        <f>IF($A47=E$1,0,IF(SUM(IMshareM!E$2:E$78)-IMshareM!E$5&gt;0,IMshareM!E47/(SUM(IMshareM!E$2:E$78)-IMshareM!E$5),0))</f>
        <v>4.1081347293484974E-5</v>
      </c>
      <c r="F47" s="8">
        <f>IF($A47=F$1,0,IF(SUM(IMshareM!F$2:F$78)-IMshareM!F$6&gt;0,IMshareM!F47/(SUM(IMshareM!F$2:F$78)-IMshareM!F$6),0))</f>
        <v>0</v>
      </c>
      <c r="G47" s="8">
        <f>IF($A47=G$1,0,IF(SUM(IMshareM!G$2:G$78)-IMshareM!G$7&gt;0,IMshareM!G47/(SUM(IMshareM!G$2:G$78)-IMshareM!G$7),0))</f>
        <v>4.1216278614934136E-5</v>
      </c>
      <c r="H47" s="8">
        <f>IF($A47=H$1,0,IF(SUM(IMshareM!H$2:H$78)-IMshareM!H$8&gt;0,IMshareM!H47/(SUM(IMshareM!H$2:H$78)-IMshareM!H$8),0))</f>
        <v>1.5549903651835914E-2</v>
      </c>
      <c r="I47" s="8">
        <f>IF($A47=I$1,0,IF(SUM(IMshareM!I$2:I$78)-IMshareM!I$9&gt;0,IMshareM!I47/(SUM(IMshareM!I$2:I$78)-IMshareM!I$9),0))</f>
        <v>0</v>
      </c>
      <c r="J47" s="8">
        <f>IF($A47=J$1,0,IF(SUM(IMshareM!J$2:J$78)-IMshareM!J$10&gt;0,IMshareM!J47/(SUM(IMshareM!J$2:J$78)-IMshareM!J$10),0))</f>
        <v>0</v>
      </c>
      <c r="K47" s="8">
        <f>IF($A47=K$1,0,IF(SUM(IMshareM!K$2:K$78)-IMshareM!K$11&gt;0,IMshareM!K47/(SUM(IMshareM!K$2:K$78)-IMshareM!K$11),0))</f>
        <v>8.3935833117329212E-6</v>
      </c>
      <c r="L47" s="8">
        <f>IF($A47=L$1,0,IF(SUM(IMshareM!L$2:L$78)-IMshareM!L$12&gt;0,IMshareM!L47/(SUM(IMshareM!L$2:L$78)-IMshareM!L$12),0))</f>
        <v>1.6661441695993051E-7</v>
      </c>
      <c r="M47" s="8">
        <f>IF($A47=M$1,0,IF(SUM(IMshareM!M$2:M$78)-IMshareM!M$13&gt;0,IMshareM!M47/(SUM(IMshareM!M$2:M$78)-IMshareM!M$13),0))</f>
        <v>2.5886026425550466E-7</v>
      </c>
      <c r="N47" s="8">
        <f>IF($A47=N$1,0,IF(SUM(IMshareM!N$2:N$78)-IMshareM!N$14&gt;0,IMshareM!N47/(SUM(IMshareM!N$2:N$78)-IMshareM!N$14),0))</f>
        <v>4.9033610159341717E-7</v>
      </c>
      <c r="O47" s="8">
        <f>IF($A47=O$1,0,IF(SUM(IMshareM!O$2:O$78)-IMshareM!O$15&gt;0,IMshareM!O47/(SUM(IMshareM!O$2:O$78)-IMshareM!O$15),0))</f>
        <v>0</v>
      </c>
      <c r="P47" s="8">
        <f>IF($A47=P$1,0,IF(SUM(IMshareM!P$2:P$78)-IMshareM!P$16&gt;0,IMshareM!P47/(SUM(IMshareM!P$2:P$78)-IMshareM!P$16),0))</f>
        <v>0</v>
      </c>
      <c r="Q47" s="8">
        <f>IF($A47=Q$1,0,IF(SUM(IMshareM!Q$2:Q$78)-IMshareM!Q$17&gt;0,IMshareM!Q47/(SUM(IMshareM!Q$2:Q$78)-IMshareM!Q$17),0))</f>
        <v>0</v>
      </c>
      <c r="R47" s="8">
        <f>IF($A47=R$1,0,IF(SUM(IMshareM!R$2:R$78)-IMshareM!R$18&gt;0,IMshareM!R47/(SUM(IMshareM!R$2:R$78)-IMshareM!R$18),0))</f>
        <v>0</v>
      </c>
      <c r="S47" s="8">
        <f>IF($A47=S$1,0,IF(SUM(IMshareM!S$2:S$78)-IMshareM!S$19&gt;0,IMshareM!S47/(SUM(IMshareM!S$2:S$78)-IMshareM!S$19),0))</f>
        <v>1.6667395054117536E-4</v>
      </c>
      <c r="T47" s="8">
        <f>IF($A47=T$1,0,IF(SUM(IMshareM!T$2:T$78)-IMshareM!T$20&gt;0,IMshareM!T47/(SUM(IMshareM!T$2:T$78)-IMshareM!T$20),0))</f>
        <v>6.6541547020480937E-6</v>
      </c>
      <c r="U47" s="8">
        <f>IF($A47=U$1,0,IF(SUM(IMshareM!U$2:U$78)-IMshareM!U$21&gt;0,IMshareM!U47/(SUM(IMshareM!U$2:U$78)-IMshareM!U$21),0))</f>
        <v>2.4826160617817395E-5</v>
      </c>
      <c r="V47" s="8">
        <f>IF($A47=V$1,0,IF(SUM(IMshareM!V$2:V$78)-IMshareM!V$22&gt;0,IMshareM!V47/(SUM(IMshareM!V$2:V$78)-IMshareM!V$22),0))</f>
        <v>3.4604848013322599E-4</v>
      </c>
      <c r="W47" s="8">
        <f>IF($A47=W$1,0,IF(SUM(IMshareM!W$2:W$78)-IMshareM!W$23&gt;0,IMshareM!W47/(SUM(IMshareM!W$2:W$78)-IMshareM!W$23),0))</f>
        <v>0</v>
      </c>
      <c r="X47" s="8">
        <f>IF($A47=X$1,0,IF(SUM(IMshareM!X$2:X$78)-IMshareM!X$24&gt;0,IMshareM!X47/(SUM(IMshareM!X$2:X$78)-IMshareM!X$24),0))</f>
        <v>4.0233837841335779E-5</v>
      </c>
      <c r="Y47" s="8">
        <f>IF($A47=Y$1,0,IF(SUM(IMshareM!Y$2:Y$78)-IMshareM!Y$25&gt;0,IMshareM!Y47/(SUM(IMshareM!Y$2:Y$78)-IMshareM!Y$25),0))</f>
        <v>9.512555678982678E-3</v>
      </c>
      <c r="Z47" s="8">
        <f>IF($A47=Z$1,0,IF(SUM(IMshareM!Z$2:Z$78)-IMshareM!Z$26&gt;0,IMshareM!Z47/(SUM(IMshareM!Z$2:Z$78)-IMshareM!Z$26),0))</f>
        <v>4.0611700556141961E-5</v>
      </c>
      <c r="AA47" s="8">
        <f>IF($A47=AA$1,0,IF(SUM(IMshareM!AA$2:AA$78)-IMshareM!AA$27&gt;0,IMshareM!AA47/(SUM(IMshareM!AA$2:AA$78)-IMshareM!AA$27),0))</f>
        <v>3.9505450184482952E-4</v>
      </c>
      <c r="AB47" s="8">
        <f>IF($A47=AB$1,0,IF(SUM(IMshareM!AB$2:AB$78)-IMshareM!AB$28&gt;0,IMshareM!AB47/(SUM(IMshareM!AB$2:AB$78)-IMshareM!AB$28),0))</f>
        <v>2.9683983483245143E-5</v>
      </c>
      <c r="AC47" s="8">
        <f>IF($A47=AC$1,0,IF(SUM(IMshareM!AC$2:AC$78)-IMshareM!AC$29&gt;0,IMshareM!AC47/(SUM(IMshareM!AC$2:AC$78)-IMshareM!AC$29),0))</f>
        <v>4.1723999727135511E-6</v>
      </c>
      <c r="AD47" s="8">
        <f>IF($A47=AD$1,0,IF(SUM(IMshareM!AD$2:AD$78)-IMshareM!AD$30&gt;0,IMshareM!AD47/(SUM(IMshareM!AD$2:AD$78)-IMshareM!AD$30),0))</f>
        <v>6.155001719624915E-5</v>
      </c>
      <c r="AE47" s="8">
        <f>IF($A47=AE$1,0,IF(SUM(IMshareM!AE$2:AE$78)-IMshareM!AE$31&gt;0,IMshareM!AE47/(SUM(IMshareM!AE$2:AE$78)-IMshareM!AE$31),0))</f>
        <v>1.20343793974463E-4</v>
      </c>
      <c r="AF47" s="8">
        <f>IF($A47=AF$1,0,IF(SUM(IMshareM!AF$2:AF$78)-IMshareM!AF$32&gt;0,IMshareM!AF47/(SUM(IMshareM!AF$2:AF$78)-IMshareM!AF$32),0))</f>
        <v>1.8849433185947916E-6</v>
      </c>
      <c r="AG47" s="8">
        <f>IF($A47=AG$1,0,IF(SUM(IMshareM!AG$2:AG$78)-IMshareM!AG$33&gt;0,IMshareM!AG47/(SUM(IMshareM!AG$2:AG$78)-IMshareM!AG$33),0))</f>
        <v>0</v>
      </c>
      <c r="AH47" s="8">
        <f>IF($A47=AH$1,0,IF(SUM(IMshareM!AH$2:AH$78)-IMshareM!AH$34&gt;0,IMshareM!AH47/(SUM(IMshareM!AH$2:AH$78)-IMshareM!AH$34),0))</f>
        <v>1.3180389882335764E-6</v>
      </c>
      <c r="AI47" s="8">
        <f>IF($A47=AI$1,0,IF(SUM(IMshareM!AI$2:AI$78)-IMshareM!AI$35&gt;0,IMshareM!AI47/(SUM(IMshareM!AI$2:AI$78)-IMshareM!AI$35),0))</f>
        <v>3.4484375649271853E-6</v>
      </c>
      <c r="AJ47" s="8">
        <f>IF($A47=AJ$1,0,IF(SUM(IMshareM!AJ$2:AJ$78)-IMshareM!AJ$36&gt;0,IMshareM!AJ47/(SUM(IMshareM!AJ$2:AJ$78)-IMshareM!AJ$36),0))</f>
        <v>3.7754107228880106E-3</v>
      </c>
      <c r="AK47" s="8">
        <f>IF($A47=AK$1,0,IF(SUM(IMshareM!AK$2:AK$78)-IMshareM!AK$37&gt;0,IMshareM!AK47/(SUM(IMshareM!AK$2:AK$78)-IMshareM!AK$37),0))</f>
        <v>1.6857155321349984E-5</v>
      </c>
      <c r="AL47" s="8">
        <f>IF($A47=AL$1,0,IF(SUM(IMshareM!AL$2:AL$78)-IMshareM!AL$38&gt;0,IMshareM!AL47/(SUM(IMshareM!AL$2:AL$78)-IMshareM!AL$38),0))</f>
        <v>5.0352310767052925E-4</v>
      </c>
      <c r="AM47" s="8">
        <f>IF($A47=AM$1,0,IF(SUM(IMshareM!AM$2:AM$78)-IMshareM!AM$39&gt;0,IMshareM!AM47/(SUM(IMshareM!AM$2:AM$78)-IMshareM!AM$39),0))</f>
        <v>0</v>
      </c>
      <c r="AN47" s="8">
        <f>IF($A47=AN$1,0,IF(SUM(IMshareM!AN$2:AN$78)-IMshareM!AN$40&gt;0,IMshareM!AN47/(SUM(IMshareM!AN$2:AN$78)-IMshareM!AN$40),0))</f>
        <v>1.7887795577989647E-6</v>
      </c>
      <c r="AO47" s="8">
        <f>IF($A47=AO$1,0,IF(SUM(IMshareM!AO$2:AO$78)-IMshareM!AO$41&gt;0,IMshareM!AO47/(SUM(IMshareM!AO$2:AO$78)-IMshareM!AO$41),0))</f>
        <v>6.1399582876168771E-5</v>
      </c>
      <c r="AP47" s="8">
        <f>IF($A47=AP$1,0,IF(SUM(IMshareM!AP$2:AP$78)-IMshareM!AP$42&gt;0,IMshareM!AP47/(SUM(IMshareM!AP$2:AP$78)-IMshareM!AP$42),0))</f>
        <v>0</v>
      </c>
      <c r="AQ47" s="8">
        <f>IF($A47=AQ$1,0,IF(SUM(IMshareM!AQ$2:AQ$78)-IMshareM!AQ$43&gt;0,IMshareM!AQ47/(SUM(IMshareM!AQ$2:AQ$78)-IMshareM!AQ$43),0))</f>
        <v>1.840442350984386E-7</v>
      </c>
      <c r="AR47" s="8">
        <f>IF($A47=AR$1,0,IF(SUM(IMshareM!AR$2:AR$78)-IMshareM!AR$44&gt;0,IMshareM!AR47/(SUM(IMshareM!AR$2:AR$78)-IMshareM!AR$44),0))</f>
        <v>0</v>
      </c>
      <c r="AS47" s="8">
        <f>IF($A47=AS$1,0,IF(SUM(IMshareM!AS$2:AS$78)-IMshareM!AS$45&gt;0,IMshareM!AS47/(SUM(IMshareM!AS$2:AS$78)-IMshareM!AS$45),0))</f>
        <v>1.7093089353641705E-2</v>
      </c>
      <c r="AT47" s="8">
        <f>IF($A47=AT$1,0,IF(SUM(IMshareM!AT$2:AT$78)-IMshareM!AT$46&gt;0,IMshareM!AT47/(SUM(IMshareM!AT$2:AT$78)-IMshareM!AT$46),0))</f>
        <v>2.0676699623143672E-6</v>
      </c>
      <c r="AU47" s="8">
        <f>IF($A47=AU$1,0,IF(SUM(IMshareM!AU$2:AU$78)-IMshareM!AU$47&gt;0,IMshareM!AU47/(SUM(IMshareM!AU$2:AU$78)-IMshareM!AU$47),0))</f>
        <v>0</v>
      </c>
      <c r="AV47" s="8">
        <f>IF($A47=AV$1,0,IF(SUM(IMshareM!AV$2:AV$78)-IMshareM!AV$48&gt;0,IMshareM!AV47/(SUM(IMshareM!AV$2:AV$78)-IMshareM!AV$48),0))</f>
        <v>0</v>
      </c>
      <c r="AW47" s="8">
        <f>IF($A47=AW$1,0,IF(SUM(IMshareM!AW$2:AW$78)-IMshareM!AW$49&gt;0,IMshareM!AW47/(SUM(IMshareM!AW$2:AW$78)-IMshareM!AW$49),0))</f>
        <v>1.1802270948743527E-5</v>
      </c>
      <c r="AX47" s="8">
        <f>IF($A47=AX$1,0,IF(SUM(IMshareM!AX$2:AX$78)-IMshareM!AX$50&gt;0,IMshareM!AX47/(SUM(IMshareM!AX$2:AX$78)-IMshareM!AX$50),0))</f>
        <v>2.4414089217075665E-6</v>
      </c>
      <c r="AY47" s="8">
        <f>IF($A47=AY$1,0,IF(SUM(IMshareM!AY$2:AY$78)-IMshareM!AY$51&gt;0,IMshareM!AY47/(SUM(IMshareM!AY$2:AY$78)-IMshareM!AY$51),0))</f>
        <v>0</v>
      </c>
      <c r="AZ47" s="8">
        <f>IF($A47=AZ$1,0,IF(SUM(IMshareM!AZ$2:AZ$78)-IMshareM!AZ$52&gt;0,IMshareM!AZ47/(SUM(IMshareM!AZ$2:AZ$78)-IMshareM!AZ$52),0))</f>
        <v>1.4469448015021174E-5</v>
      </c>
      <c r="BA47" s="8">
        <f>IF($A47=BA$1,0,IF(SUM(IMshareM!BA$2:BA$78)-IMshareM!BA$53&gt;0,IMshareM!BA47/(SUM(IMshareM!BA$2:BA$78)-IMshareM!BA$53),0))</f>
        <v>4.6546868014922951E-5</v>
      </c>
      <c r="BB47" s="8">
        <f>IF($A47=BB$1,0,IF(SUM(IMshareM!BB$2:BB$78)-IMshareM!BB$54&gt;0,IMshareM!BB47/(SUM(IMshareM!BB$2:BB$78)-IMshareM!BB$54),0))</f>
        <v>1.5687348974898421E-4</v>
      </c>
      <c r="BC47" s="8">
        <f>IF($A47=BC$1,0,IF(SUM(IMshareM!BC$2:BC$78)-IMshareM!BC$55&gt;0,IMshareM!BC47/(SUM(IMshareM!BC$2:BC$78)-IMshareM!BC$55),0))</f>
        <v>2.5030474974797E-4</v>
      </c>
      <c r="BD47" s="8">
        <f>IF($A47=BD$1,0,IF(SUM(IMshareM!BD$2:BD$78)-IMshareM!BD$56&gt;0,IMshareM!BD47/(SUM(IMshareM!BD$2:BD$78)-IMshareM!BD$56),0))</f>
        <v>2.2500973291928038E-5</v>
      </c>
      <c r="BE47" s="8">
        <f>IF($A47=BE$1,0,IF(SUM(IMshareM!BE$2:BE$78)-IMshareM!BE$57&gt;0,IMshareM!BE47/(SUM(IMshareM!BE$2:BE$78)-IMshareM!BE$57),0))</f>
        <v>1.215665701820848E-4</v>
      </c>
      <c r="BF47" s="8">
        <f>IF($A47=BF$1,0,IF(SUM(IMshareM!BF$2:BF$78)-IMshareM!BF$58&gt;0,IMshareM!BF47/(SUM(IMshareM!BF$2:BF$78)-IMshareM!BF$58),0))</f>
        <v>1.866743312902922E-7</v>
      </c>
      <c r="BG47" s="8">
        <f>IF($A47=BG$1,0,IF(SUM(IMshareM!BG$2:BG$78)-IMshareM!BG$59&gt;0,IMshareM!BG47/(SUM(IMshareM!BG$2:BG$78)-IMshareM!BG$59),0))</f>
        <v>2.1181196715068003E-4</v>
      </c>
      <c r="BH47" s="8">
        <f>IF($A47=BH$1,0,IF(SUM(IMshareM!BH$2:BH$78)-IMshareM!BH$60&gt;0,IMshareM!BH47/(SUM(IMshareM!BH$2:BH$78)-IMshareM!BH$60),0))</f>
        <v>1.614599240648305E-5</v>
      </c>
      <c r="BI47" s="8">
        <f>IF($A47=BI$1,0,IF(SUM(IMshareM!BI$2:BI$78)-IMshareM!BI$61&gt;0,IMshareM!BI47/(SUM(IMshareM!BI$2:BI$78)-IMshareM!BI$61),0))</f>
        <v>3.2073996559902892E-6</v>
      </c>
      <c r="BJ47" s="8">
        <f>IF($A47=BJ$1,0,IF(SUM(IMshareM!BJ$2:BJ$78)-IMshareM!BJ$62&gt;0,IMshareM!BJ47/(SUM(IMshareM!BJ$2:BJ$78)-IMshareM!BJ$62),0))</f>
        <v>1.9638686042925104E-4</v>
      </c>
      <c r="BK47" s="8">
        <f>IF($A47=BK$1,0,IF(SUM(IMshareM!BK$2:BK$78)-IMshareM!BK$63&gt;0,IMshareM!BK47/(SUM(IMshareM!BK$2:BK$78)-IMshareM!BK$63),0))</f>
        <v>3.0880654416236702E-2</v>
      </c>
      <c r="BL47" s="8">
        <f>IF($A47=BL$1,0,IF(SUM(IMshareM!BL$2:BL$78)-IMshareM!BL$64&gt;0,IMshareM!BL47/(SUM(IMshareM!BL$2:BL$78)-IMshareM!BL$64),0))</f>
        <v>1.735926607792735E-6</v>
      </c>
      <c r="BM47" s="8">
        <f>IF($A47=BM$1,0,IF(SUM(IMshareM!BM$2:BM$78)-IMshareM!BM$65&gt;0,IMshareM!BM47/(SUM(IMshareM!BM$2:BM$78)-IMshareM!BM$65),0))</f>
        <v>0</v>
      </c>
      <c r="BN47" s="8">
        <f>IF($A47=BN$1,0,IF(SUM(IMshareM!BN$2:BN$78)-IMshareM!BN$66&gt;0,IMshareM!BN47/(SUM(IMshareM!BN$2:BN$78)-IMshareM!BN$66),0))</f>
        <v>1.448774950848856E-5</v>
      </c>
      <c r="BO47" s="8">
        <f>IF($A47=BO$1,0,IF(SUM(IMshareM!BO$2:BO$78)-IMshareM!BO$67&gt;0,IMshareM!BO47/(SUM(IMshareM!BO$2:BO$78)-IMshareM!BO$67),0))</f>
        <v>2.9240328249301348E-5</v>
      </c>
      <c r="BP47" s="8">
        <f>IF($A47=BP$1,0,IF(SUM(IMshareM!BP$2:BP$78)-IMshareM!BP$68&gt;0,IMshareM!BP47/(SUM(IMshareM!BP$2:BP$78)-IMshareM!BP$68),0))</f>
        <v>2.7074197164039289E-6</v>
      </c>
      <c r="BQ47" s="8">
        <f>IF($A47=BQ$1,0,IF(SUM(IMshareM!BQ$2:BQ$78)-IMshareM!BQ$69&gt;0,IMshareM!BQ47/(SUM(IMshareM!BQ$2:BQ$78)-IMshareM!BQ$69),0))</f>
        <v>2.1192528121453558E-5</v>
      </c>
      <c r="BR47" s="8">
        <f>IF($A47=BR$1,0,IF(SUM(IMshareM!BR$2:BR$78)-IMshareM!BR$70&gt;0,IMshareM!BR47/(SUM(IMshareM!BR$2:BR$78)-IMshareM!BR$70),0))</f>
        <v>9.0624763713372292E-5</v>
      </c>
      <c r="BS47" s="8">
        <f>IF($A47=BS$1,0,IF(SUM(IMshareM!BS$2:BS$78)-IMshareM!BS$71&gt;0,IMshareM!BS47/(SUM(IMshareM!BS$2:BS$78)-IMshareM!BS$71),0))</f>
        <v>0</v>
      </c>
      <c r="BT47" s="8">
        <f>IF($A47=BT$1,0,IF(SUM(IMshareM!BT$2:BT$78)-IMshareM!BT$72&gt;0,IMshareM!BT47/(SUM(IMshareM!BT$2:BT$78)-IMshareM!BT$72),0))</f>
        <v>1.2157750697194211E-3</v>
      </c>
      <c r="BU47" s="8">
        <f>IF($A47=BU$1,0,IF(SUM(IMshareM!BU$2:BU$78)-IMshareM!BU$73&gt;0,IMshareM!BU47/(SUM(IMshareM!BU$2:BU$78)-IMshareM!BU$73),0))</f>
        <v>1.5221170238412726E-7</v>
      </c>
      <c r="BV47" s="8">
        <f>IF($A47=BV$1,0,IF(SUM(IMshareM!BV$2:BV$78)-IMshareM!BV$74&gt;0,IMshareM!BV47/(SUM(IMshareM!BV$2:BV$78)-IMshareM!BV$74),0))</f>
        <v>2.298219875009091E-3</v>
      </c>
      <c r="BW47" s="8">
        <f>IF($A47=BW$1,0,IF(SUM(IMshareM!BW$2:BW$78)-IMshareM!BW$75&gt;0,IMshareM!BW47/(SUM(IMshareM!BW$2:BW$78)-IMshareM!BW$75),0))</f>
        <v>1.4616972494481794E-5</v>
      </c>
      <c r="BX47" s="8">
        <f>IF($A47=BX$1,0,IF(SUM(IMshareM!BX$2:BX$78)-IMshareM!BX$76&gt;0,IMshareM!BX47/(SUM(IMshareM!BX$2:BX$78)-IMshareM!BX$76),0))</f>
        <v>4.7816853938762168E-6</v>
      </c>
      <c r="BY47" s="8">
        <f>IF($A47=BY$1,0,IF(SUM(IMshareM!BY$2:BY$78)-IMshareM!BY$77&gt;0,IMshareM!BY47/(SUM(IMshareM!BY$2:BY$78)-IMshareM!BY$77),0))</f>
        <v>2.1489091008570693E-6</v>
      </c>
      <c r="BZ47" s="8">
        <f>IF($A47=BZ$1,0,IF(SUM(IMshareM!BZ$2:BZ$78)-IMshareM!BZ$78&gt;0,IMshareM!BZ47/(SUM(IMshareM!BZ$2:BZ$78)-IMshareM!BZ$78),0))</f>
        <v>7.7250108241537784E-5</v>
      </c>
    </row>
    <row r="48" spans="1:78">
      <c r="A48" s="4" t="s">
        <v>163</v>
      </c>
      <c r="B48" s="8">
        <f>IF($A48=B$1,0,IF(SUM(IMshareM!B$2:B$78)-IMshareM!B$2&gt;0,IMshareM!B48/(SUM(IMshareM!B$2:B$78)-IMshareM!B$2),0))</f>
        <v>2.267822664532986E-3</v>
      </c>
      <c r="C48" s="8">
        <f>IF($A48=C$1,0,IF(SUM(IMshareM!C$2:C$78)-IMshareM!C$3&gt;0,IMshareM!C48/(SUM(IMshareM!C$2:C$78)-IMshareM!C$3),0))</f>
        <v>2.259004459300781E-6</v>
      </c>
      <c r="D48" s="8">
        <f>IF($A48=D$1,0,IF(SUM(IMshareM!D$2:D$78)-IMshareM!D$4&gt;0,IMshareM!D48/(SUM(IMshareM!D$2:D$78)-IMshareM!D$4),0))</f>
        <v>7.714721277129662E-5</v>
      </c>
      <c r="E48" s="8">
        <f>IF($A48=E$1,0,IF(SUM(IMshareM!E$2:E$78)-IMshareM!E$5&gt;0,IMshareM!E48/(SUM(IMshareM!E$2:E$78)-IMshareM!E$5),0))</f>
        <v>1.0140192430098582E-6</v>
      </c>
      <c r="F48" s="8">
        <f>IF($A48=F$1,0,IF(SUM(IMshareM!F$2:F$78)-IMshareM!F$6&gt;0,IMshareM!F48/(SUM(IMshareM!F$2:F$78)-IMshareM!F$6),0))</f>
        <v>0</v>
      </c>
      <c r="G48" s="8">
        <f>IF($A48=G$1,0,IF(SUM(IMshareM!G$2:G$78)-IMshareM!G$7&gt;0,IMshareM!G48/(SUM(IMshareM!G$2:G$78)-IMshareM!G$7),0))</f>
        <v>3.9347343622775453E-6</v>
      </c>
      <c r="H48" s="8">
        <f>IF($A48=H$1,0,IF(SUM(IMshareM!H$2:H$78)-IMshareM!H$8&gt;0,IMshareM!H48/(SUM(IMshareM!H$2:H$78)-IMshareM!H$8),0))</f>
        <v>0</v>
      </c>
      <c r="I48" s="8">
        <f>IF($A48=I$1,0,IF(SUM(IMshareM!I$2:I$78)-IMshareM!I$9&gt;0,IMshareM!I48/(SUM(IMshareM!I$2:I$78)-IMshareM!I$9),0))</f>
        <v>2.5415776541674249E-4</v>
      </c>
      <c r="J48" s="8">
        <f>IF($A48=J$1,0,IF(SUM(IMshareM!J$2:J$78)-IMshareM!J$10&gt;0,IMshareM!J48/(SUM(IMshareM!J$2:J$78)-IMshareM!J$10),0))</f>
        <v>0</v>
      </c>
      <c r="K48" s="8">
        <f>IF($A48=K$1,0,IF(SUM(IMshareM!K$2:K$78)-IMshareM!K$11&gt;0,IMshareM!K48/(SUM(IMshareM!K$2:K$78)-IMshareM!K$11),0))</f>
        <v>1.158939777251731E-3</v>
      </c>
      <c r="L48" s="8">
        <f>IF($A48=L$1,0,IF(SUM(IMshareM!L$2:L$78)-IMshareM!L$12&gt;0,IMshareM!L48/(SUM(IMshareM!L$2:L$78)-IMshareM!L$12),0))</f>
        <v>3.5172679843297556E-4</v>
      </c>
      <c r="M48" s="8">
        <f>IF($A48=M$1,0,IF(SUM(IMshareM!M$2:M$78)-IMshareM!M$13&gt;0,IMshareM!M48/(SUM(IMshareM!M$2:M$78)-IMshareM!M$13),0))</f>
        <v>2.8904305877722804E-7</v>
      </c>
      <c r="N48" s="8">
        <f>IF($A48=N$1,0,IF(SUM(IMshareM!N$2:N$78)-IMshareM!N$14&gt;0,IMshareM!N48/(SUM(IMshareM!N$2:N$78)-IMshareM!N$14),0))</f>
        <v>3.7712878890949048E-4</v>
      </c>
      <c r="O48" s="8">
        <f>IF($A48=O$1,0,IF(SUM(IMshareM!O$2:O$78)-IMshareM!O$15&gt;0,IMshareM!O48/(SUM(IMshareM!O$2:O$78)-IMshareM!O$15),0))</f>
        <v>1.101759683580374E-4</v>
      </c>
      <c r="P48" s="8">
        <f>IF($A48=P$1,0,IF(SUM(IMshareM!P$2:P$78)-IMshareM!P$16&gt;0,IMshareM!P48/(SUM(IMshareM!P$2:P$78)-IMshareM!P$16),0))</f>
        <v>0</v>
      </c>
      <c r="Q48" s="8">
        <f>IF($A48=Q$1,0,IF(SUM(IMshareM!Q$2:Q$78)-IMshareM!Q$17&gt;0,IMshareM!Q48/(SUM(IMshareM!Q$2:Q$78)-IMshareM!Q$17),0))</f>
        <v>1.3774085308960641E-5</v>
      </c>
      <c r="R48" s="8">
        <f>IF($A48=R$1,0,IF(SUM(IMshareM!R$2:R$78)-IMshareM!R$18&gt;0,IMshareM!R48/(SUM(IMshareM!R$2:R$78)-IMshareM!R$18),0))</f>
        <v>0</v>
      </c>
      <c r="S48" s="8">
        <f>IF($A48=S$1,0,IF(SUM(IMshareM!S$2:S$78)-IMshareM!S$19&gt;0,IMshareM!S48/(SUM(IMshareM!S$2:S$78)-IMshareM!S$19),0))</f>
        <v>6.5191891229323231E-4</v>
      </c>
      <c r="T48" s="8">
        <f>IF($A48=T$1,0,IF(SUM(IMshareM!T$2:T$78)-IMshareM!T$20&gt;0,IMshareM!T48/(SUM(IMshareM!T$2:T$78)-IMshareM!T$20),0))</f>
        <v>2.1688062255561415E-4</v>
      </c>
      <c r="U48" s="8">
        <f>IF($A48=U$1,0,IF(SUM(IMshareM!U$2:U$78)-IMshareM!U$21&gt;0,IMshareM!U48/(SUM(IMshareM!U$2:U$78)-IMshareM!U$21),0))</f>
        <v>3.4951933444127834E-4</v>
      </c>
      <c r="V48" s="8">
        <f>IF($A48=V$1,0,IF(SUM(IMshareM!V$2:V$78)-IMshareM!V$22&gt;0,IMshareM!V48/(SUM(IMshareM!V$2:V$78)-IMshareM!V$22),0))</f>
        <v>1.314327335932128E-4</v>
      </c>
      <c r="W48" s="8">
        <f>IF($A48=W$1,0,IF(SUM(IMshareM!W$2:W$78)-IMshareM!W$23&gt;0,IMshareM!W48/(SUM(IMshareM!W$2:W$78)-IMshareM!W$23),0))</f>
        <v>5.5179983230866897E-5</v>
      </c>
      <c r="X48" s="8">
        <f>IF($A48=X$1,0,IF(SUM(IMshareM!X$2:X$78)-IMshareM!X$24&gt;0,IMshareM!X48/(SUM(IMshareM!X$2:X$78)-IMshareM!X$24),0))</f>
        <v>1.2166757638989105E-2</v>
      </c>
      <c r="Y48" s="8">
        <f>IF($A48=Y$1,0,IF(SUM(IMshareM!Y$2:Y$78)-IMshareM!Y$25&gt;0,IMshareM!Y48/(SUM(IMshareM!Y$2:Y$78)-IMshareM!Y$25),0))</f>
        <v>3.6159928816853734E-6</v>
      </c>
      <c r="Z48" s="8">
        <f>IF($A48=Z$1,0,IF(SUM(IMshareM!Z$2:Z$78)-IMshareM!Z$26&gt;0,IMshareM!Z48/(SUM(IMshareM!Z$2:Z$78)-IMshareM!Z$26),0))</f>
        <v>3.7696505866224255E-5</v>
      </c>
      <c r="AA48" s="8">
        <f>IF($A48=AA$1,0,IF(SUM(IMshareM!AA$2:AA$78)-IMshareM!AA$27&gt;0,IMshareM!AA48/(SUM(IMshareM!AA$2:AA$78)-IMshareM!AA$27),0))</f>
        <v>2.4348097598464739E-2</v>
      </c>
      <c r="AB48" s="8">
        <f>IF($A48=AB$1,0,IF(SUM(IMshareM!AB$2:AB$78)-IMshareM!AB$28&gt;0,IMshareM!AB48/(SUM(IMshareM!AB$2:AB$78)-IMshareM!AB$28),0))</f>
        <v>1.2690374469231562E-3</v>
      </c>
      <c r="AC48" s="8">
        <f>IF($A48=AC$1,0,IF(SUM(IMshareM!AC$2:AC$78)-IMshareM!AC$29&gt;0,IMshareM!AC48/(SUM(IMshareM!AC$2:AC$78)-IMshareM!AC$29),0))</f>
        <v>0</v>
      </c>
      <c r="AD48" s="8">
        <f>IF($A48=AD$1,0,IF(SUM(IMshareM!AD$2:AD$78)-IMshareM!AD$30&gt;0,IMshareM!AD48/(SUM(IMshareM!AD$2:AD$78)-IMshareM!AD$30),0))</f>
        <v>0</v>
      </c>
      <c r="AE48" s="8">
        <f>IF($A48=AE$1,0,IF(SUM(IMshareM!AE$2:AE$78)-IMshareM!AE$31&gt;0,IMshareM!AE48/(SUM(IMshareM!AE$2:AE$78)-IMshareM!AE$31),0))</f>
        <v>0</v>
      </c>
      <c r="AF48" s="8">
        <f>IF($A48=AF$1,0,IF(SUM(IMshareM!AF$2:AF$78)-IMshareM!AF$32&gt;0,IMshareM!AF48/(SUM(IMshareM!AF$2:AF$78)-IMshareM!AF$32),0))</f>
        <v>1.7249676456711278E-7</v>
      </c>
      <c r="AG48" s="8">
        <f>IF($A48=AG$1,0,IF(SUM(IMshareM!AG$2:AG$78)-IMshareM!AG$33&gt;0,IMshareM!AG48/(SUM(IMshareM!AG$2:AG$78)-IMshareM!AG$33),0))</f>
        <v>8.6249591528426204E-6</v>
      </c>
      <c r="AH48" s="8">
        <f>IF($A48=AH$1,0,IF(SUM(IMshareM!AH$2:AH$78)-IMshareM!AH$34&gt;0,IMshareM!AH48/(SUM(IMshareM!AH$2:AH$78)-IMshareM!AH$34),0))</f>
        <v>0</v>
      </c>
      <c r="AI48" s="8">
        <f>IF($A48=AI$1,0,IF(SUM(IMshareM!AI$2:AI$78)-IMshareM!AI$35&gt;0,IMshareM!AI48/(SUM(IMshareM!AI$2:AI$78)-IMshareM!AI$35),0))</f>
        <v>5.4789947723868446E-4</v>
      </c>
      <c r="AJ48" s="8">
        <f>IF($A48=AJ$1,0,IF(SUM(IMshareM!AJ$2:AJ$78)-IMshareM!AJ$36&gt;0,IMshareM!AJ48/(SUM(IMshareM!AJ$2:AJ$78)-IMshareM!AJ$36),0))</f>
        <v>0</v>
      </c>
      <c r="AK48" s="8">
        <f>IF($A48=AK$1,0,IF(SUM(IMshareM!AK$2:AK$78)-IMshareM!AK$37&gt;0,IMshareM!AK48/(SUM(IMshareM!AK$2:AK$78)-IMshareM!AK$37),0))</f>
        <v>0</v>
      </c>
      <c r="AL48" s="8">
        <f>IF($A48=AL$1,0,IF(SUM(IMshareM!AL$2:AL$78)-IMshareM!AL$38&gt;0,IMshareM!AL48/(SUM(IMshareM!AL$2:AL$78)-IMshareM!AL$38),0))</f>
        <v>2.9475944685380777E-4</v>
      </c>
      <c r="AM48" s="8">
        <f>IF($A48=AM$1,0,IF(SUM(IMshareM!AM$2:AM$78)-IMshareM!AM$39&gt;0,IMshareM!AM48/(SUM(IMshareM!AM$2:AM$78)-IMshareM!AM$39),0))</f>
        <v>6.8599819245337484E-3</v>
      </c>
      <c r="AN48" s="8">
        <f>IF($A48=AN$1,0,IF(SUM(IMshareM!AN$2:AN$78)-IMshareM!AN$40&gt;0,IMshareM!AN48/(SUM(IMshareM!AN$2:AN$78)-IMshareM!AN$40),0))</f>
        <v>2.2719304981872087E-5</v>
      </c>
      <c r="AO48" s="8">
        <f>IF($A48=AO$1,0,IF(SUM(IMshareM!AO$2:AO$78)-IMshareM!AO$41&gt;0,IMshareM!AO48/(SUM(IMshareM!AO$2:AO$78)-IMshareM!AO$41),0))</f>
        <v>0</v>
      </c>
      <c r="AP48" s="8">
        <f>IF($A48=AP$1,0,IF(SUM(IMshareM!AP$2:AP$78)-IMshareM!AP$42&gt;0,IMshareM!AP48/(SUM(IMshareM!AP$2:AP$78)-IMshareM!AP$42),0))</f>
        <v>0</v>
      </c>
      <c r="AQ48" s="8">
        <f>IF($A48=AQ$1,0,IF(SUM(IMshareM!AQ$2:AQ$78)-IMshareM!AQ$43&gt;0,IMshareM!AQ48/(SUM(IMshareM!AQ$2:AQ$78)-IMshareM!AQ$43),0))</f>
        <v>2.8067650246787551E-5</v>
      </c>
      <c r="AR48" s="8">
        <f>IF($A48=AR$1,0,IF(SUM(IMshareM!AR$2:AR$78)-IMshareM!AR$44&gt;0,IMshareM!AR48/(SUM(IMshareM!AR$2:AR$78)-IMshareM!AR$44),0))</f>
        <v>0</v>
      </c>
      <c r="AS48" s="8">
        <f>IF($A48=AS$1,0,IF(SUM(IMshareM!AS$2:AS$78)-IMshareM!AS$45&gt;0,IMshareM!AS48/(SUM(IMshareM!AS$2:AS$78)-IMshareM!AS$45),0))</f>
        <v>0</v>
      </c>
      <c r="AT48" s="8">
        <f>IF($A48=AT$1,0,IF(SUM(IMshareM!AT$2:AT$78)-IMshareM!AT$46&gt;0,IMshareM!AT48/(SUM(IMshareM!AT$2:AT$78)-IMshareM!AT$46),0))</f>
        <v>1.8251639599362079E-5</v>
      </c>
      <c r="AU48" s="8">
        <f>IF($A48=AU$1,0,IF(SUM(IMshareM!AU$2:AU$78)-IMshareM!AU$47&gt;0,IMshareM!AU48/(SUM(IMshareM!AU$2:AU$78)-IMshareM!AU$47),0))</f>
        <v>0</v>
      </c>
      <c r="AV48" s="8">
        <f>IF($A48=AV$1,0,IF(SUM(IMshareM!AV$2:AV$78)-IMshareM!AV$48&gt;0,IMshareM!AV48/(SUM(IMshareM!AV$2:AV$78)-IMshareM!AV$48),0))</f>
        <v>0</v>
      </c>
      <c r="AW48" s="8">
        <f>IF($A48=AW$1,0,IF(SUM(IMshareM!AW$2:AW$78)-IMshareM!AW$49&gt;0,IMshareM!AW48/(SUM(IMshareM!AW$2:AW$78)-IMshareM!AW$49),0))</f>
        <v>2.7316005108852083E-5</v>
      </c>
      <c r="AX48" s="8">
        <f>IF($A48=AX$1,0,IF(SUM(IMshareM!AX$2:AX$78)-IMshareM!AX$50&gt;0,IMshareM!AX48/(SUM(IMshareM!AX$2:AX$78)-IMshareM!AX$50),0))</f>
        <v>0</v>
      </c>
      <c r="AY48" s="8">
        <f>IF($A48=AY$1,0,IF(SUM(IMshareM!AY$2:AY$78)-IMshareM!AY$51&gt;0,IMshareM!AY48/(SUM(IMshareM!AY$2:AY$78)-IMshareM!AY$51),0))</f>
        <v>0</v>
      </c>
      <c r="AZ48" s="8">
        <f>IF($A48=AZ$1,0,IF(SUM(IMshareM!AZ$2:AZ$78)-IMshareM!AZ$52&gt;0,IMshareM!AZ48/(SUM(IMshareM!AZ$2:AZ$78)-IMshareM!AZ$52),0))</f>
        <v>6.9496753721655015E-6</v>
      </c>
      <c r="BA48" s="8">
        <f>IF($A48=BA$1,0,IF(SUM(IMshareM!BA$2:BA$78)-IMshareM!BA$53&gt;0,IMshareM!BA48/(SUM(IMshareM!BA$2:BA$78)-IMshareM!BA$53),0))</f>
        <v>1.9628425990468851E-5</v>
      </c>
      <c r="BB48" s="8">
        <f>IF($A48=BB$1,0,IF(SUM(IMshareM!BB$2:BB$78)-IMshareM!BB$54&gt;0,IMshareM!BB48/(SUM(IMshareM!BB$2:BB$78)-IMshareM!BB$54),0))</f>
        <v>3.1948989343716356E-4</v>
      </c>
      <c r="BC48" s="8">
        <f>IF($A48=BC$1,0,IF(SUM(IMshareM!BC$2:BC$78)-IMshareM!BC$55&gt;0,IMshareM!BC48/(SUM(IMshareM!BC$2:BC$78)-IMshareM!BC$55),0))</f>
        <v>3.6356209373429688E-5</v>
      </c>
      <c r="BD48" s="8">
        <f>IF($A48=BD$1,0,IF(SUM(IMshareM!BD$2:BD$78)-IMshareM!BD$56&gt;0,IMshareM!BD48/(SUM(IMshareM!BD$2:BD$78)-IMshareM!BD$56),0))</f>
        <v>3.084084296216611E-5</v>
      </c>
      <c r="BE48" s="8">
        <f>IF($A48=BE$1,0,IF(SUM(IMshareM!BE$2:BE$78)-IMshareM!BE$57&gt;0,IMshareM!BE48/(SUM(IMshareM!BE$2:BE$78)-IMshareM!BE$57),0))</f>
        <v>0</v>
      </c>
      <c r="BF48" s="8">
        <f>IF($A48=BF$1,0,IF(SUM(IMshareM!BF$2:BF$78)-IMshareM!BF$58&gt;0,IMshareM!BF48/(SUM(IMshareM!BF$2:BF$78)-IMshareM!BF$58),0))</f>
        <v>3.2576523605459312E-5</v>
      </c>
      <c r="BG48" s="8">
        <f>IF($A48=BG$1,0,IF(SUM(IMshareM!BG$2:BG$78)-IMshareM!BG$59&gt;0,IMshareM!BG48/(SUM(IMshareM!BG$2:BG$78)-IMshareM!BG$59),0))</f>
        <v>0</v>
      </c>
      <c r="BH48" s="8">
        <f>IF($A48=BH$1,0,IF(SUM(IMshareM!BH$2:BH$78)-IMshareM!BH$60&gt;0,IMshareM!BH48/(SUM(IMshareM!BH$2:BH$78)-IMshareM!BH$60),0))</f>
        <v>2.7571600504482021E-4</v>
      </c>
      <c r="BI48" s="8">
        <f>IF($A48=BI$1,0,IF(SUM(IMshareM!BI$2:BI$78)-IMshareM!BI$61&gt;0,IMshareM!BI48/(SUM(IMshareM!BI$2:BI$78)-IMshareM!BI$61),0))</f>
        <v>6.0134434211301929E-6</v>
      </c>
      <c r="BJ48" s="8">
        <f>IF($A48=BJ$1,0,IF(SUM(IMshareM!BJ$2:BJ$78)-IMshareM!BJ$62&gt;0,IMshareM!BJ48/(SUM(IMshareM!BJ$2:BJ$78)-IMshareM!BJ$62),0))</f>
        <v>4.8627444801347888E-6</v>
      </c>
      <c r="BK48" s="8">
        <f>IF($A48=BK$1,0,IF(SUM(IMshareM!BK$2:BK$78)-IMshareM!BK$63&gt;0,IMshareM!BK48/(SUM(IMshareM!BK$2:BK$78)-IMshareM!BK$63),0))</f>
        <v>0</v>
      </c>
      <c r="BL48" s="8">
        <f>IF($A48=BL$1,0,IF(SUM(IMshareM!BL$2:BL$78)-IMshareM!BL$64&gt;0,IMshareM!BL48/(SUM(IMshareM!BL$2:BL$78)-IMshareM!BL$64),0))</f>
        <v>0</v>
      </c>
      <c r="BM48" s="8">
        <f>IF($A48=BM$1,0,IF(SUM(IMshareM!BM$2:BM$78)-IMshareM!BM$65&gt;0,IMshareM!BM48/(SUM(IMshareM!BM$2:BM$78)-IMshareM!BM$65),0))</f>
        <v>7.6161496375440731E-4</v>
      </c>
      <c r="BN48" s="8">
        <f>IF($A48=BN$1,0,IF(SUM(IMshareM!BN$2:BN$78)-IMshareM!BN$66&gt;0,IMshareM!BN48/(SUM(IMshareM!BN$2:BN$78)-IMshareM!BN$66),0))</f>
        <v>4.9548902230511737E-5</v>
      </c>
      <c r="BO48" s="8">
        <f>IF($A48=BO$1,0,IF(SUM(IMshareM!BO$2:BO$78)-IMshareM!BO$67&gt;0,IMshareM!BO48/(SUM(IMshareM!BO$2:BO$78)-IMshareM!BO$67),0))</f>
        <v>2.4859802713617836E-5</v>
      </c>
      <c r="BP48" s="8">
        <f>IF($A48=BP$1,0,IF(SUM(IMshareM!BP$2:BP$78)-IMshareM!BP$68&gt;0,IMshareM!BP48/(SUM(IMshareM!BP$2:BP$78)-IMshareM!BP$68),0))</f>
        <v>1.7640393083062997E-5</v>
      </c>
      <c r="BQ48" s="8">
        <f>IF($A48=BQ$1,0,IF(SUM(IMshareM!BQ$2:BQ$78)-IMshareM!BQ$69&gt;0,IMshareM!BQ48/(SUM(IMshareM!BQ$2:BQ$78)-IMshareM!BQ$69),0))</f>
        <v>5.540529266389308E-6</v>
      </c>
      <c r="BR48" s="8">
        <f>IF($A48=BR$1,0,IF(SUM(IMshareM!BR$2:BR$78)-IMshareM!BR$70&gt;0,IMshareM!BR48/(SUM(IMshareM!BR$2:BR$78)-IMshareM!BR$70),0))</f>
        <v>9.9953618727949351E-6</v>
      </c>
      <c r="BS48" s="8">
        <f>IF($A48=BS$1,0,IF(SUM(IMshareM!BS$2:BS$78)-IMshareM!BS$71&gt;0,IMshareM!BS48/(SUM(IMshareM!BS$2:BS$78)-IMshareM!BS$71),0))</f>
        <v>1.5021228120093194E-3</v>
      </c>
      <c r="BT48" s="8">
        <f>IF($A48=BT$1,0,IF(SUM(IMshareM!BT$2:BT$78)-IMshareM!BT$72&gt;0,IMshareM!BT48/(SUM(IMshareM!BT$2:BT$78)-IMshareM!BT$72),0))</f>
        <v>5.1865592993745888E-4</v>
      </c>
      <c r="BU48" s="8">
        <f>IF($A48=BU$1,0,IF(SUM(IMshareM!BU$2:BU$78)-IMshareM!BU$73&gt;0,IMshareM!BU48/(SUM(IMshareM!BU$2:BU$78)-IMshareM!BU$73),0))</f>
        <v>2.768296960257084E-5</v>
      </c>
      <c r="BV48" s="8">
        <f>IF($A48=BV$1,0,IF(SUM(IMshareM!BV$2:BV$78)-IMshareM!BV$74&gt;0,IMshareM!BV48/(SUM(IMshareM!BV$2:BV$78)-IMshareM!BV$74),0))</f>
        <v>3.4227163280029162E-5</v>
      </c>
      <c r="BW48" s="8">
        <f>IF($A48=BW$1,0,IF(SUM(IMshareM!BW$2:BW$78)-IMshareM!BW$75&gt;0,IMshareM!BW48/(SUM(IMshareM!BW$2:BW$78)-IMshareM!BW$75),0))</f>
        <v>4.6602338060407845E-4</v>
      </c>
      <c r="BX48" s="8">
        <f>IF($A48=BX$1,0,IF(SUM(IMshareM!BX$2:BX$78)-IMshareM!BX$76&gt;0,IMshareM!BX48/(SUM(IMshareM!BX$2:BX$78)-IMshareM!BX$76),0))</f>
        <v>6.8574881349331527E-4</v>
      </c>
      <c r="BY48" s="8">
        <f>IF($A48=BY$1,0,IF(SUM(IMshareM!BY$2:BY$78)-IMshareM!BY$77&gt;0,IMshareM!BY48/(SUM(IMshareM!BY$2:BY$78)-IMshareM!BY$77),0))</f>
        <v>3.7232354229169867E-5</v>
      </c>
      <c r="BZ48" s="8">
        <f>IF($A48=BZ$1,0,IF(SUM(IMshareM!BZ$2:BZ$78)-IMshareM!BZ$78&gt;0,IMshareM!BZ48/(SUM(IMshareM!BZ$2:BZ$78)-IMshareM!BZ$78),0))</f>
        <v>4.0283919524532311E-4</v>
      </c>
    </row>
    <row r="49" spans="1:78">
      <c r="A49" s="4" t="s">
        <v>165</v>
      </c>
      <c r="B49" s="8">
        <f>IF($A49=B$1,0,IF(SUM(IMshareM!B$2:B$78)-IMshareM!B$2&gt;0,IMshareM!B49/(SUM(IMshareM!B$2:B$78)-IMshareM!B$2),0))</f>
        <v>4.114725908335623E-2</v>
      </c>
      <c r="C49" s="8">
        <f>IF($A49=C$1,0,IF(SUM(IMshareM!C$2:C$78)-IMshareM!C$3&gt;0,IMshareM!C49/(SUM(IMshareM!C$2:C$78)-IMshareM!C$3),0))</f>
        <v>1.6174241200743629E-2</v>
      </c>
      <c r="D49" s="8">
        <f>IF($A49=D$1,0,IF(SUM(IMshareM!D$2:D$78)-IMshareM!D$4&gt;0,IMshareM!D49/(SUM(IMshareM!D$2:D$78)-IMshareM!D$4),0))</f>
        <v>6.3448891170032476E-3</v>
      </c>
      <c r="E49" s="8">
        <f>IF($A49=E$1,0,IF(SUM(IMshareM!E$2:E$78)-IMshareM!E$5&gt;0,IMshareM!E49/(SUM(IMshareM!E$2:E$78)-IMshareM!E$5),0))</f>
        <v>5.1192362743598951E-3</v>
      </c>
      <c r="F49" s="8">
        <f>IF($A49=F$1,0,IF(SUM(IMshareM!F$2:F$78)-IMshareM!F$6&gt;0,IMshareM!F49/(SUM(IMshareM!F$2:F$78)-IMshareM!F$6),0))</f>
        <v>0</v>
      </c>
      <c r="G49" s="8">
        <f>IF($A49=G$1,0,IF(SUM(IMshareM!G$2:G$78)-IMshareM!G$7&gt;0,IMshareM!G49/(SUM(IMshareM!G$2:G$78)-IMshareM!G$7),0))</f>
        <v>3.9929420942261088E-7</v>
      </c>
      <c r="H49" s="8">
        <f>IF($A49=H$1,0,IF(SUM(IMshareM!H$2:H$78)-IMshareM!H$8&gt;0,IMshareM!H49/(SUM(IMshareM!H$2:H$78)-IMshareM!H$8),0))</f>
        <v>0</v>
      </c>
      <c r="I49" s="8">
        <f>IF($A49=I$1,0,IF(SUM(IMshareM!I$2:I$78)-IMshareM!I$9&gt;0,IMshareM!I49/(SUM(IMshareM!I$2:I$78)-IMshareM!I$9),0))</f>
        <v>6.0411302722511738E-2</v>
      </c>
      <c r="J49" s="8">
        <f>IF($A49=J$1,0,IF(SUM(IMshareM!J$2:J$78)-IMshareM!J$10&gt;0,IMshareM!J49/(SUM(IMshareM!J$2:J$78)-IMshareM!J$10),0))</f>
        <v>2.1821878220974929E-3</v>
      </c>
      <c r="K49" s="8">
        <f>IF($A49=K$1,0,IF(SUM(IMshareM!K$2:K$78)-IMshareM!K$11&gt;0,IMshareM!K49/(SUM(IMshareM!K$2:K$78)-IMshareM!K$11),0))</f>
        <v>0.1006221218284607</v>
      </c>
      <c r="L49" s="8">
        <f>IF($A49=L$1,0,IF(SUM(IMshareM!L$2:L$78)-IMshareM!L$12&gt;0,IMshareM!L49/(SUM(IMshareM!L$2:L$78)-IMshareM!L$12),0))</f>
        <v>1.4738739420181914E-3</v>
      </c>
      <c r="M49" s="8">
        <f>IF($A49=M$1,0,IF(SUM(IMshareM!M$2:M$78)-IMshareM!M$13&gt;0,IMshareM!M49/(SUM(IMshareM!M$2:M$78)-IMshareM!M$13),0))</f>
        <v>2.6913672744182634E-3</v>
      </c>
      <c r="N49" s="8">
        <f>IF($A49=N$1,0,IF(SUM(IMshareM!N$2:N$78)-IMshareM!N$14&gt;0,IMshareM!N49/(SUM(IMshareM!N$2:N$78)-IMshareM!N$14),0))</f>
        <v>2.474232349033334E-2</v>
      </c>
      <c r="O49" s="8">
        <f>IF($A49=O$1,0,IF(SUM(IMshareM!O$2:O$78)-IMshareM!O$15&gt;0,IMshareM!O49/(SUM(IMshareM!O$2:O$78)-IMshareM!O$15),0))</f>
        <v>5.4780775001622454E-3</v>
      </c>
      <c r="P49" s="8">
        <f>IF($A49=P$1,0,IF(SUM(IMshareM!P$2:P$78)-IMshareM!P$16&gt;0,IMshareM!P49/(SUM(IMshareM!P$2:P$78)-IMshareM!P$16),0))</f>
        <v>0</v>
      </c>
      <c r="Q49" s="8">
        <f>IF($A49=Q$1,0,IF(SUM(IMshareM!Q$2:Q$78)-IMshareM!Q$17&gt;0,IMshareM!Q49/(SUM(IMshareM!Q$2:Q$78)-IMshareM!Q$17),0))</f>
        <v>3.0908431383251889E-2</v>
      </c>
      <c r="R49" s="8">
        <f>IF($A49=R$1,0,IF(SUM(IMshareM!R$2:R$78)-IMshareM!R$18&gt;0,IMshareM!R49/(SUM(IMshareM!R$2:R$78)-IMshareM!R$18),0))</f>
        <v>8.2195226450074904E-2</v>
      </c>
      <c r="S49" s="8">
        <f>IF($A49=S$1,0,IF(SUM(IMshareM!S$2:S$78)-IMshareM!S$19&gt;0,IMshareM!S49/(SUM(IMshareM!S$2:S$78)-IMshareM!S$19),0))</f>
        <v>5.369925152742381E-5</v>
      </c>
      <c r="T49" s="8">
        <f>IF($A49=T$1,0,IF(SUM(IMshareM!T$2:T$78)-IMshareM!T$20&gt;0,IMshareM!T49/(SUM(IMshareM!T$2:T$78)-IMshareM!T$20),0))</f>
        <v>2.8301725066302284E-3</v>
      </c>
      <c r="U49" s="8">
        <f>IF($A49=U$1,0,IF(SUM(IMshareM!U$2:U$78)-IMshareM!U$21&gt;0,IMshareM!U49/(SUM(IMshareM!U$2:U$78)-IMshareM!U$21),0))</f>
        <v>1.1519902432440651E-2</v>
      </c>
      <c r="V49" s="8">
        <f>IF($A49=V$1,0,IF(SUM(IMshareM!V$2:V$78)-IMshareM!V$22&gt;0,IMshareM!V49/(SUM(IMshareM!V$2:V$78)-IMshareM!V$22),0))</f>
        <v>7.2451116711081077E-3</v>
      </c>
      <c r="W49" s="8">
        <f>IF($A49=W$1,0,IF(SUM(IMshareM!W$2:W$78)-IMshareM!W$23&gt;0,IMshareM!W49/(SUM(IMshareM!W$2:W$78)-IMshareM!W$23),0))</f>
        <v>8.4260334815632471E-3</v>
      </c>
      <c r="X49" s="8">
        <f>IF($A49=X$1,0,IF(SUM(IMshareM!X$2:X$78)-IMshareM!X$24&gt;0,IMshareM!X49/(SUM(IMshareM!X$2:X$78)-IMshareM!X$24),0))</f>
        <v>3.6174285071813054E-3</v>
      </c>
      <c r="Y49" s="8">
        <f>IF($A49=Y$1,0,IF(SUM(IMshareM!Y$2:Y$78)-IMshareM!Y$25&gt;0,IMshareM!Y49/(SUM(IMshareM!Y$2:Y$78)-IMshareM!Y$25),0))</f>
        <v>4.1507508648616562E-3</v>
      </c>
      <c r="Z49" s="8">
        <f>IF($A49=Z$1,0,IF(SUM(IMshareM!Z$2:Z$78)-IMshareM!Z$26&gt;0,IMshareM!Z49/(SUM(IMshareM!Z$2:Z$78)-IMshareM!Z$26),0))</f>
        <v>2.0865123019536895E-3</v>
      </c>
      <c r="AA49" s="8">
        <f>IF($A49=AA$1,0,IF(SUM(IMshareM!AA$2:AA$78)-IMshareM!AA$27&gt;0,IMshareM!AA49/(SUM(IMshareM!AA$2:AA$78)-IMshareM!AA$27),0))</f>
        <v>2.066421052165022E-3</v>
      </c>
      <c r="AB49" s="8">
        <f>IF($A49=AB$1,0,IF(SUM(IMshareM!AB$2:AB$78)-IMshareM!AB$28&gt;0,IMshareM!AB49/(SUM(IMshareM!AB$2:AB$78)-IMshareM!AB$28),0))</f>
        <v>1.1402189142597382E-2</v>
      </c>
      <c r="AC49" s="8">
        <f>IF($A49=AC$1,0,IF(SUM(IMshareM!AC$2:AC$78)-IMshareM!AC$29&gt;0,IMshareM!AC49/(SUM(IMshareM!AC$2:AC$78)-IMshareM!AC$29),0))</f>
        <v>1.1657277222895775E-4</v>
      </c>
      <c r="AD49" s="8">
        <f>IF($A49=AD$1,0,IF(SUM(IMshareM!AD$2:AD$78)-IMshareM!AD$30&gt;0,IMshareM!AD49/(SUM(IMshareM!AD$2:AD$78)-IMshareM!AD$30),0))</f>
        <v>9.8215030838316283E-5</v>
      </c>
      <c r="AE49" s="8">
        <f>IF($A49=AE$1,0,IF(SUM(IMshareM!AE$2:AE$78)-IMshareM!AE$31&gt;0,IMshareM!AE49/(SUM(IMshareM!AE$2:AE$78)-IMshareM!AE$31),0))</f>
        <v>7.390982021279938E-4</v>
      </c>
      <c r="AF49" s="8">
        <f>IF($A49=AF$1,0,IF(SUM(IMshareM!AF$2:AF$78)-IMshareM!AF$32&gt;0,IMshareM!AF49/(SUM(IMshareM!AF$2:AF$78)-IMshareM!AF$32),0))</f>
        <v>1.0873877909669567E-4</v>
      </c>
      <c r="AG49" s="8">
        <f>IF($A49=AG$1,0,IF(SUM(IMshareM!AG$2:AG$78)-IMshareM!AG$33&gt;0,IMshareM!AG49/(SUM(IMshareM!AG$2:AG$78)-IMshareM!AG$33),0))</f>
        <v>5.888935632662155E-3</v>
      </c>
      <c r="AH49" s="8">
        <f>IF($A49=AH$1,0,IF(SUM(IMshareM!AH$2:AH$78)-IMshareM!AH$34&gt;0,IMshareM!AH49/(SUM(IMshareM!AH$2:AH$78)-IMshareM!AH$34),0))</f>
        <v>4.8041200390598436E-4</v>
      </c>
      <c r="AI49" s="8">
        <f>IF($A49=AI$1,0,IF(SUM(IMshareM!AI$2:AI$78)-IMshareM!AI$35&gt;0,IMshareM!AI49/(SUM(IMshareM!AI$2:AI$78)-IMshareM!AI$35),0))</f>
        <v>3.3681818937738675E-3</v>
      </c>
      <c r="AJ49" s="8">
        <f>IF($A49=AJ$1,0,IF(SUM(IMshareM!AJ$2:AJ$78)-IMshareM!AJ$36&gt;0,IMshareM!AJ49/(SUM(IMshareM!AJ$2:AJ$78)-IMshareM!AJ$36),0))</f>
        <v>2.1300201654979238E-3</v>
      </c>
      <c r="AK49" s="8">
        <f>IF($A49=AK$1,0,IF(SUM(IMshareM!AK$2:AK$78)-IMshareM!AK$37&gt;0,IMshareM!AK49/(SUM(IMshareM!AK$2:AK$78)-IMshareM!AK$37),0))</f>
        <v>1.4160010469933984E-3</v>
      </c>
      <c r="AL49" s="8">
        <f>IF($A49=AL$1,0,IF(SUM(IMshareM!AL$2:AL$78)-IMshareM!AL$38&gt;0,IMshareM!AL49/(SUM(IMshareM!AL$2:AL$78)-IMshareM!AL$38),0))</f>
        <v>3.3724034188110856E-3</v>
      </c>
      <c r="AM49" s="8">
        <f>IF($A49=AM$1,0,IF(SUM(IMshareM!AM$2:AM$78)-IMshareM!AM$39&gt;0,IMshareM!AM49/(SUM(IMshareM!AM$2:AM$78)-IMshareM!AM$39),0))</f>
        <v>1.4761692512374689E-2</v>
      </c>
      <c r="AN49" s="8">
        <f>IF($A49=AN$1,0,IF(SUM(IMshareM!AN$2:AN$78)-IMshareM!AN$40&gt;0,IMshareM!AN49/(SUM(IMshareM!AN$2:AN$78)-IMshareM!AN$40),0))</f>
        <v>4.769229158522229E-3</v>
      </c>
      <c r="AO49" s="8">
        <f>IF($A49=AO$1,0,IF(SUM(IMshareM!AO$2:AO$78)-IMshareM!AO$41&gt;0,IMshareM!AO49/(SUM(IMshareM!AO$2:AO$78)-IMshareM!AO$41),0))</f>
        <v>0</v>
      </c>
      <c r="AP49" s="8">
        <f>IF($A49=AP$1,0,IF(SUM(IMshareM!AP$2:AP$78)-IMshareM!AP$42&gt;0,IMshareM!AP49/(SUM(IMshareM!AP$2:AP$78)-IMshareM!AP$42),0))</f>
        <v>8.3560356331879482E-6</v>
      </c>
      <c r="AQ49" s="8">
        <f>IF($A49=AQ$1,0,IF(SUM(IMshareM!AQ$2:AQ$78)-IMshareM!AQ$43&gt;0,IMshareM!AQ49/(SUM(IMshareM!AQ$2:AQ$78)-IMshareM!AQ$43),0))</f>
        <v>5.8406327220190714E-3</v>
      </c>
      <c r="AR49" s="8">
        <f>IF($A49=AR$1,0,IF(SUM(IMshareM!AR$2:AR$78)-IMshareM!AR$44&gt;0,IMshareM!AR49/(SUM(IMshareM!AR$2:AR$78)-IMshareM!AR$44),0))</f>
        <v>0</v>
      </c>
      <c r="AS49" s="8">
        <f>IF($A49=AS$1,0,IF(SUM(IMshareM!AS$2:AS$78)-IMshareM!AS$45&gt;0,IMshareM!AS49/(SUM(IMshareM!AS$2:AS$78)-IMshareM!AS$45),0))</f>
        <v>1.7706397367172936E-3</v>
      </c>
      <c r="AT49" s="8">
        <f>IF($A49=AT$1,0,IF(SUM(IMshareM!AT$2:AT$78)-IMshareM!AT$46&gt;0,IMshareM!AT49/(SUM(IMshareM!AT$2:AT$78)-IMshareM!AT$46),0))</f>
        <v>1.885869421699381E-3</v>
      </c>
      <c r="AU49" s="8">
        <f>IF($A49=AU$1,0,IF(SUM(IMshareM!AU$2:AU$78)-IMshareM!AU$47&gt;0,IMshareM!AU49/(SUM(IMshareM!AU$2:AU$78)-IMshareM!AU$47),0))</f>
        <v>7.9571801062196164E-5</v>
      </c>
      <c r="AV49" s="8">
        <f>IF($A49=AV$1,0,IF(SUM(IMshareM!AV$2:AV$78)-IMshareM!AV$48&gt;0,IMshareM!AV49/(SUM(IMshareM!AV$2:AV$78)-IMshareM!AV$48),0))</f>
        <v>8.9348504217856572E-4</v>
      </c>
      <c r="AW49" s="8">
        <f>IF($A49=AW$1,0,IF(SUM(IMshareM!AW$2:AW$78)-IMshareM!AW$49&gt;0,IMshareM!AW49/(SUM(IMshareM!AW$2:AW$78)-IMshareM!AW$49),0))</f>
        <v>0</v>
      </c>
      <c r="AX49" s="8">
        <f>IF($A49=AX$1,0,IF(SUM(IMshareM!AX$2:AX$78)-IMshareM!AX$50&gt;0,IMshareM!AX49/(SUM(IMshareM!AX$2:AX$78)-IMshareM!AX$50),0))</f>
        <v>1.0279131800623867E-3</v>
      </c>
      <c r="AY49" s="8">
        <f>IF($A49=AY$1,0,IF(SUM(IMshareM!AY$2:AY$78)-IMshareM!AY$51&gt;0,IMshareM!AY49/(SUM(IMshareM!AY$2:AY$78)-IMshareM!AY$51),0))</f>
        <v>2.2865345846264729E-4</v>
      </c>
      <c r="AZ49" s="8">
        <f>IF($A49=AZ$1,0,IF(SUM(IMshareM!AZ$2:AZ$78)-IMshareM!AZ$52&gt;0,IMshareM!AZ49/(SUM(IMshareM!AZ$2:AZ$78)-IMshareM!AZ$52),0))</f>
        <v>1.2441924717616463E-3</v>
      </c>
      <c r="BA49" s="8">
        <f>IF($A49=BA$1,0,IF(SUM(IMshareM!BA$2:BA$78)-IMshareM!BA$53&gt;0,IMshareM!BA49/(SUM(IMshareM!BA$2:BA$78)-IMshareM!BA$53),0))</f>
        <v>5.34138342563961E-4</v>
      </c>
      <c r="BB49" s="8">
        <f>IF($A49=BB$1,0,IF(SUM(IMshareM!BB$2:BB$78)-IMshareM!BB$54&gt;0,IMshareM!BB49/(SUM(IMshareM!BB$2:BB$78)-IMshareM!BB$54),0))</f>
        <v>1.812157298103606E-3</v>
      </c>
      <c r="BC49" s="8">
        <f>IF($A49=BC$1,0,IF(SUM(IMshareM!BC$2:BC$78)-IMshareM!BC$55&gt;0,IMshareM!BC49/(SUM(IMshareM!BC$2:BC$78)-IMshareM!BC$55),0))</f>
        <v>1.4095478189535659E-3</v>
      </c>
      <c r="BD49" s="8">
        <f>IF($A49=BD$1,0,IF(SUM(IMshareM!BD$2:BD$78)-IMshareM!BD$56&gt;0,IMshareM!BD49/(SUM(IMshareM!BD$2:BD$78)-IMshareM!BD$56),0))</f>
        <v>1.2774813876951606E-2</v>
      </c>
      <c r="BE49" s="8">
        <f>IF($A49=BE$1,0,IF(SUM(IMshareM!BE$2:BE$78)-IMshareM!BE$57&gt;0,IMshareM!BE49/(SUM(IMshareM!BE$2:BE$78)-IMshareM!BE$57),0))</f>
        <v>5.3171229955519201E-4</v>
      </c>
      <c r="BF49" s="8">
        <f>IF($A49=BF$1,0,IF(SUM(IMshareM!BF$2:BF$78)-IMshareM!BF$58&gt;0,IMshareM!BF49/(SUM(IMshareM!BF$2:BF$78)-IMshareM!BF$58),0))</f>
        <v>2.8470716847463391E-2</v>
      </c>
      <c r="BG49" s="8">
        <f>IF($A49=BG$1,0,IF(SUM(IMshareM!BG$2:BG$78)-IMshareM!BG$59&gt;0,IMshareM!BG49/(SUM(IMshareM!BG$2:BG$78)-IMshareM!BG$59),0))</f>
        <v>2.4864801183981178E-3</v>
      </c>
      <c r="BH49" s="8">
        <f>IF($A49=BH$1,0,IF(SUM(IMshareM!BH$2:BH$78)-IMshareM!BH$60&gt;0,IMshareM!BH49/(SUM(IMshareM!BH$2:BH$78)-IMshareM!BH$60),0))</f>
        <v>2.2292945681352439E-3</v>
      </c>
      <c r="BI49" s="8">
        <f>IF($A49=BI$1,0,IF(SUM(IMshareM!BI$2:BI$78)-IMshareM!BI$61&gt;0,IMshareM!BI49/(SUM(IMshareM!BI$2:BI$78)-IMshareM!BI$61),0))</f>
        <v>4.1943281785733775E-4</v>
      </c>
      <c r="BJ49" s="8">
        <f>IF($A49=BJ$1,0,IF(SUM(IMshareM!BJ$2:BJ$78)-IMshareM!BJ$62&gt;0,IMshareM!BJ49/(SUM(IMshareM!BJ$2:BJ$78)-IMshareM!BJ$62),0))</f>
        <v>8.3036954541922418E-4</v>
      </c>
      <c r="BK49" s="8">
        <f>IF($A49=BK$1,0,IF(SUM(IMshareM!BK$2:BK$78)-IMshareM!BK$63&gt;0,IMshareM!BK49/(SUM(IMshareM!BK$2:BK$78)-IMshareM!BK$63),0))</f>
        <v>0</v>
      </c>
      <c r="BL49" s="8">
        <f>IF($A49=BL$1,0,IF(SUM(IMshareM!BL$2:BL$78)-IMshareM!BL$64&gt;0,IMshareM!BL49/(SUM(IMshareM!BL$2:BL$78)-IMshareM!BL$64),0))</f>
        <v>0</v>
      </c>
      <c r="BM49" s="8">
        <f>IF($A49=BM$1,0,IF(SUM(IMshareM!BM$2:BM$78)-IMshareM!BM$65&gt;0,IMshareM!BM49/(SUM(IMshareM!BM$2:BM$78)-IMshareM!BM$65),0))</f>
        <v>0</v>
      </c>
      <c r="BN49" s="8">
        <f>IF($A49=BN$1,0,IF(SUM(IMshareM!BN$2:BN$78)-IMshareM!BN$66&gt;0,IMshareM!BN49/(SUM(IMshareM!BN$2:BN$78)-IMshareM!BN$66),0))</f>
        <v>2.6643343868586519E-2</v>
      </c>
      <c r="BO49" s="8">
        <f>IF($A49=BO$1,0,IF(SUM(IMshareM!BO$2:BO$78)-IMshareM!BO$67&gt;0,IMshareM!BO49/(SUM(IMshareM!BO$2:BO$78)-IMshareM!BO$67),0))</f>
        <v>3.0687286430622026E-4</v>
      </c>
      <c r="BP49" s="8">
        <f>IF($A49=BP$1,0,IF(SUM(IMshareM!BP$2:BP$78)-IMshareM!BP$68&gt;0,IMshareM!BP49/(SUM(IMshareM!BP$2:BP$78)-IMshareM!BP$68),0))</f>
        <v>2.1434777603152269E-4</v>
      </c>
      <c r="BQ49" s="8">
        <f>IF($A49=BQ$1,0,IF(SUM(IMshareM!BQ$2:BQ$78)-IMshareM!BQ$69&gt;0,IMshareM!BQ49/(SUM(IMshareM!BQ$2:BQ$78)-IMshareM!BQ$69),0))</f>
        <v>1.8938917031545326E-3</v>
      </c>
      <c r="BR49" s="8">
        <f>IF($A49=BR$1,0,IF(SUM(IMshareM!BR$2:BR$78)-IMshareM!BR$70&gt;0,IMshareM!BR49/(SUM(IMshareM!BR$2:BR$78)-IMshareM!BR$70),0))</f>
        <v>6.7834756506838E-3</v>
      </c>
      <c r="BS49" s="8">
        <f>IF($A49=BS$1,0,IF(SUM(IMshareM!BS$2:BS$78)-IMshareM!BS$71&gt;0,IMshareM!BS49/(SUM(IMshareM!BS$2:BS$78)-IMshareM!BS$71),0))</f>
        <v>4.0569006602484439E-4</v>
      </c>
      <c r="BT49" s="8">
        <f>IF($A49=BT$1,0,IF(SUM(IMshareM!BT$2:BT$78)-IMshareM!BT$72&gt;0,IMshareM!BT49/(SUM(IMshareM!BT$2:BT$78)-IMshareM!BT$72),0))</f>
        <v>4.67580635739933E-2</v>
      </c>
      <c r="BU49" s="8">
        <f>IF($A49=BU$1,0,IF(SUM(IMshareM!BU$2:BU$78)-IMshareM!BU$73&gt;0,IMshareM!BU49/(SUM(IMshareM!BU$2:BU$78)-IMshareM!BU$73),0))</f>
        <v>9.1217236680128811E-3</v>
      </c>
      <c r="BV49" s="8">
        <f>IF($A49=BV$1,0,IF(SUM(IMshareM!BV$2:BV$78)-IMshareM!BV$74&gt;0,IMshareM!BV49/(SUM(IMshareM!BV$2:BV$78)-IMshareM!BV$74),0))</f>
        <v>1.399205872372903E-3</v>
      </c>
      <c r="BW49" s="8">
        <f>IF($A49=BW$1,0,IF(SUM(IMshareM!BW$2:BW$78)-IMshareM!BW$75&gt;0,IMshareM!BW49/(SUM(IMshareM!BW$2:BW$78)-IMshareM!BW$75),0))</f>
        <v>0.31952095851941659</v>
      </c>
      <c r="BX49" s="8">
        <f>IF($A49=BX$1,0,IF(SUM(IMshareM!BX$2:BX$78)-IMshareM!BX$76&gt;0,IMshareM!BX49/(SUM(IMshareM!BX$2:BX$78)-IMshareM!BX$76),0))</f>
        <v>5.2365866687055496E-4</v>
      </c>
      <c r="BY49" s="8">
        <f>IF($A49=BY$1,0,IF(SUM(IMshareM!BY$2:BY$78)-IMshareM!BY$77&gt;0,IMshareM!BY49/(SUM(IMshareM!BY$2:BY$78)-IMshareM!BY$77),0))</f>
        <v>7.9089873093026019E-3</v>
      </c>
      <c r="BZ49" s="8">
        <f>IF($A49=BZ$1,0,IF(SUM(IMshareM!BZ$2:BZ$78)-IMshareM!BZ$78&gt;0,IMshareM!BZ49/(SUM(IMshareM!BZ$2:BZ$78)-IMshareM!BZ$78),0))</f>
        <v>1.7133807412452889E-2</v>
      </c>
    </row>
    <row r="50" spans="1:78">
      <c r="A50" s="4" t="s">
        <v>167</v>
      </c>
      <c r="B50" s="8">
        <f>IF($A50=B$1,0,IF(SUM(IMshareM!B$2:B$78)-IMshareM!B$2&gt;0,IMshareM!B50/(SUM(IMshareM!B$2:B$78)-IMshareM!B$2),0))</f>
        <v>0</v>
      </c>
      <c r="C50" s="8">
        <f>IF($A50=C$1,0,IF(SUM(IMshareM!C$2:C$78)-IMshareM!C$3&gt;0,IMshareM!C50/(SUM(IMshareM!C$2:C$78)-IMshareM!C$3),0))</f>
        <v>9.1954175416935047E-7</v>
      </c>
      <c r="D50" s="8">
        <f>IF($A50=D$1,0,IF(SUM(IMshareM!D$2:D$78)-IMshareM!D$4&gt;0,IMshareM!D50/(SUM(IMshareM!D$2:D$78)-IMshareM!D$4),0))</f>
        <v>1.1055854330377244E-5</v>
      </c>
      <c r="E50" s="8">
        <f>IF($A50=E$1,0,IF(SUM(IMshareM!E$2:E$78)-IMshareM!E$5&gt;0,IMshareM!E50/(SUM(IMshareM!E$2:E$78)-IMshareM!E$5),0))</f>
        <v>0</v>
      </c>
      <c r="F50" s="8">
        <f>IF($A50=F$1,0,IF(SUM(IMshareM!F$2:F$78)-IMshareM!F$6&gt;0,IMshareM!F50/(SUM(IMshareM!F$2:F$78)-IMshareM!F$6),0))</f>
        <v>0</v>
      </c>
      <c r="G50" s="8">
        <f>IF($A50=G$1,0,IF(SUM(IMshareM!G$2:G$78)-IMshareM!G$7&gt;0,IMshareM!G50/(SUM(IMshareM!G$2:G$78)-IMshareM!G$7),0))</f>
        <v>0</v>
      </c>
      <c r="H50" s="8">
        <f>IF($A50=H$1,0,IF(SUM(IMshareM!H$2:H$78)-IMshareM!H$8&gt;0,IMshareM!H50/(SUM(IMshareM!H$2:H$78)-IMshareM!H$8),0))</f>
        <v>0</v>
      </c>
      <c r="I50" s="8">
        <f>IF($A50=I$1,0,IF(SUM(IMshareM!I$2:I$78)-IMshareM!I$9&gt;0,IMshareM!I50/(SUM(IMshareM!I$2:I$78)-IMshareM!I$9),0))</f>
        <v>1.6533011104774009E-7</v>
      </c>
      <c r="J50" s="8">
        <f>IF($A50=J$1,0,IF(SUM(IMshareM!J$2:J$78)-IMshareM!J$10&gt;0,IMshareM!J50/(SUM(IMshareM!J$2:J$78)-IMshareM!J$10),0))</f>
        <v>0</v>
      </c>
      <c r="K50" s="8">
        <f>IF($A50=K$1,0,IF(SUM(IMshareM!K$2:K$78)-IMshareM!K$11&gt;0,IMshareM!K50/(SUM(IMshareM!K$2:K$78)-IMshareM!K$11),0))</f>
        <v>2.2180280061282991E-4</v>
      </c>
      <c r="L50" s="8">
        <f>IF($A50=L$1,0,IF(SUM(IMshareM!L$2:L$78)-IMshareM!L$12&gt;0,IMshareM!L50/(SUM(IMshareM!L$2:L$78)-IMshareM!L$12),0))</f>
        <v>1.4224524104176053E-5</v>
      </c>
      <c r="M50" s="8">
        <f>IF($A50=M$1,0,IF(SUM(IMshareM!M$2:M$78)-IMshareM!M$13&gt;0,IMshareM!M50/(SUM(IMshareM!M$2:M$78)-IMshareM!M$13),0))</f>
        <v>0</v>
      </c>
      <c r="N50" s="8">
        <f>IF($A50=N$1,0,IF(SUM(IMshareM!N$2:N$78)-IMshareM!N$14&gt;0,IMshareM!N50/(SUM(IMshareM!N$2:N$78)-IMshareM!N$14),0))</f>
        <v>2.232983850056597E-5</v>
      </c>
      <c r="O50" s="8">
        <f>IF($A50=O$1,0,IF(SUM(IMshareM!O$2:O$78)-IMshareM!O$15&gt;0,IMshareM!O50/(SUM(IMshareM!O$2:O$78)-IMshareM!O$15),0))</f>
        <v>2.033357131338116E-4</v>
      </c>
      <c r="P50" s="8">
        <f>IF($A50=P$1,0,IF(SUM(IMshareM!P$2:P$78)-IMshareM!P$16&gt;0,IMshareM!P50/(SUM(IMshareM!P$2:P$78)-IMshareM!P$16),0))</f>
        <v>0</v>
      </c>
      <c r="Q50" s="8">
        <f>IF($A50=Q$1,0,IF(SUM(IMshareM!Q$2:Q$78)-IMshareM!Q$17&gt;0,IMshareM!Q50/(SUM(IMshareM!Q$2:Q$78)-IMshareM!Q$17),0))</f>
        <v>1.7246641810131138E-4</v>
      </c>
      <c r="R50" s="8">
        <f>IF($A50=R$1,0,IF(SUM(IMshareM!R$2:R$78)-IMshareM!R$18&gt;0,IMshareM!R50/(SUM(IMshareM!R$2:R$78)-IMshareM!R$18),0))</f>
        <v>0</v>
      </c>
      <c r="S50" s="8">
        <f>IF($A50=S$1,0,IF(SUM(IMshareM!S$2:S$78)-IMshareM!S$19&gt;0,IMshareM!S50/(SUM(IMshareM!S$2:S$78)-IMshareM!S$19),0))</f>
        <v>0</v>
      </c>
      <c r="T50" s="8">
        <f>IF($A50=T$1,0,IF(SUM(IMshareM!T$2:T$78)-IMshareM!T$20&gt;0,IMshareM!T50/(SUM(IMshareM!T$2:T$78)-IMshareM!T$20),0))</f>
        <v>3.8321086664452751E-6</v>
      </c>
      <c r="U50" s="8">
        <f>IF($A50=U$1,0,IF(SUM(IMshareM!U$2:U$78)-IMshareM!U$21&gt;0,IMshareM!U50/(SUM(IMshareM!U$2:U$78)-IMshareM!U$21),0))</f>
        <v>1.7082957351199022E-7</v>
      </c>
      <c r="V50" s="8">
        <f>IF($A50=V$1,0,IF(SUM(IMshareM!V$2:V$78)-IMshareM!V$22&gt;0,IMshareM!V50/(SUM(IMshareM!V$2:V$78)-IMshareM!V$22),0))</f>
        <v>0</v>
      </c>
      <c r="W50" s="8">
        <f>IF($A50=W$1,0,IF(SUM(IMshareM!W$2:W$78)-IMshareM!W$23&gt;0,IMshareM!W50/(SUM(IMshareM!W$2:W$78)-IMshareM!W$23),0))</f>
        <v>3.4087490591013219E-6</v>
      </c>
      <c r="X50" s="8">
        <f>IF($A50=X$1,0,IF(SUM(IMshareM!X$2:X$78)-IMshareM!X$24&gt;0,IMshareM!X50/(SUM(IMshareM!X$2:X$78)-IMshareM!X$24),0))</f>
        <v>5.0252904981782564E-6</v>
      </c>
      <c r="Y50" s="8">
        <f>IF($A50=Y$1,0,IF(SUM(IMshareM!Y$2:Y$78)-IMshareM!Y$25&gt;0,IMshareM!Y50/(SUM(IMshareM!Y$2:Y$78)-IMshareM!Y$25),0))</f>
        <v>0</v>
      </c>
      <c r="Z50" s="8">
        <f>IF($A50=Z$1,0,IF(SUM(IMshareM!Z$2:Z$78)-IMshareM!Z$26&gt;0,IMshareM!Z50/(SUM(IMshareM!Z$2:Z$78)-IMshareM!Z$26),0))</f>
        <v>0</v>
      </c>
      <c r="AA50" s="8">
        <f>IF($A50=AA$1,0,IF(SUM(IMshareM!AA$2:AA$78)-IMshareM!AA$27&gt;0,IMshareM!AA50/(SUM(IMshareM!AA$2:AA$78)-IMshareM!AA$27),0))</f>
        <v>0</v>
      </c>
      <c r="AB50" s="8">
        <f>IF($A50=AB$1,0,IF(SUM(IMshareM!AB$2:AB$78)-IMshareM!AB$28&gt;0,IMshareM!AB50/(SUM(IMshareM!AB$2:AB$78)-IMshareM!AB$28),0))</f>
        <v>3.7619782581854984E-6</v>
      </c>
      <c r="AC50" s="8">
        <f>IF($A50=AC$1,0,IF(SUM(IMshareM!AC$2:AC$78)-IMshareM!AC$29&gt;0,IMshareM!AC50/(SUM(IMshareM!AC$2:AC$78)-IMshareM!AC$29),0))</f>
        <v>0</v>
      </c>
      <c r="AD50" s="8">
        <f>IF($A50=AD$1,0,IF(SUM(IMshareM!AD$2:AD$78)-IMshareM!AD$30&gt;0,IMshareM!AD50/(SUM(IMshareM!AD$2:AD$78)-IMshareM!AD$30),0))</f>
        <v>1.5446841033508801E-3</v>
      </c>
      <c r="AE50" s="8">
        <f>IF($A50=AE$1,0,IF(SUM(IMshareM!AE$2:AE$78)-IMshareM!AE$31&gt;0,IMshareM!AE50/(SUM(IMshareM!AE$2:AE$78)-IMshareM!AE$31),0))</f>
        <v>5.9748078437759497E-6</v>
      </c>
      <c r="AF50" s="8">
        <f>IF($A50=AF$1,0,IF(SUM(IMshareM!AF$2:AF$78)-IMshareM!AF$32&gt;0,IMshareM!AF50/(SUM(IMshareM!AF$2:AF$78)-IMshareM!AF$32),0))</f>
        <v>4.2100031195973295E-5</v>
      </c>
      <c r="AG50" s="8">
        <f>IF($A50=AG$1,0,IF(SUM(IMshareM!AG$2:AG$78)-IMshareM!AG$33&gt;0,IMshareM!AG50/(SUM(IMshareM!AG$2:AG$78)-IMshareM!AG$33),0))</f>
        <v>0</v>
      </c>
      <c r="AH50" s="8">
        <f>IF($A50=AH$1,0,IF(SUM(IMshareM!AH$2:AH$78)-IMshareM!AH$34&gt;0,IMshareM!AH50/(SUM(IMshareM!AH$2:AH$78)-IMshareM!AH$34),0))</f>
        <v>1.1360879850597445E-8</v>
      </c>
      <c r="AI50" s="8">
        <f>IF($A50=AI$1,0,IF(SUM(IMshareM!AI$2:AI$78)-IMshareM!AI$35&gt;0,IMshareM!AI50/(SUM(IMshareM!AI$2:AI$78)-IMshareM!AI$35),0))</f>
        <v>0</v>
      </c>
      <c r="AJ50" s="8">
        <f>IF($A50=AJ$1,0,IF(SUM(IMshareM!AJ$2:AJ$78)-IMshareM!AJ$36&gt;0,IMshareM!AJ50/(SUM(IMshareM!AJ$2:AJ$78)-IMshareM!AJ$36),0))</f>
        <v>2.99528493527751E-6</v>
      </c>
      <c r="AK50" s="8">
        <f>IF($A50=AK$1,0,IF(SUM(IMshareM!AK$2:AK$78)-IMshareM!AK$37&gt;0,IMshareM!AK50/(SUM(IMshareM!AK$2:AK$78)-IMshareM!AK$37),0))</f>
        <v>4.214288830337496E-6</v>
      </c>
      <c r="AL50" s="8">
        <f>IF($A50=AL$1,0,IF(SUM(IMshareM!AL$2:AL$78)-IMshareM!AL$38&gt;0,IMshareM!AL50/(SUM(IMshareM!AL$2:AL$78)-IMshareM!AL$38),0))</f>
        <v>2.4193003832309494E-5</v>
      </c>
      <c r="AM50" s="8">
        <f>IF($A50=AM$1,0,IF(SUM(IMshareM!AM$2:AM$78)-IMshareM!AM$39&gt;0,IMshareM!AM50/(SUM(IMshareM!AM$2:AM$78)-IMshareM!AM$39),0))</f>
        <v>0</v>
      </c>
      <c r="AN50" s="8">
        <f>IF($A50=AN$1,0,IF(SUM(IMshareM!AN$2:AN$78)-IMshareM!AN$40&gt;0,IMshareM!AN50/(SUM(IMshareM!AN$2:AN$78)-IMshareM!AN$40),0))</f>
        <v>0</v>
      </c>
      <c r="AO50" s="8">
        <f>IF($A50=AO$1,0,IF(SUM(IMshareM!AO$2:AO$78)-IMshareM!AO$41&gt;0,IMshareM!AO50/(SUM(IMshareM!AO$2:AO$78)-IMshareM!AO$41),0))</f>
        <v>0</v>
      </c>
      <c r="AP50" s="8">
        <f>IF($A50=AP$1,0,IF(SUM(IMshareM!AP$2:AP$78)-IMshareM!AP$42&gt;0,IMshareM!AP50/(SUM(IMshareM!AP$2:AP$78)-IMshareM!AP$42),0))</f>
        <v>0</v>
      </c>
      <c r="AQ50" s="8">
        <f>IF($A50=AQ$1,0,IF(SUM(IMshareM!AQ$2:AQ$78)-IMshareM!AQ$43&gt;0,IMshareM!AQ50/(SUM(IMshareM!AQ$2:AQ$78)-IMshareM!AQ$43),0))</f>
        <v>1.0332704599506931E-6</v>
      </c>
      <c r="AR50" s="8">
        <f>IF($A50=AR$1,0,IF(SUM(IMshareM!AR$2:AR$78)-IMshareM!AR$44&gt;0,IMshareM!AR50/(SUM(IMshareM!AR$2:AR$78)-IMshareM!AR$44),0))</f>
        <v>0</v>
      </c>
      <c r="AS50" s="8">
        <f>IF($A50=AS$1,0,IF(SUM(IMshareM!AS$2:AS$78)-IMshareM!AS$45&gt;0,IMshareM!AS50/(SUM(IMshareM!AS$2:AS$78)-IMshareM!AS$45),0))</f>
        <v>0</v>
      </c>
      <c r="AT50" s="8">
        <f>IF($A50=AT$1,0,IF(SUM(IMshareM!AT$2:AT$78)-IMshareM!AT$46&gt;0,IMshareM!AT50/(SUM(IMshareM!AT$2:AT$78)-IMshareM!AT$46),0))</f>
        <v>0</v>
      </c>
      <c r="AU50" s="8">
        <f>IF($A50=AU$1,0,IF(SUM(IMshareM!AU$2:AU$78)-IMshareM!AU$47&gt;0,IMshareM!AU50/(SUM(IMshareM!AU$2:AU$78)-IMshareM!AU$47),0))</f>
        <v>0</v>
      </c>
      <c r="AV50" s="8">
        <f>IF($A50=AV$1,0,IF(SUM(IMshareM!AV$2:AV$78)-IMshareM!AV$48&gt;0,IMshareM!AV50/(SUM(IMshareM!AV$2:AV$78)-IMshareM!AV$48),0))</f>
        <v>1.4247161046039042E-5</v>
      </c>
      <c r="AW50" s="8">
        <f>IF($A50=AW$1,0,IF(SUM(IMshareM!AW$2:AW$78)-IMshareM!AW$49&gt;0,IMshareM!AW50/(SUM(IMshareM!AW$2:AW$78)-IMshareM!AW$49),0))</f>
        <v>0</v>
      </c>
      <c r="AX50" s="8">
        <f>IF($A50=AX$1,0,IF(SUM(IMshareM!AX$2:AX$78)-IMshareM!AX$50&gt;0,IMshareM!AX50/(SUM(IMshareM!AX$2:AX$78)-IMshareM!AX$50),0))</f>
        <v>0</v>
      </c>
      <c r="AY50" s="8">
        <f>IF($A50=AY$1,0,IF(SUM(IMshareM!AY$2:AY$78)-IMshareM!AY$51&gt;0,IMshareM!AY50/(SUM(IMshareM!AY$2:AY$78)-IMshareM!AY$51),0))</f>
        <v>0</v>
      </c>
      <c r="AZ50" s="8">
        <f>IF($A50=AZ$1,0,IF(SUM(IMshareM!AZ$2:AZ$78)-IMshareM!AZ$52&gt;0,IMshareM!AZ50/(SUM(IMshareM!AZ$2:AZ$78)-IMshareM!AZ$52),0))</f>
        <v>0</v>
      </c>
      <c r="BA50" s="8">
        <f>IF($A50=BA$1,0,IF(SUM(IMshareM!BA$2:BA$78)-IMshareM!BA$53&gt;0,IMshareM!BA50/(SUM(IMshareM!BA$2:BA$78)-IMshareM!BA$53),0))</f>
        <v>0</v>
      </c>
      <c r="BB50" s="8">
        <f>IF($A50=BB$1,0,IF(SUM(IMshareM!BB$2:BB$78)-IMshareM!BB$54&gt;0,IMshareM!BB50/(SUM(IMshareM!BB$2:BB$78)-IMshareM!BB$54),0))</f>
        <v>1.0071739856021234E-5</v>
      </c>
      <c r="BC50" s="8">
        <f>IF($A50=BC$1,0,IF(SUM(IMshareM!BC$2:BC$78)-IMshareM!BC$55&gt;0,IMshareM!BC50/(SUM(IMshareM!BC$2:BC$78)-IMshareM!BC$55),0))</f>
        <v>5.4333538686397617E-6</v>
      </c>
      <c r="BD50" s="8">
        <f>IF($A50=BD$1,0,IF(SUM(IMshareM!BD$2:BD$78)-IMshareM!BD$56&gt;0,IMshareM!BD50/(SUM(IMshareM!BD$2:BD$78)-IMshareM!BD$56),0))</f>
        <v>2.0383146527796096E-4</v>
      </c>
      <c r="BE50" s="8">
        <f>IF($A50=BE$1,0,IF(SUM(IMshareM!BE$2:BE$78)-IMshareM!BE$57&gt;0,IMshareM!BE50/(SUM(IMshareM!BE$2:BE$78)-IMshareM!BE$57),0))</f>
        <v>1.6372863817991321E-5</v>
      </c>
      <c r="BF50" s="8">
        <f>IF($A50=BF$1,0,IF(SUM(IMshareM!BF$2:BF$78)-IMshareM!BF$58&gt;0,IMshareM!BF50/(SUM(IMshareM!BF$2:BF$78)-IMshareM!BF$58),0))</f>
        <v>1.1060740375415211E-5</v>
      </c>
      <c r="BG50" s="8">
        <f>IF($A50=BG$1,0,IF(SUM(IMshareM!BG$2:BG$78)-IMshareM!BG$59&gt;0,IMshareM!BG50/(SUM(IMshareM!BG$2:BG$78)-IMshareM!BG$59),0))</f>
        <v>0</v>
      </c>
      <c r="BH50" s="8">
        <f>IF($A50=BH$1,0,IF(SUM(IMshareM!BH$2:BH$78)-IMshareM!BH$60&gt;0,IMshareM!BH50/(SUM(IMshareM!BH$2:BH$78)-IMshareM!BH$60),0))</f>
        <v>1.4279060642020571E-6</v>
      </c>
      <c r="BI50" s="8">
        <f>IF($A50=BI$1,0,IF(SUM(IMshareM!BI$2:BI$78)-IMshareM!BI$61&gt;0,IMshareM!BI50/(SUM(IMshareM!BI$2:BI$78)-IMshareM!BI$61),0))</f>
        <v>4.1238110333328006E-7</v>
      </c>
      <c r="BJ50" s="8">
        <f>IF($A50=BJ$1,0,IF(SUM(IMshareM!BJ$2:BJ$78)-IMshareM!BJ$62&gt;0,IMshareM!BJ50/(SUM(IMshareM!BJ$2:BJ$78)-IMshareM!BJ$62),0))</f>
        <v>0</v>
      </c>
      <c r="BK50" s="8">
        <f>IF($A50=BK$1,0,IF(SUM(IMshareM!BK$2:BK$78)-IMshareM!BK$63&gt;0,IMshareM!BK50/(SUM(IMshareM!BK$2:BK$78)-IMshareM!BK$63),0))</f>
        <v>0</v>
      </c>
      <c r="BL50" s="8">
        <f>IF($A50=BL$1,0,IF(SUM(IMshareM!BL$2:BL$78)-IMshareM!BL$64&gt;0,IMshareM!BL50/(SUM(IMshareM!BL$2:BL$78)-IMshareM!BL$64),0))</f>
        <v>0</v>
      </c>
      <c r="BM50" s="8">
        <f>IF($A50=BM$1,0,IF(SUM(IMshareM!BM$2:BM$78)-IMshareM!BM$65&gt;0,IMshareM!BM50/(SUM(IMshareM!BM$2:BM$78)-IMshareM!BM$65),0))</f>
        <v>0</v>
      </c>
      <c r="BN50" s="8">
        <f>IF($A50=BN$1,0,IF(SUM(IMshareM!BN$2:BN$78)-IMshareM!BN$66&gt;0,IMshareM!BN50/(SUM(IMshareM!BN$2:BN$78)-IMshareM!BN$66),0))</f>
        <v>1.2623387620135579E-7</v>
      </c>
      <c r="BO50" s="8">
        <f>IF($A50=BO$1,0,IF(SUM(IMshareM!BO$2:BO$78)-IMshareM!BO$67&gt;0,IMshareM!BO50/(SUM(IMshareM!BO$2:BO$78)-IMshareM!BO$67),0))</f>
        <v>0</v>
      </c>
      <c r="BP50" s="8">
        <f>IF($A50=BP$1,0,IF(SUM(IMshareM!BP$2:BP$78)-IMshareM!BP$68&gt;0,IMshareM!BP50/(SUM(IMshareM!BP$2:BP$78)-IMshareM!BP$68),0))</f>
        <v>0</v>
      </c>
      <c r="BQ50" s="8">
        <f>IF($A50=BQ$1,0,IF(SUM(IMshareM!BQ$2:BQ$78)-IMshareM!BQ$69&gt;0,IMshareM!BQ50/(SUM(IMshareM!BQ$2:BQ$78)-IMshareM!BQ$69),0))</f>
        <v>1.8560775494080486E-5</v>
      </c>
      <c r="BR50" s="8">
        <f>IF($A50=BR$1,0,IF(SUM(IMshareM!BR$2:BR$78)-IMshareM!BR$70&gt;0,IMshareM!BR50/(SUM(IMshareM!BR$2:BR$78)-IMshareM!BR$70),0))</f>
        <v>0</v>
      </c>
      <c r="BS50" s="8">
        <f>IF($A50=BS$1,0,IF(SUM(IMshareM!BS$2:BS$78)-IMshareM!BS$71&gt;0,IMshareM!BS50/(SUM(IMshareM!BS$2:BS$78)-IMshareM!BS$71),0))</f>
        <v>1.0710835186093913E-4</v>
      </c>
      <c r="BT50" s="8">
        <f>IF($A50=BT$1,0,IF(SUM(IMshareM!BT$2:BT$78)-IMshareM!BT$72&gt;0,IMshareM!BT50/(SUM(IMshareM!BT$2:BT$78)-IMshareM!BT$72),0))</f>
        <v>1.7129375732833471E-6</v>
      </c>
      <c r="BU50" s="8">
        <f>IF($A50=BU$1,0,IF(SUM(IMshareM!BU$2:BU$78)-IMshareM!BU$73&gt;0,IMshareM!BU50/(SUM(IMshareM!BU$2:BU$78)-IMshareM!BU$73),0))</f>
        <v>0</v>
      </c>
      <c r="BV50" s="8">
        <f>IF($A50=BV$1,0,IF(SUM(IMshareM!BV$2:BV$78)-IMshareM!BV$74&gt;0,IMshareM!BV50/(SUM(IMshareM!BV$2:BV$78)-IMshareM!BV$74),0))</f>
        <v>2.1271063248153662E-6</v>
      </c>
      <c r="BW50" s="8">
        <f>IF($A50=BW$1,0,IF(SUM(IMshareM!BW$2:BW$78)-IMshareM!BW$75&gt;0,IMshareM!BW50/(SUM(IMshareM!BW$2:BW$78)-IMshareM!BW$75),0))</f>
        <v>1.6608314517467847E-5</v>
      </c>
      <c r="BX50" s="8">
        <f>IF($A50=BX$1,0,IF(SUM(IMshareM!BX$2:BX$78)-IMshareM!BX$76&gt;0,IMshareM!BX50/(SUM(IMshareM!BX$2:BX$78)-IMshareM!BX$76),0))</f>
        <v>0</v>
      </c>
      <c r="BY50" s="8">
        <f>IF($A50=BY$1,0,IF(SUM(IMshareM!BY$2:BY$78)-IMshareM!BY$77&gt;0,IMshareM!BY50/(SUM(IMshareM!BY$2:BY$78)-IMshareM!BY$77),0))</f>
        <v>1.4478103838014743E-5</v>
      </c>
      <c r="BZ50" s="8">
        <f>IF($A50=BZ$1,0,IF(SUM(IMshareM!BZ$2:BZ$78)-IMshareM!BZ$78&gt;0,IMshareM!BZ50/(SUM(IMshareM!BZ$2:BZ$78)-IMshareM!BZ$78),0))</f>
        <v>6.6490242484867562E-5</v>
      </c>
    </row>
    <row r="51" spans="1:78">
      <c r="A51" s="4" t="s">
        <v>169</v>
      </c>
      <c r="B51" s="8">
        <f>IF($A51=B$1,0,IF(SUM(IMshareM!B$2:B$78)-IMshareM!B$2&gt;0,IMshareM!B51/(SUM(IMshareM!B$2:B$78)-IMshareM!B$2),0))</f>
        <v>0</v>
      </c>
      <c r="C51" s="8">
        <f>IF($A51=C$1,0,IF(SUM(IMshareM!C$2:C$78)-IMshareM!C$3&gt;0,IMshareM!C51/(SUM(IMshareM!C$2:C$78)-IMshareM!C$3),0))</f>
        <v>0</v>
      </c>
      <c r="D51" s="8">
        <f>IF($A51=D$1,0,IF(SUM(IMshareM!D$2:D$78)-IMshareM!D$4&gt;0,IMshareM!D51/(SUM(IMshareM!D$2:D$78)-IMshareM!D$4),0))</f>
        <v>1.397420784380189E-8</v>
      </c>
      <c r="E51" s="8">
        <f>IF($A51=E$1,0,IF(SUM(IMshareM!E$2:E$78)-IMshareM!E$5&gt;0,IMshareM!E51/(SUM(IMshareM!E$2:E$78)-IMshareM!E$5),0))</f>
        <v>0</v>
      </c>
      <c r="F51" s="8">
        <f>IF($A51=F$1,0,IF(SUM(IMshareM!F$2:F$78)-IMshareM!F$6&gt;0,IMshareM!F51/(SUM(IMshareM!F$2:F$78)-IMshareM!F$6),0))</f>
        <v>0</v>
      </c>
      <c r="G51" s="8">
        <f>IF($A51=G$1,0,IF(SUM(IMshareM!G$2:G$78)-IMshareM!G$7&gt;0,IMshareM!G51/(SUM(IMshareM!G$2:G$78)-IMshareM!G$7),0))</f>
        <v>0</v>
      </c>
      <c r="H51" s="8">
        <f>IF($A51=H$1,0,IF(SUM(IMshareM!H$2:H$78)-IMshareM!H$8&gt;0,IMshareM!H51/(SUM(IMshareM!H$2:H$78)-IMshareM!H$8),0))</f>
        <v>0</v>
      </c>
      <c r="I51" s="8">
        <f>IF($A51=I$1,0,IF(SUM(IMshareM!I$2:I$78)-IMshareM!I$9&gt;0,IMshareM!I51/(SUM(IMshareM!I$2:I$78)-IMshareM!I$9),0))</f>
        <v>0</v>
      </c>
      <c r="J51" s="8">
        <f>IF($A51=J$1,0,IF(SUM(IMshareM!J$2:J$78)-IMshareM!J$10&gt;0,IMshareM!J51/(SUM(IMshareM!J$2:J$78)-IMshareM!J$10),0))</f>
        <v>0</v>
      </c>
      <c r="K51" s="8">
        <f>IF($A51=K$1,0,IF(SUM(IMshareM!K$2:K$78)-IMshareM!K$11&gt;0,IMshareM!K51/(SUM(IMshareM!K$2:K$78)-IMshareM!K$11),0))</f>
        <v>2.9619201198389192E-7</v>
      </c>
      <c r="L51" s="8">
        <f>IF($A51=L$1,0,IF(SUM(IMshareM!L$2:L$78)-IMshareM!L$12&gt;0,IMshareM!L51/(SUM(IMshareM!L$2:L$78)-IMshareM!L$12),0))</f>
        <v>8.9402804245937425E-7</v>
      </c>
      <c r="M51" s="8">
        <f>IF($A51=M$1,0,IF(SUM(IMshareM!M$2:M$78)-IMshareM!M$13&gt;0,IMshareM!M51/(SUM(IMshareM!M$2:M$78)-IMshareM!M$13),0))</f>
        <v>0</v>
      </c>
      <c r="N51" s="8">
        <f>IF($A51=N$1,0,IF(SUM(IMshareM!N$2:N$78)-IMshareM!N$14&gt;0,IMshareM!N51/(SUM(IMshareM!N$2:N$78)-IMshareM!N$14),0))</f>
        <v>1.0763818527808291E-5</v>
      </c>
      <c r="O51" s="8">
        <f>IF($A51=O$1,0,IF(SUM(IMshareM!O$2:O$78)-IMshareM!O$15&gt;0,IMshareM!O51/(SUM(IMshareM!O$2:O$78)-IMshareM!O$15),0))</f>
        <v>0</v>
      </c>
      <c r="P51" s="8">
        <f>IF($A51=P$1,0,IF(SUM(IMshareM!P$2:P$78)-IMshareM!P$16&gt;0,IMshareM!P51/(SUM(IMshareM!P$2:P$78)-IMshareM!P$16),0))</f>
        <v>0</v>
      </c>
      <c r="Q51" s="8">
        <f>IF($A51=Q$1,0,IF(SUM(IMshareM!Q$2:Q$78)-IMshareM!Q$17&gt;0,IMshareM!Q51/(SUM(IMshareM!Q$2:Q$78)-IMshareM!Q$17),0))</f>
        <v>3.2966800900096338E-6</v>
      </c>
      <c r="R51" s="8">
        <f>IF($A51=R$1,0,IF(SUM(IMshareM!R$2:R$78)-IMshareM!R$18&gt;0,IMshareM!R51/(SUM(IMshareM!R$2:R$78)-IMshareM!R$18),0))</f>
        <v>0</v>
      </c>
      <c r="S51" s="8">
        <f>IF($A51=S$1,0,IF(SUM(IMshareM!S$2:S$78)-IMshareM!S$19&gt;0,IMshareM!S51/(SUM(IMshareM!S$2:S$78)-IMshareM!S$19),0))</f>
        <v>0</v>
      </c>
      <c r="T51" s="8">
        <f>IF($A51=T$1,0,IF(SUM(IMshareM!T$2:T$78)-IMshareM!T$20&gt;0,IMshareM!T51/(SUM(IMshareM!T$2:T$78)-IMshareM!T$20),0))</f>
        <v>3.8052928443875113E-7</v>
      </c>
      <c r="U51" s="8">
        <f>IF($A51=U$1,0,IF(SUM(IMshareM!U$2:U$78)-IMshareM!U$21&gt;0,IMshareM!U51/(SUM(IMshareM!U$2:U$78)-IMshareM!U$21),0))</f>
        <v>4.5714925515835019E-4</v>
      </c>
      <c r="V51" s="8">
        <f>IF($A51=V$1,0,IF(SUM(IMshareM!V$2:V$78)-IMshareM!V$22&gt;0,IMshareM!V51/(SUM(IMshareM!V$2:V$78)-IMshareM!V$22),0))</f>
        <v>0</v>
      </c>
      <c r="W51" s="8">
        <f>IF($A51=W$1,0,IF(SUM(IMshareM!W$2:W$78)-IMshareM!W$23&gt;0,IMshareM!W51/(SUM(IMshareM!W$2:W$78)-IMshareM!W$23),0))</f>
        <v>0</v>
      </c>
      <c r="X51" s="8">
        <f>IF($A51=X$1,0,IF(SUM(IMshareM!X$2:X$78)-IMshareM!X$24&gt;0,IMshareM!X51/(SUM(IMshareM!X$2:X$78)-IMshareM!X$24),0))</f>
        <v>0</v>
      </c>
      <c r="Y51" s="8">
        <f>IF($A51=Y$1,0,IF(SUM(IMshareM!Y$2:Y$78)-IMshareM!Y$25&gt;0,IMshareM!Y51/(SUM(IMshareM!Y$2:Y$78)-IMshareM!Y$25),0))</f>
        <v>0</v>
      </c>
      <c r="Z51" s="8">
        <f>IF($A51=Z$1,0,IF(SUM(IMshareM!Z$2:Z$78)-IMshareM!Z$26&gt;0,IMshareM!Z51/(SUM(IMshareM!Z$2:Z$78)-IMshareM!Z$26),0))</f>
        <v>3.1234167940450943E-7</v>
      </c>
      <c r="AA51" s="8">
        <f>IF($A51=AA$1,0,IF(SUM(IMshareM!AA$2:AA$78)-IMshareM!AA$27&gt;0,IMshareM!AA51/(SUM(IMshareM!AA$2:AA$78)-IMshareM!AA$27),0))</f>
        <v>8.084138522045921E-6</v>
      </c>
      <c r="AB51" s="8">
        <f>IF($A51=AB$1,0,IF(SUM(IMshareM!AB$2:AB$78)-IMshareM!AB$28&gt;0,IMshareM!AB51/(SUM(IMshareM!AB$2:AB$78)-IMshareM!AB$28),0))</f>
        <v>1.0521657428892131E-5</v>
      </c>
      <c r="AC51" s="8">
        <f>IF($A51=AC$1,0,IF(SUM(IMshareM!AC$2:AC$78)-IMshareM!AC$29&gt;0,IMshareM!AC51/(SUM(IMshareM!AC$2:AC$78)-IMshareM!AC$29),0))</f>
        <v>0</v>
      </c>
      <c r="AD51" s="8">
        <f>IF($A51=AD$1,0,IF(SUM(IMshareM!AD$2:AD$78)-IMshareM!AD$30&gt;0,IMshareM!AD51/(SUM(IMshareM!AD$2:AD$78)-IMshareM!AD$30),0))</f>
        <v>1.668906161947635E-4</v>
      </c>
      <c r="AE51" s="8">
        <f>IF($A51=AE$1,0,IF(SUM(IMshareM!AE$2:AE$78)-IMshareM!AE$31&gt;0,IMshareM!AE51/(SUM(IMshareM!AE$2:AE$78)-IMshareM!AE$31),0))</f>
        <v>0</v>
      </c>
      <c r="AF51" s="8">
        <f>IF($A51=AF$1,0,IF(SUM(IMshareM!AF$2:AF$78)-IMshareM!AF$32&gt;0,IMshareM!AF51/(SUM(IMshareM!AF$2:AF$78)-IMshareM!AF$32),0))</f>
        <v>0</v>
      </c>
      <c r="AG51" s="8">
        <f>IF($A51=AG$1,0,IF(SUM(IMshareM!AG$2:AG$78)-IMshareM!AG$33&gt;0,IMshareM!AG51/(SUM(IMshareM!AG$2:AG$78)-IMshareM!AG$33),0))</f>
        <v>1.9613891426740685E-5</v>
      </c>
      <c r="AH51" s="8">
        <f>IF($A51=AH$1,0,IF(SUM(IMshareM!AH$2:AH$78)-IMshareM!AH$34&gt;0,IMshareM!AH51/(SUM(IMshareM!AH$2:AH$78)-IMshareM!AH$34),0))</f>
        <v>2.7361651446141658E-7</v>
      </c>
      <c r="AI51" s="8">
        <f>IF($A51=AI$1,0,IF(SUM(IMshareM!AI$2:AI$78)-IMshareM!AI$35&gt;0,IMshareM!AI51/(SUM(IMshareM!AI$2:AI$78)-IMshareM!AI$35),0))</f>
        <v>0</v>
      </c>
      <c r="AJ51" s="8">
        <f>IF($A51=AJ$1,0,IF(SUM(IMshareM!AJ$2:AJ$78)-IMshareM!AJ$36&gt;0,IMshareM!AJ51/(SUM(IMshareM!AJ$2:AJ$78)-IMshareM!AJ$36),0))</f>
        <v>0</v>
      </c>
      <c r="AK51" s="8">
        <f>IF($A51=AK$1,0,IF(SUM(IMshareM!AK$2:AK$78)-IMshareM!AK$37&gt;0,IMshareM!AK51/(SUM(IMshareM!AK$2:AK$78)-IMshareM!AK$37),0))</f>
        <v>0</v>
      </c>
      <c r="AL51" s="8">
        <f>IF($A51=AL$1,0,IF(SUM(IMshareM!AL$2:AL$78)-IMshareM!AL$38&gt;0,IMshareM!AL51/(SUM(IMshareM!AL$2:AL$78)-IMshareM!AL$38),0))</f>
        <v>0</v>
      </c>
      <c r="AM51" s="8">
        <f>IF($A51=AM$1,0,IF(SUM(IMshareM!AM$2:AM$78)-IMshareM!AM$39&gt;0,IMshareM!AM51/(SUM(IMshareM!AM$2:AM$78)-IMshareM!AM$39),0))</f>
        <v>0</v>
      </c>
      <c r="AN51" s="8">
        <f>IF($A51=AN$1,0,IF(SUM(IMshareM!AN$2:AN$78)-IMshareM!AN$40&gt;0,IMshareM!AN51/(SUM(IMshareM!AN$2:AN$78)-IMshareM!AN$40),0))</f>
        <v>4.6002347202528759E-6</v>
      </c>
      <c r="AO51" s="8">
        <f>IF($A51=AO$1,0,IF(SUM(IMshareM!AO$2:AO$78)-IMshareM!AO$41&gt;0,IMshareM!AO51/(SUM(IMshareM!AO$2:AO$78)-IMshareM!AO$41),0))</f>
        <v>0</v>
      </c>
      <c r="AP51" s="8">
        <f>IF($A51=AP$1,0,IF(SUM(IMshareM!AP$2:AP$78)-IMshareM!AP$42&gt;0,IMshareM!AP51/(SUM(IMshareM!AP$2:AP$78)-IMshareM!AP$42),0))</f>
        <v>2.6511822497443673E-3</v>
      </c>
      <c r="AQ51" s="8">
        <f>IF($A51=AQ$1,0,IF(SUM(IMshareM!AQ$2:AQ$78)-IMshareM!AQ$43&gt;0,IMshareM!AQ51/(SUM(IMshareM!AQ$2:AQ$78)-IMshareM!AQ$43),0))</f>
        <v>0</v>
      </c>
      <c r="AR51" s="8">
        <f>IF($A51=AR$1,0,IF(SUM(IMshareM!AR$2:AR$78)-IMshareM!AR$44&gt;0,IMshareM!AR51/(SUM(IMshareM!AR$2:AR$78)-IMshareM!AR$44),0))</f>
        <v>0</v>
      </c>
      <c r="AS51" s="8">
        <f>IF($A51=AS$1,0,IF(SUM(IMshareM!AS$2:AS$78)-IMshareM!AS$45&gt;0,IMshareM!AS51/(SUM(IMshareM!AS$2:AS$78)-IMshareM!AS$45),0))</f>
        <v>0</v>
      </c>
      <c r="AT51" s="8">
        <f>IF($A51=AT$1,0,IF(SUM(IMshareM!AT$2:AT$78)-IMshareM!AT$46&gt;0,IMshareM!AT51/(SUM(IMshareM!AT$2:AT$78)-IMshareM!AT$46),0))</f>
        <v>0</v>
      </c>
      <c r="AU51" s="8">
        <f>IF($A51=AU$1,0,IF(SUM(IMshareM!AU$2:AU$78)-IMshareM!AU$47&gt;0,IMshareM!AU51/(SUM(IMshareM!AU$2:AU$78)-IMshareM!AU$47),0))</f>
        <v>0</v>
      </c>
      <c r="AV51" s="8">
        <f>IF($A51=AV$1,0,IF(SUM(IMshareM!AV$2:AV$78)-IMshareM!AV$48&gt;0,IMshareM!AV51/(SUM(IMshareM!AV$2:AV$78)-IMshareM!AV$48),0))</f>
        <v>0</v>
      </c>
      <c r="AW51" s="8">
        <f>IF($A51=AW$1,0,IF(SUM(IMshareM!AW$2:AW$78)-IMshareM!AW$49&gt;0,IMshareM!AW51/(SUM(IMshareM!AW$2:AW$78)-IMshareM!AW$49),0))</f>
        <v>0</v>
      </c>
      <c r="AX51" s="8">
        <f>IF($A51=AX$1,0,IF(SUM(IMshareM!AX$2:AX$78)-IMshareM!AX$50&gt;0,IMshareM!AX51/(SUM(IMshareM!AX$2:AX$78)-IMshareM!AX$50),0))</f>
        <v>0</v>
      </c>
      <c r="AY51" s="8">
        <f>IF($A51=AY$1,0,IF(SUM(IMshareM!AY$2:AY$78)-IMshareM!AY$51&gt;0,IMshareM!AY51/(SUM(IMshareM!AY$2:AY$78)-IMshareM!AY$51),0))</f>
        <v>0</v>
      </c>
      <c r="AZ51" s="8">
        <f>IF($A51=AZ$1,0,IF(SUM(IMshareM!AZ$2:AZ$78)-IMshareM!AZ$52&gt;0,IMshareM!AZ51/(SUM(IMshareM!AZ$2:AZ$78)-IMshareM!AZ$52),0))</f>
        <v>7.5816952793543267E-6</v>
      </c>
      <c r="BA51" s="8">
        <f>IF($A51=BA$1,0,IF(SUM(IMshareM!BA$2:BA$78)-IMshareM!BA$53&gt;0,IMshareM!BA51/(SUM(IMshareM!BA$2:BA$78)-IMshareM!BA$53),0))</f>
        <v>0</v>
      </c>
      <c r="BB51" s="8">
        <f>IF($A51=BB$1,0,IF(SUM(IMshareM!BB$2:BB$78)-IMshareM!BB$54&gt;0,IMshareM!BB51/(SUM(IMshareM!BB$2:BB$78)-IMshareM!BB$54),0))</f>
        <v>8.2240978161251265E-6</v>
      </c>
      <c r="BC51" s="8">
        <f>IF($A51=BC$1,0,IF(SUM(IMshareM!BC$2:BC$78)-IMshareM!BC$55&gt;0,IMshareM!BC51/(SUM(IMshareM!BC$2:BC$78)-IMshareM!BC$55),0))</f>
        <v>0</v>
      </c>
      <c r="BD51" s="8">
        <f>IF($A51=BD$1,0,IF(SUM(IMshareM!BD$2:BD$78)-IMshareM!BD$56&gt;0,IMshareM!BD51/(SUM(IMshareM!BD$2:BD$78)-IMshareM!BD$56),0))</f>
        <v>0</v>
      </c>
      <c r="BE51" s="8">
        <f>IF($A51=BE$1,0,IF(SUM(IMshareM!BE$2:BE$78)-IMshareM!BE$57&gt;0,IMshareM!BE51/(SUM(IMshareM!BE$2:BE$78)-IMshareM!BE$57),0))</f>
        <v>0</v>
      </c>
      <c r="BF51" s="8">
        <f>IF($A51=BF$1,0,IF(SUM(IMshareM!BF$2:BF$78)-IMshareM!BF$58&gt;0,IMshareM!BF51/(SUM(IMshareM!BF$2:BF$78)-IMshareM!BF$58),0))</f>
        <v>0</v>
      </c>
      <c r="BG51" s="8">
        <f>IF($A51=BG$1,0,IF(SUM(IMshareM!BG$2:BG$78)-IMshareM!BG$59&gt;0,IMshareM!BG51/(SUM(IMshareM!BG$2:BG$78)-IMshareM!BG$59),0))</f>
        <v>0</v>
      </c>
      <c r="BH51" s="8">
        <f>IF($A51=BH$1,0,IF(SUM(IMshareM!BH$2:BH$78)-IMshareM!BH$60&gt;0,IMshareM!BH51/(SUM(IMshareM!BH$2:BH$78)-IMshareM!BH$60),0))</f>
        <v>0</v>
      </c>
      <c r="BI51" s="8">
        <f>IF($A51=BI$1,0,IF(SUM(IMshareM!BI$2:BI$78)-IMshareM!BI$61&gt;0,IMshareM!BI51/(SUM(IMshareM!BI$2:BI$78)-IMshareM!BI$61),0))</f>
        <v>1.5155851516670797E-6</v>
      </c>
      <c r="BJ51" s="8">
        <f>IF($A51=BJ$1,0,IF(SUM(IMshareM!BJ$2:BJ$78)-IMshareM!BJ$62&gt;0,IMshareM!BJ51/(SUM(IMshareM!BJ$2:BJ$78)-IMshareM!BJ$62),0))</f>
        <v>0</v>
      </c>
      <c r="BK51" s="8">
        <f>IF($A51=BK$1,0,IF(SUM(IMshareM!BK$2:BK$78)-IMshareM!BK$63&gt;0,IMshareM!BK51/(SUM(IMshareM!BK$2:BK$78)-IMshareM!BK$63),0))</f>
        <v>0</v>
      </c>
      <c r="BL51" s="8">
        <f>IF($A51=BL$1,0,IF(SUM(IMshareM!BL$2:BL$78)-IMshareM!BL$64&gt;0,IMshareM!BL51/(SUM(IMshareM!BL$2:BL$78)-IMshareM!BL$64),0))</f>
        <v>0</v>
      </c>
      <c r="BM51" s="8">
        <f>IF($A51=BM$1,0,IF(SUM(IMshareM!BM$2:BM$78)-IMshareM!BM$65&gt;0,IMshareM!BM51/(SUM(IMshareM!BM$2:BM$78)-IMshareM!BM$65),0))</f>
        <v>0</v>
      </c>
      <c r="BN51" s="8">
        <f>IF($A51=BN$1,0,IF(SUM(IMshareM!BN$2:BN$78)-IMshareM!BN$66&gt;0,IMshareM!BN51/(SUM(IMshareM!BN$2:BN$78)-IMshareM!BN$66),0))</f>
        <v>7.4411615569321721E-7</v>
      </c>
      <c r="BO51" s="8">
        <f>IF($A51=BO$1,0,IF(SUM(IMshareM!BO$2:BO$78)-IMshareM!BO$67&gt;0,IMshareM!BO51/(SUM(IMshareM!BO$2:BO$78)-IMshareM!BO$67),0))</f>
        <v>0</v>
      </c>
      <c r="BP51" s="8">
        <f>IF($A51=BP$1,0,IF(SUM(IMshareM!BP$2:BP$78)-IMshareM!BP$68&gt;0,IMshareM!BP51/(SUM(IMshareM!BP$2:BP$78)-IMshareM!BP$68),0))</f>
        <v>0</v>
      </c>
      <c r="BQ51" s="8">
        <f>IF($A51=BQ$1,0,IF(SUM(IMshareM!BQ$2:BQ$78)-IMshareM!BQ$69&gt;0,IMshareM!BQ51/(SUM(IMshareM!BQ$2:BQ$78)-IMshareM!BQ$69),0))</f>
        <v>0</v>
      </c>
      <c r="BR51" s="8">
        <f>IF($A51=BR$1,0,IF(SUM(IMshareM!BR$2:BR$78)-IMshareM!BR$70&gt;0,IMshareM!BR51/(SUM(IMshareM!BR$2:BR$78)-IMshareM!BR$70),0))</f>
        <v>4.260931207422534E-7</v>
      </c>
      <c r="BS51" s="8">
        <f>IF($A51=BS$1,0,IF(SUM(IMshareM!BS$2:BS$78)-IMshareM!BS$71&gt;0,IMshareM!BS51/(SUM(IMshareM!BS$2:BS$78)-IMshareM!BS$71),0))</f>
        <v>0</v>
      </c>
      <c r="BT51" s="8">
        <f>IF($A51=BT$1,0,IF(SUM(IMshareM!BT$2:BT$78)-IMshareM!BT$72&gt;0,IMshareM!BT51/(SUM(IMshareM!BT$2:BT$78)-IMshareM!BT$72),0))</f>
        <v>0</v>
      </c>
      <c r="BU51" s="8">
        <f>IF($A51=BU$1,0,IF(SUM(IMshareM!BU$2:BU$78)-IMshareM!BU$73&gt;0,IMshareM!BU51/(SUM(IMshareM!BU$2:BU$78)-IMshareM!BU$73),0))</f>
        <v>4.7847139372152931E-6</v>
      </c>
      <c r="BV51" s="8">
        <f>IF($A51=BV$1,0,IF(SUM(IMshareM!BV$2:BV$78)-IMshareM!BV$74&gt;0,IMshareM!BV51/(SUM(IMshareM!BV$2:BV$78)-IMshareM!BV$74),0))</f>
        <v>0</v>
      </c>
      <c r="BW51" s="8">
        <f>IF($A51=BW$1,0,IF(SUM(IMshareM!BW$2:BW$78)-IMshareM!BW$75&gt;0,IMshareM!BW51/(SUM(IMshareM!BW$2:BW$78)-IMshareM!BW$75),0))</f>
        <v>1.6153300665011716E-6</v>
      </c>
      <c r="BX51" s="8">
        <f>IF($A51=BX$1,0,IF(SUM(IMshareM!BX$2:BX$78)-IMshareM!BX$76&gt;0,IMshareM!BX51/(SUM(IMshareM!BX$2:BX$78)-IMshareM!BX$76),0))</f>
        <v>0</v>
      </c>
      <c r="BY51" s="8">
        <f>IF($A51=BY$1,0,IF(SUM(IMshareM!BY$2:BY$78)-IMshareM!BY$77&gt;0,IMshareM!BY51/(SUM(IMshareM!BY$2:BY$78)-IMshareM!BY$77),0))</f>
        <v>2.4481887272955654E-6</v>
      </c>
      <c r="BZ51" s="8">
        <f>IF($A51=BZ$1,0,IF(SUM(IMshareM!BZ$2:BZ$78)-IMshareM!BZ$78&gt;0,IMshareM!BZ51/(SUM(IMshareM!BZ$2:BZ$78)-IMshareM!BZ$78),0))</f>
        <v>2.8384797560938659E-6</v>
      </c>
    </row>
    <row r="52" spans="1:78">
      <c r="A52" s="4" t="s">
        <v>171</v>
      </c>
      <c r="B52" s="8">
        <f>IF($A52=B$1,0,IF(SUM(IMshareM!B$2:B$78)-IMshareM!B$2&gt;0,IMshareM!B52/(SUM(IMshareM!B$2:B$78)-IMshareM!B$2),0))</f>
        <v>7.6268749929655181E-5</v>
      </c>
      <c r="C52" s="8">
        <f>IF($A52=C$1,0,IF(SUM(IMshareM!C$2:C$78)-IMshareM!C$3&gt;0,IMshareM!C52/(SUM(IMshareM!C$2:C$78)-IMshareM!C$3),0))</f>
        <v>1.288856931157755E-3</v>
      </c>
      <c r="D52" s="8">
        <f>IF($A52=D$1,0,IF(SUM(IMshareM!D$2:D$78)-IMshareM!D$4&gt;0,IMshareM!D52/(SUM(IMshareM!D$2:D$78)-IMshareM!D$4),0))</f>
        <v>4.2826162561481525E-4</v>
      </c>
      <c r="E52" s="8">
        <f>IF($A52=E$1,0,IF(SUM(IMshareM!E$2:E$78)-IMshareM!E$5&gt;0,IMshareM!E52/(SUM(IMshareM!E$2:E$78)-IMshareM!E$5),0))</f>
        <v>1.1405084325458092E-4</v>
      </c>
      <c r="F52" s="8">
        <f>IF($A52=F$1,0,IF(SUM(IMshareM!F$2:F$78)-IMshareM!F$6&gt;0,IMshareM!F52/(SUM(IMshareM!F$2:F$78)-IMshareM!F$6),0))</f>
        <v>2.2984822095587274E-4</v>
      </c>
      <c r="G52" s="8">
        <f>IF($A52=G$1,0,IF(SUM(IMshareM!G$2:G$78)-IMshareM!G$7&gt;0,IMshareM!G52/(SUM(IMshareM!G$2:G$78)-IMshareM!G$7),0))</f>
        <v>5.9634666257377372E-4</v>
      </c>
      <c r="H52" s="8">
        <f>IF($A52=H$1,0,IF(SUM(IMshareM!H$2:H$78)-IMshareM!H$8&gt;0,IMshareM!H52/(SUM(IMshareM!H$2:H$78)-IMshareM!H$8),0))</f>
        <v>0</v>
      </c>
      <c r="I52" s="8">
        <f>IF($A52=I$1,0,IF(SUM(IMshareM!I$2:I$78)-IMshareM!I$9&gt;0,IMshareM!I52/(SUM(IMshareM!I$2:I$78)-IMshareM!I$9),0))</f>
        <v>1.794815040822577E-3</v>
      </c>
      <c r="J52" s="8">
        <f>IF($A52=J$1,0,IF(SUM(IMshareM!J$2:J$78)-IMshareM!J$10&gt;0,IMshareM!J52/(SUM(IMshareM!J$2:J$78)-IMshareM!J$10),0))</f>
        <v>0.3686353730698676</v>
      </c>
      <c r="K52" s="8">
        <f>IF($A52=K$1,0,IF(SUM(IMshareM!K$2:K$78)-IMshareM!K$11&gt;0,IMshareM!K52/(SUM(IMshareM!K$2:K$78)-IMshareM!K$11),0))</f>
        <v>3.6708602123441758E-3</v>
      </c>
      <c r="L52" s="8">
        <f>IF($A52=L$1,0,IF(SUM(IMshareM!L$2:L$78)-IMshareM!L$12&gt;0,IMshareM!L52/(SUM(IMshareM!L$2:L$78)-IMshareM!L$12),0))</f>
        <v>8.4791765520461605E-4</v>
      </c>
      <c r="M52" s="8">
        <f>IF($A52=M$1,0,IF(SUM(IMshareM!M$2:M$78)-IMshareM!M$13&gt;0,IMshareM!M52/(SUM(IMshareM!M$2:M$78)-IMshareM!M$13),0))</f>
        <v>1.8239221774395085E-5</v>
      </c>
      <c r="N52" s="8">
        <f>IF($A52=N$1,0,IF(SUM(IMshareM!N$2:N$78)-IMshareM!N$14&gt;0,IMshareM!N52/(SUM(IMshareM!N$2:N$78)-IMshareM!N$14),0))</f>
        <v>2.6782558438879218E-3</v>
      </c>
      <c r="O52" s="8">
        <f>IF($A52=O$1,0,IF(SUM(IMshareM!O$2:O$78)-IMshareM!O$15&gt;0,IMshareM!O52/(SUM(IMshareM!O$2:O$78)-IMshareM!O$15),0))</f>
        <v>1.6311519569420101E-2</v>
      </c>
      <c r="P52" s="8">
        <f>IF($A52=P$1,0,IF(SUM(IMshareM!P$2:P$78)-IMshareM!P$16&gt;0,IMshareM!P52/(SUM(IMshareM!P$2:P$78)-IMshareM!P$16),0))</f>
        <v>9.6429245178867478E-4</v>
      </c>
      <c r="Q52" s="8">
        <f>IF($A52=Q$1,0,IF(SUM(IMshareM!Q$2:Q$78)-IMshareM!Q$17&gt;0,IMshareM!Q52/(SUM(IMshareM!Q$2:Q$78)-IMshareM!Q$17),0))</f>
        <v>3.586063876891723E-4</v>
      </c>
      <c r="R52" s="8">
        <f>IF($A52=R$1,0,IF(SUM(IMshareM!R$2:R$78)-IMshareM!R$18&gt;0,IMshareM!R52/(SUM(IMshareM!R$2:R$78)-IMshareM!R$18),0))</f>
        <v>2.7774517774482925E-4</v>
      </c>
      <c r="S52" s="8">
        <f>IF($A52=S$1,0,IF(SUM(IMshareM!S$2:S$78)-IMshareM!S$19&gt;0,IMshareM!S52/(SUM(IMshareM!S$2:S$78)-IMshareM!S$19),0))</f>
        <v>0</v>
      </c>
      <c r="T52" s="8">
        <f>IF($A52=T$1,0,IF(SUM(IMshareM!T$2:T$78)-IMshareM!T$20&gt;0,IMshareM!T52/(SUM(IMshareM!T$2:T$78)-IMshareM!T$20),0))</f>
        <v>2.2943106575060165E-4</v>
      </c>
      <c r="U52" s="8">
        <f>IF($A52=U$1,0,IF(SUM(IMshareM!U$2:U$78)-IMshareM!U$21&gt;0,IMshareM!U52/(SUM(IMshareM!U$2:U$78)-IMshareM!U$21),0))</f>
        <v>1.9170722932039545E-3</v>
      </c>
      <c r="V52" s="8">
        <f>IF($A52=V$1,0,IF(SUM(IMshareM!V$2:V$78)-IMshareM!V$22&gt;0,IMshareM!V52/(SUM(IMshareM!V$2:V$78)-IMshareM!V$22),0))</f>
        <v>6.6310390787847632E-5</v>
      </c>
      <c r="W52" s="8">
        <f>IF($A52=W$1,0,IF(SUM(IMshareM!W$2:W$78)-IMshareM!W$23&gt;0,IMshareM!W52/(SUM(IMshareM!W$2:W$78)-IMshareM!W$23),0))</f>
        <v>2.1844554725795788E-5</v>
      </c>
      <c r="X52" s="8">
        <f>IF($A52=X$1,0,IF(SUM(IMshareM!X$2:X$78)-IMshareM!X$24&gt;0,IMshareM!X52/(SUM(IMshareM!X$2:X$78)-IMshareM!X$24),0))</f>
        <v>8.9444743792106447E-4</v>
      </c>
      <c r="Y52" s="8">
        <f>IF($A52=Y$1,0,IF(SUM(IMshareM!Y$2:Y$78)-IMshareM!Y$25&gt;0,IMshareM!Y52/(SUM(IMshareM!Y$2:Y$78)-IMshareM!Y$25),0))</f>
        <v>3.4468587485009033E-4</v>
      </c>
      <c r="Z52" s="8">
        <f>IF($A52=Z$1,0,IF(SUM(IMshareM!Z$2:Z$78)-IMshareM!Z$26&gt;0,IMshareM!Z52/(SUM(IMshareM!Z$2:Z$78)-IMshareM!Z$26),0))</f>
        <v>7.2151827993780047E-4</v>
      </c>
      <c r="AA52" s="8">
        <f>IF($A52=AA$1,0,IF(SUM(IMshareM!AA$2:AA$78)-IMshareM!AA$27&gt;0,IMshareM!AA52/(SUM(IMshareM!AA$2:AA$78)-IMshareM!AA$27),0))</f>
        <v>2.9813244834887057E-3</v>
      </c>
      <c r="AB52" s="8">
        <f>IF($A52=AB$1,0,IF(SUM(IMshareM!AB$2:AB$78)-IMshareM!AB$28&gt;0,IMshareM!AB52/(SUM(IMshareM!AB$2:AB$78)-IMshareM!AB$28),0))</f>
        <v>1.1940628099800952E-3</v>
      </c>
      <c r="AC52" s="8">
        <f>IF($A52=AC$1,0,IF(SUM(IMshareM!AC$2:AC$78)-IMshareM!AC$29&gt;0,IMshareM!AC52/(SUM(IMshareM!AC$2:AC$78)-IMshareM!AC$29),0))</f>
        <v>6.6771107625869915E-5</v>
      </c>
      <c r="AD52" s="8">
        <f>IF($A52=AD$1,0,IF(SUM(IMshareM!AD$2:AD$78)-IMshareM!AD$30&gt;0,IMshareM!AD52/(SUM(IMshareM!AD$2:AD$78)-IMshareM!AD$30),0))</f>
        <v>4.3809342794357631E-3</v>
      </c>
      <c r="AE52" s="8">
        <f>IF($A52=AE$1,0,IF(SUM(IMshareM!AE$2:AE$78)-IMshareM!AE$31&gt;0,IMshareM!AE52/(SUM(IMshareM!AE$2:AE$78)-IMshareM!AE$31),0))</f>
        <v>2.4602149944959789E-5</v>
      </c>
      <c r="AF52" s="8">
        <f>IF($A52=AF$1,0,IF(SUM(IMshareM!AF$2:AF$78)-IMshareM!AF$32&gt;0,IMshareM!AF52/(SUM(IMshareM!AF$2:AF$78)-IMshareM!AF$32),0))</f>
        <v>5.7929776294290284E-5</v>
      </c>
      <c r="AG52" s="8">
        <f>IF($A52=AG$1,0,IF(SUM(IMshareM!AG$2:AG$78)-IMshareM!AG$33&gt;0,IMshareM!AG52/(SUM(IMshareM!AG$2:AG$78)-IMshareM!AG$33),0))</f>
        <v>1.4099526368908223E-2</v>
      </c>
      <c r="AH52" s="8">
        <f>IF($A52=AH$1,0,IF(SUM(IMshareM!AH$2:AH$78)-IMshareM!AH$34&gt;0,IMshareM!AH52/(SUM(IMshareM!AH$2:AH$78)-IMshareM!AH$34),0))</f>
        <v>1.9663543803093413E-3</v>
      </c>
      <c r="AI52" s="8">
        <f>IF($A52=AI$1,0,IF(SUM(IMshareM!AI$2:AI$78)-IMshareM!AI$35&gt;0,IMshareM!AI52/(SUM(IMshareM!AI$2:AI$78)-IMshareM!AI$35),0))</f>
        <v>4.3176995035022764E-4</v>
      </c>
      <c r="AJ52" s="8">
        <f>IF($A52=AJ$1,0,IF(SUM(IMshareM!AJ$2:AJ$78)-IMshareM!AJ$36&gt;0,IMshareM!AJ52/(SUM(IMshareM!AJ$2:AJ$78)-IMshareM!AJ$36),0))</f>
        <v>2.6599355969269005E-4</v>
      </c>
      <c r="AK52" s="8">
        <f>IF($A52=AK$1,0,IF(SUM(IMshareM!AK$2:AK$78)-IMshareM!AK$37&gt;0,IMshareM!AK52/(SUM(IMshareM!AK$2:AK$78)-IMshareM!AK$37),0))</f>
        <v>4.214288830337496E-6</v>
      </c>
      <c r="AL52" s="8">
        <f>IF($A52=AL$1,0,IF(SUM(IMshareM!AL$2:AL$78)-IMshareM!AL$38&gt;0,IMshareM!AL52/(SUM(IMshareM!AL$2:AL$78)-IMshareM!AL$38),0))</f>
        <v>2.4601166170573255E-4</v>
      </c>
      <c r="AM52" s="8">
        <f>IF($A52=AM$1,0,IF(SUM(IMshareM!AM$2:AM$78)-IMshareM!AM$39&gt;0,IMshareM!AM52/(SUM(IMshareM!AM$2:AM$78)-IMshareM!AM$39),0))</f>
        <v>4.9955739815703848E-5</v>
      </c>
      <c r="AN52" s="8">
        <f>IF($A52=AN$1,0,IF(SUM(IMshareM!AN$2:AN$78)-IMshareM!AN$40&gt;0,IMshareM!AN52/(SUM(IMshareM!AN$2:AN$78)-IMshareM!AN$40),0))</f>
        <v>1.0874705432564628E-2</v>
      </c>
      <c r="AO52" s="8">
        <f>IF($A52=AO$1,0,IF(SUM(IMshareM!AO$2:AO$78)-IMshareM!AO$41&gt;0,IMshareM!AO52/(SUM(IMshareM!AO$2:AO$78)-IMshareM!AO$41),0))</f>
        <v>0</v>
      </c>
      <c r="AP52" s="8">
        <f>IF($A52=AP$1,0,IF(SUM(IMshareM!AP$2:AP$78)-IMshareM!AP$42&gt;0,IMshareM!AP52/(SUM(IMshareM!AP$2:AP$78)-IMshareM!AP$42),0))</f>
        <v>1.2745809623529945E-2</v>
      </c>
      <c r="AQ52" s="8">
        <f>IF($A52=AQ$1,0,IF(SUM(IMshareM!AQ$2:AQ$78)-IMshareM!AQ$43&gt;0,IMshareM!AQ52/(SUM(IMshareM!AQ$2:AQ$78)-IMshareM!AQ$43),0))</f>
        <v>3.0262750812975152E-4</v>
      </c>
      <c r="AR52" s="8">
        <f>IF($A52=AR$1,0,IF(SUM(IMshareM!AR$2:AR$78)-IMshareM!AR$44&gt;0,IMshareM!AR52/(SUM(IMshareM!AR$2:AR$78)-IMshareM!AR$44),0))</f>
        <v>0</v>
      </c>
      <c r="AS52" s="8">
        <f>IF($A52=AS$1,0,IF(SUM(IMshareM!AS$2:AS$78)-IMshareM!AS$45&gt;0,IMshareM!AS52/(SUM(IMshareM!AS$2:AS$78)-IMshareM!AS$45),0))</f>
        <v>1.5513984115631985E-6</v>
      </c>
      <c r="AT52" s="8">
        <f>IF($A52=AT$1,0,IF(SUM(IMshareM!AT$2:AT$78)-IMshareM!AT$46&gt;0,IMshareM!AT52/(SUM(IMshareM!AT$2:AT$78)-IMshareM!AT$46),0))</f>
        <v>2.6010824986792608E-5</v>
      </c>
      <c r="AU52" s="8">
        <f>IF($A52=AU$1,0,IF(SUM(IMshareM!AU$2:AU$78)-IMshareM!AU$47&gt;0,IMshareM!AU52/(SUM(IMshareM!AU$2:AU$78)-IMshareM!AU$47),0))</f>
        <v>0</v>
      </c>
      <c r="AV52" s="8">
        <f>IF($A52=AV$1,0,IF(SUM(IMshareM!AV$2:AV$78)-IMshareM!AV$48&gt;0,IMshareM!AV52/(SUM(IMshareM!AV$2:AV$78)-IMshareM!AV$48),0))</f>
        <v>8.0276609631388355E-5</v>
      </c>
      <c r="AW52" s="8">
        <f>IF($A52=AW$1,0,IF(SUM(IMshareM!AW$2:AW$78)-IMshareM!AW$49&gt;0,IMshareM!AW52/(SUM(IMshareM!AW$2:AW$78)-IMshareM!AW$49),0))</f>
        <v>8.2064583259034533E-3</v>
      </c>
      <c r="AX52" s="8">
        <f>IF($A52=AX$1,0,IF(SUM(IMshareM!AX$2:AX$78)-IMshareM!AX$50&gt;0,IMshareM!AX52/(SUM(IMshareM!AX$2:AX$78)-IMshareM!AX$50),0))</f>
        <v>1.8471268753375706E-3</v>
      </c>
      <c r="AY52" s="8">
        <f>IF($A52=AY$1,0,IF(SUM(IMshareM!AY$2:AY$78)-IMshareM!AY$51&gt;0,IMshareM!AY52/(SUM(IMshareM!AY$2:AY$78)-IMshareM!AY$51),0))</f>
        <v>1.4980817040735904E-4</v>
      </c>
      <c r="AZ52" s="8">
        <f>IF($A52=AZ$1,0,IF(SUM(IMshareM!AZ$2:AZ$78)-IMshareM!AZ$52&gt;0,IMshareM!AZ52/(SUM(IMshareM!AZ$2:AZ$78)-IMshareM!AZ$52),0))</f>
        <v>0</v>
      </c>
      <c r="BA52" s="8">
        <f>IF($A52=BA$1,0,IF(SUM(IMshareM!BA$2:BA$78)-IMshareM!BA$53&gt;0,IMshareM!BA52/(SUM(IMshareM!BA$2:BA$78)-IMshareM!BA$53),0))</f>
        <v>9.1301311960056934E-5</v>
      </c>
      <c r="BB52" s="8">
        <f>IF($A52=BB$1,0,IF(SUM(IMshareM!BB$2:BB$78)-IMshareM!BB$54&gt;0,IMshareM!BB52/(SUM(IMshareM!BB$2:BB$78)-IMshareM!BB$54),0))</f>
        <v>5.2038025341407338E-3</v>
      </c>
      <c r="BC52" s="8">
        <f>IF($A52=BC$1,0,IF(SUM(IMshareM!BC$2:BC$78)-IMshareM!BC$55&gt;0,IMshareM!BC52/(SUM(IMshareM!BC$2:BC$78)-IMshareM!BC$55),0))</f>
        <v>2.9619375214530647E-4</v>
      </c>
      <c r="BD52" s="8">
        <f>IF($A52=BD$1,0,IF(SUM(IMshareM!BD$2:BD$78)-IMshareM!BD$56&gt;0,IMshareM!BD52/(SUM(IMshareM!BD$2:BD$78)-IMshareM!BD$56),0))</f>
        <v>2.7117599999289836E-3</v>
      </c>
      <c r="BE52" s="8">
        <f>IF($A52=BE$1,0,IF(SUM(IMshareM!BE$2:BE$78)-IMshareM!BE$57&gt;0,IMshareM!BE52/(SUM(IMshareM!BE$2:BE$78)-IMshareM!BE$57),0))</f>
        <v>2.1019208716051879E-3</v>
      </c>
      <c r="BF52" s="8">
        <f>IF($A52=BF$1,0,IF(SUM(IMshareM!BF$2:BF$78)-IMshareM!BF$58&gt;0,IMshareM!BF52/(SUM(IMshareM!BF$2:BF$78)-IMshareM!BF$58),0))</f>
        <v>9.9491245022139243E-4</v>
      </c>
      <c r="BG52" s="8">
        <f>IF($A52=BG$1,0,IF(SUM(IMshareM!BG$2:BG$78)-IMshareM!BG$59&gt;0,IMshareM!BG52/(SUM(IMshareM!BG$2:BG$78)-IMshareM!BG$59),0))</f>
        <v>1.3039313040934085E-2</v>
      </c>
      <c r="BH52" s="8">
        <f>IF($A52=BH$1,0,IF(SUM(IMshareM!BH$2:BH$78)-IMshareM!BH$60&gt;0,IMshareM!BH52/(SUM(IMshareM!BH$2:BH$78)-IMshareM!BH$60),0))</f>
        <v>5.2301546386854963E-4</v>
      </c>
      <c r="BI52" s="8">
        <f>IF($A52=BI$1,0,IF(SUM(IMshareM!BI$2:BI$78)-IMshareM!BI$61&gt;0,IMshareM!BI52/(SUM(IMshareM!BI$2:BI$78)-IMshareM!BI$61),0))</f>
        <v>5.9351004836739565E-5</v>
      </c>
      <c r="BJ52" s="8">
        <f>IF($A52=BJ$1,0,IF(SUM(IMshareM!BJ$2:BJ$78)-IMshareM!BJ$62&gt;0,IMshareM!BJ52/(SUM(IMshareM!BJ$2:BJ$78)-IMshareM!BJ$62),0))</f>
        <v>2.6504404439902604E-3</v>
      </c>
      <c r="BK52" s="8">
        <f>IF($A52=BK$1,0,IF(SUM(IMshareM!BK$2:BK$78)-IMshareM!BK$63&gt;0,IMshareM!BK52/(SUM(IMshareM!BK$2:BK$78)-IMshareM!BK$63),0))</f>
        <v>3.1497406281844775E-4</v>
      </c>
      <c r="BL52" s="8">
        <f>IF($A52=BL$1,0,IF(SUM(IMshareM!BL$2:BL$78)-IMshareM!BL$64&gt;0,IMshareM!BL52/(SUM(IMshareM!BL$2:BL$78)-IMshareM!BL$64),0))</f>
        <v>6.4761403748761568E-4</v>
      </c>
      <c r="BM52" s="8">
        <f>IF($A52=BM$1,0,IF(SUM(IMshareM!BM$2:BM$78)-IMshareM!BM$65&gt;0,IMshareM!BM52/(SUM(IMshareM!BM$2:BM$78)-IMshareM!BM$65),0))</f>
        <v>4.8336389628240398E-4</v>
      </c>
      <c r="BN52" s="8">
        <f>IF($A52=BN$1,0,IF(SUM(IMshareM!BN$2:BN$78)-IMshareM!BN$66&gt;0,IMshareM!BN52/(SUM(IMshareM!BN$2:BN$78)-IMshareM!BN$66),0))</f>
        <v>2.9205126685206528E-2</v>
      </c>
      <c r="BO52" s="8">
        <f>IF($A52=BO$1,0,IF(SUM(IMshareM!BO$2:BO$78)-IMshareM!BO$67&gt;0,IMshareM!BO52/(SUM(IMshareM!BO$2:BO$78)-IMshareM!BO$67),0))</f>
        <v>8.1710119942624628E-5</v>
      </c>
      <c r="BP52" s="8">
        <f>IF($A52=BP$1,0,IF(SUM(IMshareM!BP$2:BP$78)-IMshareM!BP$68&gt;0,IMshareM!BP52/(SUM(IMshareM!BP$2:BP$78)-IMshareM!BP$68),0))</f>
        <v>2.739930046470714E-4</v>
      </c>
      <c r="BQ52" s="8">
        <f>IF($A52=BQ$1,0,IF(SUM(IMshareM!BQ$2:BQ$78)-IMshareM!BQ$69&gt;0,IMshareM!BQ52/(SUM(IMshareM!BQ$2:BQ$78)-IMshareM!BQ$69),0))</f>
        <v>6.0654953372607035E-4</v>
      </c>
      <c r="BR52" s="8">
        <f>IF($A52=BR$1,0,IF(SUM(IMshareM!BR$2:BR$78)-IMshareM!BR$70&gt;0,IMshareM!BR52/(SUM(IMshareM!BR$2:BR$78)-IMshareM!BR$70),0))</f>
        <v>4.7944952564523404E-3</v>
      </c>
      <c r="BS52" s="8">
        <f>IF($A52=BS$1,0,IF(SUM(IMshareM!BS$2:BS$78)-IMshareM!BS$71&gt;0,IMshareM!BS52/(SUM(IMshareM!BS$2:BS$78)-IMshareM!BS$71),0))</f>
        <v>1.3298601632761942E-3</v>
      </c>
      <c r="BT52" s="8">
        <f>IF($A52=BT$1,0,IF(SUM(IMshareM!BT$2:BT$78)-IMshareM!BT$72&gt;0,IMshareM!BT52/(SUM(IMshareM!BT$2:BT$78)-IMshareM!BT$72),0))</f>
        <v>1.765926654242834E-4</v>
      </c>
      <c r="BU52" s="8">
        <f>IF($A52=BU$1,0,IF(SUM(IMshareM!BU$2:BU$78)-IMshareM!BU$73&gt;0,IMshareM!BU52/(SUM(IMshareM!BU$2:BU$78)-IMshareM!BU$73),0))</f>
        <v>1.9676467933635628E-3</v>
      </c>
      <c r="BV52" s="8">
        <f>IF($A52=BV$1,0,IF(SUM(IMshareM!BV$2:BV$78)-IMshareM!BV$74&gt;0,IMshareM!BV52/(SUM(IMshareM!BV$2:BV$78)-IMshareM!BV$74),0))</f>
        <v>3.2764361411083198E-4</v>
      </c>
      <c r="BW52" s="8">
        <f>IF($A52=BW$1,0,IF(SUM(IMshareM!BW$2:BW$78)-IMshareM!BW$75&gt;0,IMshareM!BW52/(SUM(IMshareM!BW$2:BW$78)-IMshareM!BW$75),0))</f>
        <v>2.9008229699086E-3</v>
      </c>
      <c r="BX52" s="8">
        <f>IF($A52=BX$1,0,IF(SUM(IMshareM!BX$2:BX$78)-IMshareM!BX$76&gt;0,IMshareM!BX52/(SUM(IMshareM!BX$2:BX$78)-IMshareM!BX$76),0))</f>
        <v>3.4471858117576491E-3</v>
      </c>
      <c r="BY52" s="8">
        <f>IF($A52=BY$1,0,IF(SUM(IMshareM!BY$2:BY$78)-IMshareM!BY$77&gt;0,IMshareM!BY52/(SUM(IMshareM!BY$2:BY$78)-IMshareM!BY$77),0))</f>
        <v>1.6784044360941523E-4</v>
      </c>
      <c r="BZ52" s="8">
        <f>IF($A52=BZ$1,0,IF(SUM(IMshareM!BZ$2:BZ$78)-IMshareM!BZ$78&gt;0,IMshareM!BZ52/(SUM(IMshareM!BZ$2:BZ$78)-IMshareM!BZ$78),0))</f>
        <v>7.3782113381183601E-4</v>
      </c>
    </row>
    <row r="53" spans="1:78">
      <c r="A53" s="4" t="s">
        <v>173</v>
      </c>
      <c r="B53" s="8">
        <f>IF($A53=B$1,0,IF(SUM(IMshareM!B$2:B$78)-IMshareM!B$2&gt;0,IMshareM!B53/(SUM(IMshareM!B$2:B$78)-IMshareM!B$2),0))</f>
        <v>0</v>
      </c>
      <c r="C53" s="8">
        <f>IF($A53=C$1,0,IF(SUM(IMshareM!C$2:C$78)-IMshareM!C$3&gt;0,IMshareM!C53/(SUM(IMshareM!C$2:C$78)-IMshareM!C$3),0))</f>
        <v>0</v>
      </c>
      <c r="D53" s="8">
        <f>IF($A53=D$1,0,IF(SUM(IMshareM!D$2:D$78)-IMshareM!D$4&gt;0,IMshareM!D53/(SUM(IMshareM!D$2:D$78)-IMshareM!D$4),0))</f>
        <v>5.0345631680021102E-6</v>
      </c>
      <c r="E53" s="8">
        <f>IF($A53=E$1,0,IF(SUM(IMshareM!E$2:E$78)-IMshareM!E$5&gt;0,IMshareM!E53/(SUM(IMshareM!E$2:E$78)-IMshareM!E$5),0))</f>
        <v>4.3585956693160056E-7</v>
      </c>
      <c r="F53" s="8">
        <f>IF($A53=F$1,0,IF(SUM(IMshareM!F$2:F$78)-IMshareM!F$6&gt;0,IMshareM!F53/(SUM(IMshareM!F$2:F$78)-IMshareM!F$6),0))</f>
        <v>0</v>
      </c>
      <c r="G53" s="8">
        <f>IF($A53=G$1,0,IF(SUM(IMshareM!G$2:G$78)-IMshareM!G$7&gt;0,IMshareM!G53/(SUM(IMshareM!G$2:G$78)-IMshareM!G$7),0))</f>
        <v>0</v>
      </c>
      <c r="H53" s="8">
        <f>IF($A53=H$1,0,IF(SUM(IMshareM!H$2:H$78)-IMshareM!H$8&gt;0,IMshareM!H53/(SUM(IMshareM!H$2:H$78)-IMshareM!H$8),0))</f>
        <v>0</v>
      </c>
      <c r="I53" s="8">
        <f>IF($A53=I$1,0,IF(SUM(IMshareM!I$2:I$78)-IMshareM!I$9&gt;0,IMshareM!I53/(SUM(IMshareM!I$2:I$78)-IMshareM!I$9),0))</f>
        <v>0</v>
      </c>
      <c r="J53" s="8">
        <f>IF($A53=J$1,0,IF(SUM(IMshareM!J$2:J$78)-IMshareM!J$10&gt;0,IMshareM!J53/(SUM(IMshareM!J$2:J$78)-IMshareM!J$10),0))</f>
        <v>0</v>
      </c>
      <c r="K53" s="8">
        <f>IF($A53=K$1,0,IF(SUM(IMshareM!K$2:K$78)-IMshareM!K$11&gt;0,IMshareM!K53/(SUM(IMshareM!K$2:K$78)-IMshareM!K$11),0))</f>
        <v>0</v>
      </c>
      <c r="L53" s="8">
        <f>IF($A53=L$1,0,IF(SUM(IMshareM!L$2:L$78)-IMshareM!L$12&gt;0,IMshareM!L53/(SUM(IMshareM!L$2:L$78)-IMshareM!L$12),0))</f>
        <v>5.8626545716635591E-6</v>
      </c>
      <c r="M53" s="8">
        <f>IF($A53=M$1,0,IF(SUM(IMshareM!M$2:M$78)-IMshareM!M$13&gt;0,IMshareM!M53/(SUM(IMshareM!M$2:M$78)-IMshareM!M$13),0))</f>
        <v>0</v>
      </c>
      <c r="N53" s="8">
        <f>IF($A53=N$1,0,IF(SUM(IMshareM!N$2:N$78)-IMshareM!N$14&gt;0,IMshareM!N53/(SUM(IMshareM!N$2:N$78)-IMshareM!N$14),0))</f>
        <v>0</v>
      </c>
      <c r="O53" s="8">
        <f>IF($A53=O$1,0,IF(SUM(IMshareM!O$2:O$78)-IMshareM!O$15&gt;0,IMshareM!O53/(SUM(IMshareM!O$2:O$78)-IMshareM!O$15),0))</f>
        <v>0</v>
      </c>
      <c r="P53" s="8">
        <f>IF($A53=P$1,0,IF(SUM(IMshareM!P$2:P$78)-IMshareM!P$16&gt;0,IMshareM!P53/(SUM(IMshareM!P$2:P$78)-IMshareM!P$16),0))</f>
        <v>0</v>
      </c>
      <c r="Q53" s="8">
        <f>IF($A53=Q$1,0,IF(SUM(IMshareM!Q$2:Q$78)-IMshareM!Q$17&gt;0,IMshareM!Q53/(SUM(IMshareM!Q$2:Q$78)-IMshareM!Q$17),0))</f>
        <v>0</v>
      </c>
      <c r="R53" s="8">
        <f>IF($A53=R$1,0,IF(SUM(IMshareM!R$2:R$78)-IMshareM!R$18&gt;0,IMshareM!R53/(SUM(IMshareM!R$2:R$78)-IMshareM!R$18),0))</f>
        <v>0</v>
      </c>
      <c r="S53" s="8">
        <f>IF($A53=S$1,0,IF(SUM(IMshareM!S$2:S$78)-IMshareM!S$19&gt;0,IMshareM!S53/(SUM(IMshareM!S$2:S$78)-IMshareM!S$19),0))</f>
        <v>0</v>
      </c>
      <c r="T53" s="8">
        <f>IF($A53=T$1,0,IF(SUM(IMshareM!T$2:T$78)-IMshareM!T$20&gt;0,IMshareM!T53/(SUM(IMshareM!T$2:T$78)-IMshareM!T$20),0))</f>
        <v>0</v>
      </c>
      <c r="U53" s="8">
        <f>IF($A53=U$1,0,IF(SUM(IMshareM!U$2:U$78)-IMshareM!U$21&gt;0,IMshareM!U53/(SUM(IMshareM!U$2:U$78)-IMshareM!U$21),0))</f>
        <v>4.1328795727412158E-7</v>
      </c>
      <c r="V53" s="8">
        <f>IF($A53=V$1,0,IF(SUM(IMshareM!V$2:V$78)-IMshareM!V$22&gt;0,IMshareM!V53/(SUM(IMshareM!V$2:V$78)-IMshareM!V$22),0))</f>
        <v>3.9884623161108361E-6</v>
      </c>
      <c r="W53" s="8">
        <f>IF($A53=W$1,0,IF(SUM(IMshareM!W$2:W$78)-IMshareM!W$23&gt;0,IMshareM!W53/(SUM(IMshareM!W$2:W$78)-IMshareM!W$23),0))</f>
        <v>0</v>
      </c>
      <c r="X53" s="8">
        <f>IF($A53=X$1,0,IF(SUM(IMshareM!X$2:X$78)-IMshareM!X$24&gt;0,IMshareM!X53/(SUM(IMshareM!X$2:X$78)-IMshareM!X$24),0))</f>
        <v>0</v>
      </c>
      <c r="Y53" s="8">
        <f>IF($A53=Y$1,0,IF(SUM(IMshareM!Y$2:Y$78)-IMshareM!Y$25&gt;0,IMshareM!Y53/(SUM(IMshareM!Y$2:Y$78)-IMshareM!Y$25),0))</f>
        <v>0</v>
      </c>
      <c r="Z53" s="8">
        <f>IF($A53=Z$1,0,IF(SUM(IMshareM!Z$2:Z$78)-IMshareM!Z$26&gt;0,IMshareM!Z53/(SUM(IMshareM!Z$2:Z$78)-IMshareM!Z$26),0))</f>
        <v>0</v>
      </c>
      <c r="AA53" s="8">
        <f>IF($A53=AA$1,0,IF(SUM(IMshareM!AA$2:AA$78)-IMshareM!AA$27&gt;0,IMshareM!AA53/(SUM(IMshareM!AA$2:AA$78)-IMshareM!AA$27),0))</f>
        <v>2.4629325180593897E-4</v>
      </c>
      <c r="AB53" s="8">
        <f>IF($A53=AB$1,0,IF(SUM(IMshareM!AB$2:AB$78)-IMshareM!AB$28&gt;0,IMshareM!AB53/(SUM(IMshareM!AB$2:AB$78)-IMshareM!AB$28),0))</f>
        <v>5.3053044983977157E-5</v>
      </c>
      <c r="AC53" s="8">
        <f>IF($A53=AC$1,0,IF(SUM(IMshareM!AC$2:AC$78)-IMshareM!AC$29&gt;0,IMshareM!AC53/(SUM(IMshareM!AC$2:AC$78)-IMshareM!AC$29),0))</f>
        <v>0</v>
      </c>
      <c r="AD53" s="8">
        <f>IF($A53=AD$1,0,IF(SUM(IMshareM!AD$2:AD$78)-IMshareM!AD$30&gt;0,IMshareM!AD53/(SUM(IMshareM!AD$2:AD$78)-IMshareM!AD$30),0))</f>
        <v>0</v>
      </c>
      <c r="AE53" s="8">
        <f>IF($A53=AE$1,0,IF(SUM(IMshareM!AE$2:AE$78)-IMshareM!AE$31&gt;0,IMshareM!AE53/(SUM(IMshareM!AE$2:AE$78)-IMshareM!AE$31),0))</f>
        <v>0</v>
      </c>
      <c r="AF53" s="8">
        <f>IF($A53=AF$1,0,IF(SUM(IMshareM!AF$2:AF$78)-IMshareM!AF$32&gt;0,IMshareM!AF53/(SUM(IMshareM!AF$2:AF$78)-IMshareM!AF$32),0))</f>
        <v>6.7240018145627889E-7</v>
      </c>
      <c r="AG53" s="8">
        <f>IF($A53=AG$1,0,IF(SUM(IMshareM!AG$2:AG$78)-IMshareM!AG$33&gt;0,IMshareM!AG53/(SUM(IMshareM!AG$2:AG$78)-IMshareM!AG$33),0))</f>
        <v>0</v>
      </c>
      <c r="AH53" s="8">
        <f>IF($A53=AH$1,0,IF(SUM(IMshareM!AH$2:AH$78)-IMshareM!AH$34&gt;0,IMshareM!AH53/(SUM(IMshareM!AH$2:AH$78)-IMshareM!AH$34),0))</f>
        <v>5.4583418765295858E-10</v>
      </c>
      <c r="AI53" s="8">
        <f>IF($A53=AI$1,0,IF(SUM(IMshareM!AI$2:AI$78)-IMshareM!AI$35&gt;0,IMshareM!AI53/(SUM(IMshareM!AI$2:AI$78)-IMshareM!AI$35),0))</f>
        <v>0</v>
      </c>
      <c r="AJ53" s="8">
        <f>IF($A53=AJ$1,0,IF(SUM(IMshareM!AJ$2:AJ$78)-IMshareM!AJ$36&gt;0,IMshareM!AJ53/(SUM(IMshareM!AJ$2:AJ$78)-IMshareM!AJ$36),0))</f>
        <v>0</v>
      </c>
      <c r="AK53" s="8">
        <f>IF($A53=AK$1,0,IF(SUM(IMshareM!AK$2:AK$78)-IMshareM!AK$37&gt;0,IMshareM!AK53/(SUM(IMshareM!AK$2:AK$78)-IMshareM!AK$37),0))</f>
        <v>8.428577660674992E-6</v>
      </c>
      <c r="AL53" s="8">
        <f>IF($A53=AL$1,0,IF(SUM(IMshareM!AL$2:AL$78)-IMshareM!AL$38&gt;0,IMshareM!AL53/(SUM(IMshareM!AL$2:AL$78)-IMshareM!AL$38),0))</f>
        <v>3.5585977639104599E-5</v>
      </c>
      <c r="AM53" s="8">
        <f>IF($A53=AM$1,0,IF(SUM(IMshareM!AM$2:AM$78)-IMshareM!AM$39&gt;0,IMshareM!AM53/(SUM(IMshareM!AM$2:AM$78)-IMshareM!AM$39),0))</f>
        <v>0</v>
      </c>
      <c r="AN53" s="8">
        <f>IF($A53=AN$1,0,IF(SUM(IMshareM!AN$2:AN$78)-IMshareM!AN$40&gt;0,IMshareM!AN53/(SUM(IMshareM!AN$2:AN$78)-IMshareM!AN$40),0))</f>
        <v>0</v>
      </c>
      <c r="AO53" s="8">
        <f>IF($A53=AO$1,0,IF(SUM(IMshareM!AO$2:AO$78)-IMshareM!AO$41&gt;0,IMshareM!AO53/(SUM(IMshareM!AO$2:AO$78)-IMshareM!AO$41),0))</f>
        <v>0</v>
      </c>
      <c r="AP53" s="8">
        <f>IF($A53=AP$1,0,IF(SUM(IMshareM!AP$2:AP$78)-IMshareM!AP$42&gt;0,IMshareM!AP53/(SUM(IMshareM!AP$2:AP$78)-IMshareM!AP$42),0))</f>
        <v>0</v>
      </c>
      <c r="AQ53" s="8">
        <f>IF($A53=AQ$1,0,IF(SUM(IMshareM!AQ$2:AQ$78)-IMshareM!AQ$43&gt;0,IMshareM!AQ53/(SUM(IMshareM!AQ$2:AQ$78)-IMshareM!AQ$43),0))</f>
        <v>0</v>
      </c>
      <c r="AR53" s="8">
        <f>IF($A53=AR$1,0,IF(SUM(IMshareM!AR$2:AR$78)-IMshareM!AR$44&gt;0,IMshareM!AR53/(SUM(IMshareM!AR$2:AR$78)-IMshareM!AR$44),0))</f>
        <v>0</v>
      </c>
      <c r="AS53" s="8">
        <f>IF($A53=AS$1,0,IF(SUM(IMshareM!AS$2:AS$78)-IMshareM!AS$45&gt;0,IMshareM!AS53/(SUM(IMshareM!AS$2:AS$78)-IMshareM!AS$45),0))</f>
        <v>0</v>
      </c>
      <c r="AT53" s="8">
        <f>IF($A53=AT$1,0,IF(SUM(IMshareM!AT$2:AT$78)-IMshareM!AT$46&gt;0,IMshareM!AT53/(SUM(IMshareM!AT$2:AT$78)-IMshareM!AT$46),0))</f>
        <v>0</v>
      </c>
      <c r="AU53" s="8">
        <f>IF($A53=AU$1,0,IF(SUM(IMshareM!AU$2:AU$78)-IMshareM!AU$47&gt;0,IMshareM!AU53/(SUM(IMshareM!AU$2:AU$78)-IMshareM!AU$47),0))</f>
        <v>8.1012546481285657E-7</v>
      </c>
      <c r="AV53" s="8">
        <f>IF($A53=AV$1,0,IF(SUM(IMshareM!AV$2:AV$78)-IMshareM!AV$48&gt;0,IMshareM!AV53/(SUM(IMshareM!AV$2:AV$78)-IMshareM!AV$48),0))</f>
        <v>0</v>
      </c>
      <c r="AW53" s="8">
        <f>IF($A53=AW$1,0,IF(SUM(IMshareM!AW$2:AW$78)-IMshareM!AW$49&gt;0,IMshareM!AW53/(SUM(IMshareM!AW$2:AW$78)-IMshareM!AW$49),0))</f>
        <v>0</v>
      </c>
      <c r="AX53" s="8">
        <f>IF($A53=AX$1,0,IF(SUM(IMshareM!AX$2:AX$78)-IMshareM!AX$50&gt;0,IMshareM!AX53/(SUM(IMshareM!AX$2:AX$78)-IMshareM!AX$50),0))</f>
        <v>0</v>
      </c>
      <c r="AY53" s="8">
        <f>IF($A53=AY$1,0,IF(SUM(IMshareM!AY$2:AY$78)-IMshareM!AY$51&gt;0,IMshareM!AY53/(SUM(IMshareM!AY$2:AY$78)-IMshareM!AY$51),0))</f>
        <v>0</v>
      </c>
      <c r="AZ53" s="8">
        <f>IF($A53=AZ$1,0,IF(SUM(IMshareM!AZ$2:AZ$78)-IMshareM!AZ$52&gt;0,IMshareM!AZ53/(SUM(IMshareM!AZ$2:AZ$78)-IMshareM!AZ$52),0))</f>
        <v>0</v>
      </c>
      <c r="BA53" s="8">
        <f>IF($A53=BA$1,0,IF(SUM(IMshareM!BA$2:BA$78)-IMshareM!BA$53&gt;0,IMshareM!BA53/(SUM(IMshareM!BA$2:BA$78)-IMshareM!BA$53),0))</f>
        <v>0</v>
      </c>
      <c r="BB53" s="8">
        <f>IF($A53=BB$1,0,IF(SUM(IMshareM!BB$2:BB$78)-IMshareM!BB$54&gt;0,IMshareM!BB53/(SUM(IMshareM!BB$2:BB$78)-IMshareM!BB$54),0))</f>
        <v>9.1409044733061431E-5</v>
      </c>
      <c r="BC53" s="8">
        <f>IF($A53=BC$1,0,IF(SUM(IMshareM!BC$2:BC$78)-IMshareM!BC$55&gt;0,IMshareM!BC53/(SUM(IMshareM!BC$2:BC$78)-IMshareM!BC$55),0))</f>
        <v>0</v>
      </c>
      <c r="BD53" s="8">
        <f>IF($A53=BD$1,0,IF(SUM(IMshareM!BD$2:BD$78)-IMshareM!BD$56&gt;0,IMshareM!BD53/(SUM(IMshareM!BD$2:BD$78)-IMshareM!BD$56),0))</f>
        <v>0</v>
      </c>
      <c r="BE53" s="8">
        <f>IF($A53=BE$1,0,IF(SUM(IMshareM!BE$2:BE$78)-IMshareM!BE$57&gt;0,IMshareM!BE53/(SUM(IMshareM!BE$2:BE$78)-IMshareM!BE$57),0))</f>
        <v>0</v>
      </c>
      <c r="BF53" s="8">
        <f>IF($A53=BF$1,0,IF(SUM(IMshareM!BF$2:BF$78)-IMshareM!BF$58&gt;0,IMshareM!BF53/(SUM(IMshareM!BF$2:BF$78)-IMshareM!BF$58),0))</f>
        <v>0</v>
      </c>
      <c r="BG53" s="8">
        <f>IF($A53=BG$1,0,IF(SUM(IMshareM!BG$2:BG$78)-IMshareM!BG$59&gt;0,IMshareM!BG53/(SUM(IMshareM!BG$2:BG$78)-IMshareM!BG$59),0))</f>
        <v>0</v>
      </c>
      <c r="BH53" s="8">
        <f>IF($A53=BH$1,0,IF(SUM(IMshareM!BH$2:BH$78)-IMshareM!BH$60&gt;0,IMshareM!BH53/(SUM(IMshareM!BH$2:BH$78)-IMshareM!BH$60),0))</f>
        <v>0</v>
      </c>
      <c r="BI53" s="8">
        <f>IF($A53=BI$1,0,IF(SUM(IMshareM!BI$2:BI$78)-IMshareM!BI$61&gt;0,IMshareM!BI53/(SUM(IMshareM!BI$2:BI$78)-IMshareM!BI$61),0))</f>
        <v>0</v>
      </c>
      <c r="BJ53" s="8">
        <f>IF($A53=BJ$1,0,IF(SUM(IMshareM!BJ$2:BJ$78)-IMshareM!BJ$62&gt;0,IMshareM!BJ53/(SUM(IMshareM!BJ$2:BJ$78)-IMshareM!BJ$62),0))</f>
        <v>0</v>
      </c>
      <c r="BK53" s="8">
        <f>IF($A53=BK$1,0,IF(SUM(IMshareM!BK$2:BK$78)-IMshareM!BK$63&gt;0,IMshareM!BK53/(SUM(IMshareM!BK$2:BK$78)-IMshareM!BK$63),0))</f>
        <v>0</v>
      </c>
      <c r="BL53" s="8">
        <f>IF($A53=BL$1,0,IF(SUM(IMshareM!BL$2:BL$78)-IMshareM!BL$64&gt;0,IMshareM!BL53/(SUM(IMshareM!BL$2:BL$78)-IMshareM!BL$64),0))</f>
        <v>0</v>
      </c>
      <c r="BM53" s="8">
        <f>IF($A53=BM$1,0,IF(SUM(IMshareM!BM$2:BM$78)-IMshareM!BM$65&gt;0,IMshareM!BM53/(SUM(IMshareM!BM$2:BM$78)-IMshareM!BM$65),0))</f>
        <v>0</v>
      </c>
      <c r="BN53" s="8">
        <f>IF($A53=BN$1,0,IF(SUM(IMshareM!BN$2:BN$78)-IMshareM!BN$66&gt;0,IMshareM!BN53/(SUM(IMshareM!BN$2:BN$78)-IMshareM!BN$66),0))</f>
        <v>0</v>
      </c>
      <c r="BO53" s="8">
        <f>IF($A53=BO$1,0,IF(SUM(IMshareM!BO$2:BO$78)-IMshareM!BO$67&gt;0,IMshareM!BO53/(SUM(IMshareM!BO$2:BO$78)-IMshareM!BO$67),0))</f>
        <v>0</v>
      </c>
      <c r="BP53" s="8">
        <f>IF($A53=BP$1,0,IF(SUM(IMshareM!BP$2:BP$78)-IMshareM!BP$68&gt;0,IMshareM!BP53/(SUM(IMshareM!BP$2:BP$78)-IMshareM!BP$68),0))</f>
        <v>0</v>
      </c>
      <c r="BQ53" s="8">
        <f>IF($A53=BQ$1,0,IF(SUM(IMshareM!BQ$2:BQ$78)-IMshareM!BQ$69&gt;0,IMshareM!BQ53/(SUM(IMshareM!BQ$2:BQ$78)-IMshareM!BQ$69),0))</f>
        <v>1.5236453731373236E-6</v>
      </c>
      <c r="BR53" s="8">
        <f>IF($A53=BR$1,0,IF(SUM(IMshareM!BR$2:BR$78)-IMshareM!BR$70&gt;0,IMshareM!BR53/(SUM(IMshareM!BR$2:BR$78)-IMshareM!BR$70),0))</f>
        <v>0</v>
      </c>
      <c r="BS53" s="8">
        <f>IF($A53=BS$1,0,IF(SUM(IMshareM!BS$2:BS$78)-IMshareM!BS$71&gt;0,IMshareM!BS53/(SUM(IMshareM!BS$2:BS$78)-IMshareM!BS$71),0))</f>
        <v>0</v>
      </c>
      <c r="BT53" s="8">
        <f>IF($A53=BT$1,0,IF(SUM(IMshareM!BT$2:BT$78)-IMshareM!BT$72&gt;0,IMshareM!BT53/(SUM(IMshareM!BT$2:BT$78)-IMshareM!BT$72),0))</f>
        <v>0</v>
      </c>
      <c r="BU53" s="8">
        <f>IF($A53=BU$1,0,IF(SUM(IMshareM!BU$2:BU$78)-IMshareM!BU$73&gt;0,IMshareM!BU53/(SUM(IMshareM!BU$2:BU$78)-IMshareM!BU$73),0))</f>
        <v>0</v>
      </c>
      <c r="BV53" s="8">
        <f>IF($A53=BV$1,0,IF(SUM(IMshareM!BV$2:BV$78)-IMshareM!BV$74&gt;0,IMshareM!BV53/(SUM(IMshareM!BV$2:BV$78)-IMshareM!BV$74),0))</f>
        <v>0</v>
      </c>
      <c r="BW53" s="8">
        <f>IF($A53=BW$1,0,IF(SUM(IMshareM!BW$2:BW$78)-IMshareM!BW$75&gt;0,IMshareM!BW53/(SUM(IMshareM!BW$2:BW$78)-IMshareM!BW$75),0))</f>
        <v>3.3734504611067881E-6</v>
      </c>
      <c r="BX53" s="8">
        <f>IF($A53=BX$1,0,IF(SUM(IMshareM!BX$2:BX$78)-IMshareM!BX$76&gt;0,IMshareM!BX53/(SUM(IMshareM!BX$2:BX$78)-IMshareM!BX$76),0))</f>
        <v>0</v>
      </c>
      <c r="BY53" s="8">
        <f>IF($A53=BY$1,0,IF(SUM(IMshareM!BY$2:BY$78)-IMshareM!BY$77&gt;0,IMshareM!BY53/(SUM(IMshareM!BY$2:BY$78)-IMshareM!BY$77),0))</f>
        <v>3.1400201174388118E-6</v>
      </c>
      <c r="BZ53" s="8">
        <f>IF($A53=BZ$1,0,IF(SUM(IMshareM!BZ$2:BZ$78)-IMshareM!BZ$78&gt;0,IMshareM!BZ53/(SUM(IMshareM!BZ$2:BZ$78)-IMshareM!BZ$78),0))</f>
        <v>3.6187156367791448E-5</v>
      </c>
    </row>
    <row r="54" spans="1:78">
      <c r="A54" s="4" t="s">
        <v>175</v>
      </c>
      <c r="B54" s="8">
        <f>IF($A54=B$1,0,IF(SUM(IMshareM!B$2:B$78)-IMshareM!B$2&gt;0,IMshareM!B54/(SUM(IMshareM!B$2:B$78)-IMshareM!B$2),0))</f>
        <v>6.941297947924566E-4</v>
      </c>
      <c r="C54" s="8">
        <f>IF($A54=C$1,0,IF(SUM(IMshareM!C$2:C$78)-IMshareM!C$3&gt;0,IMshareM!C54/(SUM(IMshareM!C$2:C$78)-IMshareM!C$3),0))</f>
        <v>4.2606480241245328E-3</v>
      </c>
      <c r="D54" s="8">
        <f>IF($A54=D$1,0,IF(SUM(IMshareM!D$2:D$78)-IMshareM!D$4&gt;0,IMshareM!D54/(SUM(IMshareM!D$2:D$78)-IMshareM!D$4),0))</f>
        <v>1.3752447648741261E-3</v>
      </c>
      <c r="E54" s="8">
        <f>IF($A54=E$1,0,IF(SUM(IMshareM!E$2:E$78)-IMshareM!E$5&gt;0,IMshareM!E54/(SUM(IMshareM!E$2:E$78)-IMshareM!E$5),0))</f>
        <v>6.6361679207475557E-2</v>
      </c>
      <c r="F54" s="8">
        <f>IF($A54=F$1,0,IF(SUM(IMshareM!F$2:F$78)-IMshareM!F$6&gt;0,IMshareM!F54/(SUM(IMshareM!F$2:F$78)-IMshareM!F$6),0))</f>
        <v>2.4154386434917844E-3</v>
      </c>
      <c r="G54" s="8">
        <f>IF($A54=G$1,0,IF(SUM(IMshareM!G$2:G$78)-IMshareM!G$7&gt;0,IMshareM!G54/(SUM(IMshareM!G$2:G$78)-IMshareM!G$7),0))</f>
        <v>7.7782029673414323E-3</v>
      </c>
      <c r="H54" s="8">
        <f>IF($A54=H$1,0,IF(SUM(IMshareM!H$2:H$78)-IMshareM!H$8&gt;0,IMshareM!H54/(SUM(IMshareM!H$2:H$78)-IMshareM!H$8),0))</f>
        <v>3.5119560009855013E-3</v>
      </c>
      <c r="I54" s="8">
        <f>IF($A54=I$1,0,IF(SUM(IMshareM!I$2:I$78)-IMshareM!I$9&gt;0,IMshareM!I54/(SUM(IMshareM!I$2:I$78)-IMshareM!I$9),0))</f>
        <v>1.637752515916186E-3</v>
      </c>
      <c r="J54" s="8">
        <f>IF($A54=J$1,0,IF(SUM(IMshareM!J$2:J$78)-IMshareM!J$10&gt;0,IMshareM!J54/(SUM(IMshareM!J$2:J$78)-IMshareM!J$10),0))</f>
        <v>1.0371867723494859E-2</v>
      </c>
      <c r="K54" s="8">
        <f>IF($A54=K$1,0,IF(SUM(IMshareM!K$2:K$78)-IMshareM!K$11&gt;0,IMshareM!K54/(SUM(IMshareM!K$2:K$78)-IMshareM!K$11),0))</f>
        <v>3.361512140114261E-3</v>
      </c>
      <c r="L54" s="8">
        <f>IF($A54=L$1,0,IF(SUM(IMshareM!L$2:L$78)-IMshareM!L$12&gt;0,IMshareM!L54/(SUM(IMshareM!L$2:L$78)-IMshareM!L$12),0))</f>
        <v>7.8911839404234435E-3</v>
      </c>
      <c r="M54" s="8">
        <f>IF($A54=M$1,0,IF(SUM(IMshareM!M$2:M$78)-IMshareM!M$13&gt;0,IMshareM!M54/(SUM(IMshareM!M$2:M$78)-IMshareM!M$13),0))</f>
        <v>4.5801838947133548E-4</v>
      </c>
      <c r="N54" s="8">
        <f>IF($A54=N$1,0,IF(SUM(IMshareM!N$2:N$78)-IMshareM!N$14&gt;0,IMshareM!N54/(SUM(IMshareM!N$2:N$78)-IMshareM!N$14),0))</f>
        <v>3.5226833833657198E-3</v>
      </c>
      <c r="O54" s="8">
        <f>IF($A54=O$1,0,IF(SUM(IMshareM!O$2:O$78)-IMshareM!O$15&gt;0,IMshareM!O54/(SUM(IMshareM!O$2:O$78)-IMshareM!O$15),0))</f>
        <v>1.336626859301151E-2</v>
      </c>
      <c r="P54" s="8">
        <f>IF($A54=P$1,0,IF(SUM(IMshareM!P$2:P$78)-IMshareM!P$16&gt;0,IMshareM!P54/(SUM(IMshareM!P$2:P$78)-IMshareM!P$16),0))</f>
        <v>1.9811428693797262E-3</v>
      </c>
      <c r="Q54" s="8">
        <f>IF($A54=Q$1,0,IF(SUM(IMshareM!Q$2:Q$78)-IMshareM!Q$17&gt;0,IMshareM!Q54/(SUM(IMshareM!Q$2:Q$78)-IMshareM!Q$17),0))</f>
        <v>1.0193890323365053E-3</v>
      </c>
      <c r="R54" s="8">
        <f>IF($A54=R$1,0,IF(SUM(IMshareM!R$2:R$78)-IMshareM!R$18&gt;0,IMshareM!R54/(SUM(IMshareM!R$2:R$78)-IMshareM!R$18),0))</f>
        <v>3.4104601966481437E-3</v>
      </c>
      <c r="S54" s="8">
        <f>IF($A54=S$1,0,IF(SUM(IMshareM!S$2:S$78)-IMshareM!S$19&gt;0,IMshareM!S54/(SUM(IMshareM!S$2:S$78)-IMshareM!S$19),0))</f>
        <v>5.1392182088890138E-3</v>
      </c>
      <c r="T54" s="8">
        <f>IF($A54=T$1,0,IF(SUM(IMshareM!T$2:T$78)-IMshareM!T$20&gt;0,IMshareM!T54/(SUM(IMshareM!T$2:T$78)-IMshareM!T$20),0))</f>
        <v>3.8103591193405667E-3</v>
      </c>
      <c r="U54" s="8">
        <f>IF($A54=U$1,0,IF(SUM(IMshareM!U$2:U$78)-IMshareM!U$21&gt;0,IMshareM!U54/(SUM(IMshareM!U$2:U$78)-IMshareM!U$21),0))</f>
        <v>2.7975776081043548E-2</v>
      </c>
      <c r="V54" s="8">
        <f>IF($A54=V$1,0,IF(SUM(IMshareM!V$2:V$78)-IMshareM!V$22&gt;0,IMshareM!V54/(SUM(IMshareM!V$2:V$78)-IMshareM!V$22),0))</f>
        <v>3.2835223924556137E-2</v>
      </c>
      <c r="W54" s="8">
        <f>IF($A54=W$1,0,IF(SUM(IMshareM!W$2:W$78)-IMshareM!W$23&gt;0,IMshareM!W54/(SUM(IMshareM!W$2:W$78)-IMshareM!W$23),0))</f>
        <v>2.4805305127407959E-3</v>
      </c>
      <c r="X54" s="8">
        <f>IF($A54=X$1,0,IF(SUM(IMshareM!X$2:X$78)-IMshareM!X$24&gt;0,IMshareM!X54/(SUM(IMshareM!X$2:X$78)-IMshareM!X$24),0))</f>
        <v>1.0273604467998534E-2</v>
      </c>
      <c r="Y54" s="8">
        <f>IF($A54=Y$1,0,IF(SUM(IMshareM!Y$2:Y$78)-IMshareM!Y$25&gt;0,IMshareM!Y54/(SUM(IMshareM!Y$2:Y$78)-IMshareM!Y$25),0))</f>
        <v>5.5503826485865182E-3</v>
      </c>
      <c r="Z54" s="8">
        <f>IF($A54=Z$1,0,IF(SUM(IMshareM!Z$2:Z$78)-IMshareM!Z$26&gt;0,IMshareM!Z54/(SUM(IMshareM!Z$2:Z$78)-IMshareM!Z$26),0))</f>
        <v>1.4068690925883887E-2</v>
      </c>
      <c r="AA54" s="8">
        <f>IF($A54=AA$1,0,IF(SUM(IMshareM!AA$2:AA$78)-IMshareM!AA$27&gt;0,IMshareM!AA54/(SUM(IMshareM!AA$2:AA$78)-IMshareM!AA$27),0))</f>
        <v>2.0120517163631231E-2</v>
      </c>
      <c r="AB54" s="8">
        <f>IF($A54=AB$1,0,IF(SUM(IMshareM!AB$2:AB$78)-IMshareM!AB$28&gt;0,IMshareM!AB54/(SUM(IMshareM!AB$2:AB$78)-IMshareM!AB$28),0))</f>
        <v>8.8956952787540861E-3</v>
      </c>
      <c r="AC54" s="8">
        <f>IF($A54=AC$1,0,IF(SUM(IMshareM!AC$2:AC$78)-IMshareM!AC$29&gt;0,IMshareM!AC54/(SUM(IMshareM!AC$2:AC$78)-IMshareM!AC$29),0))</f>
        <v>1.8065980466895292E-2</v>
      </c>
      <c r="AD54" s="8">
        <f>IF($A54=AD$1,0,IF(SUM(IMshareM!AD$2:AD$78)-IMshareM!AD$30&gt;0,IMshareM!AD54/(SUM(IMshareM!AD$2:AD$78)-IMshareM!AD$30),0))</f>
        <v>3.2515023428938881E-3</v>
      </c>
      <c r="AE54" s="8">
        <f>IF($A54=AE$1,0,IF(SUM(IMshareM!AE$2:AE$78)-IMshareM!AE$31&gt;0,IMshareM!AE54/(SUM(IMshareM!AE$2:AE$78)-IMshareM!AE$31),0))</f>
        <v>4.4464850758589962E-2</v>
      </c>
      <c r="AF54" s="8">
        <f>IF($A54=AF$1,0,IF(SUM(IMshareM!AF$2:AF$78)-IMshareM!AF$32&gt;0,IMshareM!AF54/(SUM(IMshareM!AF$2:AF$78)-IMshareM!AF$32),0))</f>
        <v>1.8947464686783207E-2</v>
      </c>
      <c r="AG54" s="8">
        <f>IF($A54=AG$1,0,IF(SUM(IMshareM!AG$2:AG$78)-IMshareM!AG$33&gt;0,IMshareM!AG54/(SUM(IMshareM!AG$2:AG$78)-IMshareM!AG$33),0))</f>
        <v>1.2238681769666943E-3</v>
      </c>
      <c r="AH54" s="8">
        <f>IF($A54=AH$1,0,IF(SUM(IMshareM!AH$2:AH$78)-IMshareM!AH$34&gt;0,IMshareM!AH54/(SUM(IMshareM!AH$2:AH$78)-IMshareM!AH$34),0))</f>
        <v>5.9022153898273264E-3</v>
      </c>
      <c r="AI54" s="8">
        <f>IF($A54=AI$1,0,IF(SUM(IMshareM!AI$2:AI$78)-IMshareM!AI$35&gt;0,IMshareM!AI54/(SUM(IMshareM!AI$2:AI$78)-IMshareM!AI$35),0))</f>
        <v>1.4631884507049503E-2</v>
      </c>
      <c r="AJ54" s="8">
        <f>IF($A54=AJ$1,0,IF(SUM(IMshareM!AJ$2:AJ$78)-IMshareM!AJ$36&gt;0,IMshareM!AJ54/(SUM(IMshareM!AJ$2:AJ$78)-IMshareM!AJ$36),0))</f>
        <v>5.4683700800249632E-2</v>
      </c>
      <c r="AK54" s="8">
        <f>IF($A54=AK$1,0,IF(SUM(IMshareM!AK$2:AK$78)-IMshareM!AK$37&gt;0,IMshareM!AK54/(SUM(IMshareM!AK$2:AK$78)-IMshareM!AK$37),0))</f>
        <v>2.1269515726713338E-2</v>
      </c>
      <c r="AL54" s="8">
        <f>IF($A54=AL$1,0,IF(SUM(IMshareM!AL$2:AL$78)-IMshareM!AL$38&gt;0,IMshareM!AL54/(SUM(IMshareM!AL$2:AL$78)-IMshareM!AL$38),0))</f>
        <v>3.6110845656744196E-2</v>
      </c>
      <c r="AM54" s="8">
        <f>IF($A54=AM$1,0,IF(SUM(IMshareM!AM$2:AM$78)-IMshareM!AM$39&gt;0,IMshareM!AM54/(SUM(IMshareM!AM$2:AM$78)-IMshareM!AM$39),0))</f>
        <v>1.0955542293722731E-2</v>
      </c>
      <c r="AN54" s="8">
        <f>IF($A54=AN$1,0,IF(SUM(IMshareM!AN$2:AN$78)-IMshareM!AN$40&gt;0,IMshareM!AN54/(SUM(IMshareM!AN$2:AN$78)-IMshareM!AN$40),0))</f>
        <v>2.1026288658189236E-3</v>
      </c>
      <c r="AO54" s="8">
        <f>IF($A54=AO$1,0,IF(SUM(IMshareM!AO$2:AO$78)-IMshareM!AO$41&gt;0,IMshareM!AO54/(SUM(IMshareM!AO$2:AO$78)-IMshareM!AO$41),0))</f>
        <v>2.4284244759939077E-3</v>
      </c>
      <c r="AP54" s="8">
        <f>IF($A54=AP$1,0,IF(SUM(IMshareM!AP$2:AP$78)-IMshareM!AP$42&gt;0,IMshareM!AP54/(SUM(IMshareM!AP$2:AP$78)-IMshareM!AP$42),0))</f>
        <v>1.3059278291550254E-4</v>
      </c>
      <c r="AQ54" s="8">
        <f>IF($A54=AQ$1,0,IF(SUM(IMshareM!AQ$2:AQ$78)-IMshareM!AQ$43&gt;0,IMshareM!AQ54/(SUM(IMshareM!AQ$2:AQ$78)-IMshareM!AQ$43),0))</f>
        <v>2.1524086344046848E-3</v>
      </c>
      <c r="AR54" s="8">
        <f>IF($A54=AR$1,0,IF(SUM(IMshareM!AR$2:AR$78)-IMshareM!AR$44&gt;0,IMshareM!AR54/(SUM(IMshareM!AR$2:AR$78)-IMshareM!AR$44),0))</f>
        <v>6.5704056610526454E-5</v>
      </c>
      <c r="AS54" s="8">
        <f>IF($A54=AS$1,0,IF(SUM(IMshareM!AS$2:AS$78)-IMshareM!AS$45&gt;0,IMshareM!AS54/(SUM(IMshareM!AS$2:AS$78)-IMshareM!AS$45),0))</f>
        <v>7.4840895853819436E-2</v>
      </c>
      <c r="AT54" s="8">
        <f>IF($A54=AT$1,0,IF(SUM(IMshareM!AT$2:AT$78)-IMshareM!AT$46&gt;0,IMshareM!AT54/(SUM(IMshareM!AT$2:AT$78)-IMshareM!AT$46),0))</f>
        <v>7.4596247748118516E-3</v>
      </c>
      <c r="AU54" s="8">
        <f>IF($A54=AU$1,0,IF(SUM(IMshareM!AU$2:AU$78)-IMshareM!AU$47&gt;0,IMshareM!AU54/(SUM(IMshareM!AU$2:AU$78)-IMshareM!AU$47),0))</f>
        <v>2.3691018294060111E-2</v>
      </c>
      <c r="AV54" s="8">
        <f>IF($A54=AV$1,0,IF(SUM(IMshareM!AV$2:AV$78)-IMshareM!AV$48&gt;0,IMshareM!AV54/(SUM(IMshareM!AV$2:AV$78)-IMshareM!AV$48),0))</f>
        <v>8.1067469748372458E-4</v>
      </c>
      <c r="AW54" s="8">
        <f>IF($A54=AW$1,0,IF(SUM(IMshareM!AW$2:AW$78)-IMshareM!AW$49&gt;0,IMshareM!AW54/(SUM(IMshareM!AW$2:AW$78)-IMshareM!AW$49),0))</f>
        <v>1.4440830284658107E-4</v>
      </c>
      <c r="AX54" s="8">
        <f>IF($A54=AX$1,0,IF(SUM(IMshareM!AX$2:AX$78)-IMshareM!AX$50&gt;0,IMshareM!AX54/(SUM(IMshareM!AX$2:AX$78)-IMshareM!AX$50),0))</f>
        <v>2.0975337528772067E-3</v>
      </c>
      <c r="AY54" s="8">
        <f>IF($A54=AY$1,0,IF(SUM(IMshareM!AY$2:AY$78)-IMshareM!AY$51&gt;0,IMshareM!AY54/(SUM(IMshareM!AY$2:AY$78)-IMshareM!AY$51),0))</f>
        <v>0</v>
      </c>
      <c r="AZ54" s="8">
        <f>IF($A54=AZ$1,0,IF(SUM(IMshareM!AZ$2:AZ$78)-IMshareM!AZ$52&gt;0,IMshareM!AZ54/(SUM(IMshareM!AZ$2:AZ$78)-IMshareM!AZ$52),0))</f>
        <v>5.258154966994443E-3</v>
      </c>
      <c r="BA54" s="8">
        <f>IF($A54=BA$1,0,IF(SUM(IMshareM!BA$2:BA$78)-IMshareM!BA$53&gt;0,IMshareM!BA54/(SUM(IMshareM!BA$2:BA$78)-IMshareM!BA$53),0))</f>
        <v>2.9732363919552241E-3</v>
      </c>
      <c r="BB54" s="8">
        <f>IF($A54=BB$1,0,IF(SUM(IMshareM!BB$2:BB$78)-IMshareM!BB$54&gt;0,IMshareM!BB54/(SUM(IMshareM!BB$2:BB$78)-IMshareM!BB$54),0))</f>
        <v>0</v>
      </c>
      <c r="BC54" s="8">
        <f>IF($A54=BC$1,0,IF(SUM(IMshareM!BC$2:BC$78)-IMshareM!BC$55&gt;0,IMshareM!BC54/(SUM(IMshareM!BC$2:BC$78)-IMshareM!BC$55),0))</f>
        <v>1.0104356256396821E-2</v>
      </c>
      <c r="BD54" s="8">
        <f>IF($A54=BD$1,0,IF(SUM(IMshareM!BD$2:BD$78)-IMshareM!BD$56&gt;0,IMshareM!BD54/(SUM(IMshareM!BD$2:BD$78)-IMshareM!BD$56),0))</f>
        <v>8.4435457522283458E-3</v>
      </c>
      <c r="BE54" s="8">
        <f>IF($A54=BE$1,0,IF(SUM(IMshareM!BE$2:BE$78)-IMshareM!BE$57&gt;0,IMshareM!BE54/(SUM(IMshareM!BE$2:BE$78)-IMshareM!BE$57),0))</f>
        <v>3.812454709236622E-3</v>
      </c>
      <c r="BF54" s="8">
        <f>IF($A54=BF$1,0,IF(SUM(IMshareM!BF$2:BF$78)-IMshareM!BF$58&gt;0,IMshareM!BF54/(SUM(IMshareM!BF$2:BF$78)-IMshareM!BF$58),0))</f>
        <v>4.6846385595228422E-4</v>
      </c>
      <c r="BG54" s="8">
        <f>IF($A54=BG$1,0,IF(SUM(IMshareM!BG$2:BG$78)-IMshareM!BG$59&gt;0,IMshareM!BG54/(SUM(IMshareM!BG$2:BG$78)-IMshareM!BG$59),0))</f>
        <v>2.6741604964216465E-3</v>
      </c>
      <c r="BH54" s="8">
        <f>IF($A54=BH$1,0,IF(SUM(IMshareM!BH$2:BH$78)-IMshareM!BH$60&gt;0,IMshareM!BH54/(SUM(IMshareM!BH$2:BH$78)-IMshareM!BH$60),0))</f>
        <v>1.049954773560095E-2</v>
      </c>
      <c r="BI54" s="8">
        <f>IF($A54=BI$1,0,IF(SUM(IMshareM!BI$2:BI$78)-IMshareM!BI$61&gt;0,IMshareM!BI54/(SUM(IMshareM!BI$2:BI$78)-IMshareM!BI$61),0))</f>
        <v>4.8587105630909594E-2</v>
      </c>
      <c r="BJ54" s="8">
        <f>IF($A54=BJ$1,0,IF(SUM(IMshareM!BJ$2:BJ$78)-IMshareM!BJ$62&gt;0,IMshareM!BJ54/(SUM(IMshareM!BJ$2:BJ$78)-IMshareM!BJ$62),0))</f>
        <v>1.3293896994331523E-2</v>
      </c>
      <c r="BK54" s="8">
        <f>IF($A54=BK$1,0,IF(SUM(IMshareM!BK$2:BK$78)-IMshareM!BK$63&gt;0,IMshareM!BK54/(SUM(IMshareM!BK$2:BK$78)-IMshareM!BK$63),0))</f>
        <v>4.0673085930809831E-3</v>
      </c>
      <c r="BL54" s="8">
        <f>IF($A54=BL$1,0,IF(SUM(IMshareM!BL$2:BL$78)-IMshareM!BL$64&gt;0,IMshareM!BL54/(SUM(IMshareM!BL$2:BL$78)-IMshareM!BL$64),0))</f>
        <v>7.6310208992597904E-3</v>
      </c>
      <c r="BM54" s="8">
        <f>IF($A54=BM$1,0,IF(SUM(IMshareM!BM$2:BM$78)-IMshareM!BM$65&gt;0,IMshareM!BM54/(SUM(IMshareM!BM$2:BM$78)-IMshareM!BM$65),0))</f>
        <v>9.88580460408513E-2</v>
      </c>
      <c r="BN54" s="8">
        <f>IF($A54=BN$1,0,IF(SUM(IMshareM!BN$2:BN$78)-IMshareM!BN$66&gt;0,IMshareM!BN54/(SUM(IMshareM!BN$2:BN$78)-IMshareM!BN$66),0))</f>
        <v>6.9308800739412346E-3</v>
      </c>
      <c r="BO54" s="8">
        <f>IF($A54=BO$1,0,IF(SUM(IMshareM!BO$2:BO$78)-IMshareM!BO$67&gt;0,IMshareM!BO54/(SUM(IMshareM!BO$2:BO$78)-IMshareM!BO$67),0))</f>
        <v>2.1240351827749486E-3</v>
      </c>
      <c r="BP54" s="8">
        <f>IF($A54=BP$1,0,IF(SUM(IMshareM!BP$2:BP$78)-IMshareM!BP$68&gt;0,IMshareM!BP54/(SUM(IMshareM!BP$2:BP$78)-IMshareM!BP$68),0))</f>
        <v>4.7614715480848464E-3</v>
      </c>
      <c r="BQ54" s="8">
        <f>IF($A54=BQ$1,0,IF(SUM(IMshareM!BQ$2:BQ$78)-IMshareM!BQ$69&gt;0,IMshareM!BQ54/(SUM(IMshareM!BQ$2:BQ$78)-IMshareM!BQ$69),0))</f>
        <v>4.6050254497578491E-2</v>
      </c>
      <c r="BR54" s="8">
        <f>IF($A54=BR$1,0,IF(SUM(IMshareM!BR$2:BR$78)-IMshareM!BR$70&gt;0,IMshareM!BR54/(SUM(IMshareM!BR$2:BR$78)-IMshareM!BR$70),0))</f>
        <v>1.6140337081205786E-2</v>
      </c>
      <c r="BS54" s="8">
        <f>IF($A54=BS$1,0,IF(SUM(IMshareM!BS$2:BS$78)-IMshareM!BS$71&gt;0,IMshareM!BS54/(SUM(IMshareM!BS$2:BS$78)-IMshareM!BS$71),0))</f>
        <v>4.9026998287094638E-3</v>
      </c>
      <c r="BT54" s="8">
        <f>IF($A54=BT$1,0,IF(SUM(IMshareM!BT$2:BT$78)-IMshareM!BT$72&gt;0,IMshareM!BT54/(SUM(IMshareM!BT$2:BT$78)-IMshareM!BT$72),0))</f>
        <v>1.6175373193229739E-3</v>
      </c>
      <c r="BU54" s="8">
        <f>IF($A54=BU$1,0,IF(SUM(IMshareM!BU$2:BU$78)-IMshareM!BU$73&gt;0,IMshareM!BU54/(SUM(IMshareM!BU$2:BU$78)-IMshareM!BU$73),0))</f>
        <v>1.1252768944672803E-2</v>
      </c>
      <c r="BV54" s="8">
        <f>IF($A54=BV$1,0,IF(SUM(IMshareM!BV$2:BV$78)-IMshareM!BV$74&gt;0,IMshareM!BV54/(SUM(IMshareM!BV$2:BV$78)-IMshareM!BV$74),0))</f>
        <v>6.1298999093246861E-3</v>
      </c>
      <c r="BW54" s="8">
        <f>IF($A54=BW$1,0,IF(SUM(IMshareM!BW$2:BW$78)-IMshareM!BW$75&gt;0,IMshareM!BW54/(SUM(IMshareM!BW$2:BW$78)-IMshareM!BW$75),0))</f>
        <v>3.4050404851223271E-3</v>
      </c>
      <c r="BX54" s="8">
        <f>IF($A54=BX$1,0,IF(SUM(IMshareM!BX$2:BX$78)-IMshareM!BX$76&gt;0,IMshareM!BX54/(SUM(IMshareM!BX$2:BX$78)-IMshareM!BX$76),0))</f>
        <v>7.8924075415304836E-4</v>
      </c>
      <c r="BY54" s="8">
        <f>IF($A54=BY$1,0,IF(SUM(IMshareM!BY$2:BY$78)-IMshareM!BY$77&gt;0,IMshareM!BY54/(SUM(IMshareM!BY$2:BY$78)-IMshareM!BY$77),0))</f>
        <v>2.6106644281317496E-3</v>
      </c>
      <c r="BZ54" s="8">
        <f>IF($A54=BZ$1,0,IF(SUM(IMshareM!BZ$2:BZ$78)-IMshareM!BZ$78&gt;0,IMshareM!BZ54/(SUM(IMshareM!BZ$2:BZ$78)-IMshareM!BZ$78),0))</f>
        <v>5.2932153582330391E-3</v>
      </c>
    </row>
    <row r="55" spans="1:78">
      <c r="A55" s="4" t="s">
        <v>177</v>
      </c>
      <c r="B55" s="8">
        <f>IF($A55=B$1,0,IF(SUM(IMshareM!B$2:B$78)-IMshareM!B$2&gt;0,IMshareM!B55/(SUM(IMshareM!B$2:B$78)-IMshareM!B$2),0))</f>
        <v>5.2750790550908165E-4</v>
      </c>
      <c r="C55" s="8">
        <f>IF($A55=C$1,0,IF(SUM(IMshareM!C$2:C$78)-IMshareM!C$3&gt;0,IMshareM!C55/(SUM(IMshareM!C$2:C$78)-IMshareM!C$3),0))</f>
        <v>8.430557157814635E-4</v>
      </c>
      <c r="D55" s="8">
        <f>IF($A55=D$1,0,IF(SUM(IMshareM!D$2:D$78)-IMshareM!D$4&gt;0,IMshareM!D55/(SUM(IMshareM!D$2:D$78)-IMshareM!D$4),0))</f>
        <v>1.1848109492728993E-4</v>
      </c>
      <c r="E55" s="8">
        <f>IF($A55=E$1,0,IF(SUM(IMshareM!E$2:E$78)-IMshareM!E$5&gt;0,IMshareM!E55/(SUM(IMshareM!E$2:E$78)-IMshareM!E$5),0))</f>
        <v>6.6041939163322062E-4</v>
      </c>
      <c r="F55" s="8">
        <f>IF($A55=F$1,0,IF(SUM(IMshareM!F$2:F$78)-IMshareM!F$6&gt;0,IMshareM!F55/(SUM(IMshareM!F$2:F$78)-IMshareM!F$6),0))</f>
        <v>2.4374895785427195E-6</v>
      </c>
      <c r="G55" s="8">
        <f>IF($A55=G$1,0,IF(SUM(IMshareM!G$2:G$78)-IMshareM!G$7&gt;0,IMshareM!G55/(SUM(IMshareM!G$2:G$78)-IMshareM!G$7),0))</f>
        <v>3.4977265973663823E-5</v>
      </c>
      <c r="H55" s="8">
        <f>IF($A55=H$1,0,IF(SUM(IMshareM!H$2:H$78)-IMshareM!H$8&gt;0,IMshareM!H55/(SUM(IMshareM!H$2:H$78)-IMshareM!H$8),0))</f>
        <v>0</v>
      </c>
      <c r="I55" s="8">
        <f>IF($A55=I$1,0,IF(SUM(IMshareM!I$2:I$78)-IMshareM!I$9&gt;0,IMshareM!I55/(SUM(IMshareM!I$2:I$78)-IMshareM!I$9),0))</f>
        <v>1.4856801508321361E-4</v>
      </c>
      <c r="J55" s="8">
        <f>IF($A55=J$1,0,IF(SUM(IMshareM!J$2:J$78)-IMshareM!J$10&gt;0,IMshareM!J55/(SUM(IMshareM!J$2:J$78)-IMshareM!J$10),0))</f>
        <v>3.616627235452384E-3</v>
      </c>
      <c r="K55" s="8">
        <f>IF($A55=K$1,0,IF(SUM(IMshareM!K$2:K$78)-IMshareM!K$11&gt;0,IMshareM!K55/(SUM(IMshareM!K$2:K$78)-IMshareM!K$11),0))</f>
        <v>4.666038883792429E-4</v>
      </c>
      <c r="L55" s="8">
        <f>IF($A55=L$1,0,IF(SUM(IMshareM!L$2:L$78)-IMshareM!L$12&gt;0,IMshareM!L55/(SUM(IMshareM!L$2:L$78)-IMshareM!L$12),0))</f>
        <v>9.4120810632690165E-5</v>
      </c>
      <c r="M55" s="8">
        <f>IF($A55=M$1,0,IF(SUM(IMshareM!M$2:M$78)-IMshareM!M$13&gt;0,IMshareM!M55/(SUM(IMshareM!M$2:M$78)-IMshareM!M$13),0))</f>
        <v>2.3452168465843624E-4</v>
      </c>
      <c r="N55" s="8">
        <f>IF($A55=N$1,0,IF(SUM(IMshareM!N$2:N$78)-IMshareM!N$14&gt;0,IMshareM!N55/(SUM(IMshareM!N$2:N$78)-IMshareM!N$14),0))</f>
        <v>2.4346321587655231E-4</v>
      </c>
      <c r="O55" s="8">
        <f>IF($A55=O$1,0,IF(SUM(IMshareM!O$2:O$78)-IMshareM!O$15&gt;0,IMshareM!O55/(SUM(IMshareM!O$2:O$78)-IMshareM!O$15),0))</f>
        <v>6.0422353429264633E-5</v>
      </c>
      <c r="P55" s="8">
        <f>IF($A55=P$1,0,IF(SUM(IMshareM!P$2:P$78)-IMshareM!P$16&gt;0,IMshareM!P55/(SUM(IMshareM!P$2:P$78)-IMshareM!P$16),0))</f>
        <v>1.091784496815287E-4</v>
      </c>
      <c r="Q55" s="8">
        <f>IF($A55=Q$1,0,IF(SUM(IMshareM!Q$2:Q$78)-IMshareM!Q$17&gt;0,IMshareM!Q55/(SUM(IMshareM!Q$2:Q$78)-IMshareM!Q$17),0))</f>
        <v>8.2466011638989E-5</v>
      </c>
      <c r="R55" s="8">
        <f>IF($A55=R$1,0,IF(SUM(IMshareM!R$2:R$78)-IMshareM!R$18&gt;0,IMshareM!R55/(SUM(IMshareM!R$2:R$78)-IMshareM!R$18),0))</f>
        <v>0</v>
      </c>
      <c r="S55" s="8">
        <f>IF($A55=S$1,0,IF(SUM(IMshareM!S$2:S$78)-IMshareM!S$19&gt;0,IMshareM!S55/(SUM(IMshareM!S$2:S$78)-IMshareM!S$19),0))</f>
        <v>6.0882270980924351E-3</v>
      </c>
      <c r="T55" s="8">
        <f>IF($A55=T$1,0,IF(SUM(IMshareM!T$2:T$78)-IMshareM!T$20&gt;0,IMshareM!T55/(SUM(IMshareM!T$2:T$78)-IMshareM!T$20),0))</f>
        <v>2.8922779505160105E-5</v>
      </c>
      <c r="U55" s="8">
        <f>IF($A55=U$1,0,IF(SUM(IMshareM!U$2:U$78)-IMshareM!U$21&gt;0,IMshareM!U55/(SUM(IMshareM!U$2:U$78)-IMshareM!U$21),0))</f>
        <v>1.4039112167417352E-4</v>
      </c>
      <c r="V55" s="8">
        <f>IF($A55=V$1,0,IF(SUM(IMshareM!V$2:V$78)-IMshareM!V$22&gt;0,IMshareM!V55/(SUM(IMshareM!V$2:V$78)-IMshareM!V$22),0))</f>
        <v>7.7443154824464932E-3</v>
      </c>
      <c r="W55" s="8">
        <f>IF($A55=W$1,0,IF(SUM(IMshareM!W$2:W$78)-IMshareM!W$23&gt;0,IMshareM!W55/(SUM(IMshareM!W$2:W$78)-IMshareM!W$23),0))</f>
        <v>5.6680140500607628E-5</v>
      </c>
      <c r="X55" s="8">
        <f>IF($A55=X$1,0,IF(SUM(IMshareM!X$2:X$78)-IMshareM!X$24&gt;0,IMshareM!X55/(SUM(IMshareM!X$2:X$78)-IMshareM!X$24),0))</f>
        <v>9.8417515993201132E-4</v>
      </c>
      <c r="Y55" s="8">
        <f>IF($A55=Y$1,0,IF(SUM(IMshareM!Y$2:Y$78)-IMshareM!Y$25&gt;0,IMshareM!Y55/(SUM(IMshareM!Y$2:Y$78)-IMshareM!Y$25),0))</f>
        <v>4.731283949986907E-3</v>
      </c>
      <c r="Z55" s="8">
        <f>IF($A55=Z$1,0,IF(SUM(IMshareM!Z$2:Z$78)-IMshareM!Z$26&gt;0,IMshareM!Z55/(SUM(IMshareM!Z$2:Z$78)-IMshareM!Z$26),0))</f>
        <v>1.1146102471048767E-3</v>
      </c>
      <c r="AA55" s="8">
        <f>IF($A55=AA$1,0,IF(SUM(IMshareM!AA$2:AA$78)-IMshareM!AA$27&gt;0,IMshareM!AA55/(SUM(IMshareM!AA$2:AA$78)-IMshareM!AA$27),0))</f>
        <v>6.4885265120754351E-4</v>
      </c>
      <c r="AB55" s="8">
        <f>IF($A55=AB$1,0,IF(SUM(IMshareM!AB$2:AB$78)-IMshareM!AB$28&gt;0,IMshareM!AB55/(SUM(IMshareM!AB$2:AB$78)-IMshareM!AB$28),0))</f>
        <v>6.5404632771687168E-4</v>
      </c>
      <c r="AC55" s="8">
        <f>IF($A55=AC$1,0,IF(SUM(IMshareM!AC$2:AC$78)-IMshareM!AC$29&gt;0,IMshareM!AC55/(SUM(IMshareM!AC$2:AC$78)-IMshareM!AC$29),0))</f>
        <v>4.0421390709944932E-4</v>
      </c>
      <c r="AD55" s="8">
        <f>IF($A55=AD$1,0,IF(SUM(IMshareM!AD$2:AD$78)-IMshareM!AD$30&gt;0,IMshareM!AD55/(SUM(IMshareM!AD$2:AD$78)-IMshareM!AD$30),0))</f>
        <v>2.1346813674674999E-5</v>
      </c>
      <c r="AE55" s="8">
        <f>IF($A55=AE$1,0,IF(SUM(IMshareM!AE$2:AE$78)-IMshareM!AE$31&gt;0,IMshareM!AE55/(SUM(IMshareM!AE$2:AE$78)-IMshareM!AE$31),0))</f>
        <v>8.7471600314391589E-3</v>
      </c>
      <c r="AF55" s="8">
        <f>IF($A55=AF$1,0,IF(SUM(IMshareM!AF$2:AF$78)-IMshareM!AF$32&gt;0,IMshareM!AF55/(SUM(IMshareM!AF$2:AF$78)-IMshareM!AF$32),0))</f>
        <v>5.4755602875713205E-5</v>
      </c>
      <c r="AG55" s="8">
        <f>IF($A55=AG$1,0,IF(SUM(IMshareM!AG$2:AG$78)-IMshareM!AG$33&gt;0,IMshareM!AG55/(SUM(IMshareM!AG$2:AG$78)-IMshareM!AG$33),0))</f>
        <v>4.0892870188066746E-5</v>
      </c>
      <c r="AH55" s="8">
        <f>IF($A55=AH$1,0,IF(SUM(IMshareM!AH$2:AH$78)-IMshareM!AH$34&gt;0,IMshareM!AH55/(SUM(IMshareM!AH$2:AH$78)-IMshareM!AH$34),0))</f>
        <v>2.1956071407940099E-4</v>
      </c>
      <c r="AI55" s="8">
        <f>IF($A55=AI$1,0,IF(SUM(IMshareM!AI$2:AI$78)-IMshareM!AI$35&gt;0,IMshareM!AI55/(SUM(IMshareM!AI$2:AI$78)-IMshareM!AI$35),0))</f>
        <v>2.4269275330394654E-4</v>
      </c>
      <c r="AJ55" s="8">
        <f>IF($A55=AJ$1,0,IF(SUM(IMshareM!AJ$2:AJ$78)-IMshareM!AJ$36&gt;0,IMshareM!AJ55/(SUM(IMshareM!AJ$2:AJ$78)-IMshareM!AJ$36),0))</f>
        <v>4.544421495466737E-2</v>
      </c>
      <c r="AK55" s="8">
        <f>IF($A55=AK$1,0,IF(SUM(IMshareM!AK$2:AK$78)-IMshareM!AK$37&gt;0,IMshareM!AK55/(SUM(IMshareM!AK$2:AK$78)-IMshareM!AK$37),0))</f>
        <v>2.9500021812362481E-4</v>
      </c>
      <c r="AL55" s="8">
        <f>IF($A55=AL$1,0,IF(SUM(IMshareM!AL$2:AL$78)-IMshareM!AL$38&gt;0,IMshareM!AL55/(SUM(IMshareM!AL$2:AL$78)-IMshareM!AL$38),0))</f>
        <v>2.1905373085662986E-3</v>
      </c>
      <c r="AM55" s="8">
        <f>IF($A55=AM$1,0,IF(SUM(IMshareM!AM$2:AM$78)-IMshareM!AM$39&gt;0,IMshareM!AM55/(SUM(IMshareM!AM$2:AM$78)-IMshareM!AM$39),0))</f>
        <v>7.0506029031090944E-6</v>
      </c>
      <c r="AN55" s="8">
        <f>IF($A55=AN$1,0,IF(SUM(IMshareM!AN$2:AN$78)-IMshareM!AN$40&gt;0,IMshareM!AN55/(SUM(IMshareM!AN$2:AN$78)-IMshareM!AN$40),0))</f>
        <v>2.6969011210557553E-5</v>
      </c>
      <c r="AO55" s="8">
        <f>IF($A55=AO$1,0,IF(SUM(IMshareM!AO$2:AO$78)-IMshareM!AO$41&gt;0,IMshareM!AO55/(SUM(IMshareM!AO$2:AO$78)-IMshareM!AO$41),0))</f>
        <v>7.4394063405364353E-6</v>
      </c>
      <c r="AP55" s="8">
        <f>IF($A55=AP$1,0,IF(SUM(IMshareM!AP$2:AP$78)-IMshareM!AP$42&gt;0,IMshareM!AP55/(SUM(IMshareM!AP$2:AP$78)-IMshareM!AP$42),0))</f>
        <v>0</v>
      </c>
      <c r="AQ55" s="8">
        <f>IF($A55=AQ$1,0,IF(SUM(IMshareM!AQ$2:AQ$78)-IMshareM!AQ$43&gt;0,IMshareM!AQ55/(SUM(IMshareM!AQ$2:AQ$78)-IMshareM!AQ$43),0))</f>
        <v>3.693363081987301E-4</v>
      </c>
      <c r="AR55" s="8">
        <f>IF($A55=AR$1,0,IF(SUM(IMshareM!AR$2:AR$78)-IMshareM!AR$44&gt;0,IMshareM!AR55/(SUM(IMshareM!AR$2:AR$78)-IMshareM!AR$44),0))</f>
        <v>0</v>
      </c>
      <c r="AS55" s="8">
        <f>IF($A55=AS$1,0,IF(SUM(IMshareM!AS$2:AS$78)-IMshareM!AS$45&gt;0,IMshareM!AS55/(SUM(IMshareM!AS$2:AS$78)-IMshareM!AS$45),0))</f>
        <v>4.7703087869150384E-3</v>
      </c>
      <c r="AT55" s="8">
        <f>IF($A55=AT$1,0,IF(SUM(IMshareM!AT$2:AT$78)-IMshareM!AT$46&gt;0,IMshareM!AT55/(SUM(IMshareM!AT$2:AT$78)-IMshareM!AT$46),0))</f>
        <v>2.4742213845072459E-3</v>
      </c>
      <c r="AU55" s="8">
        <f>IF($A55=AU$1,0,IF(SUM(IMshareM!AU$2:AU$78)-IMshareM!AU$47&gt;0,IMshareM!AU55/(SUM(IMshareM!AU$2:AU$78)-IMshareM!AU$47),0))</f>
        <v>1.930741312024357E-3</v>
      </c>
      <c r="AV55" s="8">
        <f>IF($A55=AV$1,0,IF(SUM(IMshareM!AV$2:AV$78)-IMshareM!AV$48&gt;0,IMshareM!AV55/(SUM(IMshareM!AV$2:AV$78)-IMshareM!AV$48),0))</f>
        <v>1.1188210771144785E-5</v>
      </c>
      <c r="AW55" s="8">
        <f>IF($A55=AW$1,0,IF(SUM(IMshareM!AW$2:AW$78)-IMshareM!AW$49&gt;0,IMshareM!AW55/(SUM(IMshareM!AW$2:AW$78)-IMshareM!AW$49),0))</f>
        <v>4.7855727726113577E-5</v>
      </c>
      <c r="AX55" s="8">
        <f>IF($A55=AX$1,0,IF(SUM(IMshareM!AX$2:AX$78)-IMshareM!AX$50&gt;0,IMshareM!AX55/(SUM(IMshareM!AX$2:AX$78)-IMshareM!AX$50),0))</f>
        <v>3.3997639145014612E-3</v>
      </c>
      <c r="AY55" s="8">
        <f>IF($A55=AY$1,0,IF(SUM(IMshareM!AY$2:AY$78)-IMshareM!AY$51&gt;0,IMshareM!AY55/(SUM(IMshareM!AY$2:AY$78)-IMshareM!AY$51),0))</f>
        <v>8.606746072266274E-5</v>
      </c>
      <c r="AZ55" s="8">
        <f>IF($A55=AZ$1,0,IF(SUM(IMshareM!AZ$2:AZ$78)-IMshareM!AZ$52&gt;0,IMshareM!AZ55/(SUM(IMshareM!AZ$2:AZ$78)-IMshareM!AZ$52),0))</f>
        <v>2.1945108637170079E-4</v>
      </c>
      <c r="BA55" s="8">
        <f>IF($A55=BA$1,0,IF(SUM(IMshareM!BA$2:BA$78)-IMshareM!BA$53&gt;0,IMshareM!BA55/(SUM(IMshareM!BA$2:BA$78)-IMshareM!BA$53),0))</f>
        <v>9.4662590759110666E-5</v>
      </c>
      <c r="BB55" s="8">
        <f>IF($A55=BB$1,0,IF(SUM(IMshareM!BB$2:BB$78)-IMshareM!BB$54&gt;0,IMshareM!BB55/(SUM(IMshareM!BB$2:BB$78)-IMshareM!BB$54),0))</f>
        <v>2.8229892832780726E-3</v>
      </c>
      <c r="BC55" s="8">
        <f>IF($A55=BC$1,0,IF(SUM(IMshareM!BC$2:BC$78)-IMshareM!BC$55&gt;0,IMshareM!BC55/(SUM(IMshareM!BC$2:BC$78)-IMshareM!BC$55),0))</f>
        <v>0</v>
      </c>
      <c r="BD55" s="8">
        <f>IF($A55=BD$1,0,IF(SUM(IMshareM!BD$2:BD$78)-IMshareM!BD$56&gt;0,IMshareM!BD55/(SUM(IMshareM!BD$2:BD$78)-IMshareM!BD$56),0))</f>
        <v>3.818355128802924E-4</v>
      </c>
      <c r="BE55" s="8">
        <f>IF($A55=BE$1,0,IF(SUM(IMshareM!BE$2:BE$78)-IMshareM!BE$57&gt;0,IMshareM!BE55/(SUM(IMshareM!BE$2:BE$78)-IMshareM!BE$57),0))</f>
        <v>3.0583555035557423E-4</v>
      </c>
      <c r="BF55" s="8">
        <f>IF($A55=BF$1,0,IF(SUM(IMshareM!BF$2:BF$78)-IMshareM!BF$58&gt;0,IMshareM!BF55/(SUM(IMshareM!BF$2:BF$78)-IMshareM!BF$58),0))</f>
        <v>5.1421691848888441E-4</v>
      </c>
      <c r="BG55" s="8">
        <f>IF($A55=BG$1,0,IF(SUM(IMshareM!BG$2:BG$78)-IMshareM!BG$59&gt;0,IMshareM!BG55/(SUM(IMshareM!BG$2:BG$78)-IMshareM!BG$59),0))</f>
        <v>3.9222626853468687E-5</v>
      </c>
      <c r="BH55" s="8">
        <f>IF($A55=BH$1,0,IF(SUM(IMshareM!BH$2:BH$78)-IMshareM!BH$60&gt;0,IMshareM!BH55/(SUM(IMshareM!BH$2:BH$78)-IMshareM!BH$60),0))</f>
        <v>5.3950681362556333E-4</v>
      </c>
      <c r="BI55" s="8">
        <f>IF($A55=BI$1,0,IF(SUM(IMshareM!BI$2:BI$78)-IMshareM!BI$61&gt;0,IMshareM!BI55/(SUM(IMshareM!BI$2:BI$78)-IMshareM!BI$61),0))</f>
        <v>2.289590881497928E-5</v>
      </c>
      <c r="BJ55" s="8">
        <f>IF($A55=BJ$1,0,IF(SUM(IMshareM!BJ$2:BJ$78)-IMshareM!BJ$62&gt;0,IMshareM!BJ55/(SUM(IMshareM!BJ$2:BJ$78)-IMshareM!BJ$62),0))</f>
        <v>1.6183339492848304E-3</v>
      </c>
      <c r="BK55" s="8">
        <f>IF($A55=BK$1,0,IF(SUM(IMshareM!BK$2:BK$78)-IMshareM!BK$63&gt;0,IMshareM!BK55/(SUM(IMshareM!BK$2:BK$78)-IMshareM!BK$63),0))</f>
        <v>9.4811350088720399E-4</v>
      </c>
      <c r="BL55" s="8">
        <f>IF($A55=BL$1,0,IF(SUM(IMshareM!BL$2:BL$78)-IMshareM!BL$64&gt;0,IMshareM!BL55/(SUM(IMshareM!BL$2:BL$78)-IMshareM!BL$64),0))</f>
        <v>5.1675440589857169E-5</v>
      </c>
      <c r="BM55" s="8">
        <f>IF($A55=BM$1,0,IF(SUM(IMshareM!BM$2:BM$78)-IMshareM!BM$65&gt;0,IMshareM!BM55/(SUM(IMshareM!BM$2:BM$78)-IMshareM!BM$65),0))</f>
        <v>5.0244262214296915E-5</v>
      </c>
      <c r="BN55" s="8">
        <f>IF($A55=BN$1,0,IF(SUM(IMshareM!BN$2:BN$78)-IMshareM!BN$66&gt;0,IMshareM!BN55/(SUM(IMshareM!BN$2:BN$78)-IMshareM!BN$66),0))</f>
        <v>2.229157124396463E-3</v>
      </c>
      <c r="BO55" s="8">
        <f>IF($A55=BO$1,0,IF(SUM(IMshareM!BO$2:BO$78)-IMshareM!BO$67&gt;0,IMshareM!BO55/(SUM(IMshareM!BO$2:BO$78)-IMshareM!BO$67),0))</f>
        <v>5.9934247914585514E-6</v>
      </c>
      <c r="BP55" s="8">
        <f>IF($A55=BP$1,0,IF(SUM(IMshareM!BP$2:BP$78)-IMshareM!BP$68&gt;0,IMshareM!BP55/(SUM(IMshareM!BP$2:BP$78)-IMshareM!BP$68),0))</f>
        <v>1.2458191021707605E-4</v>
      </c>
      <c r="BQ55" s="8">
        <f>IF($A55=BQ$1,0,IF(SUM(IMshareM!BQ$2:BQ$78)-IMshareM!BQ$69&gt;0,IMshareM!BQ55/(SUM(IMshareM!BQ$2:BQ$78)-IMshareM!BQ$69),0))</f>
        <v>4.4133092578509912E-3</v>
      </c>
      <c r="BR55" s="8">
        <f>IF($A55=BR$1,0,IF(SUM(IMshareM!BR$2:BR$78)-IMshareM!BR$70&gt;0,IMshareM!BR55/(SUM(IMshareM!BR$2:BR$78)-IMshareM!BR$70),0))</f>
        <v>1.9677341446162348E-5</v>
      </c>
      <c r="BS55" s="8">
        <f>IF($A55=BS$1,0,IF(SUM(IMshareM!BS$2:BS$78)-IMshareM!BS$71&gt;0,IMshareM!BS55/(SUM(IMshareM!BS$2:BS$78)-IMshareM!BS$71),0))</f>
        <v>4.3506833190970244E-5</v>
      </c>
      <c r="BT55" s="8">
        <f>IF($A55=BT$1,0,IF(SUM(IMshareM!BT$2:BT$78)-IMshareM!BT$72&gt;0,IMshareM!BT55/(SUM(IMshareM!BT$2:BT$78)-IMshareM!BT$72),0))</f>
        <v>1.291160913138303E-3</v>
      </c>
      <c r="BU55" s="8">
        <f>IF($A55=BU$1,0,IF(SUM(IMshareM!BU$2:BU$78)-IMshareM!BU$73&gt;0,IMshareM!BU55/(SUM(IMshareM!BU$2:BU$78)-IMshareM!BU$73),0))</f>
        <v>4.2925729792416142E-5</v>
      </c>
      <c r="BV55" s="8">
        <f>IF($A55=BV$1,0,IF(SUM(IMshareM!BV$2:BV$78)-IMshareM!BV$74&gt;0,IMshareM!BV55/(SUM(IMshareM!BV$2:BV$78)-IMshareM!BV$74),0))</f>
        <v>7.1589759995829021E-6</v>
      </c>
      <c r="BW55" s="8">
        <f>IF($A55=BW$1,0,IF(SUM(IMshareM!BW$2:BW$78)-IMshareM!BW$75&gt;0,IMshareM!BW55/(SUM(IMshareM!BW$2:BW$78)-IMshareM!BW$75),0))</f>
        <v>6.8628800301388413E-4</v>
      </c>
      <c r="BX55" s="8">
        <f>IF($A55=BX$1,0,IF(SUM(IMshareM!BX$2:BX$78)-IMshareM!BX$76&gt;0,IMshareM!BX55/(SUM(IMshareM!BX$2:BX$78)-IMshareM!BX$76),0))</f>
        <v>2.9758922074442559E-5</v>
      </c>
      <c r="BY55" s="8">
        <f>IF($A55=BY$1,0,IF(SUM(IMshareM!BY$2:BY$78)-IMshareM!BY$77&gt;0,IMshareM!BY55/(SUM(IMshareM!BY$2:BY$78)-IMshareM!BY$77),0))</f>
        <v>5.1445893881400695E-6</v>
      </c>
      <c r="BZ55" s="8">
        <f>IF($A55=BZ$1,0,IF(SUM(IMshareM!BZ$2:BZ$78)-IMshareM!BZ$78&gt;0,IMshareM!BZ55/(SUM(IMshareM!BZ$2:BZ$78)-IMshareM!BZ$78),0))</f>
        <v>2.481713226680032E-4</v>
      </c>
    </row>
    <row r="56" spans="1:78">
      <c r="A56" s="4" t="s">
        <v>179</v>
      </c>
      <c r="B56" s="8">
        <f>IF($A56=B$1,0,IF(SUM(IMshareM!B$2:B$78)-IMshareM!B$2&gt;0,IMshareM!B56/(SUM(IMshareM!B$2:B$78)-IMshareM!B$2),0))</f>
        <v>2.1843235942348491E-5</v>
      </c>
      <c r="C56" s="8">
        <f>IF($A56=C$1,0,IF(SUM(IMshareM!C$2:C$78)-IMshareM!C$3&gt;0,IMshareM!C56/(SUM(IMshareM!C$2:C$78)-IMshareM!C$3),0))</f>
        <v>1.026423693543245E-3</v>
      </c>
      <c r="D56" s="8">
        <f>IF($A56=D$1,0,IF(SUM(IMshareM!D$2:D$78)-IMshareM!D$4&gt;0,IMshareM!D56/(SUM(IMshareM!D$2:D$78)-IMshareM!D$4),0))</f>
        <v>5.9654724774537039E-5</v>
      </c>
      <c r="E56" s="8">
        <f>IF($A56=E$1,0,IF(SUM(IMshareM!E$2:E$78)-IMshareM!E$5&gt;0,IMshareM!E56/(SUM(IMshareM!E$2:E$78)-IMshareM!E$5),0))</f>
        <v>8.4371957982968932E-6</v>
      </c>
      <c r="F56" s="8">
        <f>IF($A56=F$1,0,IF(SUM(IMshareM!F$2:F$78)-IMshareM!F$6&gt;0,IMshareM!F56/(SUM(IMshareM!F$2:F$78)-IMshareM!F$6),0))</f>
        <v>0</v>
      </c>
      <c r="G56" s="8">
        <f>IF($A56=G$1,0,IF(SUM(IMshareM!G$2:G$78)-IMshareM!G$7&gt;0,IMshareM!G56/(SUM(IMshareM!G$2:G$78)-IMshareM!G$7),0))</f>
        <v>0</v>
      </c>
      <c r="H56" s="8">
        <f>IF($A56=H$1,0,IF(SUM(IMshareM!H$2:H$78)-IMshareM!H$8&gt;0,IMshareM!H56/(SUM(IMshareM!H$2:H$78)-IMshareM!H$8),0))</f>
        <v>0</v>
      </c>
      <c r="I56" s="8">
        <f>IF($A56=I$1,0,IF(SUM(IMshareM!I$2:I$78)-IMshareM!I$9&gt;0,IMshareM!I56/(SUM(IMshareM!I$2:I$78)-IMshareM!I$9),0))</f>
        <v>6.6726800583283459E-4</v>
      </c>
      <c r="J56" s="8">
        <f>IF($A56=J$1,0,IF(SUM(IMshareM!J$2:J$78)-IMshareM!J$10&gt;0,IMshareM!J56/(SUM(IMshareM!J$2:J$78)-IMshareM!J$10),0))</f>
        <v>1.0678334746151409E-4</v>
      </c>
      <c r="K56" s="8">
        <f>IF($A56=K$1,0,IF(SUM(IMshareM!K$2:K$78)-IMshareM!K$11&gt;0,IMshareM!K56/(SUM(IMshareM!K$2:K$78)-IMshareM!K$11),0))</f>
        <v>1.419262036588732E-5</v>
      </c>
      <c r="L56" s="8">
        <f>IF($A56=L$1,0,IF(SUM(IMshareM!L$2:L$78)-IMshareM!L$12&gt;0,IMshareM!L56/(SUM(IMshareM!L$2:L$78)-IMshareM!L$12),0))</f>
        <v>3.3824056412287917E-6</v>
      </c>
      <c r="M56" s="8">
        <f>IF($A56=M$1,0,IF(SUM(IMshareM!M$2:M$78)-IMshareM!M$13&gt;0,IMshareM!M56/(SUM(IMshareM!M$2:M$78)-IMshareM!M$13),0))</f>
        <v>2.4292504863729463E-5</v>
      </c>
      <c r="N56" s="8">
        <f>IF($A56=N$1,0,IF(SUM(IMshareM!N$2:N$78)-IMshareM!N$14&gt;0,IMshareM!N56/(SUM(IMshareM!N$2:N$78)-IMshareM!N$14),0))</f>
        <v>1.255521031786688E-6</v>
      </c>
      <c r="O56" s="8">
        <f>IF($A56=O$1,0,IF(SUM(IMshareM!O$2:O$78)-IMshareM!O$15&gt;0,IMshareM!O56/(SUM(IMshareM!O$2:O$78)-IMshareM!O$15),0))</f>
        <v>5.0059057741456351E-4</v>
      </c>
      <c r="P56" s="8">
        <f>IF($A56=P$1,0,IF(SUM(IMshareM!P$2:P$78)-IMshareM!P$16&gt;0,IMshareM!P56/(SUM(IMshareM!P$2:P$78)-IMshareM!P$16),0))</f>
        <v>0</v>
      </c>
      <c r="Q56" s="8">
        <f>IF($A56=Q$1,0,IF(SUM(IMshareM!Q$2:Q$78)-IMshareM!Q$17&gt;0,IMshareM!Q56/(SUM(IMshareM!Q$2:Q$78)-IMshareM!Q$17),0))</f>
        <v>1.3877677969781991E-6</v>
      </c>
      <c r="R56" s="8">
        <f>IF($A56=R$1,0,IF(SUM(IMshareM!R$2:R$78)-IMshareM!R$18&gt;0,IMshareM!R56/(SUM(IMshareM!R$2:R$78)-IMshareM!R$18),0))</f>
        <v>0</v>
      </c>
      <c r="S56" s="8">
        <f>IF($A56=S$1,0,IF(SUM(IMshareM!S$2:S$78)-IMshareM!S$19&gt;0,IMshareM!S56/(SUM(IMshareM!S$2:S$78)-IMshareM!S$19),0))</f>
        <v>0</v>
      </c>
      <c r="T56" s="8">
        <f>IF($A56=T$1,0,IF(SUM(IMshareM!T$2:T$78)-IMshareM!T$20&gt;0,IMshareM!T56/(SUM(IMshareM!T$2:T$78)-IMshareM!T$20),0))</f>
        <v>0</v>
      </c>
      <c r="U56" s="8">
        <f>IF($A56=U$1,0,IF(SUM(IMshareM!U$2:U$78)-IMshareM!U$21&gt;0,IMshareM!U56/(SUM(IMshareM!U$2:U$78)-IMshareM!U$21),0))</f>
        <v>2.4807487423770377E-5</v>
      </c>
      <c r="V56" s="8">
        <f>IF($A56=V$1,0,IF(SUM(IMshareM!V$2:V$78)-IMshareM!V$22&gt;0,IMshareM!V56/(SUM(IMshareM!V$2:V$78)-IMshareM!V$22),0))</f>
        <v>6.6246840598822309E-5</v>
      </c>
      <c r="W56" s="8">
        <f>IF($A56=W$1,0,IF(SUM(IMshareM!W$2:W$78)-IMshareM!W$23&gt;0,IMshareM!W56/(SUM(IMshareM!W$2:W$78)-IMshareM!W$23),0))</f>
        <v>2.3235510810007011E-5</v>
      </c>
      <c r="X56" s="8">
        <f>IF($A56=X$1,0,IF(SUM(IMshareM!X$2:X$78)-IMshareM!X$24&gt;0,IMshareM!X56/(SUM(IMshareM!X$2:X$78)-IMshareM!X$24),0))</f>
        <v>1.4740404413815713E-5</v>
      </c>
      <c r="Y56" s="8">
        <f>IF($A56=Y$1,0,IF(SUM(IMshareM!Y$2:Y$78)-IMshareM!Y$25&gt;0,IMshareM!Y56/(SUM(IMshareM!Y$2:Y$78)-IMshareM!Y$25),0))</f>
        <v>0</v>
      </c>
      <c r="Z56" s="8">
        <f>IF($A56=Z$1,0,IF(SUM(IMshareM!Z$2:Z$78)-IMshareM!Z$26&gt;0,IMshareM!Z56/(SUM(IMshareM!Z$2:Z$78)-IMshareM!Z$26),0))</f>
        <v>0</v>
      </c>
      <c r="AA56" s="8">
        <f>IF($A56=AA$1,0,IF(SUM(IMshareM!AA$2:AA$78)-IMshareM!AA$27&gt;0,IMshareM!AA56/(SUM(IMshareM!AA$2:AA$78)-IMshareM!AA$27),0))</f>
        <v>1.9025290425920331E-6</v>
      </c>
      <c r="AB56" s="8">
        <f>IF($A56=AB$1,0,IF(SUM(IMshareM!AB$2:AB$78)-IMshareM!AB$28&gt;0,IMshareM!AB56/(SUM(IMshareM!AB$2:AB$78)-IMshareM!AB$28),0))</f>
        <v>3.8780488300506718E-4</v>
      </c>
      <c r="AC56" s="8">
        <f>IF($A56=AC$1,0,IF(SUM(IMshareM!AC$2:AC$78)-IMshareM!AC$29&gt;0,IMshareM!AC56/(SUM(IMshareM!AC$2:AC$78)-IMshareM!AC$29),0))</f>
        <v>4.3746586921783233E-5</v>
      </c>
      <c r="AD56" s="8">
        <f>IF($A56=AD$1,0,IF(SUM(IMshareM!AD$2:AD$78)-IMshareM!AD$30&gt;0,IMshareM!AD56/(SUM(IMshareM!AD$2:AD$78)-IMshareM!AD$30),0))</f>
        <v>1.9820442780549879E-4</v>
      </c>
      <c r="AE56" s="8">
        <f>IF($A56=AE$1,0,IF(SUM(IMshareM!AE$2:AE$78)-IMshareM!AE$31&gt;0,IMshareM!AE56/(SUM(IMshareM!AE$2:AE$78)-IMshareM!AE$31),0))</f>
        <v>0</v>
      </c>
      <c r="AF56" s="8">
        <f>IF($A56=AF$1,0,IF(SUM(IMshareM!AF$2:AF$78)-IMshareM!AF$32&gt;0,IMshareM!AF56/(SUM(IMshareM!AF$2:AF$78)-IMshareM!AF$32),0))</f>
        <v>4.1604144397688725E-6</v>
      </c>
      <c r="AG56" s="8">
        <f>IF($A56=AG$1,0,IF(SUM(IMshareM!AG$2:AG$78)-IMshareM!AG$33&gt;0,IMshareM!AG56/(SUM(IMshareM!AG$2:AG$78)-IMshareM!AG$33),0))</f>
        <v>2.9090718277838298E-5</v>
      </c>
      <c r="AH56" s="8">
        <f>IF($A56=AH$1,0,IF(SUM(IMshareM!AH$2:AH$78)-IMshareM!AH$34&gt;0,IMshareM!AH56/(SUM(IMshareM!AH$2:AH$78)-IMshareM!AH$34),0))</f>
        <v>3.4517421703561748E-5</v>
      </c>
      <c r="AI56" s="8">
        <f>IF($A56=AI$1,0,IF(SUM(IMshareM!AI$2:AI$78)-IMshareM!AI$35&gt;0,IMshareM!AI56/(SUM(IMshareM!AI$2:AI$78)-IMshareM!AI$35),0))</f>
        <v>1.4316231778589582E-5</v>
      </c>
      <c r="AJ56" s="8">
        <f>IF($A56=AJ$1,0,IF(SUM(IMshareM!AJ$2:AJ$78)-IMshareM!AJ$36&gt;0,IMshareM!AJ56/(SUM(IMshareM!AJ$2:AJ$78)-IMshareM!AJ$36),0))</f>
        <v>0</v>
      </c>
      <c r="AK56" s="8">
        <f>IF($A56=AK$1,0,IF(SUM(IMshareM!AK$2:AK$78)-IMshareM!AK$37&gt;0,IMshareM!AK56/(SUM(IMshareM!AK$2:AK$78)-IMshareM!AK$37),0))</f>
        <v>0</v>
      </c>
      <c r="AL56" s="8">
        <f>IF($A56=AL$1,0,IF(SUM(IMshareM!AL$2:AL$78)-IMshareM!AL$38&gt;0,IMshareM!AL56/(SUM(IMshareM!AL$2:AL$78)-IMshareM!AL$38),0))</f>
        <v>9.2080968779757017E-7</v>
      </c>
      <c r="AM56" s="8">
        <f>IF($A56=AM$1,0,IF(SUM(IMshareM!AM$2:AM$78)-IMshareM!AM$39&gt;0,IMshareM!AM56/(SUM(IMshareM!AM$2:AM$78)-IMshareM!AM$39),0))</f>
        <v>0</v>
      </c>
      <c r="AN56" s="8">
        <f>IF($A56=AN$1,0,IF(SUM(IMshareM!AN$2:AN$78)-IMshareM!AN$40&gt;0,IMshareM!AN56/(SUM(IMshareM!AN$2:AN$78)-IMshareM!AN$40),0))</f>
        <v>6.7503838520883981E-6</v>
      </c>
      <c r="AO56" s="8">
        <f>IF($A56=AO$1,0,IF(SUM(IMshareM!AO$2:AO$78)-IMshareM!AO$41&gt;0,IMshareM!AO56/(SUM(IMshareM!AO$2:AO$78)-IMshareM!AO$41),0))</f>
        <v>1.5461667660152638E-4</v>
      </c>
      <c r="AP56" s="8">
        <f>IF($A56=AP$1,0,IF(SUM(IMshareM!AP$2:AP$78)-IMshareM!AP$42&gt;0,IMshareM!AP56/(SUM(IMshareM!AP$2:AP$78)-IMshareM!AP$42),0))</f>
        <v>0</v>
      </c>
      <c r="AQ56" s="8">
        <f>IF($A56=AQ$1,0,IF(SUM(IMshareM!AQ$2:AQ$78)-IMshareM!AQ$43&gt;0,IMshareM!AQ56/(SUM(IMshareM!AQ$2:AQ$78)-IMshareM!AQ$43),0))</f>
        <v>5.4919342389939476E-7</v>
      </c>
      <c r="AR56" s="8">
        <f>IF($A56=AR$1,0,IF(SUM(IMshareM!AR$2:AR$78)-IMshareM!AR$44&gt;0,IMshareM!AR56/(SUM(IMshareM!AR$2:AR$78)-IMshareM!AR$44),0))</f>
        <v>0</v>
      </c>
      <c r="AS56" s="8">
        <f>IF($A56=AS$1,0,IF(SUM(IMshareM!AS$2:AS$78)-IMshareM!AS$45&gt;0,IMshareM!AS56/(SUM(IMshareM!AS$2:AS$78)-IMshareM!AS$45),0))</f>
        <v>3.677388827409065E-7</v>
      </c>
      <c r="AT56" s="8">
        <f>IF($A56=AT$1,0,IF(SUM(IMshareM!AT$2:AT$78)-IMshareM!AT$46&gt;0,IMshareM!AT56/(SUM(IMshareM!AT$2:AT$78)-IMshareM!AT$46),0))</f>
        <v>0</v>
      </c>
      <c r="AU56" s="8">
        <f>IF($A56=AU$1,0,IF(SUM(IMshareM!AU$2:AU$78)-IMshareM!AU$47&gt;0,IMshareM!AU56/(SUM(IMshareM!AU$2:AU$78)-IMshareM!AU$47),0))</f>
        <v>0</v>
      </c>
      <c r="AV56" s="8">
        <f>IF($A56=AV$1,0,IF(SUM(IMshareM!AV$2:AV$78)-IMshareM!AV$48&gt;0,IMshareM!AV56/(SUM(IMshareM!AV$2:AV$78)-IMshareM!AV$48),0))</f>
        <v>0</v>
      </c>
      <c r="AW56" s="8">
        <f>IF($A56=AW$1,0,IF(SUM(IMshareM!AW$2:AW$78)-IMshareM!AW$49&gt;0,IMshareM!AW56/(SUM(IMshareM!AW$2:AW$78)-IMshareM!AW$49),0))</f>
        <v>1.1629691004232986E-5</v>
      </c>
      <c r="AX56" s="8">
        <f>IF($A56=AX$1,0,IF(SUM(IMshareM!AX$2:AX$78)-IMshareM!AX$50&gt;0,IMshareM!AX56/(SUM(IMshareM!AX$2:AX$78)-IMshareM!AX$50),0))</f>
        <v>0</v>
      </c>
      <c r="AY56" s="8">
        <f>IF($A56=AY$1,0,IF(SUM(IMshareM!AY$2:AY$78)-IMshareM!AY$51&gt;0,IMshareM!AY56/(SUM(IMshareM!AY$2:AY$78)-IMshareM!AY$51),0))</f>
        <v>0</v>
      </c>
      <c r="AZ56" s="8">
        <f>IF($A56=AZ$1,0,IF(SUM(IMshareM!AZ$2:AZ$78)-IMshareM!AZ$52&gt;0,IMshareM!AZ56/(SUM(IMshareM!AZ$2:AZ$78)-IMshareM!AZ$52),0))</f>
        <v>9.4381934529507033E-5</v>
      </c>
      <c r="BA56" s="8">
        <f>IF($A56=BA$1,0,IF(SUM(IMshareM!BA$2:BA$78)-IMshareM!BA$53&gt;0,IMshareM!BA56/(SUM(IMshareM!BA$2:BA$78)-IMshareM!BA$53),0))</f>
        <v>0</v>
      </c>
      <c r="BB56" s="8">
        <f>IF($A56=BB$1,0,IF(SUM(IMshareM!BB$2:BB$78)-IMshareM!BB$54&gt;0,IMshareM!BB56/(SUM(IMshareM!BB$2:BB$78)-IMshareM!BB$54),0))</f>
        <v>3.0877118606173374E-5</v>
      </c>
      <c r="BC56" s="8">
        <f>IF($A56=BC$1,0,IF(SUM(IMshareM!BC$2:BC$78)-IMshareM!BC$55&gt;0,IMshareM!BC56/(SUM(IMshareM!BC$2:BC$78)-IMshareM!BC$55),0))</f>
        <v>0</v>
      </c>
      <c r="BD56" s="8">
        <f>IF($A56=BD$1,0,IF(SUM(IMshareM!BD$2:BD$78)-IMshareM!BD$56&gt;0,IMshareM!BD56/(SUM(IMshareM!BD$2:BD$78)-IMshareM!BD$56),0))</f>
        <v>0</v>
      </c>
      <c r="BE56" s="8">
        <f>IF($A56=BE$1,0,IF(SUM(IMshareM!BE$2:BE$78)-IMshareM!BE$57&gt;0,IMshareM!BE56/(SUM(IMshareM!BE$2:BE$78)-IMshareM!BE$57),0))</f>
        <v>1.949506085874209E-4</v>
      </c>
      <c r="BF56" s="8">
        <f>IF($A56=BF$1,0,IF(SUM(IMshareM!BF$2:BF$78)-IMshareM!BF$58&gt;0,IMshareM!BF56/(SUM(IMshareM!BF$2:BF$78)-IMshareM!BF$58),0))</f>
        <v>1.6403161133941201E-4</v>
      </c>
      <c r="BG56" s="8">
        <f>IF($A56=BG$1,0,IF(SUM(IMshareM!BG$2:BG$78)-IMshareM!BG$59&gt;0,IMshareM!BG56/(SUM(IMshareM!BG$2:BG$78)-IMshareM!BG$59),0))</f>
        <v>4.1208720022861269E-5</v>
      </c>
      <c r="BH56" s="8">
        <f>IF($A56=BH$1,0,IF(SUM(IMshareM!BH$2:BH$78)-IMshareM!BH$60&gt;0,IMshareM!BH56/(SUM(IMshareM!BH$2:BH$78)-IMshareM!BH$60),0))</f>
        <v>1.036787077162235E-7</v>
      </c>
      <c r="BI56" s="8">
        <f>IF($A56=BI$1,0,IF(SUM(IMshareM!BI$2:BI$78)-IMshareM!BI$61&gt;0,IMshareM!BI56/(SUM(IMshareM!BI$2:BI$78)-IMshareM!BI$61),0))</f>
        <v>7.8053584202092893E-6</v>
      </c>
      <c r="BJ56" s="8">
        <f>IF($A56=BJ$1,0,IF(SUM(IMshareM!BJ$2:BJ$78)-IMshareM!BJ$62&gt;0,IMshareM!BJ56/(SUM(IMshareM!BJ$2:BJ$78)-IMshareM!BJ$62),0))</f>
        <v>0</v>
      </c>
      <c r="BK56" s="8">
        <f>IF($A56=BK$1,0,IF(SUM(IMshareM!BK$2:BK$78)-IMshareM!BK$63&gt;0,IMshareM!BK56/(SUM(IMshareM!BK$2:BK$78)-IMshareM!BK$63),0))</f>
        <v>0</v>
      </c>
      <c r="BL56" s="8">
        <f>IF($A56=BL$1,0,IF(SUM(IMshareM!BL$2:BL$78)-IMshareM!BL$64&gt;0,IMshareM!BL56/(SUM(IMshareM!BL$2:BL$78)-IMshareM!BL$64),0))</f>
        <v>9.6525299222179113E-6</v>
      </c>
      <c r="BM56" s="8">
        <f>IF($A56=BM$1,0,IF(SUM(IMshareM!BM$2:BM$78)-IMshareM!BM$65&gt;0,IMshareM!BM56/(SUM(IMshareM!BM$2:BM$78)-IMshareM!BM$65),0))</f>
        <v>0</v>
      </c>
      <c r="BN56" s="8">
        <f>IF($A56=BN$1,0,IF(SUM(IMshareM!BN$2:BN$78)-IMshareM!BN$66&gt;0,IMshareM!BN56/(SUM(IMshareM!BN$2:BN$78)-IMshareM!BN$66),0))</f>
        <v>2.919464184677431E-5</v>
      </c>
      <c r="BO56" s="8">
        <f>IF($A56=BO$1,0,IF(SUM(IMshareM!BO$2:BO$78)-IMshareM!BO$67&gt;0,IMshareM!BO56/(SUM(IMshareM!BO$2:BO$78)-IMshareM!BO$67),0))</f>
        <v>1.1977544855730722E-7</v>
      </c>
      <c r="BP56" s="8">
        <f>IF($A56=BP$1,0,IF(SUM(IMshareM!BP$2:BP$78)-IMshareM!BP$68&gt;0,IMshareM!BP56/(SUM(IMshareM!BP$2:BP$78)-IMshareM!BP$68),0))</f>
        <v>3.078855808208556E-7</v>
      </c>
      <c r="BQ56" s="8">
        <f>IF($A56=BQ$1,0,IF(SUM(IMshareM!BQ$2:BQ$78)-IMshareM!BQ$69&gt;0,IMshareM!BQ56/(SUM(IMshareM!BQ$2:BQ$78)-IMshareM!BQ$69),0))</f>
        <v>2.0084422268175697E-5</v>
      </c>
      <c r="BR56" s="8">
        <f>IF($A56=BR$1,0,IF(SUM(IMshareM!BR$2:BR$78)-IMshareM!BR$70&gt;0,IMshareM!BR56/(SUM(IMshareM!BR$2:BR$78)-IMshareM!BR$70),0))</f>
        <v>6.5612653768044621E-4</v>
      </c>
      <c r="BS56" s="8">
        <f>IF($A56=BS$1,0,IF(SUM(IMshareM!BS$2:BS$78)-IMshareM!BS$71&gt;0,IMshareM!BS56/(SUM(IMshareM!BS$2:BS$78)-IMshareM!BS$71),0))</f>
        <v>0</v>
      </c>
      <c r="BT56" s="8">
        <f>IF($A56=BT$1,0,IF(SUM(IMshareM!BT$2:BT$78)-IMshareM!BT$72&gt;0,IMshareM!BT56/(SUM(IMshareM!BT$2:BT$78)-IMshareM!BT$72),0))</f>
        <v>6.6659401156924841E-6</v>
      </c>
      <c r="BU56" s="8">
        <f>IF($A56=BU$1,0,IF(SUM(IMshareM!BU$2:BU$78)-IMshareM!BU$73&gt;0,IMshareM!BU56/(SUM(IMshareM!BU$2:BU$78)-IMshareM!BU$73),0))</f>
        <v>8.4415793978962205E-6</v>
      </c>
      <c r="BV56" s="8">
        <f>IF($A56=BV$1,0,IF(SUM(IMshareM!BV$2:BV$78)-IMshareM!BV$74&gt;0,IMshareM!BV56/(SUM(IMshareM!BV$2:BV$78)-IMshareM!BV$74),0))</f>
        <v>0</v>
      </c>
      <c r="BW56" s="8">
        <f>IF($A56=BW$1,0,IF(SUM(IMshareM!BW$2:BW$78)-IMshareM!BW$75&gt;0,IMshareM!BW56/(SUM(IMshareM!BW$2:BW$78)-IMshareM!BW$75),0))</f>
        <v>3.8192667321257961E-5</v>
      </c>
      <c r="BX56" s="8">
        <f>IF($A56=BX$1,0,IF(SUM(IMshareM!BX$2:BX$78)-IMshareM!BX$76&gt;0,IMshareM!BX56/(SUM(IMshareM!BX$2:BX$78)-IMshareM!BX$76),0))</f>
        <v>1.6056826761779287E-5</v>
      </c>
      <c r="BY56" s="8">
        <f>IF($A56=BY$1,0,IF(SUM(IMshareM!BY$2:BY$78)-IMshareM!BY$77&gt;0,IMshareM!BY56/(SUM(IMshareM!BY$2:BY$78)-IMshareM!BY$77),0))</f>
        <v>4.0467187781358135E-5</v>
      </c>
      <c r="BZ56" s="8">
        <f>IF($A56=BZ$1,0,IF(SUM(IMshareM!BZ$2:BZ$78)-IMshareM!BZ$78&gt;0,IMshareM!BZ56/(SUM(IMshareM!BZ$2:BZ$78)-IMshareM!BZ$78),0))</f>
        <v>3.8379063848222467E-4</v>
      </c>
    </row>
    <row r="57" spans="1:78">
      <c r="A57" s="4" t="s">
        <v>181</v>
      </c>
      <c r="B57" s="8">
        <f>IF($A57=B$1,0,IF(SUM(IMshareM!B$2:B$78)-IMshareM!B$2&gt;0,IMshareM!B57/(SUM(IMshareM!B$2:B$78)-IMshareM!B$2),0))</f>
        <v>5.4851478436636607E-4</v>
      </c>
      <c r="C57" s="8">
        <f>IF($A57=C$1,0,IF(SUM(IMshareM!C$2:C$78)-IMshareM!C$3&gt;0,IMshareM!C57/(SUM(IMshareM!C$2:C$78)-IMshareM!C$3),0))</f>
        <v>4.6866405390750667E-5</v>
      </c>
      <c r="D57" s="8">
        <f>IF($A57=D$1,0,IF(SUM(IMshareM!D$2:D$78)-IMshareM!D$4&gt;0,IMshareM!D57/(SUM(IMshareM!D$2:D$78)-IMshareM!D$4),0))</f>
        <v>0</v>
      </c>
      <c r="E57" s="8">
        <f>IF($A57=E$1,0,IF(SUM(IMshareM!E$2:E$78)-IMshareM!E$5&gt;0,IMshareM!E57/(SUM(IMshareM!E$2:E$78)-IMshareM!E$5),0))</f>
        <v>1.7030162261759824E-7</v>
      </c>
      <c r="F57" s="8">
        <f>IF($A57=F$1,0,IF(SUM(IMshareM!F$2:F$78)-IMshareM!F$6&gt;0,IMshareM!F57/(SUM(IMshareM!F$2:F$78)-IMshareM!F$6),0))</f>
        <v>1.6581429331160135E-3</v>
      </c>
      <c r="G57" s="8">
        <f>IF($A57=G$1,0,IF(SUM(IMshareM!G$2:G$78)-IMshareM!G$7&gt;0,IMshareM!G57/(SUM(IMshareM!G$2:G$78)-IMshareM!G$7),0))</f>
        <v>0</v>
      </c>
      <c r="H57" s="8">
        <f>IF($A57=H$1,0,IF(SUM(IMshareM!H$2:H$78)-IMshareM!H$8&gt;0,IMshareM!H57/(SUM(IMshareM!H$2:H$78)-IMshareM!H$8),0))</f>
        <v>0</v>
      </c>
      <c r="I57" s="8">
        <f>IF($A57=I$1,0,IF(SUM(IMshareM!I$2:I$78)-IMshareM!I$9&gt;0,IMshareM!I57/(SUM(IMshareM!I$2:I$78)-IMshareM!I$9),0))</f>
        <v>0</v>
      </c>
      <c r="J57" s="8">
        <f>IF($A57=J$1,0,IF(SUM(IMshareM!J$2:J$78)-IMshareM!J$10&gt;0,IMshareM!J57/(SUM(IMshareM!J$2:J$78)-IMshareM!J$10),0))</f>
        <v>0</v>
      </c>
      <c r="K57" s="8">
        <f>IF($A57=K$1,0,IF(SUM(IMshareM!K$2:K$78)-IMshareM!K$11&gt;0,IMshareM!K57/(SUM(IMshareM!K$2:K$78)-IMshareM!K$11),0))</f>
        <v>4.3041027231865891E-7</v>
      </c>
      <c r="L57" s="8">
        <f>IF($A57=L$1,0,IF(SUM(IMshareM!L$2:L$78)-IMshareM!L$12&gt;0,IMshareM!L57/(SUM(IMshareM!L$2:L$78)-IMshareM!L$12),0))</f>
        <v>0</v>
      </c>
      <c r="M57" s="8">
        <f>IF($A57=M$1,0,IF(SUM(IMshareM!M$2:M$78)-IMshareM!M$13&gt;0,IMshareM!M57/(SUM(IMshareM!M$2:M$78)-IMshareM!M$13),0))</f>
        <v>3.7109904387539291E-5</v>
      </c>
      <c r="N57" s="8">
        <f>IF($A57=N$1,0,IF(SUM(IMshareM!N$2:N$78)-IMshareM!N$14&gt;0,IMshareM!N57/(SUM(IMshareM!N$2:N$78)-IMshareM!N$14),0))</f>
        <v>7.649436230566596E-8</v>
      </c>
      <c r="O57" s="8">
        <f>IF($A57=O$1,0,IF(SUM(IMshareM!O$2:O$78)-IMshareM!O$15&gt;0,IMshareM!O57/(SUM(IMshareM!O$2:O$78)-IMshareM!O$15),0))</f>
        <v>0</v>
      </c>
      <c r="P57" s="8">
        <f>IF($A57=P$1,0,IF(SUM(IMshareM!P$2:P$78)-IMshareM!P$16&gt;0,IMshareM!P57/(SUM(IMshareM!P$2:P$78)-IMshareM!P$16),0))</f>
        <v>0</v>
      </c>
      <c r="Q57" s="8">
        <f>IF($A57=Q$1,0,IF(SUM(IMshareM!Q$2:Q$78)-IMshareM!Q$17&gt;0,IMshareM!Q57/(SUM(IMshareM!Q$2:Q$78)-IMshareM!Q$17),0))</f>
        <v>0</v>
      </c>
      <c r="R57" s="8">
        <f>IF($A57=R$1,0,IF(SUM(IMshareM!R$2:R$78)-IMshareM!R$18&gt;0,IMshareM!R57/(SUM(IMshareM!R$2:R$78)-IMshareM!R$18),0))</f>
        <v>0</v>
      </c>
      <c r="S57" s="8">
        <f>IF($A57=S$1,0,IF(SUM(IMshareM!S$2:S$78)-IMshareM!S$19&gt;0,IMshareM!S57/(SUM(IMshareM!S$2:S$78)-IMshareM!S$19),0))</f>
        <v>0</v>
      </c>
      <c r="T57" s="8">
        <f>IF($A57=T$1,0,IF(SUM(IMshareM!T$2:T$78)-IMshareM!T$20&gt;0,IMshareM!T57/(SUM(IMshareM!T$2:T$78)-IMshareM!T$20),0))</f>
        <v>5.6824003884310143E-7</v>
      </c>
      <c r="U57" s="8">
        <f>IF($A57=U$1,0,IF(SUM(IMshareM!U$2:U$78)-IMshareM!U$21&gt;0,IMshareM!U57/(SUM(IMshareM!U$2:U$78)-IMshareM!U$21),0))</f>
        <v>2.965811386653691E-6</v>
      </c>
      <c r="V57" s="8">
        <f>IF($A57=V$1,0,IF(SUM(IMshareM!V$2:V$78)-IMshareM!V$22&gt;0,IMshareM!V57/(SUM(IMshareM!V$2:V$78)-IMshareM!V$22),0))</f>
        <v>0</v>
      </c>
      <c r="W57" s="8">
        <f>IF($A57=W$1,0,IF(SUM(IMshareM!W$2:W$78)-IMshareM!W$23&gt;0,IMshareM!W57/(SUM(IMshareM!W$2:W$78)-IMshareM!W$23),0))</f>
        <v>0</v>
      </c>
      <c r="X57" s="8">
        <f>IF($A57=X$1,0,IF(SUM(IMshareM!X$2:X$78)-IMshareM!X$24&gt;0,IMshareM!X57/(SUM(IMshareM!X$2:X$78)-IMshareM!X$24),0))</f>
        <v>1.8528905562936432E-6</v>
      </c>
      <c r="Y57" s="8">
        <f>IF($A57=Y$1,0,IF(SUM(IMshareM!Y$2:Y$78)-IMshareM!Y$25&gt;0,IMshareM!Y57/(SUM(IMshareM!Y$2:Y$78)-IMshareM!Y$25),0))</f>
        <v>0</v>
      </c>
      <c r="Z57" s="8">
        <f>IF($A57=Z$1,0,IF(SUM(IMshareM!Z$2:Z$78)-IMshareM!Z$26&gt;0,IMshareM!Z57/(SUM(IMshareM!Z$2:Z$78)-IMshareM!Z$26),0))</f>
        <v>0</v>
      </c>
      <c r="AA57" s="8">
        <f>IF($A57=AA$1,0,IF(SUM(IMshareM!AA$2:AA$78)-IMshareM!AA$27&gt;0,IMshareM!AA57/(SUM(IMshareM!AA$2:AA$78)-IMshareM!AA$27),0))</f>
        <v>0</v>
      </c>
      <c r="AB57" s="8">
        <f>IF($A57=AB$1,0,IF(SUM(IMshareM!AB$2:AB$78)-IMshareM!AB$28&gt;0,IMshareM!AB57/(SUM(IMshareM!AB$2:AB$78)-IMshareM!AB$28),0))</f>
        <v>2.0959822418430894E-5</v>
      </c>
      <c r="AC57" s="8">
        <f>IF($A57=AC$1,0,IF(SUM(IMshareM!AC$2:AC$78)-IMshareM!AC$29&gt;0,IMshareM!AC57/(SUM(IMshareM!AC$2:AC$78)-IMshareM!AC$29),0))</f>
        <v>0</v>
      </c>
      <c r="AD57" s="8">
        <f>IF($A57=AD$1,0,IF(SUM(IMshareM!AD$2:AD$78)-IMshareM!AD$30&gt;0,IMshareM!AD57/(SUM(IMshareM!AD$2:AD$78)-IMshareM!AD$30),0))</f>
        <v>0</v>
      </c>
      <c r="AE57" s="8">
        <f>IF($A57=AE$1,0,IF(SUM(IMshareM!AE$2:AE$78)-IMshareM!AE$31&gt;0,IMshareM!AE57/(SUM(IMshareM!AE$2:AE$78)-IMshareM!AE$31),0))</f>
        <v>0</v>
      </c>
      <c r="AF57" s="8">
        <f>IF($A57=AF$1,0,IF(SUM(IMshareM!AF$2:AF$78)-IMshareM!AF$32&gt;0,IMshareM!AF57/(SUM(IMshareM!AF$2:AF$78)-IMshareM!AF$32),0))</f>
        <v>0</v>
      </c>
      <c r="AG57" s="8">
        <f>IF($A57=AG$1,0,IF(SUM(IMshareM!AG$2:AG$78)-IMshareM!AG$33&gt;0,IMshareM!AG57/(SUM(IMshareM!AG$2:AG$78)-IMshareM!AG$33),0))</f>
        <v>0</v>
      </c>
      <c r="AH57" s="8">
        <f>IF($A57=AH$1,0,IF(SUM(IMshareM!AH$2:AH$78)-IMshareM!AH$34&gt;0,IMshareM!AH57/(SUM(IMshareM!AH$2:AH$78)-IMshareM!AH$34),0))</f>
        <v>0</v>
      </c>
      <c r="AI57" s="8">
        <f>IF($A57=AI$1,0,IF(SUM(IMshareM!AI$2:AI$78)-IMshareM!AI$35&gt;0,IMshareM!AI57/(SUM(IMshareM!AI$2:AI$78)-IMshareM!AI$35),0))</f>
        <v>2.1542677811152335E-6</v>
      </c>
      <c r="AJ57" s="8">
        <f>IF($A57=AJ$1,0,IF(SUM(IMshareM!AJ$2:AJ$78)-IMshareM!AJ$36&gt;0,IMshareM!AJ57/(SUM(IMshareM!AJ$2:AJ$78)-IMshareM!AJ$36),0))</f>
        <v>0</v>
      </c>
      <c r="AK57" s="8">
        <f>IF($A57=AK$1,0,IF(SUM(IMshareM!AK$2:AK$78)-IMshareM!AK$37&gt;0,IMshareM!AK57/(SUM(IMshareM!AK$2:AK$78)-IMshareM!AK$37),0))</f>
        <v>0</v>
      </c>
      <c r="AL57" s="8">
        <f>IF($A57=AL$1,0,IF(SUM(IMshareM!AL$2:AL$78)-IMshareM!AL$38&gt;0,IMshareM!AL57/(SUM(IMshareM!AL$2:AL$78)-IMshareM!AL$38),0))</f>
        <v>3.1724433537805632E-6</v>
      </c>
      <c r="AM57" s="8">
        <f>IF($A57=AM$1,0,IF(SUM(IMshareM!AM$2:AM$78)-IMshareM!AM$39&gt;0,IMshareM!AM57/(SUM(IMshareM!AM$2:AM$78)-IMshareM!AM$39),0))</f>
        <v>0</v>
      </c>
      <c r="AN57" s="8">
        <f>IF($A57=AN$1,0,IF(SUM(IMshareM!AN$2:AN$78)-IMshareM!AN$40&gt;0,IMshareM!AN57/(SUM(IMshareM!AN$2:AN$78)-IMshareM!AN$40),0))</f>
        <v>0</v>
      </c>
      <c r="AO57" s="8">
        <f>IF($A57=AO$1,0,IF(SUM(IMshareM!AO$2:AO$78)-IMshareM!AO$41&gt;0,IMshareM!AO57/(SUM(IMshareM!AO$2:AO$78)-IMshareM!AO$41),0))</f>
        <v>0</v>
      </c>
      <c r="AP57" s="8">
        <f>IF($A57=AP$1,0,IF(SUM(IMshareM!AP$2:AP$78)-IMshareM!AP$42&gt;0,IMshareM!AP57/(SUM(IMshareM!AP$2:AP$78)-IMshareM!AP$42),0))</f>
        <v>0</v>
      </c>
      <c r="AQ57" s="8">
        <f>IF($A57=AQ$1,0,IF(SUM(IMshareM!AQ$2:AQ$78)-IMshareM!AQ$43&gt;0,IMshareM!AQ57/(SUM(IMshareM!AQ$2:AQ$78)-IMshareM!AQ$43),0))</f>
        <v>0</v>
      </c>
      <c r="AR57" s="8">
        <f>IF($A57=AR$1,0,IF(SUM(IMshareM!AR$2:AR$78)-IMshareM!AR$44&gt;0,IMshareM!AR57/(SUM(IMshareM!AR$2:AR$78)-IMshareM!AR$44),0))</f>
        <v>0</v>
      </c>
      <c r="AS57" s="8">
        <f>IF($A57=AS$1,0,IF(SUM(IMshareM!AS$2:AS$78)-IMshareM!AS$45&gt;0,IMshareM!AS57/(SUM(IMshareM!AS$2:AS$78)-IMshareM!AS$45),0))</f>
        <v>0</v>
      </c>
      <c r="AT57" s="8">
        <f>IF($A57=AT$1,0,IF(SUM(IMshareM!AT$2:AT$78)-IMshareM!AT$46&gt;0,IMshareM!AT57/(SUM(IMshareM!AT$2:AT$78)-IMshareM!AT$46),0))</f>
        <v>0</v>
      </c>
      <c r="AU57" s="8">
        <f>IF($A57=AU$1,0,IF(SUM(IMshareM!AU$2:AU$78)-IMshareM!AU$47&gt;0,IMshareM!AU57/(SUM(IMshareM!AU$2:AU$78)-IMshareM!AU$47),0))</f>
        <v>0</v>
      </c>
      <c r="AV57" s="8">
        <f>IF($A57=AV$1,0,IF(SUM(IMshareM!AV$2:AV$78)-IMshareM!AV$48&gt;0,IMshareM!AV57/(SUM(IMshareM!AV$2:AV$78)-IMshareM!AV$48),0))</f>
        <v>2.0628018946117131E-6</v>
      </c>
      <c r="AW57" s="8">
        <f>IF($A57=AW$1,0,IF(SUM(IMshareM!AW$2:AW$78)-IMshareM!AW$49&gt;0,IMshareM!AW57/(SUM(IMshareM!AW$2:AW$78)-IMshareM!AW$49),0))</f>
        <v>0</v>
      </c>
      <c r="AX57" s="8">
        <f>IF($A57=AX$1,0,IF(SUM(IMshareM!AX$2:AX$78)-IMshareM!AX$50&gt;0,IMshareM!AX57/(SUM(IMshareM!AX$2:AX$78)-IMshareM!AX$50),0))</f>
        <v>0</v>
      </c>
      <c r="AY57" s="8">
        <f>IF($A57=AY$1,0,IF(SUM(IMshareM!AY$2:AY$78)-IMshareM!AY$51&gt;0,IMshareM!AY57/(SUM(IMshareM!AY$2:AY$78)-IMshareM!AY$51),0))</f>
        <v>0</v>
      </c>
      <c r="AZ57" s="8">
        <f>IF($A57=AZ$1,0,IF(SUM(IMshareM!AZ$2:AZ$78)-IMshareM!AZ$52&gt;0,IMshareM!AZ57/(SUM(IMshareM!AZ$2:AZ$78)-IMshareM!AZ$52),0))</f>
        <v>8.3030207157594205E-8</v>
      </c>
      <c r="BA57" s="8">
        <f>IF($A57=BA$1,0,IF(SUM(IMshareM!BA$2:BA$78)-IMshareM!BA$53&gt;0,IMshareM!BA57/(SUM(IMshareM!BA$2:BA$78)-IMshareM!BA$53),0))</f>
        <v>0</v>
      </c>
      <c r="BB57" s="8">
        <f>IF($A57=BB$1,0,IF(SUM(IMshareM!BB$2:BB$78)-IMshareM!BB$54&gt;0,IMshareM!BB57/(SUM(IMshareM!BB$2:BB$78)-IMshareM!BB$54),0))</f>
        <v>8.7987114944499987E-7</v>
      </c>
      <c r="BC57" s="8">
        <f>IF($A57=BC$1,0,IF(SUM(IMshareM!BC$2:BC$78)-IMshareM!BC$55&gt;0,IMshareM!BC57/(SUM(IMshareM!BC$2:BC$78)-IMshareM!BC$55),0))</f>
        <v>9.9244789414812606E-6</v>
      </c>
      <c r="BD57" s="8">
        <f>IF($A57=BD$1,0,IF(SUM(IMshareM!BD$2:BD$78)-IMshareM!BD$56&gt;0,IMshareM!BD57/(SUM(IMshareM!BD$2:BD$78)-IMshareM!BD$56),0))</f>
        <v>0</v>
      </c>
      <c r="BE57" s="8">
        <f>IF($A57=BE$1,0,IF(SUM(IMshareM!BE$2:BE$78)-IMshareM!BE$57&gt;0,IMshareM!BE57/(SUM(IMshareM!BE$2:BE$78)-IMshareM!BE$57),0))</f>
        <v>0</v>
      </c>
      <c r="BF57" s="8">
        <f>IF($A57=BF$1,0,IF(SUM(IMshareM!BF$2:BF$78)-IMshareM!BF$58&gt;0,IMshareM!BF57/(SUM(IMshareM!BF$2:BF$78)-IMshareM!BF$58),0))</f>
        <v>0</v>
      </c>
      <c r="BG57" s="8">
        <f>IF($A57=BG$1,0,IF(SUM(IMshareM!BG$2:BG$78)-IMshareM!BG$59&gt;0,IMshareM!BG57/(SUM(IMshareM!BG$2:BG$78)-IMshareM!BG$59),0))</f>
        <v>5.3179543879910518E-7</v>
      </c>
      <c r="BH57" s="8">
        <f>IF($A57=BH$1,0,IF(SUM(IMshareM!BH$2:BH$78)-IMshareM!BH$60&gt;0,IMshareM!BH57/(SUM(IMshareM!BH$2:BH$78)-IMshareM!BH$60),0))</f>
        <v>0</v>
      </c>
      <c r="BI57" s="8">
        <f>IF($A57=BI$1,0,IF(SUM(IMshareM!BI$2:BI$78)-IMshareM!BI$61&gt;0,IMshareM!BI57/(SUM(IMshareM!BI$2:BI$78)-IMshareM!BI$61),0))</f>
        <v>0</v>
      </c>
      <c r="BJ57" s="8">
        <f>IF($A57=BJ$1,0,IF(SUM(IMshareM!BJ$2:BJ$78)-IMshareM!BJ$62&gt;0,IMshareM!BJ57/(SUM(IMshareM!BJ$2:BJ$78)-IMshareM!BJ$62),0))</f>
        <v>0</v>
      </c>
      <c r="BK57" s="8">
        <f>IF($A57=BK$1,0,IF(SUM(IMshareM!BK$2:BK$78)-IMshareM!BK$63&gt;0,IMshareM!BK57/(SUM(IMshareM!BK$2:BK$78)-IMshareM!BK$63),0))</f>
        <v>0</v>
      </c>
      <c r="BL57" s="8">
        <f>IF($A57=BL$1,0,IF(SUM(IMshareM!BL$2:BL$78)-IMshareM!BL$64&gt;0,IMshareM!BL57/(SUM(IMshareM!BL$2:BL$78)-IMshareM!BL$64),0))</f>
        <v>3.884329311870829E-6</v>
      </c>
      <c r="BM57" s="8">
        <f>IF($A57=BM$1,0,IF(SUM(IMshareM!BM$2:BM$78)-IMshareM!BM$65&gt;0,IMshareM!BM57/(SUM(IMshareM!BM$2:BM$78)-IMshareM!BM$65),0))</f>
        <v>6.3385776014530091E-5</v>
      </c>
      <c r="BN57" s="8">
        <f>IF($A57=BN$1,0,IF(SUM(IMshareM!BN$2:BN$78)-IMshareM!BN$66&gt;0,IMshareM!BN57/(SUM(IMshareM!BN$2:BN$78)-IMshareM!BN$66),0))</f>
        <v>0</v>
      </c>
      <c r="BO57" s="8">
        <f>IF($A57=BO$1,0,IF(SUM(IMshareM!BO$2:BO$78)-IMshareM!BO$67&gt;0,IMshareM!BO57/(SUM(IMshareM!BO$2:BO$78)-IMshareM!BO$67),0))</f>
        <v>2.0466424374739166E-7</v>
      </c>
      <c r="BP57" s="8">
        <f>IF($A57=BP$1,0,IF(SUM(IMshareM!BP$2:BP$78)-IMshareM!BP$68&gt;0,IMshareM!BP57/(SUM(IMshareM!BP$2:BP$78)-IMshareM!BP$68),0))</f>
        <v>3.5023876381144487E-5</v>
      </c>
      <c r="BQ57" s="8">
        <f>IF($A57=BQ$1,0,IF(SUM(IMshareM!BQ$2:BQ$78)-IMshareM!BQ$69&gt;0,IMshareM!BQ57/(SUM(IMshareM!BQ$2:BQ$78)-IMshareM!BQ$69),0))</f>
        <v>1.3851270630052497E-7</v>
      </c>
      <c r="BR57" s="8">
        <f>IF($A57=BR$1,0,IF(SUM(IMshareM!BR$2:BR$78)-IMshareM!BR$70&gt;0,IMshareM!BR57/(SUM(IMshareM!BR$2:BR$78)-IMshareM!BR$70),0))</f>
        <v>1.2740464494748097E-7</v>
      </c>
      <c r="BS57" s="8">
        <f>IF($A57=BS$1,0,IF(SUM(IMshareM!BS$2:BS$78)-IMshareM!BS$71&gt;0,IMshareM!BS57/(SUM(IMshareM!BS$2:BS$78)-IMshareM!BS$71),0))</f>
        <v>0</v>
      </c>
      <c r="BT57" s="8">
        <f>IF($A57=BT$1,0,IF(SUM(IMshareM!BT$2:BT$78)-IMshareM!BT$72&gt;0,IMshareM!BT57/(SUM(IMshareM!BT$2:BT$78)-IMshareM!BT$72),0))</f>
        <v>4.479352491878971E-7</v>
      </c>
      <c r="BU57" s="8">
        <f>IF($A57=BU$1,0,IF(SUM(IMshareM!BU$2:BU$78)-IMshareM!BU$73&gt;0,IMshareM!BU57/(SUM(IMshareM!BU$2:BU$78)-IMshareM!BU$73),0))</f>
        <v>0</v>
      </c>
      <c r="BV57" s="8">
        <f>IF($A57=BV$1,0,IF(SUM(IMshareM!BV$2:BV$78)-IMshareM!BV$74&gt;0,IMshareM!BV57/(SUM(IMshareM!BV$2:BV$78)-IMshareM!BV$74),0))</f>
        <v>0</v>
      </c>
      <c r="BW57" s="8">
        <f>IF($A57=BW$1,0,IF(SUM(IMshareM!BW$2:BW$78)-IMshareM!BW$75&gt;0,IMshareM!BW57/(SUM(IMshareM!BW$2:BW$78)-IMshareM!BW$75),0))</f>
        <v>4.9730280283506614E-4</v>
      </c>
      <c r="BX57" s="8">
        <f>IF($A57=BX$1,0,IF(SUM(IMshareM!BX$2:BX$78)-IMshareM!BX$76&gt;0,IMshareM!BX57/(SUM(IMshareM!BX$2:BX$78)-IMshareM!BX$76),0))</f>
        <v>0</v>
      </c>
      <c r="BY57" s="8">
        <f>IF($A57=BY$1,0,IF(SUM(IMshareM!BY$2:BY$78)-IMshareM!BY$77&gt;0,IMshareM!BY57/(SUM(IMshareM!BY$2:BY$78)-IMshareM!BY$77),0))</f>
        <v>1.2506888370927682E-7</v>
      </c>
      <c r="BZ57" s="8">
        <f>IF($A57=BZ$1,0,IF(SUM(IMshareM!BZ$2:BZ$78)-IMshareM!BZ$78&gt;0,IMshareM!BZ57/(SUM(IMshareM!BZ$2:BZ$78)-IMshareM!BZ$78),0))</f>
        <v>4.7523466355889733E-4</v>
      </c>
    </row>
    <row r="58" spans="1:78">
      <c r="A58" s="4" t="s">
        <v>183</v>
      </c>
      <c r="B58" s="8">
        <f>IF($A58=B$1,0,IF(SUM(IMshareM!B$2:B$78)-IMshareM!B$2&gt;0,IMshareM!B58/(SUM(IMshareM!B$2:B$78)-IMshareM!B$2),0))</f>
        <v>4.5567043840312463E-5</v>
      </c>
      <c r="C58" s="8">
        <f>IF($A58=C$1,0,IF(SUM(IMshareM!C$2:C$78)-IMshareM!C$3&gt;0,IMshareM!C58/(SUM(IMshareM!C$2:C$78)-IMshareM!C$3),0))</f>
        <v>0</v>
      </c>
      <c r="D58" s="8">
        <f>IF($A58=D$1,0,IF(SUM(IMshareM!D$2:D$78)-IMshareM!D$4&gt;0,IMshareM!D58/(SUM(IMshareM!D$2:D$78)-IMshareM!D$4),0))</f>
        <v>0</v>
      </c>
      <c r="E58" s="8">
        <f>IF($A58=E$1,0,IF(SUM(IMshareM!E$2:E$78)-IMshareM!E$5&gt;0,IMshareM!E58/(SUM(IMshareM!E$2:E$78)-IMshareM!E$5),0))</f>
        <v>2.7999450298589175E-6</v>
      </c>
      <c r="F58" s="8">
        <f>IF($A58=F$1,0,IF(SUM(IMshareM!F$2:F$78)-IMshareM!F$6&gt;0,IMshareM!F58/(SUM(IMshareM!F$2:F$78)-IMshareM!F$6),0))</f>
        <v>0</v>
      </c>
      <c r="G58" s="8">
        <f>IF($A58=G$1,0,IF(SUM(IMshareM!G$2:G$78)-IMshareM!G$7&gt;0,IMshareM!G58/(SUM(IMshareM!G$2:G$78)-IMshareM!G$7),0))</f>
        <v>0</v>
      </c>
      <c r="H58" s="8">
        <f>IF($A58=H$1,0,IF(SUM(IMshareM!H$2:H$78)-IMshareM!H$8&gt;0,IMshareM!H58/(SUM(IMshareM!H$2:H$78)-IMshareM!H$8),0))</f>
        <v>0</v>
      </c>
      <c r="I58" s="8">
        <f>IF($A58=I$1,0,IF(SUM(IMshareM!I$2:I$78)-IMshareM!I$9&gt;0,IMshareM!I58/(SUM(IMshareM!I$2:I$78)-IMshareM!I$9),0))</f>
        <v>8.3529526692747117E-7</v>
      </c>
      <c r="J58" s="8">
        <f>IF($A58=J$1,0,IF(SUM(IMshareM!J$2:J$78)-IMshareM!J$10&gt;0,IMshareM!J58/(SUM(IMshareM!J$2:J$78)-IMshareM!J$10),0))</f>
        <v>0</v>
      </c>
      <c r="K58" s="8">
        <f>IF($A58=K$1,0,IF(SUM(IMshareM!K$2:K$78)-IMshareM!K$11&gt;0,IMshareM!K58/(SUM(IMshareM!K$2:K$78)-IMshareM!K$11),0))</f>
        <v>2.9095056480717941E-6</v>
      </c>
      <c r="L58" s="8">
        <f>IF($A58=L$1,0,IF(SUM(IMshareM!L$2:L$78)-IMshareM!L$12&gt;0,IMshareM!L58/(SUM(IMshareM!L$2:L$78)-IMshareM!L$12),0))</f>
        <v>0</v>
      </c>
      <c r="M58" s="8">
        <f>IF($A58=M$1,0,IF(SUM(IMshareM!M$2:M$78)-IMshareM!M$13&gt;0,IMshareM!M58/(SUM(IMshareM!M$2:M$78)-IMshareM!M$13),0))</f>
        <v>1.0647711241892708E-4</v>
      </c>
      <c r="N58" s="8">
        <f>IF($A58=N$1,0,IF(SUM(IMshareM!N$2:N$78)-IMshareM!N$14&gt;0,IMshareM!N58/(SUM(IMshareM!N$2:N$78)-IMshareM!N$14),0))</f>
        <v>2.5233245968268719E-5</v>
      </c>
      <c r="O58" s="8">
        <f>IF($A58=O$1,0,IF(SUM(IMshareM!O$2:O$78)-IMshareM!O$15&gt;0,IMshareM!O58/(SUM(IMshareM!O$2:O$78)-IMshareM!O$15),0))</f>
        <v>0</v>
      </c>
      <c r="P58" s="8">
        <f>IF($A58=P$1,0,IF(SUM(IMshareM!P$2:P$78)-IMshareM!P$16&gt;0,IMshareM!P58/(SUM(IMshareM!P$2:P$78)-IMshareM!P$16),0))</f>
        <v>0</v>
      </c>
      <c r="Q58" s="8">
        <f>IF($A58=Q$1,0,IF(SUM(IMshareM!Q$2:Q$78)-IMshareM!Q$17&gt;0,IMshareM!Q58/(SUM(IMshareM!Q$2:Q$78)-IMshareM!Q$17),0))</f>
        <v>1.0014854471997513E-3</v>
      </c>
      <c r="R58" s="8">
        <f>IF($A58=R$1,0,IF(SUM(IMshareM!R$2:R$78)-IMshareM!R$18&gt;0,IMshareM!R58/(SUM(IMshareM!R$2:R$78)-IMshareM!R$18),0))</f>
        <v>7.7085375278972131E-6</v>
      </c>
      <c r="S58" s="8">
        <f>IF($A58=S$1,0,IF(SUM(IMshareM!S$2:S$78)-IMshareM!S$19&gt;0,IMshareM!S58/(SUM(IMshareM!S$2:S$78)-IMshareM!S$19),0))</f>
        <v>0</v>
      </c>
      <c r="T58" s="8">
        <f>IF($A58=T$1,0,IF(SUM(IMshareM!T$2:T$78)-IMshareM!T$20&gt;0,IMshareM!T58/(SUM(IMshareM!T$2:T$78)-IMshareM!T$20),0))</f>
        <v>0</v>
      </c>
      <c r="U58" s="8">
        <f>IF($A58=U$1,0,IF(SUM(IMshareM!U$2:U$78)-IMshareM!U$21&gt;0,IMshareM!U58/(SUM(IMshareM!U$2:U$78)-IMshareM!U$21),0))</f>
        <v>4.5317247617876556E-6</v>
      </c>
      <c r="V58" s="8">
        <f>IF($A58=V$1,0,IF(SUM(IMshareM!V$2:V$78)-IMshareM!V$22&gt;0,IMshareM!V58/(SUM(IMshareM!V$2:V$78)-IMshareM!V$22),0))</f>
        <v>8.7795554951034837E-7</v>
      </c>
      <c r="W58" s="8">
        <f>IF($A58=W$1,0,IF(SUM(IMshareM!W$2:W$78)-IMshareM!W$23&gt;0,IMshareM!W58/(SUM(IMshareM!W$2:W$78)-IMshareM!W$23),0))</f>
        <v>0</v>
      </c>
      <c r="X58" s="8">
        <f>IF($A58=X$1,0,IF(SUM(IMshareM!X$2:X$78)-IMshareM!X$24&gt;0,IMshareM!X58/(SUM(IMshareM!X$2:X$78)-IMshareM!X$24),0))</f>
        <v>2.4684421976901879E-6</v>
      </c>
      <c r="Y58" s="8">
        <f>IF($A58=Y$1,0,IF(SUM(IMshareM!Y$2:Y$78)-IMshareM!Y$25&gt;0,IMshareM!Y58/(SUM(IMshareM!Y$2:Y$78)-IMshareM!Y$25),0))</f>
        <v>0</v>
      </c>
      <c r="Z58" s="8">
        <f>IF($A58=Z$1,0,IF(SUM(IMshareM!Z$2:Z$78)-IMshareM!Z$26&gt;0,IMshareM!Z58/(SUM(IMshareM!Z$2:Z$78)-IMshareM!Z$26),0))</f>
        <v>0</v>
      </c>
      <c r="AA58" s="8">
        <f>IF($A58=AA$1,0,IF(SUM(IMshareM!AA$2:AA$78)-IMshareM!AA$27&gt;0,IMshareM!AA58/(SUM(IMshareM!AA$2:AA$78)-IMshareM!AA$27),0))</f>
        <v>0</v>
      </c>
      <c r="AB58" s="8">
        <f>IF($A58=AB$1,0,IF(SUM(IMshareM!AB$2:AB$78)-IMshareM!AB$28&gt;0,IMshareM!AB58/(SUM(IMshareM!AB$2:AB$78)-IMshareM!AB$28),0))</f>
        <v>0</v>
      </c>
      <c r="AC58" s="8">
        <f>IF($A58=AC$1,0,IF(SUM(IMshareM!AC$2:AC$78)-IMshareM!AC$29&gt;0,IMshareM!AC58/(SUM(IMshareM!AC$2:AC$78)-IMshareM!AC$29),0))</f>
        <v>0</v>
      </c>
      <c r="AD58" s="8">
        <f>IF($A58=AD$1,0,IF(SUM(IMshareM!AD$2:AD$78)-IMshareM!AD$30&gt;0,IMshareM!AD58/(SUM(IMshareM!AD$2:AD$78)-IMshareM!AD$30),0))</f>
        <v>0</v>
      </c>
      <c r="AE58" s="8">
        <f>IF($A58=AE$1,0,IF(SUM(IMshareM!AE$2:AE$78)-IMshareM!AE$31&gt;0,IMshareM!AE58/(SUM(IMshareM!AE$2:AE$78)-IMshareM!AE$31),0))</f>
        <v>0</v>
      </c>
      <c r="AF58" s="8">
        <f>IF($A58=AF$1,0,IF(SUM(IMshareM!AF$2:AF$78)-IMshareM!AF$32&gt;0,IMshareM!AF58/(SUM(IMshareM!AF$2:AF$78)-IMshareM!AF$32),0))</f>
        <v>0</v>
      </c>
      <c r="AG58" s="8">
        <f>IF($A58=AG$1,0,IF(SUM(IMshareM!AG$2:AG$78)-IMshareM!AG$33&gt;0,IMshareM!AG58/(SUM(IMshareM!AG$2:AG$78)-IMshareM!AG$33),0))</f>
        <v>0</v>
      </c>
      <c r="AH58" s="8">
        <f>IF($A58=AH$1,0,IF(SUM(IMshareM!AH$2:AH$78)-IMshareM!AH$34&gt;0,IMshareM!AH58/(SUM(IMshareM!AH$2:AH$78)-IMshareM!AH$34),0))</f>
        <v>8.2361643334706836E-6</v>
      </c>
      <c r="AI58" s="8">
        <f>IF($A58=AI$1,0,IF(SUM(IMshareM!AI$2:AI$78)-IMshareM!AI$35&gt;0,IMshareM!AI58/(SUM(IMshareM!AI$2:AI$78)-IMshareM!AI$35),0))</f>
        <v>0</v>
      </c>
      <c r="AJ58" s="8">
        <f>IF($A58=AJ$1,0,IF(SUM(IMshareM!AJ$2:AJ$78)-IMshareM!AJ$36&gt;0,IMshareM!AJ58/(SUM(IMshareM!AJ$2:AJ$78)-IMshareM!AJ$36),0))</f>
        <v>0</v>
      </c>
      <c r="AK58" s="8">
        <f>IF($A58=AK$1,0,IF(SUM(IMshareM!AK$2:AK$78)-IMshareM!AK$37&gt;0,IMshareM!AK58/(SUM(IMshareM!AK$2:AK$78)-IMshareM!AK$37),0))</f>
        <v>0</v>
      </c>
      <c r="AL58" s="8">
        <f>IF($A58=AL$1,0,IF(SUM(IMshareM!AL$2:AL$78)-IMshareM!AL$38&gt;0,IMshareM!AL58/(SUM(IMshareM!AL$2:AL$78)-IMshareM!AL$38),0))</f>
        <v>1.7946745712163971E-6</v>
      </c>
      <c r="AM58" s="8">
        <f>IF($A58=AM$1,0,IF(SUM(IMshareM!AM$2:AM$78)-IMshareM!AM$39&gt;0,IMshareM!AM58/(SUM(IMshareM!AM$2:AM$78)-IMshareM!AM$39),0))</f>
        <v>0</v>
      </c>
      <c r="AN58" s="8">
        <f>IF($A58=AN$1,0,IF(SUM(IMshareM!AN$2:AN$78)-IMshareM!AN$40&gt;0,IMshareM!AN58/(SUM(IMshareM!AN$2:AN$78)-IMshareM!AN$40),0))</f>
        <v>1.4255852376993948E-6</v>
      </c>
      <c r="AO58" s="8">
        <f>IF($A58=AO$1,0,IF(SUM(IMshareM!AO$2:AO$78)-IMshareM!AO$41&gt;0,IMshareM!AO58/(SUM(IMshareM!AO$2:AO$78)-IMshareM!AO$41),0))</f>
        <v>0</v>
      </c>
      <c r="AP58" s="8">
        <f>IF($A58=AP$1,0,IF(SUM(IMshareM!AP$2:AP$78)-IMshareM!AP$42&gt;0,IMshareM!AP58/(SUM(IMshareM!AP$2:AP$78)-IMshareM!AP$42),0))</f>
        <v>0</v>
      </c>
      <c r="AQ58" s="8">
        <f>IF($A58=AQ$1,0,IF(SUM(IMshareM!AQ$2:AQ$78)-IMshareM!AQ$43&gt;0,IMshareM!AQ58/(SUM(IMshareM!AQ$2:AQ$78)-IMshareM!AQ$43),0))</f>
        <v>0</v>
      </c>
      <c r="AR58" s="8">
        <f>IF($A58=AR$1,0,IF(SUM(IMshareM!AR$2:AR$78)-IMshareM!AR$44&gt;0,IMshareM!AR58/(SUM(IMshareM!AR$2:AR$78)-IMshareM!AR$44),0))</f>
        <v>0</v>
      </c>
      <c r="AS58" s="8">
        <f>IF($A58=AS$1,0,IF(SUM(IMshareM!AS$2:AS$78)-IMshareM!AS$45&gt;0,IMshareM!AS58/(SUM(IMshareM!AS$2:AS$78)-IMshareM!AS$45),0))</f>
        <v>0</v>
      </c>
      <c r="AT58" s="8">
        <f>IF($A58=AT$1,0,IF(SUM(IMshareM!AT$2:AT$78)-IMshareM!AT$46&gt;0,IMshareM!AT58/(SUM(IMshareM!AT$2:AT$78)-IMshareM!AT$46),0))</f>
        <v>0</v>
      </c>
      <c r="AU58" s="8">
        <f>IF($A58=AU$1,0,IF(SUM(IMshareM!AU$2:AU$78)-IMshareM!AU$47&gt;0,IMshareM!AU58/(SUM(IMshareM!AU$2:AU$78)-IMshareM!AU$47),0))</f>
        <v>0</v>
      </c>
      <c r="AV58" s="8">
        <f>IF($A58=AV$1,0,IF(SUM(IMshareM!AV$2:AV$78)-IMshareM!AV$48&gt;0,IMshareM!AV58/(SUM(IMshareM!AV$2:AV$78)-IMshareM!AV$48),0))</f>
        <v>0</v>
      </c>
      <c r="AW58" s="8">
        <f>IF($A58=AW$1,0,IF(SUM(IMshareM!AW$2:AW$78)-IMshareM!AW$49&gt;0,IMshareM!AW58/(SUM(IMshareM!AW$2:AW$78)-IMshareM!AW$49),0))</f>
        <v>7.3983945432332614E-5</v>
      </c>
      <c r="AX58" s="8">
        <f>IF($A58=AX$1,0,IF(SUM(IMshareM!AX$2:AX$78)-IMshareM!AX$50&gt;0,IMshareM!AX58/(SUM(IMshareM!AX$2:AX$78)-IMshareM!AX$50),0))</f>
        <v>0</v>
      </c>
      <c r="AY58" s="8">
        <f>IF($A58=AY$1,0,IF(SUM(IMshareM!AY$2:AY$78)-IMshareM!AY$51&gt;0,IMshareM!AY58/(SUM(IMshareM!AY$2:AY$78)-IMshareM!AY$51),0))</f>
        <v>0</v>
      </c>
      <c r="AZ58" s="8">
        <f>IF($A58=AZ$1,0,IF(SUM(IMshareM!AZ$2:AZ$78)-IMshareM!AZ$52&gt;0,IMshareM!AZ58/(SUM(IMshareM!AZ$2:AZ$78)-IMshareM!AZ$52),0))</f>
        <v>0</v>
      </c>
      <c r="BA58" s="8">
        <f>IF($A58=BA$1,0,IF(SUM(IMshareM!BA$2:BA$78)-IMshareM!BA$53&gt;0,IMshareM!BA58/(SUM(IMshareM!BA$2:BA$78)-IMshareM!BA$53),0))</f>
        <v>0</v>
      </c>
      <c r="BB58" s="8">
        <f>IF($A58=BB$1,0,IF(SUM(IMshareM!BB$2:BB$78)-IMshareM!BB$54&gt;0,IMshareM!BB58/(SUM(IMshareM!BB$2:BB$78)-IMshareM!BB$54),0))</f>
        <v>2.5925895458388748E-6</v>
      </c>
      <c r="BC58" s="8">
        <f>IF($A58=BC$1,0,IF(SUM(IMshareM!BC$2:BC$78)-IMshareM!BC$55&gt;0,IMshareM!BC58/(SUM(IMshareM!BC$2:BC$78)-IMshareM!BC$55),0))</f>
        <v>0</v>
      </c>
      <c r="BD58" s="8">
        <f>IF($A58=BD$1,0,IF(SUM(IMshareM!BD$2:BD$78)-IMshareM!BD$56&gt;0,IMshareM!BD58/(SUM(IMshareM!BD$2:BD$78)-IMshareM!BD$56),0))</f>
        <v>0</v>
      </c>
      <c r="BE58" s="8">
        <f>IF($A58=BE$1,0,IF(SUM(IMshareM!BE$2:BE$78)-IMshareM!BE$57&gt;0,IMshareM!BE58/(SUM(IMshareM!BE$2:BE$78)-IMshareM!BE$57),0))</f>
        <v>0</v>
      </c>
      <c r="BF58" s="8">
        <f>IF($A58=BF$1,0,IF(SUM(IMshareM!BF$2:BF$78)-IMshareM!BF$58&gt;0,IMshareM!BF58/(SUM(IMshareM!BF$2:BF$78)-IMshareM!BF$58),0))</f>
        <v>0</v>
      </c>
      <c r="BG58" s="8">
        <f>IF($A58=BG$1,0,IF(SUM(IMshareM!BG$2:BG$78)-IMshareM!BG$59&gt;0,IMshareM!BG58/(SUM(IMshareM!BG$2:BG$78)-IMshareM!BG$59),0))</f>
        <v>0</v>
      </c>
      <c r="BH58" s="8">
        <f>IF($A58=BH$1,0,IF(SUM(IMshareM!BH$2:BH$78)-IMshareM!BH$60&gt;0,IMshareM!BH58/(SUM(IMshareM!BH$2:BH$78)-IMshareM!BH$60),0))</f>
        <v>1.308432441634445E-7</v>
      </c>
      <c r="BI58" s="8">
        <f>IF($A58=BI$1,0,IF(SUM(IMshareM!BI$2:BI$78)-IMshareM!BI$61&gt;0,IMshareM!BI58/(SUM(IMshareM!BI$2:BI$78)-IMshareM!BI$61),0))</f>
        <v>0</v>
      </c>
      <c r="BJ58" s="8">
        <f>IF($A58=BJ$1,0,IF(SUM(IMshareM!BJ$2:BJ$78)-IMshareM!BJ$62&gt;0,IMshareM!BJ58/(SUM(IMshareM!BJ$2:BJ$78)-IMshareM!BJ$62),0))</f>
        <v>0</v>
      </c>
      <c r="BK58" s="8">
        <f>IF($A58=BK$1,0,IF(SUM(IMshareM!BK$2:BK$78)-IMshareM!BK$63&gt;0,IMshareM!BK58/(SUM(IMshareM!BK$2:BK$78)-IMshareM!BK$63),0))</f>
        <v>0</v>
      </c>
      <c r="BL58" s="8">
        <f>IF($A58=BL$1,0,IF(SUM(IMshareM!BL$2:BL$78)-IMshareM!BL$64&gt;0,IMshareM!BL58/(SUM(IMshareM!BL$2:BL$78)-IMshareM!BL$64),0))</f>
        <v>0</v>
      </c>
      <c r="BM58" s="8">
        <f>IF($A58=BM$1,0,IF(SUM(IMshareM!BM$2:BM$78)-IMshareM!BM$65&gt;0,IMshareM!BM58/(SUM(IMshareM!BM$2:BM$78)-IMshareM!BM$65),0))</f>
        <v>0</v>
      </c>
      <c r="BN58" s="8">
        <f>IF($A58=BN$1,0,IF(SUM(IMshareM!BN$2:BN$78)-IMshareM!BN$66&gt;0,IMshareM!BN58/(SUM(IMshareM!BN$2:BN$78)-IMshareM!BN$66),0))</f>
        <v>0</v>
      </c>
      <c r="BO58" s="8">
        <f>IF($A58=BO$1,0,IF(SUM(IMshareM!BO$2:BO$78)-IMshareM!BO$67&gt;0,IMshareM!BO58/(SUM(IMshareM!BO$2:BO$78)-IMshareM!BO$67),0))</f>
        <v>0</v>
      </c>
      <c r="BP58" s="8">
        <f>IF($A58=BP$1,0,IF(SUM(IMshareM!BP$2:BP$78)-IMshareM!BP$68&gt;0,IMshareM!BP58/(SUM(IMshareM!BP$2:BP$78)-IMshareM!BP$68),0))</f>
        <v>0</v>
      </c>
      <c r="BQ58" s="8">
        <f>IF($A58=BQ$1,0,IF(SUM(IMshareM!BQ$2:BQ$78)-IMshareM!BQ$69&gt;0,IMshareM!BQ58/(SUM(IMshareM!BQ$2:BQ$78)-IMshareM!BQ$69),0))</f>
        <v>5.5405362711787431E-7</v>
      </c>
      <c r="BR58" s="8">
        <f>IF($A58=BR$1,0,IF(SUM(IMshareM!BR$2:BR$78)-IMshareM!BR$70&gt;0,IMshareM!BR58/(SUM(IMshareM!BR$2:BR$78)-IMshareM!BR$70),0))</f>
        <v>0</v>
      </c>
      <c r="BS58" s="8">
        <f>IF($A58=BS$1,0,IF(SUM(IMshareM!BS$2:BS$78)-IMshareM!BS$71&gt;0,IMshareM!BS58/(SUM(IMshareM!BS$2:BS$78)-IMshareM!BS$71),0))</f>
        <v>0</v>
      </c>
      <c r="BT58" s="8">
        <f>IF($A58=BT$1,0,IF(SUM(IMshareM!BT$2:BT$78)-IMshareM!BT$72&gt;0,IMshareM!BT58/(SUM(IMshareM!BT$2:BT$78)-IMshareM!BT$72),0))</f>
        <v>0</v>
      </c>
      <c r="BU58" s="8">
        <f>IF($A58=BU$1,0,IF(SUM(IMshareM!BU$2:BU$78)-IMshareM!BU$73&gt;0,IMshareM!BU58/(SUM(IMshareM!BU$2:BU$78)-IMshareM!BU$73),0))</f>
        <v>0</v>
      </c>
      <c r="BV58" s="8">
        <f>IF($A58=BV$1,0,IF(SUM(IMshareM!BV$2:BV$78)-IMshareM!BV$74&gt;0,IMshareM!BV58/(SUM(IMshareM!BV$2:BV$78)-IMshareM!BV$74),0))</f>
        <v>0</v>
      </c>
      <c r="BW58" s="8">
        <f>IF($A58=BW$1,0,IF(SUM(IMshareM!BW$2:BW$78)-IMshareM!BW$75&gt;0,IMshareM!BW58/(SUM(IMshareM!BW$2:BW$78)-IMshareM!BW$75),0))</f>
        <v>1.7800246935042335E-4</v>
      </c>
      <c r="BX58" s="8">
        <f>IF($A58=BX$1,0,IF(SUM(IMshareM!BX$2:BX$78)-IMshareM!BX$76&gt;0,IMshareM!BX58/(SUM(IMshareM!BX$2:BX$78)-IMshareM!BX$76),0))</f>
        <v>0</v>
      </c>
      <c r="BY58" s="8">
        <f>IF($A58=BY$1,0,IF(SUM(IMshareM!BY$2:BY$78)-IMshareM!BY$77&gt;0,IMshareM!BY58/(SUM(IMshareM!BY$2:BY$78)-IMshareM!BY$77),0))</f>
        <v>7.2009954245036954E-6</v>
      </c>
      <c r="BZ58" s="8">
        <f>IF($A58=BZ$1,0,IF(SUM(IMshareM!BZ$2:BZ$78)-IMshareM!BZ$78&gt;0,IMshareM!BZ58/(SUM(IMshareM!BZ$2:BZ$78)-IMshareM!BZ$78),0))</f>
        <v>2.1172019813422681E-4</v>
      </c>
    </row>
    <row r="59" spans="1:78">
      <c r="A59" s="4" t="s">
        <v>185</v>
      </c>
      <c r="B59" s="8">
        <f>IF($A59=B$1,0,IF(SUM(IMshareM!B$2:B$78)-IMshareM!B$2&gt;0,IMshareM!B59/(SUM(IMshareM!B$2:B$78)-IMshareM!B$2),0))</f>
        <v>2.2505552489557239E-4</v>
      </c>
      <c r="C59" s="8">
        <f>IF($A59=C$1,0,IF(SUM(IMshareM!C$2:C$78)-IMshareM!C$3&gt;0,IMshareM!C59/(SUM(IMshareM!C$2:C$78)-IMshareM!C$3),0))</f>
        <v>5.7075938302349367E-4</v>
      </c>
      <c r="D59" s="8">
        <f>IF($A59=D$1,0,IF(SUM(IMshareM!D$2:D$78)-IMshareM!D$4&gt;0,IMshareM!D59/(SUM(IMshareM!D$2:D$78)-IMshareM!D$4),0))</f>
        <v>3.6748819528115801E-4</v>
      </c>
      <c r="E59" s="8">
        <f>IF($A59=E$1,0,IF(SUM(IMshareM!E$2:E$78)-IMshareM!E$5&gt;0,IMshareM!E59/(SUM(IMshareM!E$2:E$78)-IMshareM!E$5),0))</f>
        <v>1.5374034278280533E-3</v>
      </c>
      <c r="F59" s="8">
        <f>IF($A59=F$1,0,IF(SUM(IMshareM!F$2:F$78)-IMshareM!F$6&gt;0,IMshareM!F59/(SUM(IMshareM!F$2:F$78)-IMshareM!F$6),0))</f>
        <v>0</v>
      </c>
      <c r="G59" s="8">
        <f>IF($A59=G$1,0,IF(SUM(IMshareM!G$2:G$78)-IMshareM!G$7&gt;0,IMshareM!G59/(SUM(IMshareM!G$2:G$78)-IMshareM!G$7),0))</f>
        <v>1.3965161947795386E-2</v>
      </c>
      <c r="H59" s="8">
        <f>IF($A59=H$1,0,IF(SUM(IMshareM!H$2:H$78)-IMshareM!H$8&gt;0,IMshareM!H59/(SUM(IMshareM!H$2:H$78)-IMshareM!H$8),0))</f>
        <v>0</v>
      </c>
      <c r="I59" s="8">
        <f>IF($A59=I$1,0,IF(SUM(IMshareM!I$2:I$78)-IMshareM!I$9&gt;0,IMshareM!I59/(SUM(IMshareM!I$2:I$78)-IMshareM!I$9),0))</f>
        <v>4.4900470423130971E-3</v>
      </c>
      <c r="J59" s="8">
        <f>IF($A59=J$1,0,IF(SUM(IMshareM!J$2:J$78)-IMshareM!J$10&gt;0,IMshareM!J59/(SUM(IMshareM!J$2:J$78)-IMshareM!J$10),0))</f>
        <v>1.0573936916256699E-3</v>
      </c>
      <c r="K59" s="8">
        <f>IF($A59=K$1,0,IF(SUM(IMshareM!K$2:K$78)-IMshareM!K$11&gt;0,IMshareM!K59/(SUM(IMshareM!K$2:K$78)-IMshareM!K$11),0))</f>
        <v>1.2652092615785711E-3</v>
      </c>
      <c r="L59" s="8">
        <f>IF($A59=L$1,0,IF(SUM(IMshareM!L$2:L$78)-IMshareM!L$12&gt;0,IMshareM!L59/(SUM(IMshareM!L$2:L$78)-IMshareM!L$12),0))</f>
        <v>8.3545273943328748E-4</v>
      </c>
      <c r="M59" s="8">
        <f>IF($A59=M$1,0,IF(SUM(IMshareM!M$2:M$78)-IMshareM!M$13&gt;0,IMshareM!M59/(SUM(IMshareM!M$2:M$78)-IMshareM!M$13),0))</f>
        <v>6.3478586036200532E-6</v>
      </c>
      <c r="N59" s="8">
        <f>IF($A59=N$1,0,IF(SUM(IMshareM!N$2:N$78)-IMshareM!N$14&gt;0,IMshareM!N59/(SUM(IMshareM!N$2:N$78)-IMshareM!N$14),0))</f>
        <v>2.448754731327819E-2</v>
      </c>
      <c r="O59" s="8">
        <f>IF($A59=O$1,0,IF(SUM(IMshareM!O$2:O$78)-IMshareM!O$15&gt;0,IMshareM!O59/(SUM(IMshareM!O$2:O$78)-IMshareM!O$15),0))</f>
        <v>8.786622734067254E-3</v>
      </c>
      <c r="P59" s="8">
        <f>IF($A59=P$1,0,IF(SUM(IMshareM!P$2:P$78)-IMshareM!P$16&gt;0,IMshareM!P59/(SUM(IMshareM!P$2:P$78)-IMshareM!P$16),0))</f>
        <v>0</v>
      </c>
      <c r="Q59" s="8">
        <f>IF($A59=Q$1,0,IF(SUM(IMshareM!Q$2:Q$78)-IMshareM!Q$17&gt;0,IMshareM!Q59/(SUM(IMshareM!Q$2:Q$78)-IMshareM!Q$17),0))</f>
        <v>1.0943857684232023E-4</v>
      </c>
      <c r="R59" s="8">
        <f>IF($A59=R$1,0,IF(SUM(IMshareM!R$2:R$78)-IMshareM!R$18&gt;0,IMshareM!R59/(SUM(IMshareM!R$2:R$78)-IMshareM!R$18),0))</f>
        <v>2.5627567253679678E-5</v>
      </c>
      <c r="S59" s="8">
        <f>IF($A59=S$1,0,IF(SUM(IMshareM!S$2:S$78)-IMshareM!S$19&gt;0,IMshareM!S59/(SUM(IMshareM!S$2:S$78)-IMshareM!S$19),0))</f>
        <v>0</v>
      </c>
      <c r="T59" s="8">
        <f>IF($A59=T$1,0,IF(SUM(IMshareM!T$2:T$78)-IMshareM!T$20&gt;0,IMshareM!T59/(SUM(IMshareM!T$2:T$78)-IMshareM!T$20),0))</f>
        <v>1.0240247355271992E-3</v>
      </c>
      <c r="U59" s="8">
        <f>IF($A59=U$1,0,IF(SUM(IMshareM!U$2:U$78)-IMshareM!U$21&gt;0,IMshareM!U59/(SUM(IMshareM!U$2:U$78)-IMshareM!U$21),0))</f>
        <v>2.6269371217289336E-3</v>
      </c>
      <c r="V59" s="8">
        <f>IF($A59=V$1,0,IF(SUM(IMshareM!V$2:V$78)-IMshareM!V$22&gt;0,IMshareM!V59/(SUM(IMshareM!V$2:V$78)-IMshareM!V$22),0))</f>
        <v>5.2326935978283262E-5</v>
      </c>
      <c r="W59" s="8">
        <f>IF($A59=W$1,0,IF(SUM(IMshareM!W$2:W$78)-IMshareM!W$23&gt;0,IMshareM!W59/(SUM(IMshareM!W$2:W$78)-IMshareM!W$23),0))</f>
        <v>4.4198394282694553E-5</v>
      </c>
      <c r="X59" s="8">
        <f>IF($A59=X$1,0,IF(SUM(IMshareM!X$2:X$78)-IMshareM!X$24&gt;0,IMshareM!X59/(SUM(IMshareM!X$2:X$78)-IMshareM!X$24),0))</f>
        <v>1.2786860341587043E-3</v>
      </c>
      <c r="Y59" s="8">
        <f>IF($A59=Y$1,0,IF(SUM(IMshareM!Y$2:Y$78)-IMshareM!Y$25&gt;0,IMshareM!Y59/(SUM(IMshareM!Y$2:Y$78)-IMshareM!Y$25),0))</f>
        <v>5.6500312725766611E-4</v>
      </c>
      <c r="Z59" s="8">
        <f>IF($A59=Z$1,0,IF(SUM(IMshareM!Z$2:Z$78)-IMshareM!Z$26&gt;0,IMshareM!Z59/(SUM(IMshareM!Z$2:Z$78)-IMshareM!Z$26),0))</f>
        <v>5.8280770661243517E-3</v>
      </c>
      <c r="AA59" s="8">
        <f>IF($A59=AA$1,0,IF(SUM(IMshareM!AA$2:AA$78)-IMshareM!AA$27&gt;0,IMshareM!AA59/(SUM(IMshareM!AA$2:AA$78)-IMshareM!AA$27),0))</f>
        <v>2.4906013215531936E-3</v>
      </c>
      <c r="AB59" s="8">
        <f>IF($A59=AB$1,0,IF(SUM(IMshareM!AB$2:AB$78)-IMshareM!AB$28&gt;0,IMshareM!AB59/(SUM(IMshareM!AB$2:AB$78)-IMshareM!AB$28),0))</f>
        <v>5.1468518554181383E-3</v>
      </c>
      <c r="AC59" s="8">
        <f>IF($A59=AC$1,0,IF(SUM(IMshareM!AC$2:AC$78)-IMshareM!AC$29&gt;0,IMshareM!AC59/(SUM(IMshareM!AC$2:AC$78)-IMshareM!AC$29),0))</f>
        <v>1.3356765553646054E-5</v>
      </c>
      <c r="AD59" s="8">
        <f>IF($A59=AD$1,0,IF(SUM(IMshareM!AD$2:AD$78)-IMshareM!AD$30&gt;0,IMshareM!AD59/(SUM(IMshareM!AD$2:AD$78)-IMshareM!AD$30),0))</f>
        <v>4.3874276755778513E-2</v>
      </c>
      <c r="AE59" s="8">
        <f>IF($A59=AE$1,0,IF(SUM(IMshareM!AE$2:AE$78)-IMshareM!AE$31&gt;0,IMshareM!AE59/(SUM(IMshareM!AE$2:AE$78)-IMshareM!AE$31),0))</f>
        <v>2.522237221247979E-6</v>
      </c>
      <c r="AF59" s="8">
        <f>IF($A59=AF$1,0,IF(SUM(IMshareM!AF$2:AF$78)-IMshareM!AF$32&gt;0,IMshareM!AF59/(SUM(IMshareM!AF$2:AF$78)-IMshareM!AF$32),0))</f>
        <v>1.8847032550589325E-3</v>
      </c>
      <c r="AG59" s="8">
        <f>IF($A59=AG$1,0,IF(SUM(IMshareM!AG$2:AG$78)-IMshareM!AG$33&gt;0,IMshareM!AG59/(SUM(IMshareM!AG$2:AG$78)-IMshareM!AG$33),0))</f>
        <v>1.2558581440232433E-2</v>
      </c>
      <c r="AH59" s="8">
        <f>IF($A59=AH$1,0,IF(SUM(IMshareM!AH$2:AH$78)-IMshareM!AH$34&gt;0,IMshareM!AH59/(SUM(IMshareM!AH$2:AH$78)-IMshareM!AH$34),0))</f>
        <v>6.0149714635791074E-3</v>
      </c>
      <c r="AI59" s="8">
        <f>IF($A59=AI$1,0,IF(SUM(IMshareM!AI$2:AI$78)-IMshareM!AI$35&gt;0,IMshareM!AI59/(SUM(IMshareM!AI$2:AI$78)-IMshareM!AI$35),0))</f>
        <v>7.5588279250782449E-4</v>
      </c>
      <c r="AJ59" s="8">
        <f>IF($A59=AJ$1,0,IF(SUM(IMshareM!AJ$2:AJ$78)-IMshareM!AJ$36&gt;0,IMshareM!AJ59/(SUM(IMshareM!AJ$2:AJ$78)-IMshareM!AJ$36),0))</f>
        <v>6.592685574233705E-5</v>
      </c>
      <c r="AK59" s="8">
        <f>IF($A59=AK$1,0,IF(SUM(IMshareM!AK$2:AK$78)-IMshareM!AK$37&gt;0,IMshareM!AK59/(SUM(IMshareM!AK$2:AK$78)-IMshareM!AK$37),0))</f>
        <v>6.700719240236619E-4</v>
      </c>
      <c r="AL59" s="8">
        <f>IF($A59=AL$1,0,IF(SUM(IMshareM!AL$2:AL$78)-IMshareM!AL$38&gt;0,IMshareM!AL59/(SUM(IMshareM!AL$2:AL$78)-IMshareM!AL$38),0))</f>
        <v>1.8975423887394893E-3</v>
      </c>
      <c r="AM59" s="8">
        <f>IF($A59=AM$1,0,IF(SUM(IMshareM!AM$2:AM$78)-IMshareM!AM$39&gt;0,IMshareM!AM59/(SUM(IMshareM!AM$2:AM$78)-IMshareM!AM$39),0))</f>
        <v>0</v>
      </c>
      <c r="AN59" s="8">
        <f>IF($A59=AN$1,0,IF(SUM(IMshareM!AN$2:AN$78)-IMshareM!AN$40&gt;0,IMshareM!AN59/(SUM(IMshareM!AN$2:AN$78)-IMshareM!AN$40),0))</f>
        <v>4.7247662464083837E-2</v>
      </c>
      <c r="AO59" s="8">
        <f>IF($A59=AO$1,0,IF(SUM(IMshareM!AO$2:AO$78)-IMshareM!AO$41&gt;0,IMshareM!AO59/(SUM(IMshareM!AO$2:AO$78)-IMshareM!AO$41),0))</f>
        <v>0</v>
      </c>
      <c r="AP59" s="8">
        <f>IF($A59=AP$1,0,IF(SUM(IMshareM!AP$2:AP$78)-IMshareM!AP$42&gt;0,IMshareM!AP59/(SUM(IMshareM!AP$2:AP$78)-IMshareM!AP$42),0))</f>
        <v>2.1575835118218701E-4</v>
      </c>
      <c r="AQ59" s="8">
        <f>IF($A59=AQ$1,0,IF(SUM(IMshareM!AQ$2:AQ$78)-IMshareM!AQ$43&gt;0,IMshareM!AQ59/(SUM(IMshareM!AQ$2:AQ$78)-IMshareM!AQ$43),0))</f>
        <v>0.23777246965235349</v>
      </c>
      <c r="AR59" s="8">
        <f>IF($A59=AR$1,0,IF(SUM(IMshareM!AR$2:AR$78)-IMshareM!AR$44&gt;0,IMshareM!AR59/(SUM(IMshareM!AR$2:AR$78)-IMshareM!AR$44),0))</f>
        <v>0</v>
      </c>
      <c r="AS59" s="8">
        <f>IF($A59=AS$1,0,IF(SUM(IMshareM!AS$2:AS$78)-IMshareM!AS$45&gt;0,IMshareM!AS59/(SUM(IMshareM!AS$2:AS$78)-IMshareM!AS$45),0))</f>
        <v>5.9169485020854076E-2</v>
      </c>
      <c r="AT59" s="8">
        <f>IF($A59=AT$1,0,IF(SUM(IMshareM!AT$2:AT$78)-IMshareM!AT$46&gt;0,IMshareM!AT59/(SUM(IMshareM!AT$2:AT$78)-IMshareM!AT$46),0))</f>
        <v>0</v>
      </c>
      <c r="AU59" s="8">
        <f>IF($A59=AU$1,0,IF(SUM(IMshareM!AU$2:AU$78)-IMshareM!AU$47&gt;0,IMshareM!AU59/(SUM(IMshareM!AU$2:AU$78)-IMshareM!AU$47),0))</f>
        <v>1.6333822278549179E-3</v>
      </c>
      <c r="AV59" s="8">
        <f>IF($A59=AV$1,0,IF(SUM(IMshareM!AV$2:AV$78)-IMshareM!AV$48&gt;0,IMshareM!AV59/(SUM(IMshareM!AV$2:AV$78)-IMshareM!AV$48),0))</f>
        <v>4.4102799443486822E-2</v>
      </c>
      <c r="AW59" s="8">
        <f>IF($A59=AW$1,0,IF(SUM(IMshareM!AW$2:AW$78)-IMshareM!AW$49&gt;0,IMshareM!AW59/(SUM(IMshareM!AW$2:AW$78)-IMshareM!AW$49),0))</f>
        <v>3.5027106262233631E-3</v>
      </c>
      <c r="AX59" s="8">
        <f>IF($A59=AX$1,0,IF(SUM(IMshareM!AX$2:AX$78)-IMshareM!AX$50&gt;0,IMshareM!AX59/(SUM(IMshareM!AX$2:AX$78)-IMshareM!AX$50),0))</f>
        <v>3.6619395012934819E-7</v>
      </c>
      <c r="AY59" s="8">
        <f>IF($A59=AY$1,0,IF(SUM(IMshareM!AY$2:AY$78)-IMshareM!AY$51&gt;0,IMshareM!AY59/(SUM(IMshareM!AY$2:AY$78)-IMshareM!AY$51),0))</f>
        <v>8.4054138335715601E-4</v>
      </c>
      <c r="AZ59" s="8">
        <f>IF($A59=AZ$1,0,IF(SUM(IMshareM!AZ$2:AZ$78)-IMshareM!AZ$52&gt;0,IMshareM!AZ59/(SUM(IMshareM!AZ$2:AZ$78)-IMshareM!AZ$52),0))</f>
        <v>6.9866457707909654E-2</v>
      </c>
      <c r="BA59" s="8">
        <f>IF($A59=BA$1,0,IF(SUM(IMshareM!BA$2:BA$78)-IMshareM!BA$53&gt;0,IMshareM!BA59/(SUM(IMshareM!BA$2:BA$78)-IMshareM!BA$53),0))</f>
        <v>0</v>
      </c>
      <c r="BB59" s="8">
        <f>IF($A59=BB$1,0,IF(SUM(IMshareM!BB$2:BB$78)-IMshareM!BB$54&gt;0,IMshareM!BB59/(SUM(IMshareM!BB$2:BB$78)-IMshareM!BB$54),0))</f>
        <v>8.9346722169969268E-3</v>
      </c>
      <c r="BC59" s="8">
        <f>IF($A59=BC$1,0,IF(SUM(IMshareM!BC$2:BC$78)-IMshareM!BC$55&gt;0,IMshareM!BC59/(SUM(IMshareM!BC$2:BC$78)-IMshareM!BC$55),0))</f>
        <v>6.0022377896100832E-4</v>
      </c>
      <c r="BD59" s="8">
        <f>IF($A59=BD$1,0,IF(SUM(IMshareM!BD$2:BD$78)-IMshareM!BD$56&gt;0,IMshareM!BD59/(SUM(IMshareM!BD$2:BD$78)-IMshareM!BD$56),0))</f>
        <v>6.8775694759017276E-4</v>
      </c>
      <c r="BE59" s="8">
        <f>IF($A59=BE$1,0,IF(SUM(IMshareM!BE$2:BE$78)-IMshareM!BE$57&gt;0,IMshareM!BE59/(SUM(IMshareM!BE$2:BE$78)-IMshareM!BE$57),0))</f>
        <v>6.7269333097030343E-6</v>
      </c>
      <c r="BF59" s="8">
        <f>IF($A59=BF$1,0,IF(SUM(IMshareM!BF$2:BF$78)-IMshareM!BF$58&gt;0,IMshareM!BF59/(SUM(IMshareM!BF$2:BF$78)-IMshareM!BF$58),0))</f>
        <v>1.0088932584486079E-4</v>
      </c>
      <c r="BG59" s="8">
        <f>IF($A59=BG$1,0,IF(SUM(IMshareM!BG$2:BG$78)-IMshareM!BG$59&gt;0,IMshareM!BG59/(SUM(IMshareM!BG$2:BG$78)-IMshareM!BG$59),0))</f>
        <v>0</v>
      </c>
      <c r="BH59" s="8">
        <f>IF($A59=BH$1,0,IF(SUM(IMshareM!BH$2:BH$78)-IMshareM!BH$60&gt;0,IMshareM!BH59/(SUM(IMshareM!BH$2:BH$78)-IMshareM!BH$60),0))</f>
        <v>2.2137298915175432E-3</v>
      </c>
      <c r="BI59" s="8">
        <f>IF($A59=BI$1,0,IF(SUM(IMshareM!BI$2:BI$78)-IMshareM!BI$61&gt;0,IMshareM!BI59/(SUM(IMshareM!BI$2:BI$78)-IMshareM!BI$61),0))</f>
        <v>1.9560666833131879E-3</v>
      </c>
      <c r="BJ59" s="8">
        <f>IF($A59=BJ$1,0,IF(SUM(IMshareM!BJ$2:BJ$78)-IMshareM!BJ$62&gt;0,IMshareM!BJ59/(SUM(IMshareM!BJ$2:BJ$78)-IMshareM!BJ$62),0))</f>
        <v>7.3358252140196049E-5</v>
      </c>
      <c r="BK59" s="8">
        <f>IF($A59=BK$1,0,IF(SUM(IMshareM!BK$2:BK$78)-IMshareM!BK$63&gt;0,IMshareM!BK59/(SUM(IMshareM!BK$2:BK$78)-IMshareM!BK$63),0))</f>
        <v>8.4014588038801432E-6</v>
      </c>
      <c r="BL59" s="8">
        <f>IF($A59=BL$1,0,IF(SUM(IMshareM!BL$2:BL$78)-IMshareM!BL$64&gt;0,IMshareM!BL59/(SUM(IMshareM!BL$2:BL$78)-IMshareM!BL$64),0))</f>
        <v>0</v>
      </c>
      <c r="BM59" s="8">
        <f>IF($A59=BM$1,0,IF(SUM(IMshareM!BM$2:BM$78)-IMshareM!BM$65&gt;0,IMshareM!BM59/(SUM(IMshareM!BM$2:BM$78)-IMshareM!BM$65),0))</f>
        <v>3.5724957212347015E-4</v>
      </c>
      <c r="BN59" s="8">
        <f>IF($A59=BN$1,0,IF(SUM(IMshareM!BN$2:BN$78)-IMshareM!BN$66&gt;0,IMshareM!BN59/(SUM(IMshareM!BN$2:BN$78)-IMshareM!BN$66),0))</f>
        <v>4.0786139797386198E-2</v>
      </c>
      <c r="BO59" s="8">
        <f>IF($A59=BO$1,0,IF(SUM(IMshareM!BO$2:BO$78)-IMshareM!BO$67&gt;0,IMshareM!BO59/(SUM(IMshareM!BO$2:BO$78)-IMshareM!BO$67),0))</f>
        <v>7.4903966764931036E-4</v>
      </c>
      <c r="BP59" s="8">
        <f>IF($A59=BP$1,0,IF(SUM(IMshareM!BP$2:BP$78)-IMshareM!BP$68&gt;0,IMshareM!BP59/(SUM(IMshareM!BP$2:BP$78)-IMshareM!BP$68),0))</f>
        <v>1.2385940178852016E-4</v>
      </c>
      <c r="BQ59" s="8">
        <f>IF($A59=BQ$1,0,IF(SUM(IMshareM!BQ$2:BQ$78)-IMshareM!BQ$69&gt;0,IMshareM!BQ59/(SUM(IMshareM!BQ$2:BQ$78)-IMshareM!BQ$69),0))</f>
        <v>2.3441982877521407E-3</v>
      </c>
      <c r="BR59" s="8">
        <f>IF($A59=BR$1,0,IF(SUM(IMshareM!BR$2:BR$78)-IMshareM!BR$70&gt;0,IMshareM!BR59/(SUM(IMshareM!BR$2:BR$78)-IMshareM!BR$70),0))</f>
        <v>7.3104024774463339E-3</v>
      </c>
      <c r="BS59" s="8">
        <f>IF($A59=BS$1,0,IF(SUM(IMshareM!BS$2:BS$78)-IMshareM!BS$71&gt;0,IMshareM!BS59/(SUM(IMshareM!BS$2:BS$78)-IMshareM!BS$71),0))</f>
        <v>6.7735871882593671E-5</v>
      </c>
      <c r="BT59" s="8">
        <f>IF($A59=BT$1,0,IF(SUM(IMshareM!BT$2:BT$78)-IMshareM!BT$72&gt;0,IMshareM!BT59/(SUM(IMshareM!BT$2:BT$78)-IMshareM!BT$72),0))</f>
        <v>8.6571358952810731E-3</v>
      </c>
      <c r="BU59" s="8">
        <f>IF($A59=BU$1,0,IF(SUM(IMshareM!BU$2:BU$78)-IMshareM!BU$73&gt;0,IMshareM!BU59/(SUM(IMshareM!BU$2:BU$78)-IMshareM!BU$73),0))</f>
        <v>3.4637123679641571E-2</v>
      </c>
      <c r="BV59" s="8">
        <f>IF($A59=BV$1,0,IF(SUM(IMshareM!BV$2:BV$78)-IMshareM!BV$74&gt;0,IMshareM!BV59/(SUM(IMshareM!BV$2:BV$78)-IMshareM!BV$74),0))</f>
        <v>2.5790419540035601E-5</v>
      </c>
      <c r="BW59" s="8">
        <f>IF($A59=BW$1,0,IF(SUM(IMshareM!BW$2:BW$78)-IMshareM!BW$75&gt;0,IMshareM!BW59/(SUM(IMshareM!BW$2:BW$78)-IMshareM!BW$75),0))</f>
        <v>4.8285474612460967E-3</v>
      </c>
      <c r="BX59" s="8">
        <f>IF($A59=BX$1,0,IF(SUM(IMshareM!BX$2:BX$78)-IMshareM!BX$76&gt;0,IMshareM!BX59/(SUM(IMshareM!BX$2:BX$78)-IMshareM!BX$76),0))</f>
        <v>2.7399547711459211E-2</v>
      </c>
      <c r="BY59" s="8">
        <f>IF($A59=BY$1,0,IF(SUM(IMshareM!BY$2:BY$78)-IMshareM!BY$77&gt;0,IMshareM!BY59/(SUM(IMshareM!BY$2:BY$78)-IMshareM!BY$77),0))</f>
        <v>4.0369327998924582E-4</v>
      </c>
      <c r="BZ59" s="8">
        <f>IF($A59=BZ$1,0,IF(SUM(IMshareM!BZ$2:BZ$78)-IMshareM!BZ$78&gt;0,IMshareM!BZ59/(SUM(IMshareM!BZ$2:BZ$78)-IMshareM!BZ$78),0))</f>
        <v>3.2785630363595277E-4</v>
      </c>
    </row>
    <row r="60" spans="1:78">
      <c r="A60" s="4" t="s">
        <v>187</v>
      </c>
      <c r="B60" s="8">
        <f>IF($A60=B$1,0,IF(SUM(IMshareM!B$2:B$78)-IMshareM!B$2&gt;0,IMshareM!B60/(SUM(IMshareM!B$2:B$78)-IMshareM!B$2),0))</f>
        <v>2.8196123503731402E-3</v>
      </c>
      <c r="C60" s="8">
        <f>IF($A60=C$1,0,IF(SUM(IMshareM!C$2:C$78)-IMshareM!C$3&gt;0,IMshareM!C60/(SUM(IMshareM!C$2:C$78)-IMshareM!C$3),0))</f>
        <v>9.6375181949332409E-3</v>
      </c>
      <c r="D60" s="8">
        <f>IF($A60=D$1,0,IF(SUM(IMshareM!D$2:D$78)-IMshareM!D$4&gt;0,IMshareM!D60/(SUM(IMshareM!D$2:D$78)-IMshareM!D$4),0))</f>
        <v>4.5972213534523375E-2</v>
      </c>
      <c r="E60" s="8">
        <f>IF($A60=E$1,0,IF(SUM(IMshareM!E$2:E$78)-IMshareM!E$5&gt;0,IMshareM!E60/(SUM(IMshareM!E$2:E$78)-IMshareM!E$5),0))</f>
        <v>2.7851503690129414E-3</v>
      </c>
      <c r="F60" s="8">
        <f>IF($A60=F$1,0,IF(SUM(IMshareM!F$2:F$78)-IMshareM!F$6&gt;0,IMshareM!F60/(SUM(IMshareM!F$2:F$78)-IMshareM!F$6),0))</f>
        <v>4.6983003726368593E-5</v>
      </c>
      <c r="G60" s="8">
        <f>IF($A60=G$1,0,IF(SUM(IMshareM!G$2:G$78)-IMshareM!G$7&gt;0,IMshareM!G60/(SUM(IMshareM!G$2:G$78)-IMshareM!G$7),0))</f>
        <v>2.3009853203362846E-3</v>
      </c>
      <c r="H60" s="8">
        <f>IF($A60=H$1,0,IF(SUM(IMshareM!H$2:H$78)-IMshareM!H$8&gt;0,IMshareM!H60/(SUM(IMshareM!H$2:H$78)-IMshareM!H$8),0))</f>
        <v>0.12954058897906384</v>
      </c>
      <c r="I60" s="8">
        <f>IF($A60=I$1,0,IF(SUM(IMshareM!I$2:I$78)-IMshareM!I$9&gt;0,IMshareM!I60/(SUM(IMshareM!I$2:I$78)-IMshareM!I$9),0))</f>
        <v>1.416651479643926E-2</v>
      </c>
      <c r="J60" s="8">
        <f>IF($A60=J$1,0,IF(SUM(IMshareM!J$2:J$78)-IMshareM!J$10&gt;0,IMshareM!J60/(SUM(IMshareM!J$2:J$78)-IMshareM!J$10),0))</f>
        <v>9.537820437617668E-4</v>
      </c>
      <c r="K60" s="8">
        <f>IF($A60=K$1,0,IF(SUM(IMshareM!K$2:K$78)-IMshareM!K$11&gt;0,IMshareM!K60/(SUM(IMshareM!K$2:K$78)-IMshareM!K$11),0))</f>
        <v>5.1435954822520464E-3</v>
      </c>
      <c r="L60" s="8">
        <f>IF($A60=L$1,0,IF(SUM(IMshareM!L$2:L$78)-IMshareM!L$12&gt;0,IMshareM!L60/(SUM(IMshareM!L$2:L$78)-IMshareM!L$12),0))</f>
        <v>3.0257045338307226E-2</v>
      </c>
      <c r="M60" s="8">
        <f>IF($A60=M$1,0,IF(SUM(IMshareM!M$2:M$78)-IMshareM!M$13&gt;0,IMshareM!M60/(SUM(IMshareM!M$2:M$78)-IMshareM!M$13),0))</f>
        <v>2.7127320799180026E-4</v>
      </c>
      <c r="N60" s="8">
        <f>IF($A60=N$1,0,IF(SUM(IMshareM!N$2:N$78)-IMshareM!N$14&gt;0,IMshareM!N60/(SUM(IMshareM!N$2:N$78)-IMshareM!N$14),0))</f>
        <v>7.955951070782492E-3</v>
      </c>
      <c r="O60" s="8">
        <f>IF($A60=O$1,0,IF(SUM(IMshareM!O$2:O$78)-IMshareM!O$15&gt;0,IMshareM!O60/(SUM(IMshareM!O$2:O$78)-IMshareM!O$15),0))</f>
        <v>2.9287016784230601E-3</v>
      </c>
      <c r="P60" s="8">
        <f>IF($A60=P$1,0,IF(SUM(IMshareM!P$2:P$78)-IMshareM!P$16&gt;0,IMshareM!P60/(SUM(IMshareM!P$2:P$78)-IMshareM!P$16),0))</f>
        <v>6.1543355380858371E-5</v>
      </c>
      <c r="Q60" s="8">
        <f>IF($A60=Q$1,0,IF(SUM(IMshareM!Q$2:Q$78)-IMshareM!Q$17&gt;0,IMshareM!Q60/(SUM(IMshareM!Q$2:Q$78)-IMshareM!Q$17),0))</f>
        <v>2.2082685048980637E-3</v>
      </c>
      <c r="R60" s="8">
        <f>IF($A60=R$1,0,IF(SUM(IMshareM!R$2:R$78)-IMshareM!R$18&gt;0,IMshareM!R60/(SUM(IMshareM!R$2:R$78)-IMshareM!R$18),0))</f>
        <v>6.1168542915167644E-3</v>
      </c>
      <c r="S60" s="8">
        <f>IF($A60=S$1,0,IF(SUM(IMshareM!S$2:S$78)-IMshareM!S$19&gt;0,IMshareM!S60/(SUM(IMshareM!S$2:S$78)-IMshareM!S$19),0))</f>
        <v>1.3837815401656946E-5</v>
      </c>
      <c r="T60" s="8">
        <f>IF($A60=T$1,0,IF(SUM(IMshareM!T$2:T$78)-IMshareM!T$20&gt;0,IMshareM!T60/(SUM(IMshareM!T$2:T$78)-IMshareM!T$20),0))</f>
        <v>1.8194498873291734E-2</v>
      </c>
      <c r="U60" s="8">
        <f>IF($A60=U$1,0,IF(SUM(IMshareM!U$2:U$78)-IMshareM!U$21&gt;0,IMshareM!U60/(SUM(IMshareM!U$2:U$78)-IMshareM!U$21),0))</f>
        <v>7.6920780728236743E-2</v>
      </c>
      <c r="V60" s="8">
        <f>IF($A60=V$1,0,IF(SUM(IMshareM!V$2:V$78)-IMshareM!V$22&gt;0,IMshareM!V60/(SUM(IMshareM!V$2:V$78)-IMshareM!V$22),0))</f>
        <v>2.7726573042332881E-2</v>
      </c>
      <c r="W60" s="8">
        <f>IF($A60=W$1,0,IF(SUM(IMshareM!W$2:W$78)-IMshareM!W$23&gt;0,IMshareM!W60/(SUM(IMshareM!W$2:W$78)-IMshareM!W$23),0))</f>
        <v>8.2228463271859127E-3</v>
      </c>
      <c r="X60" s="8">
        <f>IF($A60=X$1,0,IF(SUM(IMshareM!X$2:X$78)-IMshareM!X$24&gt;0,IMshareM!X60/(SUM(IMshareM!X$2:X$78)-IMshareM!X$24),0))</f>
        <v>1.4754323570140513E-2</v>
      </c>
      <c r="Y60" s="8">
        <f>IF($A60=Y$1,0,IF(SUM(IMshareM!Y$2:Y$78)-IMshareM!Y$25&gt;0,IMshareM!Y60/(SUM(IMshareM!Y$2:Y$78)-IMshareM!Y$25),0))</f>
        <v>1.3903251669053901E-2</v>
      </c>
      <c r="Z60" s="8">
        <f>IF($A60=Z$1,0,IF(SUM(IMshareM!Z$2:Z$78)-IMshareM!Z$26&gt;0,IMshareM!Z60/(SUM(IMshareM!Z$2:Z$78)-IMshareM!Z$26),0))</f>
        <v>1.2302340426662227E-2</v>
      </c>
      <c r="AA60" s="8">
        <f>IF($A60=AA$1,0,IF(SUM(IMshareM!AA$2:AA$78)-IMshareM!AA$27&gt;0,IMshareM!AA60/(SUM(IMshareM!AA$2:AA$78)-IMshareM!AA$27),0))</f>
        <v>3.0569739092724518E-2</v>
      </c>
      <c r="AB60" s="8">
        <f>IF($A60=AB$1,0,IF(SUM(IMshareM!AB$2:AB$78)-IMshareM!AB$28&gt;0,IMshareM!AB60/(SUM(IMshareM!AB$2:AB$78)-IMshareM!AB$28),0))</f>
        <v>2.1659921245564623E-2</v>
      </c>
      <c r="AC60" s="8">
        <f>IF($A60=AC$1,0,IF(SUM(IMshareM!AC$2:AC$78)-IMshareM!AC$29&gt;0,IMshareM!AC60/(SUM(IMshareM!AC$2:AC$78)-IMshareM!AC$29),0))</f>
        <v>4.5047411615870255E-3</v>
      </c>
      <c r="AD60" s="8">
        <f>IF($A60=AD$1,0,IF(SUM(IMshareM!AD$2:AD$78)-IMshareM!AD$30&gt;0,IMshareM!AD60/(SUM(IMshareM!AD$2:AD$78)-IMshareM!AD$30),0))</f>
        <v>5.23277370851588E-5</v>
      </c>
      <c r="AE60" s="8">
        <f>IF($A60=AE$1,0,IF(SUM(IMshareM!AE$2:AE$78)-IMshareM!AE$31&gt;0,IMshareM!AE60/(SUM(IMshareM!AE$2:AE$78)-IMshareM!AE$31),0))</f>
        <v>3.060753474652448E-2</v>
      </c>
      <c r="AF60" s="8">
        <f>IF($A60=AF$1,0,IF(SUM(IMshareM!AF$2:AF$78)-IMshareM!AF$32&gt;0,IMshareM!AF60/(SUM(IMshareM!AF$2:AF$78)-IMshareM!AF$32),0))</f>
        <v>0.10959314521552237</v>
      </c>
      <c r="AG60" s="8">
        <f>IF($A60=AG$1,0,IF(SUM(IMshareM!AG$2:AG$78)-IMshareM!AG$33&gt;0,IMshareM!AG60/(SUM(IMshareM!AG$2:AG$78)-IMshareM!AG$33),0))</f>
        <v>4.8530371358735519E-4</v>
      </c>
      <c r="AH60" s="8">
        <f>IF($A60=AH$1,0,IF(SUM(IMshareM!AH$2:AH$78)-IMshareM!AH$34&gt;0,IMshareM!AH60/(SUM(IMshareM!AH$2:AH$78)-IMshareM!AH$34),0))</f>
        <v>3.9154262574193183E-4</v>
      </c>
      <c r="AI60" s="8">
        <f>IF($A60=AI$1,0,IF(SUM(IMshareM!AI$2:AI$78)-IMshareM!AI$35&gt;0,IMshareM!AI60/(SUM(IMshareM!AI$2:AI$78)-IMshareM!AI$35),0))</f>
        <v>9.9282574306754755E-3</v>
      </c>
      <c r="AJ60" s="8">
        <f>IF($A60=AJ$1,0,IF(SUM(IMshareM!AJ$2:AJ$78)-IMshareM!AJ$36&gt;0,IMshareM!AJ60/(SUM(IMshareM!AJ$2:AJ$78)-IMshareM!AJ$36),0))</f>
        <v>1.3550079087350831E-2</v>
      </c>
      <c r="AK60" s="8">
        <f>IF($A60=AK$1,0,IF(SUM(IMshareM!AK$2:AK$78)-IMshareM!AK$37&gt;0,IMshareM!AK60/(SUM(IMshareM!AK$2:AK$78)-IMshareM!AK$37),0))</f>
        <v>8.6814349904952418E-4</v>
      </c>
      <c r="AL60" s="8">
        <f>IF($A60=AL$1,0,IF(SUM(IMshareM!AL$2:AL$78)-IMshareM!AL$38&gt;0,IMshareM!AL60/(SUM(IMshareM!AL$2:AL$78)-IMshareM!AL$38),0))</f>
        <v>2.7930186007837313E-2</v>
      </c>
      <c r="AM60" s="8">
        <f>IF($A60=AM$1,0,IF(SUM(IMshareM!AM$2:AM$78)-IMshareM!AM$39&gt;0,IMshareM!AM60/(SUM(IMshareM!AM$2:AM$78)-IMshareM!AM$39),0))</f>
        <v>1.260736084974586E-2</v>
      </c>
      <c r="AN60" s="8">
        <f>IF($A60=AN$1,0,IF(SUM(IMshareM!AN$2:AN$78)-IMshareM!AN$40&gt;0,IMshareM!AN60/(SUM(IMshareM!AN$2:AN$78)-IMshareM!AN$40),0))</f>
        <v>3.4786049518429783E-3</v>
      </c>
      <c r="AO60" s="8">
        <f>IF($A60=AO$1,0,IF(SUM(IMshareM!AO$2:AO$78)-IMshareM!AO$41&gt;0,IMshareM!AO60/(SUM(IMshareM!AO$2:AO$78)-IMshareM!AO$41),0))</f>
        <v>8.7245974691748471E-3</v>
      </c>
      <c r="AP60" s="8">
        <f>IF($A60=AP$1,0,IF(SUM(IMshareM!AP$2:AP$78)-IMshareM!AP$42&gt;0,IMshareM!AP60/(SUM(IMshareM!AP$2:AP$78)-IMshareM!AP$42),0))</f>
        <v>0</v>
      </c>
      <c r="AQ60" s="8">
        <f>IF($A60=AQ$1,0,IF(SUM(IMshareM!AQ$2:AQ$78)-IMshareM!AQ$43&gt;0,IMshareM!AQ60/(SUM(IMshareM!AQ$2:AQ$78)-IMshareM!AQ$43),0))</f>
        <v>5.5816006355536209E-3</v>
      </c>
      <c r="AR60" s="8">
        <f>IF($A60=AR$1,0,IF(SUM(IMshareM!AR$2:AR$78)-IMshareM!AR$44&gt;0,IMshareM!AR60/(SUM(IMshareM!AR$2:AR$78)-IMshareM!AR$44),0))</f>
        <v>0</v>
      </c>
      <c r="AS60" s="8">
        <f>IF($A60=AS$1,0,IF(SUM(IMshareM!AS$2:AS$78)-IMshareM!AS$45&gt;0,IMshareM!AS60/(SUM(IMshareM!AS$2:AS$78)-IMshareM!AS$45),0))</f>
        <v>8.0339741334804551E-2</v>
      </c>
      <c r="AT60" s="8">
        <f>IF($A60=AT$1,0,IF(SUM(IMshareM!AT$2:AT$78)-IMshareM!AT$46&gt;0,IMshareM!AT60/(SUM(IMshareM!AT$2:AT$78)-IMshareM!AT$46),0))</f>
        <v>2.2306389888389621E-4</v>
      </c>
      <c r="AU60" s="8">
        <f>IF($A60=AU$1,0,IF(SUM(IMshareM!AU$2:AU$78)-IMshareM!AU$47&gt;0,IMshareM!AU60/(SUM(IMshareM!AU$2:AU$78)-IMshareM!AU$47),0))</f>
        <v>0.1492909190910065</v>
      </c>
      <c r="AV60" s="8">
        <f>IF($A60=AV$1,0,IF(SUM(IMshareM!AV$2:AV$78)-IMshareM!AV$48&gt;0,IMshareM!AV60/(SUM(IMshareM!AV$2:AV$78)-IMshareM!AV$48),0))</f>
        <v>2.2589524599365189E-2</v>
      </c>
      <c r="AW60" s="8">
        <f>IF($A60=AW$1,0,IF(SUM(IMshareM!AW$2:AW$78)-IMshareM!AW$49&gt;0,IMshareM!AW60/(SUM(IMshareM!AW$2:AW$78)-IMshareM!AW$49),0))</f>
        <v>3.0203908392652562E-3</v>
      </c>
      <c r="AX60" s="8">
        <f>IF($A60=AX$1,0,IF(SUM(IMshareM!AX$2:AX$78)-IMshareM!AX$50&gt;0,IMshareM!AX60/(SUM(IMshareM!AX$2:AX$78)-IMshareM!AX$50),0))</f>
        <v>3.8167324699774726E-5</v>
      </c>
      <c r="AY60" s="8">
        <f>IF($A60=AY$1,0,IF(SUM(IMshareM!AY$2:AY$78)-IMshareM!AY$51&gt;0,IMshareM!AY60/(SUM(IMshareM!AY$2:AY$78)-IMshareM!AY$51),0))</f>
        <v>4.4533469120867466E-5</v>
      </c>
      <c r="AZ60" s="8">
        <f>IF($A60=AZ$1,0,IF(SUM(IMshareM!AZ$2:AZ$78)-IMshareM!AZ$52&gt;0,IMshareM!AZ60/(SUM(IMshareM!AZ$2:AZ$78)-IMshareM!AZ$52),0))</f>
        <v>7.8265243403518854E-4</v>
      </c>
      <c r="BA60" s="8">
        <f>IF($A60=BA$1,0,IF(SUM(IMshareM!BA$2:BA$78)-IMshareM!BA$53&gt;0,IMshareM!BA60/(SUM(IMshareM!BA$2:BA$78)-IMshareM!BA$53),0))</f>
        <v>1.818846857491428E-3</v>
      </c>
      <c r="BB60" s="8">
        <f>IF($A60=BB$1,0,IF(SUM(IMshareM!BB$2:BB$78)-IMshareM!BB$54&gt;0,IMshareM!BB60/(SUM(IMshareM!BB$2:BB$78)-IMshareM!BB$54),0))</f>
        <v>1.8862257422528804E-2</v>
      </c>
      <c r="BC60" s="8">
        <f>IF($A60=BC$1,0,IF(SUM(IMshareM!BC$2:BC$78)-IMshareM!BC$55&gt;0,IMshareM!BC60/(SUM(IMshareM!BC$2:BC$78)-IMshareM!BC$55),0))</f>
        <v>2.010503726226728E-2</v>
      </c>
      <c r="BD60" s="8">
        <f>IF($A60=BD$1,0,IF(SUM(IMshareM!BD$2:BD$78)-IMshareM!BD$56&gt;0,IMshareM!BD60/(SUM(IMshareM!BD$2:BD$78)-IMshareM!BD$56),0))</f>
        <v>3.275123994053514E-3</v>
      </c>
      <c r="BE60" s="8">
        <f>IF($A60=BE$1,0,IF(SUM(IMshareM!BE$2:BE$78)-IMshareM!BE$57&gt;0,IMshareM!BE60/(SUM(IMshareM!BE$2:BE$78)-IMshareM!BE$57),0))</f>
        <v>1.027394630740057E-3</v>
      </c>
      <c r="BF60" s="8">
        <f>IF($A60=BF$1,0,IF(SUM(IMshareM!BF$2:BF$78)-IMshareM!BF$58&gt;0,IMshareM!BF60/(SUM(IMshareM!BF$2:BF$78)-IMshareM!BF$58),0))</f>
        <v>2.7878805528943649E-2</v>
      </c>
      <c r="BG60" s="8">
        <f>IF($A60=BG$1,0,IF(SUM(IMshareM!BG$2:BG$78)-IMshareM!BG$59&gt;0,IMshareM!BG60/(SUM(IMshareM!BG$2:BG$78)-IMshareM!BG$59),0))</f>
        <v>1.4700887992353633E-3</v>
      </c>
      <c r="BH60" s="8">
        <f>IF($A60=BH$1,0,IF(SUM(IMshareM!BH$2:BH$78)-IMshareM!BH$60&gt;0,IMshareM!BH60/(SUM(IMshareM!BH$2:BH$78)-IMshareM!BH$60),0))</f>
        <v>0</v>
      </c>
      <c r="BI60" s="8">
        <f>IF($A60=BI$1,0,IF(SUM(IMshareM!BI$2:BI$78)-IMshareM!BI$61&gt;0,IMshareM!BI60/(SUM(IMshareM!BI$2:BI$78)-IMshareM!BI$61),0))</f>
        <v>7.7820594418092299E-3</v>
      </c>
      <c r="BJ60" s="8">
        <f>IF($A60=BJ$1,0,IF(SUM(IMshareM!BJ$2:BJ$78)-IMshareM!BJ$62&gt;0,IMshareM!BJ60/(SUM(IMshareM!BJ$2:BJ$78)-IMshareM!BJ$62),0))</f>
        <v>3.0811050543568069E-2</v>
      </c>
      <c r="BK60" s="8">
        <f>IF($A60=BK$1,0,IF(SUM(IMshareM!BK$2:BK$78)-IMshareM!BK$63&gt;0,IMshareM!BK60/(SUM(IMshareM!BK$2:BK$78)-IMshareM!BK$63),0))</f>
        <v>2.6146842087077952E-2</v>
      </c>
      <c r="BL60" s="8">
        <f>IF($A60=BL$1,0,IF(SUM(IMshareM!BL$2:BL$78)-IMshareM!BL$64&gt;0,IMshareM!BL60/(SUM(IMshareM!BL$2:BL$78)-IMshareM!BL$64),0))</f>
        <v>6.551497994780899E-4</v>
      </c>
      <c r="BM60" s="8">
        <f>IF($A60=BM$1,0,IF(SUM(IMshareM!BM$2:BM$78)-IMshareM!BM$65&gt;0,IMshareM!BM60/(SUM(IMshareM!BM$2:BM$78)-IMshareM!BM$65),0))</f>
        <v>1.6353638925418166E-3</v>
      </c>
      <c r="BN60" s="8">
        <f>IF($A60=BN$1,0,IF(SUM(IMshareM!BN$2:BN$78)-IMshareM!BN$66&gt;0,IMshareM!BN60/(SUM(IMshareM!BN$2:BN$78)-IMshareM!BN$66),0))</f>
        <v>2.80425738265768E-3</v>
      </c>
      <c r="BO60" s="8">
        <f>IF($A60=BO$1,0,IF(SUM(IMshareM!BO$2:BO$78)-IMshareM!BO$67&gt;0,IMshareM!BO60/(SUM(IMshareM!BO$2:BO$78)-IMshareM!BO$67),0))</f>
        <v>5.1668441865376717E-2</v>
      </c>
      <c r="BP60" s="8">
        <f>IF($A60=BP$1,0,IF(SUM(IMshareM!BP$2:BP$78)-IMshareM!BP$68&gt;0,IMshareM!BP60/(SUM(IMshareM!BP$2:BP$78)-IMshareM!BP$68),0))</f>
        <v>8.4734813371511366E-3</v>
      </c>
      <c r="BQ60" s="8">
        <f>IF($A60=BQ$1,0,IF(SUM(IMshareM!BQ$2:BQ$78)-IMshareM!BQ$69&gt;0,IMshareM!BQ60/(SUM(IMshareM!BQ$2:BQ$78)-IMshareM!BQ$69),0))</f>
        <v>1.0309679911060889E-2</v>
      </c>
      <c r="BR60" s="8">
        <f>IF($A60=BR$1,0,IF(SUM(IMshareM!BR$2:BR$78)-IMshareM!BR$70&gt;0,IMshareM!BR60/(SUM(IMshareM!BR$2:BR$78)-IMshareM!BR$70),0))</f>
        <v>1.3105252909674948E-3</v>
      </c>
      <c r="BS60" s="8">
        <f>IF($A60=BS$1,0,IF(SUM(IMshareM!BS$2:BS$78)-IMshareM!BS$71&gt;0,IMshareM!BS60/(SUM(IMshareM!BS$2:BS$78)-IMshareM!BS$71),0))</f>
        <v>1.8615498060952314E-2</v>
      </c>
      <c r="BT60" s="8">
        <f>IF($A60=BT$1,0,IF(SUM(IMshareM!BT$2:BT$78)-IMshareM!BT$72&gt;0,IMshareM!BT60/(SUM(IMshareM!BT$2:BT$78)-IMshareM!BT$72),0))</f>
        <v>2.3262494381087791E-2</v>
      </c>
      <c r="BU60" s="8">
        <f>IF($A60=BU$1,0,IF(SUM(IMshareM!BU$2:BU$78)-IMshareM!BU$73&gt;0,IMshareM!BU60/(SUM(IMshareM!BU$2:BU$78)-IMshareM!BU$73),0))</f>
        <v>1.7483357511581846E-3</v>
      </c>
      <c r="BV60" s="8">
        <f>IF($A60=BV$1,0,IF(SUM(IMshareM!BV$2:BV$78)-IMshareM!BV$74&gt;0,IMshareM!BV60/(SUM(IMshareM!BV$2:BV$78)-IMshareM!BV$74),0))</f>
        <v>3.7485055675199497E-2</v>
      </c>
      <c r="BW60" s="8">
        <f>IF($A60=BW$1,0,IF(SUM(IMshareM!BW$2:BW$78)-IMshareM!BW$75&gt;0,IMshareM!BW60/(SUM(IMshareM!BW$2:BW$78)-IMshareM!BW$75),0))</f>
        <v>4.8922550380664023E-3</v>
      </c>
      <c r="BX60" s="8">
        <f>IF($A60=BX$1,0,IF(SUM(IMshareM!BX$2:BX$78)-IMshareM!BX$76&gt;0,IMshareM!BX60/(SUM(IMshareM!BX$2:BX$78)-IMshareM!BX$76),0))</f>
        <v>4.0972359286440881E-3</v>
      </c>
      <c r="BY60" s="8">
        <f>IF($A60=BY$1,0,IF(SUM(IMshareM!BY$2:BY$78)-IMshareM!BY$77&gt;0,IMshareM!BY60/(SUM(IMshareM!BY$2:BY$78)-IMshareM!BY$77),0))</f>
        <v>4.8583085698207769E-3</v>
      </c>
      <c r="BZ60" s="8">
        <f>IF($A60=BZ$1,0,IF(SUM(IMshareM!BZ$2:BZ$78)-IMshareM!BZ$78&gt;0,IMshareM!BZ60/(SUM(IMshareM!BZ$2:BZ$78)-IMshareM!BZ$78),0))</f>
        <v>5.6175865874443665E-3</v>
      </c>
    </row>
    <row r="61" spans="1:78">
      <c r="A61" s="4" t="s">
        <v>189</v>
      </c>
      <c r="B61" s="8">
        <f>IF($A61=B$1,0,IF(SUM(IMshareM!B$2:B$78)-IMshareM!B$2&gt;0,IMshareM!B61/(SUM(IMshareM!B$2:B$78)-IMshareM!B$2),0))</f>
        <v>1.2185332218761309E-3</v>
      </c>
      <c r="C61" s="8">
        <f>IF($A61=C$1,0,IF(SUM(IMshareM!C$2:C$78)-IMshareM!C$3&gt;0,IMshareM!C61/(SUM(IMshareM!C$2:C$78)-IMshareM!C$3),0))</f>
        <v>3.4870812270995611E-4</v>
      </c>
      <c r="D61" s="8">
        <f>IF($A61=D$1,0,IF(SUM(IMshareM!D$2:D$78)-IMshareM!D$4&gt;0,IMshareM!D61/(SUM(IMshareM!D$2:D$78)-IMshareM!D$4),0))</f>
        <v>1.0135752358474534E-3</v>
      </c>
      <c r="E61" s="8">
        <f>IF($A61=E$1,0,IF(SUM(IMshareM!E$2:E$78)-IMshareM!E$5&gt;0,IMshareM!E61/(SUM(IMshareM!E$2:E$78)-IMshareM!E$5),0))</f>
        <v>6.8037891400397482E-3</v>
      </c>
      <c r="F61" s="8">
        <f>IF($A61=F$1,0,IF(SUM(IMshareM!F$2:F$78)-IMshareM!F$6&gt;0,IMshareM!F61/(SUM(IMshareM!F$2:F$78)-IMshareM!F$6),0))</f>
        <v>3.1918040414045064E-5</v>
      </c>
      <c r="G61" s="8">
        <f>IF($A61=G$1,0,IF(SUM(IMshareM!G$2:G$78)-IMshareM!G$7&gt;0,IMshareM!G61/(SUM(IMshareM!G$2:G$78)-IMshareM!G$7),0))</f>
        <v>6.0291037481042675E-7</v>
      </c>
      <c r="H61" s="8">
        <f>IF($A61=H$1,0,IF(SUM(IMshareM!H$2:H$78)-IMshareM!H$8&gt;0,IMshareM!H61/(SUM(IMshareM!H$2:H$78)-IMshareM!H$8),0))</f>
        <v>0</v>
      </c>
      <c r="I61" s="8">
        <f>IF($A61=I$1,0,IF(SUM(IMshareM!I$2:I$78)-IMshareM!I$9&gt;0,IMshareM!I61/(SUM(IMshareM!I$2:I$78)-IMshareM!I$9),0))</f>
        <v>3.2219975082457631E-3</v>
      </c>
      <c r="J61" s="8">
        <f>IF($A61=J$1,0,IF(SUM(IMshareM!J$2:J$78)-IMshareM!J$10&gt;0,IMshareM!J61/(SUM(IMshareM!J$2:J$78)-IMshareM!J$10),0))</f>
        <v>0</v>
      </c>
      <c r="K61" s="8">
        <f>IF($A61=K$1,0,IF(SUM(IMshareM!K$2:K$78)-IMshareM!K$11&gt;0,IMshareM!K61/(SUM(IMshareM!K$2:K$78)-IMshareM!K$11),0))</f>
        <v>3.1829432795376278E-4</v>
      </c>
      <c r="L61" s="8">
        <f>IF($A61=L$1,0,IF(SUM(IMshareM!L$2:L$78)-IMshareM!L$12&gt;0,IMshareM!L61/(SUM(IMshareM!L$2:L$78)-IMshareM!L$12),0))</f>
        <v>6.2426305104974758E-3</v>
      </c>
      <c r="M61" s="8">
        <f>IF($A61=M$1,0,IF(SUM(IMshareM!M$2:M$78)-IMshareM!M$13&gt;0,IMshareM!M61/(SUM(IMshareM!M$2:M$78)-IMshareM!M$13),0))</f>
        <v>5.8306252957968725E-4</v>
      </c>
      <c r="N61" s="8">
        <f>IF($A61=N$1,0,IF(SUM(IMshareM!N$2:N$78)-IMshareM!N$14&gt;0,IMshareM!N61/(SUM(IMshareM!N$2:N$78)-IMshareM!N$14),0))</f>
        <v>5.5403925520161081E-4</v>
      </c>
      <c r="O61" s="8">
        <f>IF($A61=O$1,0,IF(SUM(IMshareM!O$2:O$78)-IMshareM!O$15&gt;0,IMshareM!O61/(SUM(IMshareM!O$2:O$78)-IMshareM!O$15),0))</f>
        <v>8.664261458297488E-3</v>
      </c>
      <c r="P61" s="8">
        <f>IF($A61=P$1,0,IF(SUM(IMshareM!P$2:P$78)-IMshareM!P$16&gt;0,IMshareM!P61/(SUM(IMshareM!P$2:P$78)-IMshareM!P$16),0))</f>
        <v>7.7556052996389689E-4</v>
      </c>
      <c r="Q61" s="8">
        <f>IF($A61=Q$1,0,IF(SUM(IMshareM!Q$2:Q$78)-IMshareM!Q$17&gt;0,IMshareM!Q61/(SUM(IMshareM!Q$2:Q$78)-IMshareM!Q$17),0))</f>
        <v>7.6945623999038641E-5</v>
      </c>
      <c r="R61" s="8">
        <f>IF($A61=R$1,0,IF(SUM(IMshareM!R$2:R$78)-IMshareM!R$18&gt;0,IMshareM!R61/(SUM(IMshareM!R$2:R$78)-IMshareM!R$18),0))</f>
        <v>7.9061203384098687E-4</v>
      </c>
      <c r="S61" s="8">
        <f>IF($A61=S$1,0,IF(SUM(IMshareM!S$2:S$78)-IMshareM!S$19&gt;0,IMshareM!S61/(SUM(IMshareM!S$2:S$78)-IMshareM!S$19),0))</f>
        <v>7.5470069146651962E-3</v>
      </c>
      <c r="T61" s="8">
        <f>IF($A61=T$1,0,IF(SUM(IMshareM!T$2:T$78)-IMshareM!T$20&gt;0,IMshareM!T61/(SUM(IMshareM!T$2:T$78)-IMshareM!T$20),0))</f>
        <v>8.9433895075217474E-4</v>
      </c>
      <c r="U61" s="8">
        <f>IF($A61=U$1,0,IF(SUM(IMshareM!U$2:U$78)-IMshareM!U$21&gt;0,IMshareM!U61/(SUM(IMshareM!U$2:U$78)-IMshareM!U$21),0))</f>
        <v>2.95696073238368E-3</v>
      </c>
      <c r="V61" s="8">
        <f>IF($A61=V$1,0,IF(SUM(IMshareM!V$2:V$78)-IMshareM!V$22&gt;0,IMshareM!V61/(SUM(IMshareM!V$2:V$78)-IMshareM!V$22),0))</f>
        <v>7.0364597310904872E-5</v>
      </c>
      <c r="W61" s="8">
        <f>IF($A61=W$1,0,IF(SUM(IMshareM!W$2:W$78)-IMshareM!W$23&gt;0,IMshareM!W61/(SUM(IMshareM!W$2:W$78)-IMshareM!W$23),0))</f>
        <v>7.6653578102811755E-4</v>
      </c>
      <c r="X61" s="8">
        <f>IF($A61=X$1,0,IF(SUM(IMshareM!X$2:X$78)-IMshareM!X$24&gt;0,IMshareM!X61/(SUM(IMshareM!X$2:X$78)-IMshareM!X$24),0))</f>
        <v>1.6092381221533374E-2</v>
      </c>
      <c r="Y61" s="8">
        <f>IF($A61=Y$1,0,IF(SUM(IMshareM!Y$2:Y$78)-IMshareM!Y$25&gt;0,IMshareM!Y61/(SUM(IMshareM!Y$2:Y$78)-IMshareM!Y$25),0))</f>
        <v>2.0411623188457804E-4</v>
      </c>
      <c r="Z61" s="8">
        <f>IF($A61=Z$1,0,IF(SUM(IMshareM!Z$2:Z$78)-IMshareM!Z$26&gt;0,IMshareM!Z61/(SUM(IMshareM!Z$2:Z$78)-IMshareM!Z$26),0))</f>
        <v>1.3924406648274379E-3</v>
      </c>
      <c r="AA61" s="8">
        <f>IF($A61=AA$1,0,IF(SUM(IMshareM!AA$2:AA$78)-IMshareM!AA$27&gt;0,IMshareM!AA61/(SUM(IMshareM!AA$2:AA$78)-IMshareM!AA$27),0))</f>
        <v>7.8014069535766797E-3</v>
      </c>
      <c r="AB61" s="8">
        <f>IF($A61=AB$1,0,IF(SUM(IMshareM!AB$2:AB$78)-IMshareM!AB$28&gt;0,IMshareM!AB61/(SUM(IMshareM!AB$2:AB$78)-IMshareM!AB$28),0))</f>
        <v>3.3198390170507035E-3</v>
      </c>
      <c r="AC61" s="8">
        <f>IF($A61=AC$1,0,IF(SUM(IMshareM!AC$2:AC$78)-IMshareM!AC$29&gt;0,IMshareM!AC61/(SUM(IMshareM!AC$2:AC$78)-IMshareM!AC$29),0))</f>
        <v>8.171627642247388E-2</v>
      </c>
      <c r="AD61" s="8">
        <f>IF($A61=AD$1,0,IF(SUM(IMshareM!AD$2:AD$78)-IMshareM!AD$30&gt;0,IMshareM!AD61/(SUM(IMshareM!AD$2:AD$78)-IMshareM!AD$30),0))</f>
        <v>2.4732520045589722E-4</v>
      </c>
      <c r="AE61" s="8">
        <f>IF($A61=AE$1,0,IF(SUM(IMshareM!AE$2:AE$78)-IMshareM!AE$31&gt;0,IMshareM!AE61/(SUM(IMshareM!AE$2:AE$78)-IMshareM!AE$31),0))</f>
        <v>1.1161933407801511E-4</v>
      </c>
      <c r="AF61" s="8">
        <f>IF($A61=AF$1,0,IF(SUM(IMshareM!AF$2:AF$78)-IMshareM!AF$32&gt;0,IMshareM!AF61/(SUM(IMshareM!AF$2:AF$78)-IMshareM!AF$32),0))</f>
        <v>6.3571269386971394E-5</v>
      </c>
      <c r="AG61" s="8">
        <f>IF($A61=AG$1,0,IF(SUM(IMshareM!AG$2:AG$78)-IMshareM!AG$33&gt;0,IMshareM!AG61/(SUM(IMshareM!AG$2:AG$78)-IMshareM!AG$33),0))</f>
        <v>1.1700926194704233E-3</v>
      </c>
      <c r="AH61" s="8">
        <f>IF($A61=AH$1,0,IF(SUM(IMshareM!AH$2:AH$78)-IMshareM!AH$34&gt;0,IMshareM!AH61/(SUM(IMshareM!AH$2:AH$78)-IMshareM!AH$34),0))</f>
        <v>1.5262544431075193E-3</v>
      </c>
      <c r="AI61" s="8">
        <f>IF($A61=AI$1,0,IF(SUM(IMshareM!AI$2:AI$78)-IMshareM!AI$35&gt;0,IMshareM!AI61/(SUM(IMshareM!AI$2:AI$78)-IMshareM!AI$35),0))</f>
        <v>3.9580652460993847E-5</v>
      </c>
      <c r="AJ61" s="8">
        <f>IF($A61=AJ$1,0,IF(SUM(IMshareM!AJ$2:AJ$78)-IMshareM!AJ$36&gt;0,IMshareM!AJ61/(SUM(IMshareM!AJ$2:AJ$78)-IMshareM!AJ$36),0))</f>
        <v>1.490667239324634E-4</v>
      </c>
      <c r="AK61" s="8">
        <f>IF($A61=AK$1,0,IF(SUM(IMshareM!AK$2:AK$78)-IMshareM!AK$37&gt;0,IMshareM!AK61/(SUM(IMshareM!AK$2:AK$78)-IMshareM!AK$37),0))</f>
        <v>9.2714354267424914E-4</v>
      </c>
      <c r="AL61" s="8">
        <f>IF($A61=AL$1,0,IF(SUM(IMshareM!AL$2:AL$78)-IMshareM!AL$38&gt;0,IMshareM!AL61/(SUM(IMshareM!AL$2:AL$78)-IMshareM!AL$38),0))</f>
        <v>3.5664224970090603E-3</v>
      </c>
      <c r="AM61" s="8">
        <f>IF($A61=AM$1,0,IF(SUM(IMshareM!AM$2:AM$78)-IMshareM!AM$39&gt;0,IMshareM!AM61/(SUM(IMshareM!AM$2:AM$78)-IMshareM!AM$39),0))</f>
        <v>4.5076680580373477E-5</v>
      </c>
      <c r="AN61" s="8">
        <f>IF($A61=AN$1,0,IF(SUM(IMshareM!AN$2:AN$78)-IMshareM!AN$40&gt;0,IMshareM!AN61/(SUM(IMshareM!AN$2:AN$78)-IMshareM!AN$40),0))</f>
        <v>5.7960065917948353E-5</v>
      </c>
      <c r="AO61" s="8">
        <f>IF($A61=AO$1,0,IF(SUM(IMshareM!AO$2:AO$78)-IMshareM!AO$41&gt;0,IMshareM!AO61/(SUM(IMshareM!AO$2:AO$78)-IMshareM!AO$41),0))</f>
        <v>6.232836864564468E-3</v>
      </c>
      <c r="AP61" s="8">
        <f>IF($A61=AP$1,0,IF(SUM(IMshareM!AP$2:AP$78)-IMshareM!AP$42&gt;0,IMshareM!AP61/(SUM(IMshareM!AP$2:AP$78)-IMshareM!AP$42),0))</f>
        <v>0</v>
      </c>
      <c r="AQ61" s="8">
        <f>IF($A61=AQ$1,0,IF(SUM(IMshareM!AQ$2:AQ$78)-IMshareM!AQ$43&gt;0,IMshareM!AQ61/(SUM(IMshareM!AQ$2:AQ$78)-IMshareM!AQ$43),0))</f>
        <v>1.74705007610753E-4</v>
      </c>
      <c r="AR61" s="8">
        <f>IF($A61=AR$1,0,IF(SUM(IMshareM!AR$2:AR$78)-IMshareM!AR$44&gt;0,IMshareM!AR61/(SUM(IMshareM!AR$2:AR$78)-IMshareM!AR$44),0))</f>
        <v>0</v>
      </c>
      <c r="AS61" s="8">
        <f>IF($A61=AS$1,0,IF(SUM(IMshareM!AS$2:AS$78)-IMshareM!AS$45&gt;0,IMshareM!AS61/(SUM(IMshareM!AS$2:AS$78)-IMshareM!AS$45),0))</f>
        <v>2.0040619925370835E-4</v>
      </c>
      <c r="AT61" s="8">
        <f>IF($A61=AT$1,0,IF(SUM(IMshareM!AT$2:AT$78)-IMshareM!AT$46&gt;0,IMshareM!AT61/(SUM(IMshareM!AT$2:AT$78)-IMshareM!AT$46),0))</f>
        <v>1.431190271177601E-5</v>
      </c>
      <c r="AU61" s="8">
        <f>IF($A61=AU$1,0,IF(SUM(IMshareM!AU$2:AU$78)-IMshareM!AU$47&gt;0,IMshareM!AU61/(SUM(IMshareM!AU$2:AU$78)-IMshareM!AU$47),0))</f>
        <v>4.6941973187438923E-5</v>
      </c>
      <c r="AV61" s="8">
        <f>IF($A61=AV$1,0,IF(SUM(IMshareM!AV$2:AV$78)-IMshareM!AV$48&gt;0,IMshareM!AV61/(SUM(IMshareM!AV$2:AV$78)-IMshareM!AV$48),0))</f>
        <v>2.4686826747791256E-3</v>
      </c>
      <c r="AW61" s="8">
        <f>IF($A61=AW$1,0,IF(SUM(IMshareM!AW$2:AW$78)-IMshareM!AW$49&gt;0,IMshareM!AW61/(SUM(IMshareM!AW$2:AW$78)-IMshareM!AW$49),0))</f>
        <v>1.9374099331063245E-4</v>
      </c>
      <c r="AX61" s="8">
        <f>IF($A61=AX$1,0,IF(SUM(IMshareM!AX$2:AX$78)-IMshareM!AX$50&gt;0,IMshareM!AX61/(SUM(IMshareM!AX$2:AX$78)-IMshareM!AX$50),0))</f>
        <v>1.2735991425391337E-5</v>
      </c>
      <c r="AY61" s="8">
        <f>IF($A61=AY$1,0,IF(SUM(IMshareM!AY$2:AY$78)-IMshareM!AY$51&gt;0,IMshareM!AY61/(SUM(IMshareM!AY$2:AY$78)-IMshareM!AY$51),0))</f>
        <v>0</v>
      </c>
      <c r="AZ61" s="8">
        <f>IF($A61=AZ$1,0,IF(SUM(IMshareM!AZ$2:AZ$78)-IMshareM!AZ$52&gt;0,IMshareM!AZ61/(SUM(IMshareM!AZ$2:AZ$78)-IMshareM!AZ$52),0))</f>
        <v>1.6972993117739886E-4</v>
      </c>
      <c r="BA61" s="8">
        <f>IF($A61=BA$1,0,IF(SUM(IMshareM!BA$2:BA$78)-IMshareM!BA$53&gt;0,IMshareM!BA61/(SUM(IMshareM!BA$2:BA$78)-IMshareM!BA$53),0))</f>
        <v>2.556625455978626E-5</v>
      </c>
      <c r="BB61" s="8">
        <f>IF($A61=BB$1,0,IF(SUM(IMshareM!BB$2:BB$78)-IMshareM!BB$54&gt;0,IMshareM!BB61/(SUM(IMshareM!BB$2:BB$78)-IMshareM!BB$54),0))</f>
        <v>7.5944517087647657E-4</v>
      </c>
      <c r="BC61" s="8">
        <f>IF($A61=BC$1,0,IF(SUM(IMshareM!BC$2:BC$78)-IMshareM!BC$55&gt;0,IMshareM!BC61/(SUM(IMshareM!BC$2:BC$78)-IMshareM!BC$55),0))</f>
        <v>5.6167577511692538E-4</v>
      </c>
      <c r="BD61" s="8">
        <f>IF($A61=BD$1,0,IF(SUM(IMshareM!BD$2:BD$78)-IMshareM!BD$56&gt;0,IMshareM!BD61/(SUM(IMshareM!BD$2:BD$78)-IMshareM!BD$56),0))</f>
        <v>7.3443009839338703E-5</v>
      </c>
      <c r="BE61" s="8">
        <f>IF($A61=BE$1,0,IF(SUM(IMshareM!BE$2:BE$78)-IMshareM!BE$57&gt;0,IMshareM!BE61/(SUM(IMshareM!BE$2:BE$78)-IMshareM!BE$57),0))</f>
        <v>7.110683063061698E-4</v>
      </c>
      <c r="BF61" s="8">
        <f>IF($A61=BF$1,0,IF(SUM(IMshareM!BF$2:BF$78)-IMshareM!BF$58&gt;0,IMshareM!BF61/(SUM(IMshareM!BF$2:BF$78)-IMshareM!BF$58),0))</f>
        <v>1.007283200147951E-4</v>
      </c>
      <c r="BG61" s="8">
        <f>IF($A61=BG$1,0,IF(SUM(IMshareM!BG$2:BG$78)-IMshareM!BG$59&gt;0,IMshareM!BG61/(SUM(IMshareM!BG$2:BG$78)-IMshareM!BG$59),0))</f>
        <v>3.6910944639913395E-5</v>
      </c>
      <c r="BH61" s="8">
        <f>IF($A61=BH$1,0,IF(SUM(IMshareM!BH$2:BH$78)-IMshareM!BH$60&gt;0,IMshareM!BH61/(SUM(IMshareM!BH$2:BH$78)-IMshareM!BH$60),0))</f>
        <v>4.6994197587582961E-4</v>
      </c>
      <c r="BI61" s="8">
        <f>IF($A61=BI$1,0,IF(SUM(IMshareM!BI$2:BI$78)-IMshareM!BI$61&gt;0,IMshareM!BI61/(SUM(IMshareM!BI$2:BI$78)-IMshareM!BI$61),0))</f>
        <v>0</v>
      </c>
      <c r="BJ61" s="8">
        <f>IF($A61=BJ$1,0,IF(SUM(IMshareM!BJ$2:BJ$78)-IMshareM!BJ$62&gt;0,IMshareM!BJ61/(SUM(IMshareM!BJ$2:BJ$78)-IMshareM!BJ$62),0))</f>
        <v>8.1122840202418585E-4</v>
      </c>
      <c r="BK61" s="8">
        <f>IF($A61=BK$1,0,IF(SUM(IMshareM!BK$2:BK$78)-IMshareM!BK$63&gt;0,IMshareM!BK61/(SUM(IMshareM!BK$2:BK$78)-IMshareM!BK$63),0))</f>
        <v>2.1237135448244743E-4</v>
      </c>
      <c r="BL61" s="8">
        <f>IF($A61=BL$1,0,IF(SUM(IMshareM!BL$2:BL$78)-IMshareM!BL$64&gt;0,IMshareM!BL61/(SUM(IMshareM!BL$2:BL$78)-IMshareM!BL$64),0))</f>
        <v>2.0163953447416979E-5</v>
      </c>
      <c r="BM61" s="8">
        <f>IF($A61=BM$1,0,IF(SUM(IMshareM!BM$2:BM$78)-IMshareM!BM$65&gt;0,IMshareM!BM61/(SUM(IMshareM!BM$2:BM$78)-IMshareM!BM$65),0))</f>
        <v>4.908693244241605E-4</v>
      </c>
      <c r="BN61" s="8">
        <f>IF($A61=BN$1,0,IF(SUM(IMshareM!BN$2:BN$78)-IMshareM!BN$66&gt;0,IMshareM!BN61/(SUM(IMshareM!BN$2:BN$78)-IMshareM!BN$66),0))</f>
        <v>9.7803837707623642E-4</v>
      </c>
      <c r="BO61" s="8">
        <f>IF($A61=BO$1,0,IF(SUM(IMshareM!BO$2:BO$78)-IMshareM!BO$67&gt;0,IMshareM!BO61/(SUM(IMshareM!BO$2:BO$78)-IMshareM!BO$67),0))</f>
        <v>1.5893156704927243E-4</v>
      </c>
      <c r="BP61" s="8">
        <f>IF($A61=BP$1,0,IF(SUM(IMshareM!BP$2:BP$78)-IMshareM!BP$68&gt;0,IMshareM!BP61/(SUM(IMshareM!BP$2:BP$78)-IMshareM!BP$68),0))</f>
        <v>1.1243179714576683E-3</v>
      </c>
      <c r="BQ61" s="8">
        <f>IF($A61=BQ$1,0,IF(SUM(IMshareM!BQ$2:BQ$78)-IMshareM!BQ$69&gt;0,IMshareM!BQ61/(SUM(IMshareM!BQ$2:BQ$78)-IMshareM!BQ$69),0))</f>
        <v>7.5783370793527614E-3</v>
      </c>
      <c r="BR61" s="8">
        <f>IF($A61=BR$1,0,IF(SUM(IMshareM!BR$2:BR$78)-IMshareM!BR$70&gt;0,IMshareM!BR61/(SUM(IMshareM!BR$2:BR$78)-IMshareM!BR$70),0))</f>
        <v>4.2856427712018329E-4</v>
      </c>
      <c r="BS61" s="8">
        <f>IF($A61=BS$1,0,IF(SUM(IMshareM!BS$2:BS$78)-IMshareM!BS$71&gt;0,IMshareM!BS61/(SUM(IMshareM!BS$2:BS$78)-IMshareM!BS$71),0))</f>
        <v>1.5364587631124723E-2</v>
      </c>
      <c r="BT61" s="8">
        <f>IF($A61=BT$1,0,IF(SUM(IMshareM!BT$2:BT$78)-IMshareM!BT$72&gt;0,IMshareM!BT61/(SUM(IMshareM!BT$2:BT$78)-IMshareM!BT$72),0))</f>
        <v>1.06392087269612E-4</v>
      </c>
      <c r="BU61" s="8">
        <f>IF($A61=BU$1,0,IF(SUM(IMshareM!BU$2:BU$78)-IMshareM!BU$73&gt;0,IMshareM!BU61/(SUM(IMshareM!BU$2:BU$78)-IMshareM!BU$73),0))</f>
        <v>6.6883389411235506E-5</v>
      </c>
      <c r="BV61" s="8">
        <f>IF($A61=BV$1,0,IF(SUM(IMshareM!BV$2:BV$78)-IMshareM!BV$74&gt;0,IMshareM!BV61/(SUM(IMshareM!BV$2:BV$78)-IMshareM!BV$74),0))</f>
        <v>1.8309130436627321E-4</v>
      </c>
      <c r="BW61" s="8">
        <f>IF($A61=BW$1,0,IF(SUM(IMshareM!BW$2:BW$78)-IMshareM!BW$75&gt;0,IMshareM!BW61/(SUM(IMshareM!BW$2:BW$78)-IMshareM!BW$75),0))</f>
        <v>2.7802960402299162E-4</v>
      </c>
      <c r="BX61" s="8">
        <f>IF($A61=BX$1,0,IF(SUM(IMshareM!BX$2:BX$78)-IMshareM!BX$76&gt;0,IMshareM!BX61/(SUM(IMshareM!BX$2:BX$78)-IMshareM!BX$76),0))</f>
        <v>7.5547003889426907E-5</v>
      </c>
      <c r="BY61" s="8">
        <f>IF($A61=BY$1,0,IF(SUM(IMshareM!BY$2:BY$78)-IMshareM!BY$77&gt;0,IMshareM!BY61/(SUM(IMshareM!BY$2:BY$78)-IMshareM!BY$77),0))</f>
        <v>3.7408909483943119E-2</v>
      </c>
      <c r="BZ61" s="8">
        <f>IF($A61=BZ$1,0,IF(SUM(IMshareM!BZ$2:BZ$78)-IMshareM!BZ$78&gt;0,IMshareM!BZ61/(SUM(IMshareM!BZ$2:BZ$78)-IMshareM!BZ$78),0))</f>
        <v>5.4217201753065632E-3</v>
      </c>
    </row>
    <row r="62" spans="1:78">
      <c r="A62" s="4" t="s">
        <v>191</v>
      </c>
      <c r="B62" s="8">
        <f>IF($A62=B$1,0,IF(SUM(IMshareM!B$2:B$78)-IMshareM!B$2&gt;0,IMshareM!B62/(SUM(IMshareM!B$2:B$78)-IMshareM!B$2),0))</f>
        <v>3.5225913427107912E-4</v>
      </c>
      <c r="C62" s="8">
        <f>IF($A62=C$1,0,IF(SUM(IMshareM!C$2:C$78)-IMshareM!C$3&gt;0,IMshareM!C62/(SUM(IMshareM!C$2:C$78)-IMshareM!C$3),0))</f>
        <v>2.304365888767026E-4</v>
      </c>
      <c r="D62" s="8">
        <f>IF($A62=D$1,0,IF(SUM(IMshareM!D$2:D$78)-IMshareM!D$4&gt;0,IMshareM!D62/(SUM(IMshareM!D$2:D$78)-IMshareM!D$4),0))</f>
        <v>2.6223832960876593E-2</v>
      </c>
      <c r="E62" s="8">
        <f>IF($A62=E$1,0,IF(SUM(IMshareM!E$2:E$78)-IMshareM!E$5&gt;0,IMshareM!E62/(SUM(IMshareM!E$2:E$78)-IMshareM!E$5),0))</f>
        <v>1.4157394659168683E-3</v>
      </c>
      <c r="F62" s="8">
        <f>IF($A62=F$1,0,IF(SUM(IMshareM!F$2:F$78)-IMshareM!F$6&gt;0,IMshareM!F62/(SUM(IMshareM!F$2:F$78)-IMshareM!F$6),0))</f>
        <v>4.969512425474015E-6</v>
      </c>
      <c r="G62" s="8">
        <f>IF($A62=G$1,0,IF(SUM(IMshareM!G$2:G$78)-IMshareM!G$7&gt;0,IMshareM!G62/(SUM(IMshareM!G$2:G$78)-IMshareM!G$7),0))</f>
        <v>2.8383275967827455E-3</v>
      </c>
      <c r="H62" s="8">
        <f>IF($A62=H$1,0,IF(SUM(IMshareM!H$2:H$78)-IMshareM!H$8&gt;0,IMshareM!H62/(SUM(IMshareM!H$2:H$78)-IMshareM!H$8),0))</f>
        <v>0</v>
      </c>
      <c r="I62" s="8">
        <f>IF($A62=I$1,0,IF(SUM(IMshareM!I$2:I$78)-IMshareM!I$9&gt;0,IMshareM!I62/(SUM(IMshareM!I$2:I$78)-IMshareM!I$9),0))</f>
        <v>4.732687890582475E-4</v>
      </c>
      <c r="J62" s="8">
        <f>IF($A62=J$1,0,IF(SUM(IMshareM!J$2:J$78)-IMshareM!J$10&gt;0,IMshareM!J62/(SUM(IMshareM!J$2:J$78)-IMshareM!J$10),0))</f>
        <v>2.4581400840253131E-5</v>
      </c>
      <c r="K62" s="8">
        <f>IF($A62=K$1,0,IF(SUM(IMshareM!K$2:K$78)-IMshareM!K$11&gt;0,IMshareM!K62/(SUM(IMshareM!K$2:K$78)-IMshareM!K$11),0))</f>
        <v>3.7829334095809301E-4</v>
      </c>
      <c r="L62" s="8">
        <f>IF($A62=L$1,0,IF(SUM(IMshareM!L$2:L$78)-IMshareM!L$12&gt;0,IMshareM!L62/(SUM(IMshareM!L$2:L$78)-IMshareM!L$12),0))</f>
        <v>2.6156206114437692E-3</v>
      </c>
      <c r="M62" s="8">
        <f>IF($A62=M$1,0,IF(SUM(IMshareM!M$2:M$78)-IMshareM!M$13&gt;0,IMshareM!M62/(SUM(IMshareM!M$2:M$78)-IMshareM!M$13),0))</f>
        <v>3.5723469451891883E-4</v>
      </c>
      <c r="N62" s="8">
        <f>IF($A62=N$1,0,IF(SUM(IMshareM!N$2:N$78)-IMshareM!N$14&gt;0,IMshareM!N62/(SUM(IMshareM!N$2:N$78)-IMshareM!N$14),0))</f>
        <v>3.8577101096150179E-3</v>
      </c>
      <c r="O62" s="8">
        <f>IF($A62=O$1,0,IF(SUM(IMshareM!O$2:O$78)-IMshareM!O$15&gt;0,IMshareM!O62/(SUM(IMshareM!O$2:O$78)-IMshareM!O$15),0))</f>
        <v>3.9596021152263681E-4</v>
      </c>
      <c r="P62" s="8">
        <f>IF($A62=P$1,0,IF(SUM(IMshareM!P$2:P$78)-IMshareM!P$16&gt;0,IMshareM!P62/(SUM(IMshareM!P$2:P$78)-IMshareM!P$16),0))</f>
        <v>3.3424142583755581E-3</v>
      </c>
      <c r="Q62" s="8">
        <f>IF($A62=Q$1,0,IF(SUM(IMshareM!Q$2:Q$78)-IMshareM!Q$17&gt;0,IMshareM!Q62/(SUM(IMshareM!Q$2:Q$78)-IMshareM!Q$17),0))</f>
        <v>2.3675144194684511E-3</v>
      </c>
      <c r="R62" s="8">
        <f>IF($A62=R$1,0,IF(SUM(IMshareM!R$2:R$78)-IMshareM!R$18&gt;0,IMshareM!R62/(SUM(IMshareM!R$2:R$78)-IMshareM!R$18),0))</f>
        <v>8.9485349057098426E-5</v>
      </c>
      <c r="S62" s="8">
        <f>IF($A62=S$1,0,IF(SUM(IMshareM!S$2:S$78)-IMshareM!S$19&gt;0,IMshareM!S62/(SUM(IMshareM!S$2:S$78)-IMshareM!S$19),0))</f>
        <v>1.4090922252804128E-3</v>
      </c>
      <c r="T62" s="8">
        <f>IF($A62=T$1,0,IF(SUM(IMshareM!T$2:T$78)-IMshareM!T$20&gt;0,IMshareM!T62/(SUM(IMshareM!T$2:T$78)-IMshareM!T$20),0))</f>
        <v>1.0022394978402762E-2</v>
      </c>
      <c r="U62" s="8">
        <f>IF($A62=U$1,0,IF(SUM(IMshareM!U$2:U$78)-IMshareM!U$21&gt;0,IMshareM!U62/(SUM(IMshareM!U$2:U$78)-IMshareM!U$21),0))</f>
        <v>1.8860242457886544E-2</v>
      </c>
      <c r="V62" s="8">
        <f>IF($A62=V$1,0,IF(SUM(IMshareM!V$2:V$78)-IMshareM!V$22&gt;0,IMshareM!V62/(SUM(IMshareM!V$2:V$78)-IMshareM!V$22),0))</f>
        <v>1.805149873551385E-2</v>
      </c>
      <c r="W62" s="8">
        <f>IF($A62=W$1,0,IF(SUM(IMshareM!W$2:W$78)-IMshareM!W$23&gt;0,IMshareM!W62/(SUM(IMshareM!W$2:W$78)-IMshareM!W$23),0))</f>
        <v>3.4430878958349588E-3</v>
      </c>
      <c r="X62" s="8">
        <f>IF($A62=X$1,0,IF(SUM(IMshareM!X$2:X$78)-IMshareM!X$24&gt;0,IMshareM!X62/(SUM(IMshareM!X$2:X$78)-IMshareM!X$24),0))</f>
        <v>1.2068099724759305E-2</v>
      </c>
      <c r="Y62" s="8">
        <f>IF($A62=Y$1,0,IF(SUM(IMshareM!Y$2:Y$78)-IMshareM!Y$25&gt;0,IMshareM!Y62/(SUM(IMshareM!Y$2:Y$78)-IMshareM!Y$25),0))</f>
        <v>5.5035758706228795E-3</v>
      </c>
      <c r="Z62" s="8">
        <f>IF($A62=Z$1,0,IF(SUM(IMshareM!Z$2:Z$78)-IMshareM!Z$26&gt;0,IMshareM!Z62/(SUM(IMshareM!Z$2:Z$78)-IMshareM!Z$26),0))</f>
        <v>9.074708263239608E-3</v>
      </c>
      <c r="AA62" s="8">
        <f>IF($A62=AA$1,0,IF(SUM(IMshareM!AA$2:AA$78)-IMshareM!AA$27&gt;0,IMshareM!AA62/(SUM(IMshareM!AA$2:AA$78)-IMshareM!AA$27),0))</f>
        <v>1.3157991916804192E-3</v>
      </c>
      <c r="AB62" s="8">
        <f>IF($A62=AB$1,0,IF(SUM(IMshareM!AB$2:AB$78)-IMshareM!AB$28&gt;0,IMshareM!AB62/(SUM(IMshareM!AB$2:AB$78)-IMshareM!AB$28),0))</f>
        <v>1.9283622655398014E-2</v>
      </c>
      <c r="AC62" s="8">
        <f>IF($A62=AC$1,0,IF(SUM(IMshareM!AC$2:AC$78)-IMshareM!AC$29&gt;0,IMshareM!AC62/(SUM(IMshareM!AC$2:AC$78)-IMshareM!AC$29),0))</f>
        <v>7.2770208224853859E-4</v>
      </c>
      <c r="AD62" s="8">
        <f>IF($A62=AD$1,0,IF(SUM(IMshareM!AD$2:AD$78)-IMshareM!AD$30&gt;0,IMshareM!AD62/(SUM(IMshareM!AD$2:AD$78)-IMshareM!AD$30),0))</f>
        <v>3.4483803479606179E-4</v>
      </c>
      <c r="AE62" s="8">
        <f>IF($A62=AE$1,0,IF(SUM(IMshareM!AE$2:AE$78)-IMshareM!AE$31&gt;0,IMshareM!AE62/(SUM(IMshareM!AE$2:AE$78)-IMshareM!AE$31),0))</f>
        <v>1.428268511720628E-3</v>
      </c>
      <c r="AF62" s="8">
        <f>IF($A62=AF$1,0,IF(SUM(IMshareM!AF$2:AF$78)-IMshareM!AF$32&gt;0,IMshareM!AF62/(SUM(IMshareM!AF$2:AF$78)-IMshareM!AF$32),0))</f>
        <v>1.8699260107405155E-3</v>
      </c>
      <c r="AG62" s="8">
        <f>IF($A62=AG$1,0,IF(SUM(IMshareM!AG$2:AG$78)-IMshareM!AG$33&gt;0,IMshareM!AG62/(SUM(IMshareM!AG$2:AG$78)-IMshareM!AG$33),0))</f>
        <v>3.7615192469676932E-4</v>
      </c>
      <c r="AH62" s="8">
        <f>IF($A62=AH$1,0,IF(SUM(IMshareM!AH$2:AH$78)-IMshareM!AH$34&gt;0,IMshareM!AH62/(SUM(IMshareM!AH$2:AH$78)-IMshareM!AH$34),0))</f>
        <v>1.4440046679249153E-3</v>
      </c>
      <c r="AI62" s="8">
        <f>IF($A62=AI$1,0,IF(SUM(IMshareM!AI$2:AI$78)-IMshareM!AI$35&gt;0,IMshareM!AI62/(SUM(IMshareM!AI$2:AI$78)-IMshareM!AI$35),0))</f>
        <v>2.6840732165754058E-4</v>
      </c>
      <c r="AJ62" s="8">
        <f>IF($A62=AJ$1,0,IF(SUM(IMshareM!AJ$2:AJ$78)-IMshareM!AJ$36&gt;0,IMshareM!AJ62/(SUM(IMshareM!AJ$2:AJ$78)-IMshareM!AJ$36),0))</f>
        <v>9.8192015854797754E-4</v>
      </c>
      <c r="AK62" s="8">
        <f>IF($A62=AK$1,0,IF(SUM(IMshareM!AK$2:AK$78)-IMshareM!AK$37&gt;0,IMshareM!AK62/(SUM(IMshareM!AK$2:AK$78)-IMshareM!AK$37),0))</f>
        <v>1.3460438524097965E-2</v>
      </c>
      <c r="AL62" s="8">
        <f>IF($A62=AL$1,0,IF(SUM(IMshareM!AL$2:AL$78)-IMshareM!AL$38&gt;0,IMshareM!AL62/(SUM(IMshareM!AL$2:AL$78)-IMshareM!AL$38),0))</f>
        <v>1.0985495450347561E-2</v>
      </c>
      <c r="AM62" s="8">
        <f>IF($A62=AM$1,0,IF(SUM(IMshareM!AM$2:AM$78)-IMshareM!AM$39&gt;0,IMshareM!AM62/(SUM(IMshareM!AM$2:AM$78)-IMshareM!AM$39),0))</f>
        <v>8.6184613627452846E-5</v>
      </c>
      <c r="AN62" s="8">
        <f>IF($A62=AN$1,0,IF(SUM(IMshareM!AN$2:AN$78)-IMshareM!AN$40&gt;0,IMshareM!AN62/(SUM(IMshareM!AN$2:AN$78)-IMshareM!AN$40),0))</f>
        <v>1.5502393435951766E-4</v>
      </c>
      <c r="AO62" s="8">
        <f>IF($A62=AO$1,0,IF(SUM(IMshareM!AO$2:AO$78)-IMshareM!AO$41&gt;0,IMshareM!AO62/(SUM(IMshareM!AO$2:AO$78)-IMshareM!AO$41),0))</f>
        <v>8.9465884131056956E-6</v>
      </c>
      <c r="AP62" s="8">
        <f>IF($A62=AP$1,0,IF(SUM(IMshareM!AP$2:AP$78)-IMshareM!AP$42&gt;0,IMshareM!AP62/(SUM(IMshareM!AP$2:AP$78)-IMshareM!AP$42),0))</f>
        <v>0</v>
      </c>
      <c r="AQ62" s="8">
        <f>IF($A62=AQ$1,0,IF(SUM(IMshareM!AQ$2:AQ$78)-IMshareM!AQ$43&gt;0,IMshareM!AQ62/(SUM(IMshareM!AQ$2:AQ$78)-IMshareM!AQ$43),0))</f>
        <v>3.9165714328978354E-3</v>
      </c>
      <c r="AR62" s="8">
        <f>IF($A62=AR$1,0,IF(SUM(IMshareM!AR$2:AR$78)-IMshareM!AR$44&gt;0,IMshareM!AR62/(SUM(IMshareM!AR$2:AR$78)-IMshareM!AR$44),0))</f>
        <v>0</v>
      </c>
      <c r="AS62" s="8">
        <f>IF($A62=AS$1,0,IF(SUM(IMshareM!AS$2:AS$78)-IMshareM!AS$45&gt;0,IMshareM!AS62/(SUM(IMshareM!AS$2:AS$78)-IMshareM!AS$45),0))</f>
        <v>1.0614794342156349E-2</v>
      </c>
      <c r="AT62" s="8">
        <f>IF($A62=AT$1,0,IF(SUM(IMshareM!AT$2:AT$78)-IMshareM!AT$46&gt;0,IMshareM!AT62/(SUM(IMshareM!AT$2:AT$78)-IMshareM!AT$46),0))</f>
        <v>4.9343826943045173E-5</v>
      </c>
      <c r="AU62" s="8">
        <f>IF($A62=AU$1,0,IF(SUM(IMshareM!AU$2:AU$78)-IMshareM!AU$47&gt;0,IMshareM!AU62/(SUM(IMshareM!AU$2:AU$78)-IMshareM!AU$47),0))</f>
        <v>1.500513522590346E-2</v>
      </c>
      <c r="AV62" s="8">
        <f>IF($A62=AV$1,0,IF(SUM(IMshareM!AV$2:AV$78)-IMshareM!AV$48&gt;0,IMshareM!AV62/(SUM(IMshareM!AV$2:AV$78)-IMshareM!AV$48),0))</f>
        <v>2.9375049286715707E-3</v>
      </c>
      <c r="AW62" s="8">
        <f>IF($A62=AW$1,0,IF(SUM(IMshareM!AW$2:AW$78)-IMshareM!AW$49&gt;0,IMshareM!AW62/(SUM(IMshareM!AW$2:AW$78)-IMshareM!AW$49),0))</f>
        <v>3.2039750729564114E-4</v>
      </c>
      <c r="AX62" s="8">
        <f>IF($A62=AX$1,0,IF(SUM(IMshareM!AX$2:AX$78)-IMshareM!AX$50&gt;0,IMshareM!AX62/(SUM(IMshareM!AX$2:AX$78)-IMshareM!AX$50),0))</f>
        <v>2.4190261521020036E-4</v>
      </c>
      <c r="AY62" s="8">
        <f>IF($A62=AY$1,0,IF(SUM(IMshareM!AY$2:AY$78)-IMshareM!AY$51&gt;0,IMshareM!AY62/(SUM(IMshareM!AY$2:AY$78)-IMshareM!AY$51),0))</f>
        <v>0</v>
      </c>
      <c r="AZ62" s="8">
        <f>IF($A62=AZ$1,0,IF(SUM(IMshareM!AZ$2:AZ$78)-IMshareM!AZ$52&gt;0,IMshareM!AZ62/(SUM(IMshareM!AZ$2:AZ$78)-IMshareM!AZ$52),0))</f>
        <v>6.2963554226030461E-4</v>
      </c>
      <c r="BA62" s="8">
        <f>IF($A62=BA$1,0,IF(SUM(IMshareM!BA$2:BA$78)-IMshareM!BA$53&gt;0,IMshareM!BA62/(SUM(IMshareM!BA$2:BA$78)-IMshareM!BA$53),0))</f>
        <v>1.2215757332168244E-5</v>
      </c>
      <c r="BB62" s="8">
        <f>IF($A62=BB$1,0,IF(SUM(IMshareM!BB$2:BB$78)-IMshareM!BB$54&gt;0,IMshareM!BB62/(SUM(IMshareM!BB$2:BB$78)-IMshareM!BB$54),0))</f>
        <v>6.3407532720793263E-3</v>
      </c>
      <c r="BC62" s="8">
        <f>IF($A62=BC$1,0,IF(SUM(IMshareM!BC$2:BC$78)-IMshareM!BC$55&gt;0,IMshareM!BC62/(SUM(IMshareM!BC$2:BC$78)-IMshareM!BC$55),0))</f>
        <v>2.2399519746364571E-2</v>
      </c>
      <c r="BD62" s="8">
        <f>IF($A62=BD$1,0,IF(SUM(IMshareM!BD$2:BD$78)-IMshareM!BD$56&gt;0,IMshareM!BD62/(SUM(IMshareM!BD$2:BD$78)-IMshareM!BD$56),0))</f>
        <v>4.7577650426633023E-3</v>
      </c>
      <c r="BE62" s="8">
        <f>IF($A62=BE$1,0,IF(SUM(IMshareM!BE$2:BE$78)-IMshareM!BE$57&gt;0,IMshareM!BE62/(SUM(IMshareM!BE$2:BE$78)-IMshareM!BE$57),0))</f>
        <v>9.8679801430248481E-5</v>
      </c>
      <c r="BF62" s="8">
        <f>IF($A62=BF$1,0,IF(SUM(IMshareM!BF$2:BF$78)-IMshareM!BF$58&gt;0,IMshareM!BF62/(SUM(IMshareM!BF$2:BF$78)-IMshareM!BF$58),0))</f>
        <v>1.336270218237839E-4</v>
      </c>
      <c r="BG62" s="8">
        <f>IF($A62=BG$1,0,IF(SUM(IMshareM!BG$2:BG$78)-IMshareM!BG$59&gt;0,IMshareM!BG62/(SUM(IMshareM!BG$2:BG$78)-IMshareM!BG$59),0))</f>
        <v>1.3953299370395563E-5</v>
      </c>
      <c r="BH62" s="8">
        <f>IF($A62=BH$1,0,IF(SUM(IMshareM!BH$2:BH$78)-IMshareM!BH$60&gt;0,IMshareM!BH62/(SUM(IMshareM!BH$2:BH$78)-IMshareM!BH$60),0))</f>
        <v>2.9415201699606069E-2</v>
      </c>
      <c r="BI62" s="8">
        <f>IF($A62=BI$1,0,IF(SUM(IMshareM!BI$2:BI$78)-IMshareM!BI$61&gt;0,IMshareM!BI62/(SUM(IMshareM!BI$2:BI$78)-IMshareM!BI$61),0))</f>
        <v>5.7471224383348644E-3</v>
      </c>
      <c r="BJ62" s="8">
        <f>IF($A62=BJ$1,0,IF(SUM(IMshareM!BJ$2:BJ$78)-IMshareM!BJ$62&gt;0,IMshareM!BJ62/(SUM(IMshareM!BJ$2:BJ$78)-IMshareM!BJ$62),0))</f>
        <v>0</v>
      </c>
      <c r="BK62" s="8">
        <f>IF($A62=BK$1,0,IF(SUM(IMshareM!BK$2:BK$78)-IMshareM!BK$63&gt;0,IMshareM!BK62/(SUM(IMshareM!BK$2:BK$78)-IMshareM!BK$63),0))</f>
        <v>1.0244557075809412E-3</v>
      </c>
      <c r="BL62" s="8">
        <f>IF($A62=BL$1,0,IF(SUM(IMshareM!BL$2:BL$78)-IMshareM!BL$64&gt;0,IMshareM!BL62/(SUM(IMshareM!BL$2:BL$78)-IMshareM!BL$64),0))</f>
        <v>7.4638655578905299E-3</v>
      </c>
      <c r="BM62" s="8">
        <f>IF($A62=BM$1,0,IF(SUM(IMshareM!BM$2:BM$78)-IMshareM!BM$65&gt;0,IMshareM!BM62/(SUM(IMshareM!BM$2:BM$78)-IMshareM!BM$65),0))</f>
        <v>2.3270270314538735E-3</v>
      </c>
      <c r="BN62" s="8">
        <f>IF($A62=BN$1,0,IF(SUM(IMshareM!BN$2:BN$78)-IMshareM!BN$66&gt;0,IMshareM!BN62/(SUM(IMshareM!BN$2:BN$78)-IMshareM!BN$66),0))</f>
        <v>1.0721904596524071E-3</v>
      </c>
      <c r="BO62" s="8">
        <f>IF($A62=BO$1,0,IF(SUM(IMshareM!BO$2:BO$78)-IMshareM!BO$67&gt;0,IMshareM!BO62/(SUM(IMshareM!BO$2:BO$78)-IMshareM!BO$67),0))</f>
        <v>6.3999364831644435E-3</v>
      </c>
      <c r="BP62" s="8">
        <f>IF($A62=BP$1,0,IF(SUM(IMshareM!BP$2:BP$78)-IMshareM!BP$68&gt;0,IMshareM!BP62/(SUM(IMshareM!BP$2:BP$78)-IMshareM!BP$68),0))</f>
        <v>5.5908853120135021E-3</v>
      </c>
      <c r="BQ62" s="8">
        <f>IF($A62=BQ$1,0,IF(SUM(IMshareM!BQ$2:BQ$78)-IMshareM!BQ$69&gt;0,IMshareM!BQ62/(SUM(IMshareM!BQ$2:BQ$78)-IMshareM!BQ$69),0))</f>
        <v>8.7000173921946311E-4</v>
      </c>
      <c r="BR62" s="8">
        <f>IF($A62=BR$1,0,IF(SUM(IMshareM!BR$2:BR$78)-IMshareM!BR$70&gt;0,IMshareM!BR62/(SUM(IMshareM!BR$2:BR$78)-IMshareM!BR$70),0))</f>
        <v>1.5222299481880966E-3</v>
      </c>
      <c r="BS62" s="8">
        <f>IF($A62=BS$1,0,IF(SUM(IMshareM!BS$2:BS$78)-IMshareM!BS$71&gt;0,IMshareM!BS62/(SUM(IMshareM!BS$2:BS$78)-IMshareM!BS$71),0))</f>
        <v>4.763927982061913E-3</v>
      </c>
      <c r="BT62" s="8">
        <f>IF($A62=BT$1,0,IF(SUM(IMshareM!BT$2:BT$78)-IMshareM!BT$72&gt;0,IMshareM!BT62/(SUM(IMshareM!BT$2:BT$78)-IMshareM!BT$72),0))</f>
        <v>1.679208049019499E-2</v>
      </c>
      <c r="BU62" s="8">
        <f>IF($A62=BU$1,0,IF(SUM(IMshareM!BU$2:BU$78)-IMshareM!BU$73&gt;0,IMshareM!BU62/(SUM(IMshareM!BU$2:BU$78)-IMshareM!BU$73),0))</f>
        <v>1.5348006978736894E-3</v>
      </c>
      <c r="BV62" s="8">
        <f>IF($A62=BV$1,0,IF(SUM(IMshareM!BV$2:BV$78)-IMshareM!BV$74&gt;0,IMshareM!BV62/(SUM(IMshareM!BV$2:BV$78)-IMshareM!BV$74),0))</f>
        <v>2.564376141358465E-3</v>
      </c>
      <c r="BW62" s="8">
        <f>IF($A62=BW$1,0,IF(SUM(IMshareM!BW$2:BW$78)-IMshareM!BW$75&gt;0,IMshareM!BW62/(SUM(IMshareM!BW$2:BW$78)-IMshareM!BW$75),0))</f>
        <v>4.2510670783104856E-3</v>
      </c>
      <c r="BX62" s="8">
        <f>IF($A62=BX$1,0,IF(SUM(IMshareM!BX$2:BX$78)-IMshareM!BX$76&gt;0,IMshareM!BX62/(SUM(IMshareM!BX$2:BX$78)-IMshareM!BX$76),0))</f>
        <v>7.7097087829104203E-5</v>
      </c>
      <c r="BY62" s="8">
        <f>IF($A62=BY$1,0,IF(SUM(IMshareM!BY$2:BY$78)-IMshareM!BY$77&gt;0,IMshareM!BY62/(SUM(IMshareM!BY$2:BY$78)-IMshareM!BY$77),0))</f>
        <v>3.4253124944326648E-3</v>
      </c>
      <c r="BZ62" s="8">
        <f>IF($A62=BZ$1,0,IF(SUM(IMshareM!BZ$2:BZ$78)-IMshareM!BZ$78&gt;0,IMshareM!BZ62/(SUM(IMshareM!BZ$2:BZ$78)-IMshareM!BZ$78),0))</f>
        <v>3.8909558082411591E-3</v>
      </c>
    </row>
    <row r="63" spans="1:78">
      <c r="A63" s="4" t="s">
        <v>193</v>
      </c>
      <c r="B63" s="8">
        <f>IF($A63=B$1,0,IF(SUM(IMshareM!B$2:B$78)-IMshareM!B$2&gt;0,IMshareM!B63/(SUM(IMshareM!B$2:B$78)-IMshareM!B$2),0))</f>
        <v>4.9132575147673441E-3</v>
      </c>
      <c r="C63" s="8">
        <f>IF($A63=C$1,0,IF(SUM(IMshareM!C$2:C$78)-IMshareM!C$3&gt;0,IMshareM!C63/(SUM(IMshareM!C$2:C$78)-IMshareM!C$3),0))</f>
        <v>1.134875823472239E-4</v>
      </c>
      <c r="D63" s="8">
        <f>IF($A63=D$1,0,IF(SUM(IMshareM!D$2:D$78)-IMshareM!D$4&gt;0,IMshareM!D63/(SUM(IMshareM!D$2:D$78)-IMshareM!D$4),0))</f>
        <v>1.2517935481139763E-4</v>
      </c>
      <c r="E63" s="8">
        <f>IF($A63=E$1,0,IF(SUM(IMshareM!E$2:E$78)-IMshareM!E$5&gt;0,IMshareM!E63/(SUM(IMshareM!E$2:E$78)-IMshareM!E$5),0))</f>
        <v>6.4746497794267721E-7</v>
      </c>
      <c r="F63" s="8">
        <f>IF($A63=F$1,0,IF(SUM(IMshareM!F$2:F$78)-IMshareM!F$6&gt;0,IMshareM!F63/(SUM(IMshareM!F$2:F$78)-IMshareM!F$6),0))</f>
        <v>0</v>
      </c>
      <c r="G63" s="8">
        <f>IF($A63=G$1,0,IF(SUM(IMshareM!G$2:G$78)-IMshareM!G$7&gt;0,IMshareM!G63/(SUM(IMshareM!G$2:G$78)-IMshareM!G$7),0))</f>
        <v>1.3171074701656008E-3</v>
      </c>
      <c r="H63" s="8">
        <f>IF($A63=H$1,0,IF(SUM(IMshareM!H$2:H$78)-IMshareM!H$8&gt;0,IMshareM!H63/(SUM(IMshareM!H$2:H$78)-IMshareM!H$8),0))</f>
        <v>0</v>
      </c>
      <c r="I63" s="8">
        <f>IF($A63=I$1,0,IF(SUM(IMshareM!I$2:I$78)-IMshareM!I$9&gt;0,IMshareM!I63/(SUM(IMshareM!I$2:I$78)-IMshareM!I$9),0))</f>
        <v>5.5304651087806811E-4</v>
      </c>
      <c r="J63" s="8">
        <f>IF($A63=J$1,0,IF(SUM(IMshareM!J$2:J$78)-IMshareM!J$10&gt;0,IMshareM!J63/(SUM(IMshareM!J$2:J$78)-IMshareM!J$10),0))</f>
        <v>0</v>
      </c>
      <c r="K63" s="8">
        <f>IF($A63=K$1,0,IF(SUM(IMshareM!K$2:K$78)-IMshareM!K$11&gt;0,IMshareM!K63/(SUM(IMshareM!K$2:K$78)-IMshareM!K$11),0))</f>
        <v>3.7849580681524869E-4</v>
      </c>
      <c r="L63" s="8">
        <f>IF($A63=L$1,0,IF(SUM(IMshareM!L$2:L$78)-IMshareM!L$12&gt;0,IMshareM!L63/(SUM(IMshareM!L$2:L$78)-IMshareM!L$12),0))</f>
        <v>1.0989769436593071E-5</v>
      </c>
      <c r="M63" s="8">
        <f>IF($A63=M$1,0,IF(SUM(IMshareM!M$2:M$78)-IMshareM!M$13&gt;0,IMshareM!M63/(SUM(IMshareM!M$2:M$78)-IMshareM!M$13),0))</f>
        <v>9.5113848282741548E-7</v>
      </c>
      <c r="N63" s="8">
        <f>IF($A63=N$1,0,IF(SUM(IMshareM!N$2:N$78)-IMshareM!N$14&gt;0,IMshareM!N63/(SUM(IMshareM!N$2:N$78)-IMshareM!N$14),0))</f>
        <v>2.1567500994584701E-4</v>
      </c>
      <c r="O63" s="8">
        <f>IF($A63=O$1,0,IF(SUM(IMshareM!O$2:O$78)-IMshareM!O$15&gt;0,IMshareM!O63/(SUM(IMshareM!O$2:O$78)-IMshareM!O$15),0))</f>
        <v>0</v>
      </c>
      <c r="P63" s="8">
        <f>IF($A63=P$1,0,IF(SUM(IMshareM!P$2:P$78)-IMshareM!P$16&gt;0,IMshareM!P63/(SUM(IMshareM!P$2:P$78)-IMshareM!P$16),0))</f>
        <v>0</v>
      </c>
      <c r="Q63" s="8">
        <f>IF($A63=Q$1,0,IF(SUM(IMshareM!Q$2:Q$78)-IMshareM!Q$17&gt;0,IMshareM!Q63/(SUM(IMshareM!Q$2:Q$78)-IMshareM!Q$17),0))</f>
        <v>4.9533932565324082E-2</v>
      </c>
      <c r="R63" s="8">
        <f>IF($A63=R$1,0,IF(SUM(IMshareM!R$2:R$78)-IMshareM!R$18&gt;0,IMshareM!R63/(SUM(IMshareM!R$2:R$78)-IMshareM!R$18),0))</f>
        <v>0</v>
      </c>
      <c r="S63" s="8">
        <f>IF($A63=S$1,0,IF(SUM(IMshareM!S$2:S$78)-IMshareM!S$19&gt;0,IMshareM!S63/(SUM(IMshareM!S$2:S$78)-IMshareM!S$19),0))</f>
        <v>2.9307360953491416E-4</v>
      </c>
      <c r="T63" s="8">
        <f>IF($A63=T$1,0,IF(SUM(IMshareM!T$2:T$78)-IMshareM!T$20&gt;0,IMshareM!T63/(SUM(IMshareM!T$2:T$78)-IMshareM!T$20),0))</f>
        <v>3.8142952989354749E-5</v>
      </c>
      <c r="U63" s="8">
        <f>IF($A63=U$1,0,IF(SUM(IMshareM!U$2:U$78)-IMshareM!U$21&gt;0,IMshareM!U63/(SUM(IMshareM!U$2:U$78)-IMshareM!U$21),0))</f>
        <v>2.0234069132813996E-4</v>
      </c>
      <c r="V63" s="8">
        <f>IF($A63=V$1,0,IF(SUM(IMshareM!V$2:V$78)-IMshareM!V$22&gt;0,IMshareM!V63/(SUM(IMshareM!V$2:V$78)-IMshareM!V$22),0))</f>
        <v>8.640938969463526E-6</v>
      </c>
      <c r="W63" s="8">
        <f>IF($A63=W$1,0,IF(SUM(IMshareM!W$2:W$78)-IMshareM!W$23&gt;0,IMshareM!W63/(SUM(IMshareM!W$2:W$78)-IMshareM!W$23),0))</f>
        <v>8.1547866136586432E-4</v>
      </c>
      <c r="X63" s="8">
        <f>IF($A63=X$1,0,IF(SUM(IMshareM!X$2:X$78)-IMshareM!X$24&gt;0,IMshareM!X63/(SUM(IMshareM!X$2:X$78)-IMshareM!X$24),0))</f>
        <v>5.6272654268389394E-7</v>
      </c>
      <c r="Y63" s="8">
        <f>IF($A63=Y$1,0,IF(SUM(IMshareM!Y$2:Y$78)-IMshareM!Y$25&gt;0,IMshareM!Y63/(SUM(IMshareM!Y$2:Y$78)-IMshareM!Y$25),0))</f>
        <v>2.4629273273788954E-3</v>
      </c>
      <c r="Z63" s="8">
        <f>IF($A63=Z$1,0,IF(SUM(IMshareM!Z$2:Z$78)-IMshareM!Z$26&gt;0,IMshareM!Z63/(SUM(IMshareM!Z$2:Z$78)-IMshareM!Z$26),0))</f>
        <v>1.2062880104363366E-5</v>
      </c>
      <c r="AA63" s="8">
        <f>IF($A63=AA$1,0,IF(SUM(IMshareM!AA$2:AA$78)-IMshareM!AA$27&gt;0,IMshareM!AA63/(SUM(IMshareM!AA$2:AA$78)-IMshareM!AA$27),0))</f>
        <v>1.1742964364619825E-4</v>
      </c>
      <c r="AB63" s="8">
        <f>IF($A63=AB$1,0,IF(SUM(IMshareM!AB$2:AB$78)-IMshareM!AB$28&gt;0,IMshareM!AB63/(SUM(IMshareM!AB$2:AB$78)-IMshareM!AB$28),0))</f>
        <v>5.6952304537124237E-5</v>
      </c>
      <c r="AC63" s="8">
        <f>IF($A63=AC$1,0,IF(SUM(IMshareM!AC$2:AC$78)-IMshareM!AC$29&gt;0,IMshareM!AC63/(SUM(IMshareM!AC$2:AC$78)-IMshareM!AC$29),0))</f>
        <v>0</v>
      </c>
      <c r="AD63" s="8">
        <f>IF($A63=AD$1,0,IF(SUM(IMshareM!AD$2:AD$78)-IMshareM!AD$30&gt;0,IMshareM!AD63/(SUM(IMshareM!AD$2:AD$78)-IMshareM!AD$30),0))</f>
        <v>0</v>
      </c>
      <c r="AE63" s="8">
        <f>IF($A63=AE$1,0,IF(SUM(IMshareM!AE$2:AE$78)-IMshareM!AE$31&gt;0,IMshareM!AE63/(SUM(IMshareM!AE$2:AE$78)-IMshareM!AE$31),0))</f>
        <v>1.202135472982838E-3</v>
      </c>
      <c r="AF63" s="8">
        <f>IF($A63=AF$1,0,IF(SUM(IMshareM!AF$2:AF$78)-IMshareM!AF$32&gt;0,IMshareM!AF63/(SUM(IMshareM!AF$2:AF$78)-IMshareM!AF$32),0))</f>
        <v>1.3199048851197967E-5</v>
      </c>
      <c r="AG63" s="8">
        <f>IF($A63=AG$1,0,IF(SUM(IMshareM!AG$2:AG$78)-IMshareM!AG$33&gt;0,IMshareM!AG63/(SUM(IMshareM!AG$2:AG$78)-IMshareM!AG$33),0))</f>
        <v>1.7742359028041343E-4</v>
      </c>
      <c r="AH63" s="8">
        <f>IF($A63=AH$1,0,IF(SUM(IMshareM!AH$2:AH$78)-IMshareM!AH$34&gt;0,IMshareM!AH63/(SUM(IMshareM!AH$2:AH$78)-IMshareM!AH$34),0))</f>
        <v>8.7510970258037333E-4</v>
      </c>
      <c r="AI63" s="8">
        <f>IF($A63=AI$1,0,IF(SUM(IMshareM!AI$2:AI$78)-IMshareM!AI$35&gt;0,IMshareM!AI63/(SUM(IMshareM!AI$2:AI$78)-IMshareM!AI$35),0))</f>
        <v>4.9033738289230671E-7</v>
      </c>
      <c r="AJ63" s="8">
        <f>IF($A63=AJ$1,0,IF(SUM(IMshareM!AJ$2:AJ$78)-IMshareM!AJ$36&gt;0,IMshareM!AJ63/(SUM(IMshareM!AJ$2:AJ$78)-IMshareM!AJ$36),0))</f>
        <v>1.7845666784557799E-3</v>
      </c>
      <c r="AK63" s="8">
        <f>IF($A63=AK$1,0,IF(SUM(IMshareM!AK$2:AK$78)-IMshareM!AK$37&gt;0,IMshareM!AK63/(SUM(IMshareM!AK$2:AK$78)-IMshareM!AK$37),0))</f>
        <v>7.5857198946074935E-5</v>
      </c>
      <c r="AL63" s="8">
        <f>IF($A63=AL$1,0,IF(SUM(IMshareM!AL$2:AL$78)-IMshareM!AL$38&gt;0,IMshareM!AL63/(SUM(IMshareM!AL$2:AL$78)-IMshareM!AL$38),0))</f>
        <v>3.3851125730824833E-4</v>
      </c>
      <c r="AM63" s="8">
        <f>IF($A63=AM$1,0,IF(SUM(IMshareM!AM$2:AM$78)-IMshareM!AM$39&gt;0,IMshareM!AM63/(SUM(IMshareM!AM$2:AM$78)-IMshareM!AM$39),0))</f>
        <v>0</v>
      </c>
      <c r="AN63" s="8">
        <f>IF($A63=AN$1,0,IF(SUM(IMshareM!AN$2:AN$78)-IMshareM!AN$40&gt;0,IMshareM!AN63/(SUM(IMshareM!AN$2:AN$78)-IMshareM!AN$40),0))</f>
        <v>6.6961779645483417E-6</v>
      </c>
      <c r="AO63" s="8">
        <f>IF($A63=AO$1,0,IF(SUM(IMshareM!AO$2:AO$78)-IMshareM!AO$41&gt;0,IMshareM!AO63/(SUM(IMshareM!AO$2:AO$78)-IMshareM!AO$41),0))</f>
        <v>0.25247684067669957</v>
      </c>
      <c r="AP63" s="8">
        <f>IF($A63=AP$1,0,IF(SUM(IMshareM!AP$2:AP$78)-IMshareM!AP$42&gt;0,IMshareM!AP63/(SUM(IMshareM!AP$2:AP$78)-IMshareM!AP$42),0))</f>
        <v>0</v>
      </c>
      <c r="AQ63" s="8">
        <f>IF($A63=AQ$1,0,IF(SUM(IMshareM!AQ$2:AQ$78)-IMshareM!AQ$43&gt;0,IMshareM!AQ63/(SUM(IMshareM!AQ$2:AQ$78)-IMshareM!AQ$43),0))</f>
        <v>5.5168050815748181E-7</v>
      </c>
      <c r="AR63" s="8">
        <f>IF($A63=AR$1,0,IF(SUM(IMshareM!AR$2:AR$78)-IMshareM!AR$44&gt;0,IMshareM!AR63/(SUM(IMshareM!AR$2:AR$78)-IMshareM!AR$44),0))</f>
        <v>0</v>
      </c>
      <c r="AS63" s="8">
        <f>IF($A63=AS$1,0,IF(SUM(IMshareM!AS$2:AS$78)-IMshareM!AS$45&gt;0,IMshareM!AS63/(SUM(IMshareM!AS$2:AS$78)-IMshareM!AS$45),0))</f>
        <v>4.911612452608232E-4</v>
      </c>
      <c r="AT63" s="8">
        <f>IF($A63=AT$1,0,IF(SUM(IMshareM!AT$2:AT$78)-IMshareM!AT$46&gt;0,IMshareM!AT63/(SUM(IMshareM!AT$2:AT$78)-IMshareM!AT$46),0))</f>
        <v>0</v>
      </c>
      <c r="AU63" s="8">
        <f>IF($A63=AU$1,0,IF(SUM(IMshareM!AU$2:AU$78)-IMshareM!AU$47&gt;0,IMshareM!AU63/(SUM(IMshareM!AU$2:AU$78)-IMshareM!AU$47),0))</f>
        <v>1.9388920204406392E-2</v>
      </c>
      <c r="AV63" s="8">
        <f>IF($A63=AV$1,0,IF(SUM(IMshareM!AV$2:AV$78)-IMshareM!AV$48&gt;0,IMshareM!AV63/(SUM(IMshareM!AV$2:AV$78)-IMshareM!AV$48),0))</f>
        <v>8.6841155064538404E-7</v>
      </c>
      <c r="AW63" s="8">
        <f>IF($A63=AW$1,0,IF(SUM(IMshareM!AW$2:AW$78)-IMshareM!AW$49&gt;0,IMshareM!AW63/(SUM(IMshareM!AW$2:AW$78)-IMshareM!AW$49),0))</f>
        <v>0</v>
      </c>
      <c r="AX63" s="8">
        <f>IF($A63=AX$1,0,IF(SUM(IMshareM!AX$2:AX$78)-IMshareM!AX$50&gt;0,IMshareM!AX63/(SUM(IMshareM!AX$2:AX$78)-IMshareM!AX$50),0))</f>
        <v>0</v>
      </c>
      <c r="AY63" s="8">
        <f>IF($A63=AY$1,0,IF(SUM(IMshareM!AY$2:AY$78)-IMshareM!AY$51&gt;0,IMshareM!AY63/(SUM(IMshareM!AY$2:AY$78)-IMshareM!AY$51),0))</f>
        <v>0</v>
      </c>
      <c r="AZ63" s="8">
        <f>IF($A63=AZ$1,0,IF(SUM(IMshareM!AZ$2:AZ$78)-IMshareM!AZ$52&gt;0,IMshareM!AZ63/(SUM(IMshareM!AZ$2:AZ$78)-IMshareM!AZ$52),0))</f>
        <v>0</v>
      </c>
      <c r="BA63" s="8">
        <f>IF($A63=BA$1,0,IF(SUM(IMshareM!BA$2:BA$78)-IMshareM!BA$53&gt;0,IMshareM!BA63/(SUM(IMshareM!BA$2:BA$78)-IMshareM!BA$53),0))</f>
        <v>2.1565536234648551E-4</v>
      </c>
      <c r="BB63" s="8">
        <f>IF($A63=BB$1,0,IF(SUM(IMshareM!BB$2:BB$78)-IMshareM!BB$54&gt;0,IMshareM!BB63/(SUM(IMshareM!BB$2:BB$78)-IMshareM!BB$54),0))</f>
        <v>7.928221244711653E-5</v>
      </c>
      <c r="BC63" s="8">
        <f>IF($A63=BC$1,0,IF(SUM(IMshareM!BC$2:BC$78)-IMshareM!BC$55&gt;0,IMshareM!BC63/(SUM(IMshareM!BC$2:BC$78)-IMshareM!BC$55),0))</f>
        <v>4.9967734895186222E-6</v>
      </c>
      <c r="BD63" s="8">
        <f>IF($A63=BD$1,0,IF(SUM(IMshareM!BD$2:BD$78)-IMshareM!BD$56&gt;0,IMshareM!BD63/(SUM(IMshareM!BD$2:BD$78)-IMshareM!BD$56),0))</f>
        <v>0</v>
      </c>
      <c r="BE63" s="8">
        <f>IF($A63=BE$1,0,IF(SUM(IMshareM!BE$2:BE$78)-IMshareM!BE$57&gt;0,IMshareM!BE63/(SUM(IMshareM!BE$2:BE$78)-IMshareM!BE$57),0))</f>
        <v>2.8594409823616138E-5</v>
      </c>
      <c r="BF63" s="8">
        <f>IF($A63=BF$1,0,IF(SUM(IMshareM!BF$2:BF$78)-IMshareM!BF$58&gt;0,IMshareM!BF63/(SUM(IMshareM!BF$2:BF$78)-IMshareM!BF$58),0))</f>
        <v>4.6589276938213678E-5</v>
      </c>
      <c r="BG63" s="8">
        <f>IF($A63=BG$1,0,IF(SUM(IMshareM!BG$2:BG$78)-IMshareM!BG$59&gt;0,IMshareM!BG63/(SUM(IMshareM!BG$2:BG$78)-IMshareM!BG$59),0))</f>
        <v>0</v>
      </c>
      <c r="BH63" s="8">
        <f>IF($A63=BH$1,0,IF(SUM(IMshareM!BH$2:BH$78)-IMshareM!BH$60&gt;0,IMshareM!BH63/(SUM(IMshareM!BH$2:BH$78)-IMshareM!BH$60),0))</f>
        <v>3.2670805360194069E-4</v>
      </c>
      <c r="BI63" s="8">
        <f>IF($A63=BI$1,0,IF(SUM(IMshareM!BI$2:BI$78)-IMshareM!BI$61&gt;0,IMshareM!BI63/(SUM(IMshareM!BI$2:BI$78)-IMshareM!BI$61),0))</f>
        <v>2.9296606967217774E-5</v>
      </c>
      <c r="BJ63" s="8">
        <f>IF($A63=BJ$1,0,IF(SUM(IMshareM!BJ$2:BJ$78)-IMshareM!BJ$62&gt;0,IMshareM!BJ63/(SUM(IMshareM!BJ$2:BJ$78)-IMshareM!BJ$62),0))</f>
        <v>3.9330908420201184E-2</v>
      </c>
      <c r="BK63" s="8">
        <f>IF($A63=BK$1,0,IF(SUM(IMshareM!BK$2:BK$78)-IMshareM!BK$63&gt;0,IMshareM!BK63/(SUM(IMshareM!BK$2:BK$78)-IMshareM!BK$63),0))</f>
        <v>0</v>
      </c>
      <c r="BL63" s="8">
        <f>IF($A63=BL$1,0,IF(SUM(IMshareM!BL$2:BL$78)-IMshareM!BL$64&gt;0,IMshareM!BL63/(SUM(IMshareM!BL$2:BL$78)-IMshareM!BL$64),0))</f>
        <v>0</v>
      </c>
      <c r="BM63" s="8">
        <f>IF($A63=BM$1,0,IF(SUM(IMshareM!BM$2:BM$78)-IMshareM!BM$65&gt;0,IMshareM!BM63/(SUM(IMshareM!BM$2:BM$78)-IMshareM!BM$65),0))</f>
        <v>2.6768957729044546E-6</v>
      </c>
      <c r="BN63" s="8">
        <f>IF($A63=BN$1,0,IF(SUM(IMshareM!BN$2:BN$78)-IMshareM!BN$66&gt;0,IMshareM!BN63/(SUM(IMshareM!BN$2:BN$78)-IMshareM!BN$66),0))</f>
        <v>0</v>
      </c>
      <c r="BO63" s="8">
        <f>IF($A63=BO$1,0,IF(SUM(IMshareM!BO$2:BO$78)-IMshareM!BO$67&gt;0,IMshareM!BO63/(SUM(IMshareM!BO$2:BO$78)-IMshareM!BO$67),0))</f>
        <v>4.7118270501803315E-5</v>
      </c>
      <c r="BP63" s="8">
        <f>IF($A63=BP$1,0,IF(SUM(IMshareM!BP$2:BP$78)-IMshareM!BP$68&gt;0,IMshareM!BP63/(SUM(IMshareM!BP$2:BP$78)-IMshareM!BP$68),0))</f>
        <v>2.270757913063071E-6</v>
      </c>
      <c r="BQ63" s="8">
        <f>IF($A63=BQ$1,0,IF(SUM(IMshareM!BQ$2:BQ$78)-IMshareM!BQ$69&gt;0,IMshareM!BQ63/(SUM(IMshareM!BQ$2:BQ$78)-IMshareM!BQ$69),0))</f>
        <v>4.4047212921387072E-5</v>
      </c>
      <c r="BR63" s="8">
        <f>IF($A63=BR$1,0,IF(SUM(IMshareM!BR$2:BR$78)-IMshareM!BR$70&gt;0,IMshareM!BR63/(SUM(IMshareM!BR$2:BR$78)-IMshareM!BR$70),0))</f>
        <v>6.4724408282063254E-5</v>
      </c>
      <c r="BS63" s="8">
        <f>IF($A63=BS$1,0,IF(SUM(IMshareM!BS$2:BS$78)-IMshareM!BS$71&gt;0,IMshareM!BS63/(SUM(IMshareM!BS$2:BS$78)-IMshareM!BS$71),0))</f>
        <v>2.4169628081516494E-4</v>
      </c>
      <c r="BT63" s="8">
        <f>IF($A63=BT$1,0,IF(SUM(IMshareM!BT$2:BT$78)-IMshareM!BT$72&gt;0,IMshareM!BT63/(SUM(IMshareM!BT$2:BT$78)-IMshareM!BT$72),0))</f>
        <v>4.2727572893660262E-3</v>
      </c>
      <c r="BU63" s="8">
        <f>IF($A63=BU$1,0,IF(SUM(IMshareM!BU$2:BU$78)-IMshareM!BU$73&gt;0,IMshareM!BU63/(SUM(IMshareM!BU$2:BU$78)-IMshareM!BU$73),0))</f>
        <v>1.3670582165935474E-6</v>
      </c>
      <c r="BV63" s="8">
        <f>IF($A63=BV$1,0,IF(SUM(IMshareM!BV$2:BV$78)-IMshareM!BV$74&gt;0,IMshareM!BV63/(SUM(IMshareM!BV$2:BV$78)-IMshareM!BV$74),0))</f>
        <v>1.1837540257339289E-2</v>
      </c>
      <c r="BW63" s="8">
        <f>IF($A63=BW$1,0,IF(SUM(IMshareM!BW$2:BW$78)-IMshareM!BW$75&gt;0,IMshareM!BW63/(SUM(IMshareM!BW$2:BW$78)-IMshareM!BW$75),0))</f>
        <v>4.6484537970364296E-4</v>
      </c>
      <c r="BX63" s="8">
        <f>IF($A63=BX$1,0,IF(SUM(IMshareM!BX$2:BX$78)-IMshareM!BX$76&gt;0,IMshareM!BX63/(SUM(IMshareM!BX$2:BX$78)-IMshareM!BX$76),0))</f>
        <v>2.4958644259607149E-4</v>
      </c>
      <c r="BY63" s="8">
        <f>IF($A63=BY$1,0,IF(SUM(IMshareM!BY$2:BY$78)-IMshareM!BY$77&gt;0,IMshareM!BY63/(SUM(IMshareM!BY$2:BY$78)-IMshareM!BY$77),0))</f>
        <v>8.8585732438326738E-5</v>
      </c>
      <c r="BZ63" s="8">
        <f>IF($A63=BZ$1,0,IF(SUM(IMshareM!BZ$2:BZ$78)-IMshareM!BZ$78&gt;0,IMshareM!BZ63/(SUM(IMshareM!BZ$2:BZ$78)-IMshareM!BZ$78),0))</f>
        <v>1.1936013034691852E-2</v>
      </c>
    </row>
    <row r="64" spans="1:78">
      <c r="A64" s="4" t="s">
        <v>195</v>
      </c>
      <c r="B64" s="8">
        <f>IF($A64=B$1,0,IF(SUM(IMshareM!B$2:B$78)-IMshareM!B$2&gt;0,IMshareM!B64/(SUM(IMshareM!B$2:B$78)-IMshareM!B$2),0))</f>
        <v>0</v>
      </c>
      <c r="C64" s="8">
        <f>IF($A64=C$1,0,IF(SUM(IMshareM!C$2:C$78)-IMshareM!C$3&gt;0,IMshareM!C64/(SUM(IMshareM!C$2:C$78)-IMshareM!C$3),0))</f>
        <v>1.1539370904042949E-6</v>
      </c>
      <c r="D64" s="8">
        <f>IF($A64=D$1,0,IF(SUM(IMshareM!D$2:D$78)-IMshareM!D$4&gt;0,IMshareM!D64/(SUM(IMshareM!D$2:D$78)-IMshareM!D$4),0))</f>
        <v>1.1968829765916492E-5</v>
      </c>
      <c r="E64" s="8">
        <f>IF($A64=E$1,0,IF(SUM(IMshareM!E$2:E$78)-IMshareM!E$5&gt;0,IMshareM!E64/(SUM(IMshareM!E$2:E$78)-IMshareM!E$5),0))</f>
        <v>7.2314772996394161E-5</v>
      </c>
      <c r="F64" s="8">
        <f>IF($A64=F$1,0,IF(SUM(IMshareM!F$2:F$78)-IMshareM!F$6&gt;0,IMshareM!F64/(SUM(IMshareM!F$2:F$78)-IMshareM!F$6),0))</f>
        <v>0</v>
      </c>
      <c r="G64" s="8">
        <f>IF($A64=G$1,0,IF(SUM(IMshareM!G$2:G$78)-IMshareM!G$7&gt;0,IMshareM!G64/(SUM(IMshareM!G$2:G$78)-IMshareM!G$7),0))</f>
        <v>6.3668390901377322E-5</v>
      </c>
      <c r="H64" s="8">
        <f>IF($A64=H$1,0,IF(SUM(IMshareM!H$2:H$78)-IMshareM!H$8&gt;0,IMshareM!H64/(SUM(IMshareM!H$2:H$78)-IMshareM!H$8),0))</f>
        <v>0</v>
      </c>
      <c r="I64" s="8">
        <f>IF($A64=I$1,0,IF(SUM(IMshareM!I$2:I$78)-IMshareM!I$9&gt;0,IMshareM!I64/(SUM(IMshareM!I$2:I$78)-IMshareM!I$9),0))</f>
        <v>9.4227357407600885E-7</v>
      </c>
      <c r="J64" s="8">
        <f>IF($A64=J$1,0,IF(SUM(IMshareM!J$2:J$78)-IMshareM!J$10&gt;0,IMshareM!J64/(SUM(IMshareM!J$2:J$78)-IMshareM!J$10),0))</f>
        <v>0</v>
      </c>
      <c r="K64" s="8">
        <f>IF($A64=K$1,0,IF(SUM(IMshareM!K$2:K$78)-IMshareM!K$11&gt;0,IMshareM!K64/(SUM(IMshareM!K$2:K$78)-IMshareM!K$11),0))</f>
        <v>0</v>
      </c>
      <c r="L64" s="8">
        <f>IF($A64=L$1,0,IF(SUM(IMshareM!L$2:L$78)-IMshareM!L$12&gt;0,IMshareM!L64/(SUM(IMshareM!L$2:L$78)-IMshareM!L$12),0))</f>
        <v>1.0962000151508073E-4</v>
      </c>
      <c r="M64" s="8">
        <f>IF($A64=M$1,0,IF(SUM(IMshareM!M$2:M$78)-IMshareM!M$13&gt;0,IMshareM!M64/(SUM(IMshareM!M$2:M$78)-IMshareM!M$13),0))</f>
        <v>7.0634385260981327E-4</v>
      </c>
      <c r="N64" s="8">
        <f>IF($A64=N$1,0,IF(SUM(IMshareM!N$2:N$78)-IMshareM!N$14&gt;0,IMshareM!N64/(SUM(IMshareM!N$2:N$78)-IMshareM!N$14),0))</f>
        <v>7.3043670252129613E-7</v>
      </c>
      <c r="O64" s="8">
        <f>IF($A64=O$1,0,IF(SUM(IMshareM!O$2:O$78)-IMshareM!O$15&gt;0,IMshareM!O64/(SUM(IMshareM!O$2:O$78)-IMshareM!O$15),0))</f>
        <v>4.1738389338345463E-6</v>
      </c>
      <c r="P64" s="8">
        <f>IF($A64=P$1,0,IF(SUM(IMshareM!P$2:P$78)-IMshareM!P$16&gt;0,IMshareM!P64/(SUM(IMshareM!P$2:P$78)-IMshareM!P$16),0))</f>
        <v>0</v>
      </c>
      <c r="Q64" s="8">
        <f>IF($A64=Q$1,0,IF(SUM(IMshareM!Q$2:Q$78)-IMshareM!Q$17&gt;0,IMshareM!Q64/(SUM(IMshareM!Q$2:Q$78)-IMshareM!Q$17),0))</f>
        <v>0</v>
      </c>
      <c r="R64" s="8">
        <f>IF($A64=R$1,0,IF(SUM(IMshareM!R$2:R$78)-IMshareM!R$18&gt;0,IMshareM!R64/(SUM(IMshareM!R$2:R$78)-IMshareM!R$18),0))</f>
        <v>0</v>
      </c>
      <c r="S64" s="8">
        <f>IF($A64=S$1,0,IF(SUM(IMshareM!S$2:S$78)-IMshareM!S$19&gt;0,IMshareM!S64/(SUM(IMshareM!S$2:S$78)-IMshareM!S$19),0))</f>
        <v>0</v>
      </c>
      <c r="T64" s="8">
        <f>IF($A64=T$1,0,IF(SUM(IMshareM!T$2:T$78)-IMshareM!T$20&gt;0,IMshareM!T64/(SUM(IMshareM!T$2:T$78)-IMshareM!T$20),0))</f>
        <v>0</v>
      </c>
      <c r="U64" s="8">
        <f>IF($A64=U$1,0,IF(SUM(IMshareM!U$2:U$78)-IMshareM!U$21&gt;0,IMshareM!U64/(SUM(IMshareM!U$2:U$78)-IMshareM!U$21),0))</f>
        <v>2.9636668460056756E-5</v>
      </c>
      <c r="V64" s="8">
        <f>IF($A64=V$1,0,IF(SUM(IMshareM!V$2:V$78)-IMshareM!V$22&gt;0,IMshareM!V64/(SUM(IMshareM!V$2:V$78)-IMshareM!V$22),0))</f>
        <v>4.5538879394118489E-5</v>
      </c>
      <c r="W64" s="8">
        <f>IF($A64=W$1,0,IF(SUM(IMshareM!W$2:W$78)-IMshareM!W$23&gt;0,IMshareM!W64/(SUM(IMshareM!W$2:W$78)-IMshareM!W$23),0))</f>
        <v>6.3896453092669283E-3</v>
      </c>
      <c r="X64" s="8">
        <f>IF($A64=X$1,0,IF(SUM(IMshareM!X$2:X$78)-IMshareM!X$24&gt;0,IMshareM!X64/(SUM(IMshareM!X$2:X$78)-IMshareM!X$24),0))</f>
        <v>1.0060502058491316E-6</v>
      </c>
      <c r="Y64" s="8">
        <f>IF($A64=Y$1,0,IF(SUM(IMshareM!Y$2:Y$78)-IMshareM!Y$25&gt;0,IMshareM!Y64/(SUM(IMshareM!Y$2:Y$78)-IMshareM!Y$25),0))</f>
        <v>0</v>
      </c>
      <c r="Z64" s="8">
        <f>IF($A64=Z$1,0,IF(SUM(IMshareM!Z$2:Z$78)-IMshareM!Z$26&gt;0,IMshareM!Z64/(SUM(IMshareM!Z$2:Z$78)-IMshareM!Z$26),0))</f>
        <v>2.1756252326251108E-6</v>
      </c>
      <c r="AA64" s="8">
        <f>IF($A64=AA$1,0,IF(SUM(IMshareM!AA$2:AA$78)-IMshareM!AA$27&gt;0,IMshareM!AA64/(SUM(IMshareM!AA$2:AA$78)-IMshareM!AA$27),0))</f>
        <v>3.0596684986935767E-5</v>
      </c>
      <c r="AB64" s="8">
        <f>IF($A64=AB$1,0,IF(SUM(IMshareM!AB$2:AB$78)-IMshareM!AB$28&gt;0,IMshareM!AB64/(SUM(IMshareM!AB$2:AB$78)-IMshareM!AB$28),0))</f>
        <v>9.5217627897624694E-4</v>
      </c>
      <c r="AC64" s="8">
        <f>IF($A64=AC$1,0,IF(SUM(IMshareM!AC$2:AC$78)-IMshareM!AC$29&gt;0,IMshareM!AC64/(SUM(IMshareM!AC$2:AC$78)-IMshareM!AC$29),0))</f>
        <v>0</v>
      </c>
      <c r="AD64" s="8">
        <f>IF($A64=AD$1,0,IF(SUM(IMshareM!AD$2:AD$78)-IMshareM!AD$30&gt;0,IMshareM!AD64/(SUM(IMshareM!AD$2:AD$78)-IMshareM!AD$30),0))</f>
        <v>0</v>
      </c>
      <c r="AE64" s="8">
        <f>IF($A64=AE$1,0,IF(SUM(IMshareM!AE$2:AE$78)-IMshareM!AE$31&gt;0,IMshareM!AE64/(SUM(IMshareM!AE$2:AE$78)-IMshareM!AE$31),0))</f>
        <v>0</v>
      </c>
      <c r="AF64" s="8">
        <f>IF($A64=AF$1,0,IF(SUM(IMshareM!AF$2:AF$78)-IMshareM!AF$32&gt;0,IMshareM!AF64/(SUM(IMshareM!AF$2:AF$78)-IMshareM!AF$32),0))</f>
        <v>0</v>
      </c>
      <c r="AG64" s="8">
        <f>IF($A64=AG$1,0,IF(SUM(IMshareM!AG$2:AG$78)-IMshareM!AG$33&gt;0,IMshareM!AG64/(SUM(IMshareM!AG$2:AG$78)-IMshareM!AG$33),0))</f>
        <v>0</v>
      </c>
      <c r="AH64" s="8">
        <f>IF($A64=AH$1,0,IF(SUM(IMshareM!AH$2:AH$78)-IMshareM!AH$34&gt;0,IMshareM!AH64/(SUM(IMshareM!AH$2:AH$78)-IMshareM!AH$34),0))</f>
        <v>1.4461774456072764E-3</v>
      </c>
      <c r="AI64" s="8">
        <f>IF($A64=AI$1,0,IF(SUM(IMshareM!AI$2:AI$78)-IMshareM!AI$35&gt;0,IMshareM!AI64/(SUM(IMshareM!AI$2:AI$78)-IMshareM!AI$35),0))</f>
        <v>6.430650657978798E-4</v>
      </c>
      <c r="AJ64" s="8">
        <f>IF($A64=AJ$1,0,IF(SUM(IMshareM!AJ$2:AJ$78)-IMshareM!AJ$36&gt;0,IMshareM!AJ64/(SUM(IMshareM!AJ$2:AJ$78)-IMshareM!AJ$36),0))</f>
        <v>0</v>
      </c>
      <c r="AK64" s="8">
        <f>IF($A64=AK$1,0,IF(SUM(IMshareM!AK$2:AK$78)-IMshareM!AK$37&gt;0,IMshareM!AK64/(SUM(IMshareM!AK$2:AK$78)-IMshareM!AK$37),0))</f>
        <v>0</v>
      </c>
      <c r="AL64" s="8">
        <f>IF($A64=AL$1,0,IF(SUM(IMshareM!AL$2:AL$78)-IMshareM!AL$38&gt;0,IMshareM!AL64/(SUM(IMshareM!AL$2:AL$78)-IMshareM!AL$38),0))</f>
        <v>1.3226927055181494E-4</v>
      </c>
      <c r="AM64" s="8">
        <f>IF($A64=AM$1,0,IF(SUM(IMshareM!AM$2:AM$78)-IMshareM!AM$39&gt;0,IMshareM!AM64/(SUM(IMshareM!AM$2:AM$78)-IMshareM!AM$39),0))</f>
        <v>1.0653801603620269E-3</v>
      </c>
      <c r="AN64" s="8">
        <f>IF($A64=AN$1,0,IF(SUM(IMshareM!AN$2:AN$78)-IMshareM!AN$40&gt;0,IMshareM!AN64/(SUM(IMshareM!AN$2:AN$78)-IMshareM!AN$40),0))</f>
        <v>7.7694456041888627E-7</v>
      </c>
      <c r="AO64" s="8">
        <f>IF($A64=AO$1,0,IF(SUM(IMshareM!AO$2:AO$78)-IMshareM!AO$41&gt;0,IMshareM!AO64/(SUM(IMshareM!AO$2:AO$78)-IMshareM!AO$41),0))</f>
        <v>0</v>
      </c>
      <c r="AP64" s="8">
        <f>IF($A64=AP$1,0,IF(SUM(IMshareM!AP$2:AP$78)-IMshareM!AP$42&gt;0,IMshareM!AP64/(SUM(IMshareM!AP$2:AP$78)-IMshareM!AP$42),0))</f>
        <v>0</v>
      </c>
      <c r="AQ64" s="8">
        <f>IF($A64=AQ$1,0,IF(SUM(IMshareM!AQ$2:AQ$78)-IMshareM!AQ$43&gt;0,IMshareM!AQ64/(SUM(IMshareM!AQ$2:AQ$78)-IMshareM!AQ$43),0))</f>
        <v>1.0280701928656021E-6</v>
      </c>
      <c r="AR64" s="8">
        <f>IF($A64=AR$1,0,IF(SUM(IMshareM!AR$2:AR$78)-IMshareM!AR$44&gt;0,IMshareM!AR64/(SUM(IMshareM!AR$2:AR$78)-IMshareM!AR$44),0))</f>
        <v>0</v>
      </c>
      <c r="AS64" s="8">
        <f>IF($A64=AS$1,0,IF(SUM(IMshareM!AS$2:AS$78)-IMshareM!AS$45&gt;0,IMshareM!AS64/(SUM(IMshareM!AS$2:AS$78)-IMshareM!AS$45),0))</f>
        <v>0</v>
      </c>
      <c r="AT64" s="8">
        <f>IF($A64=AT$1,0,IF(SUM(IMshareM!AT$2:AT$78)-IMshareM!AT$46&gt;0,IMshareM!AT64/(SUM(IMshareM!AT$2:AT$78)-IMshareM!AT$46),0))</f>
        <v>0</v>
      </c>
      <c r="AU64" s="8">
        <f>IF($A64=AU$1,0,IF(SUM(IMshareM!AU$2:AU$78)-IMshareM!AU$47&gt;0,IMshareM!AU64/(SUM(IMshareM!AU$2:AU$78)-IMshareM!AU$47),0))</f>
        <v>0</v>
      </c>
      <c r="AV64" s="8">
        <f>IF($A64=AV$1,0,IF(SUM(IMshareM!AV$2:AV$78)-IMshareM!AV$48&gt;0,IMshareM!AV64/(SUM(IMshareM!AV$2:AV$78)-IMshareM!AV$48),0))</f>
        <v>2.7404442167345816E-5</v>
      </c>
      <c r="AW64" s="8">
        <f>IF($A64=AW$1,0,IF(SUM(IMshareM!AW$2:AW$78)-IMshareM!AW$49&gt;0,IMshareM!AW64/(SUM(IMshareM!AW$2:AW$78)-IMshareM!AW$49),0))</f>
        <v>0</v>
      </c>
      <c r="AX64" s="8">
        <f>IF($A64=AX$1,0,IF(SUM(IMshareM!AX$2:AX$78)-IMshareM!AX$50&gt;0,IMshareM!AX64/(SUM(IMshareM!AX$2:AX$78)-IMshareM!AX$50),0))</f>
        <v>0</v>
      </c>
      <c r="AY64" s="8">
        <f>IF($A64=AY$1,0,IF(SUM(IMshareM!AY$2:AY$78)-IMshareM!AY$51&gt;0,IMshareM!AY64/(SUM(IMshareM!AY$2:AY$78)-IMshareM!AY$51),0))</f>
        <v>0</v>
      </c>
      <c r="AZ64" s="8">
        <f>IF($A64=AZ$1,0,IF(SUM(IMshareM!AZ$2:AZ$78)-IMshareM!AZ$52&gt;0,IMshareM!AZ64/(SUM(IMshareM!AZ$2:AZ$78)-IMshareM!AZ$52),0))</f>
        <v>0</v>
      </c>
      <c r="BA64" s="8">
        <f>IF($A64=BA$1,0,IF(SUM(IMshareM!BA$2:BA$78)-IMshareM!BA$53&gt;0,IMshareM!BA64/(SUM(IMshareM!BA$2:BA$78)-IMshareM!BA$53),0))</f>
        <v>0</v>
      </c>
      <c r="BB64" s="8">
        <f>IF($A64=BB$1,0,IF(SUM(IMshareM!BB$2:BB$78)-IMshareM!BB$54&gt;0,IMshareM!BB64/(SUM(IMshareM!BB$2:BB$78)-IMshareM!BB$54),0))</f>
        <v>6.4752774508639521E-4</v>
      </c>
      <c r="BC64" s="8">
        <f>IF($A64=BC$1,0,IF(SUM(IMshareM!BC$2:BC$78)-IMshareM!BC$55&gt;0,IMshareM!BC64/(SUM(IMshareM!BC$2:BC$78)-IMshareM!BC$55),0))</f>
        <v>0</v>
      </c>
      <c r="BD64" s="8">
        <f>IF($A64=BD$1,0,IF(SUM(IMshareM!BD$2:BD$78)-IMshareM!BD$56&gt;0,IMshareM!BD64/(SUM(IMshareM!BD$2:BD$78)-IMshareM!BD$56),0))</f>
        <v>0</v>
      </c>
      <c r="BE64" s="8">
        <f>IF($A64=BE$1,0,IF(SUM(IMshareM!BE$2:BE$78)-IMshareM!BE$57&gt;0,IMshareM!BE64/(SUM(IMshareM!BE$2:BE$78)-IMshareM!BE$57),0))</f>
        <v>0</v>
      </c>
      <c r="BF64" s="8">
        <f>IF($A64=BF$1,0,IF(SUM(IMshareM!BF$2:BF$78)-IMshareM!BF$58&gt;0,IMshareM!BF64/(SUM(IMshareM!BF$2:BF$78)-IMshareM!BF$58),0))</f>
        <v>0</v>
      </c>
      <c r="BG64" s="8">
        <f>IF($A64=BG$1,0,IF(SUM(IMshareM!BG$2:BG$78)-IMshareM!BG$59&gt;0,IMshareM!BG64/(SUM(IMshareM!BG$2:BG$78)-IMshareM!BG$59),0))</f>
        <v>0</v>
      </c>
      <c r="BH64" s="8">
        <f>IF($A64=BH$1,0,IF(SUM(IMshareM!BH$2:BH$78)-IMshareM!BH$60&gt;0,IMshareM!BH64/(SUM(IMshareM!BH$2:BH$78)-IMshareM!BH$60),0))</f>
        <v>0</v>
      </c>
      <c r="BI64" s="8">
        <f>IF($A64=BI$1,0,IF(SUM(IMshareM!BI$2:BI$78)-IMshareM!BI$61&gt;0,IMshareM!BI64/(SUM(IMshareM!BI$2:BI$78)-IMshareM!BI$61),0))</f>
        <v>0</v>
      </c>
      <c r="BJ64" s="8">
        <f>IF($A64=BJ$1,0,IF(SUM(IMshareM!BJ$2:BJ$78)-IMshareM!BJ$62&gt;0,IMshareM!BJ64/(SUM(IMshareM!BJ$2:BJ$78)-IMshareM!BJ$62),0))</f>
        <v>0</v>
      </c>
      <c r="BK64" s="8">
        <f>IF($A64=BK$1,0,IF(SUM(IMshareM!BK$2:BK$78)-IMshareM!BK$63&gt;0,IMshareM!BK64/(SUM(IMshareM!BK$2:BK$78)-IMshareM!BK$63),0))</f>
        <v>0</v>
      </c>
      <c r="BL64" s="8">
        <f>IF($A64=BL$1,0,IF(SUM(IMshareM!BL$2:BL$78)-IMshareM!BL$64&gt;0,IMshareM!BL64/(SUM(IMshareM!BL$2:BL$78)-IMshareM!BL$64),0))</f>
        <v>0</v>
      </c>
      <c r="BM64" s="8">
        <f>IF($A64=BM$1,0,IF(SUM(IMshareM!BM$2:BM$78)-IMshareM!BM$65&gt;0,IMshareM!BM64/(SUM(IMshareM!BM$2:BM$78)-IMshareM!BM$65),0))</f>
        <v>1.8383595630634943E-4</v>
      </c>
      <c r="BN64" s="8">
        <f>IF($A64=BN$1,0,IF(SUM(IMshareM!BN$2:BN$78)-IMshareM!BN$66&gt;0,IMshareM!BN64/(SUM(IMshareM!BN$2:BN$78)-IMshareM!BN$66),0))</f>
        <v>2.4569156878303299E-6</v>
      </c>
      <c r="BO64" s="8">
        <f>IF($A64=BO$1,0,IF(SUM(IMshareM!BO$2:BO$78)-IMshareM!BO$67&gt;0,IMshareM!BO64/(SUM(IMshareM!BO$2:BO$78)-IMshareM!BO$67),0))</f>
        <v>0</v>
      </c>
      <c r="BP64" s="8">
        <f>IF($A64=BP$1,0,IF(SUM(IMshareM!BP$2:BP$78)-IMshareM!BP$68&gt;0,IMshareM!BP64/(SUM(IMshareM!BP$2:BP$78)-IMshareM!BP$68),0))</f>
        <v>0</v>
      </c>
      <c r="BQ64" s="8">
        <f>IF($A64=BQ$1,0,IF(SUM(IMshareM!BQ$2:BQ$78)-IMshareM!BQ$69&gt;0,IMshareM!BQ64/(SUM(IMshareM!BQ$2:BQ$78)-IMshareM!BQ$69),0))</f>
        <v>0</v>
      </c>
      <c r="BR64" s="8">
        <f>IF($A64=BR$1,0,IF(SUM(IMshareM!BR$2:BR$78)-IMshareM!BR$70&gt;0,IMshareM!BR64/(SUM(IMshareM!BR$2:BR$78)-IMshareM!BR$70),0))</f>
        <v>7.7778581905334423E-7</v>
      </c>
      <c r="BS64" s="8">
        <f>IF($A64=BS$1,0,IF(SUM(IMshareM!BS$2:BS$78)-IMshareM!BS$71&gt;0,IMshareM!BS64/(SUM(IMshareM!BS$2:BS$78)-IMshareM!BS$71),0))</f>
        <v>0</v>
      </c>
      <c r="BT64" s="8">
        <f>IF($A64=BT$1,0,IF(SUM(IMshareM!BT$2:BT$78)-IMshareM!BT$72&gt;0,IMshareM!BT64/(SUM(IMshareM!BT$2:BT$78)-IMshareM!BT$72),0))</f>
        <v>6.6863543499193624E-4</v>
      </c>
      <c r="BU64" s="8">
        <f>IF($A64=BU$1,0,IF(SUM(IMshareM!BU$2:BU$78)-IMshareM!BU$73&gt;0,IMshareM!BU64/(SUM(IMshareM!BU$2:BU$78)-IMshareM!BU$73),0))</f>
        <v>0</v>
      </c>
      <c r="BV64" s="8">
        <f>IF($A64=BV$1,0,IF(SUM(IMshareM!BV$2:BV$78)-IMshareM!BV$74&gt;0,IMshareM!BV64/(SUM(IMshareM!BV$2:BV$78)-IMshareM!BV$74),0))</f>
        <v>0</v>
      </c>
      <c r="BW64" s="8">
        <f>IF($A64=BW$1,0,IF(SUM(IMshareM!BW$2:BW$78)-IMshareM!BW$75&gt;0,IMshareM!BW64/(SUM(IMshareM!BW$2:BW$78)-IMshareM!BW$75),0))</f>
        <v>3.098905358108351E-5</v>
      </c>
      <c r="BX64" s="8">
        <f>IF($A64=BX$1,0,IF(SUM(IMshareM!BX$2:BX$78)-IMshareM!BX$76&gt;0,IMshareM!BX64/(SUM(IMshareM!BX$2:BX$78)-IMshareM!BX$76),0))</f>
        <v>0</v>
      </c>
      <c r="BY64" s="8">
        <f>IF($A64=BY$1,0,IF(SUM(IMshareM!BY$2:BY$78)-IMshareM!BY$77&gt;0,IMshareM!BY64/(SUM(IMshareM!BY$2:BY$78)-IMshareM!BY$77),0))</f>
        <v>1.9418140356181954E-4</v>
      </c>
      <c r="BZ64" s="8">
        <f>IF($A64=BZ$1,0,IF(SUM(IMshareM!BZ$2:BZ$78)-IMshareM!BZ$78&gt;0,IMshareM!BZ64/(SUM(IMshareM!BZ$2:BZ$78)-IMshareM!BZ$78),0))</f>
        <v>7.7486108856181226E-3</v>
      </c>
    </row>
    <row r="65" spans="1:78">
      <c r="A65" s="4" t="s">
        <v>197</v>
      </c>
      <c r="B65" s="8">
        <f>IF($A65=B$1,0,IF(SUM(IMshareM!B$2:B$78)-IMshareM!B$2&gt;0,IMshareM!B65/(SUM(IMshareM!B$2:B$78)-IMshareM!B$2),0))</f>
        <v>0</v>
      </c>
      <c r="C65" s="8">
        <f>IF($A65=C$1,0,IF(SUM(IMshareM!C$2:C$78)-IMshareM!C$3&gt;0,IMshareM!C65/(SUM(IMshareM!C$2:C$78)-IMshareM!C$3),0))</f>
        <v>0</v>
      </c>
      <c r="D65" s="8">
        <f>IF($A65=D$1,0,IF(SUM(IMshareM!D$2:D$78)-IMshareM!D$4&gt;0,IMshareM!D65/(SUM(IMshareM!D$2:D$78)-IMshareM!D$4),0))</f>
        <v>0</v>
      </c>
      <c r="E65" s="8">
        <f>IF($A65=E$1,0,IF(SUM(IMshareM!E$2:E$78)-IMshareM!E$5&gt;0,IMshareM!E65/(SUM(IMshareM!E$2:E$78)-IMshareM!E$5),0))</f>
        <v>0</v>
      </c>
      <c r="F65" s="8">
        <f>IF($A65=F$1,0,IF(SUM(IMshareM!F$2:F$78)-IMshareM!F$6&gt;0,IMshareM!F65/(SUM(IMshareM!F$2:F$78)-IMshareM!F$6),0))</f>
        <v>0</v>
      </c>
      <c r="G65" s="8">
        <f>IF($A65=G$1,0,IF(SUM(IMshareM!G$2:G$78)-IMshareM!G$7&gt;0,IMshareM!G65/(SUM(IMshareM!G$2:G$78)-IMshareM!G$7),0))</f>
        <v>0</v>
      </c>
      <c r="H65" s="8">
        <f>IF($A65=H$1,0,IF(SUM(IMshareM!H$2:H$78)-IMshareM!H$8&gt;0,IMshareM!H65/(SUM(IMshareM!H$2:H$78)-IMshareM!H$8),0))</f>
        <v>0</v>
      </c>
      <c r="I65" s="8">
        <f>IF($A65=I$1,0,IF(SUM(IMshareM!I$2:I$78)-IMshareM!I$9&gt;0,IMshareM!I65/(SUM(IMshareM!I$2:I$78)-IMshareM!I$9),0))</f>
        <v>0</v>
      </c>
      <c r="J65" s="8">
        <f>IF($A65=J$1,0,IF(SUM(IMshareM!J$2:J$78)-IMshareM!J$10&gt;0,IMshareM!J65/(SUM(IMshareM!J$2:J$78)-IMshareM!J$10),0))</f>
        <v>0</v>
      </c>
      <c r="K65" s="8">
        <f>IF($A65=K$1,0,IF(SUM(IMshareM!K$2:K$78)-IMshareM!K$11&gt;0,IMshareM!K65/(SUM(IMshareM!K$2:K$78)-IMshareM!K$11),0))</f>
        <v>9.4180949309297894E-8</v>
      </c>
      <c r="L65" s="8">
        <f>IF($A65=L$1,0,IF(SUM(IMshareM!L$2:L$78)-IMshareM!L$12&gt;0,IMshareM!L65/(SUM(IMshareM!L$2:L$78)-IMshareM!L$12),0))</f>
        <v>0</v>
      </c>
      <c r="M65" s="8">
        <f>IF($A65=M$1,0,IF(SUM(IMshareM!M$2:M$78)-IMshareM!M$13&gt;0,IMshareM!M65/(SUM(IMshareM!M$2:M$78)-IMshareM!M$13),0))</f>
        <v>0</v>
      </c>
      <c r="N65" s="8">
        <f>IF($A65=N$1,0,IF(SUM(IMshareM!N$2:N$78)-IMshareM!N$14&gt;0,IMshareM!N65/(SUM(IMshareM!N$2:N$78)-IMshareM!N$14),0))</f>
        <v>0</v>
      </c>
      <c r="O65" s="8">
        <f>IF($A65=O$1,0,IF(SUM(IMshareM!O$2:O$78)-IMshareM!O$15&gt;0,IMshareM!O65/(SUM(IMshareM!O$2:O$78)-IMshareM!O$15),0))</f>
        <v>2.2686551748117079E-4</v>
      </c>
      <c r="P65" s="8">
        <f>IF($A65=P$1,0,IF(SUM(IMshareM!P$2:P$78)-IMshareM!P$16&gt;0,IMshareM!P65/(SUM(IMshareM!P$2:P$78)-IMshareM!P$16),0))</f>
        <v>0</v>
      </c>
      <c r="Q65" s="8">
        <f>IF($A65=Q$1,0,IF(SUM(IMshareM!Q$2:Q$78)-IMshareM!Q$17&gt;0,IMshareM!Q65/(SUM(IMshareM!Q$2:Q$78)-IMshareM!Q$17),0))</f>
        <v>0</v>
      </c>
      <c r="R65" s="8">
        <f>IF($A65=R$1,0,IF(SUM(IMshareM!R$2:R$78)-IMshareM!R$18&gt;0,IMshareM!R65/(SUM(IMshareM!R$2:R$78)-IMshareM!R$18),0))</f>
        <v>0</v>
      </c>
      <c r="S65" s="8">
        <f>IF($A65=S$1,0,IF(SUM(IMshareM!S$2:S$78)-IMshareM!S$19&gt;0,IMshareM!S65/(SUM(IMshareM!S$2:S$78)-IMshareM!S$19),0))</f>
        <v>0</v>
      </c>
      <c r="T65" s="8">
        <f>IF($A65=T$1,0,IF(SUM(IMshareM!T$2:T$78)-IMshareM!T$20&gt;0,IMshareM!T65/(SUM(IMshareM!T$2:T$78)-IMshareM!T$20),0))</f>
        <v>0</v>
      </c>
      <c r="U65" s="8">
        <f>IF($A65=U$1,0,IF(SUM(IMshareM!U$2:U$78)-IMshareM!U$21&gt;0,IMshareM!U65/(SUM(IMshareM!U$2:U$78)-IMshareM!U$21),0))</f>
        <v>2.1444866195882325E-7</v>
      </c>
      <c r="V65" s="8">
        <f>IF($A65=V$1,0,IF(SUM(IMshareM!V$2:V$78)-IMshareM!V$22&gt;0,IMshareM!V65/(SUM(IMshareM!V$2:V$78)-IMshareM!V$22),0))</f>
        <v>0</v>
      </c>
      <c r="W65" s="8">
        <f>IF($A65=W$1,0,IF(SUM(IMshareM!W$2:W$78)-IMshareM!W$23&gt;0,IMshareM!W65/(SUM(IMshareM!W$2:W$78)-IMshareM!W$23),0))</f>
        <v>0</v>
      </c>
      <c r="X65" s="8">
        <f>IF($A65=X$1,0,IF(SUM(IMshareM!X$2:X$78)-IMshareM!X$24&gt;0,IMshareM!X65/(SUM(IMshareM!X$2:X$78)-IMshareM!X$24),0))</f>
        <v>0</v>
      </c>
      <c r="Y65" s="8">
        <f>IF($A65=Y$1,0,IF(SUM(IMshareM!Y$2:Y$78)-IMshareM!Y$25&gt;0,IMshareM!Y65/(SUM(IMshareM!Y$2:Y$78)-IMshareM!Y$25),0))</f>
        <v>0</v>
      </c>
      <c r="Z65" s="8">
        <f>IF($A65=Z$1,0,IF(SUM(IMshareM!Z$2:Z$78)-IMshareM!Z$26&gt;0,IMshareM!Z65/(SUM(IMshareM!Z$2:Z$78)-IMshareM!Z$26),0))</f>
        <v>1.2457801494061348E-6</v>
      </c>
      <c r="AA65" s="8">
        <f>IF($A65=AA$1,0,IF(SUM(IMshareM!AA$2:AA$78)-IMshareM!AA$27&gt;0,IMshareM!AA65/(SUM(IMshareM!AA$2:AA$78)-IMshareM!AA$27),0))</f>
        <v>1.8365526993400075E-5</v>
      </c>
      <c r="AB65" s="8">
        <f>IF($A65=AB$1,0,IF(SUM(IMshareM!AB$2:AB$78)-IMshareM!AB$28&gt;0,IMshareM!AB65/(SUM(IMshareM!AB$2:AB$78)-IMshareM!AB$28),0))</f>
        <v>7.4019272512429975E-7</v>
      </c>
      <c r="AC65" s="8">
        <f>IF($A65=AC$1,0,IF(SUM(IMshareM!AC$2:AC$78)-IMshareM!AC$29&gt;0,IMshareM!AC65/(SUM(IMshareM!AC$2:AC$78)-IMshareM!AC$29),0))</f>
        <v>2.2778006036329969E-5</v>
      </c>
      <c r="AD65" s="8">
        <f>IF($A65=AD$1,0,IF(SUM(IMshareM!AD$2:AD$78)-IMshareM!AD$30&gt;0,IMshareM!AD65/(SUM(IMshareM!AD$2:AD$78)-IMshareM!AD$30),0))</f>
        <v>0</v>
      </c>
      <c r="AE65" s="8">
        <f>IF($A65=AE$1,0,IF(SUM(IMshareM!AE$2:AE$78)-IMshareM!AE$31&gt;0,IMshareM!AE65/(SUM(IMshareM!AE$2:AE$78)-IMshareM!AE$31),0))</f>
        <v>0</v>
      </c>
      <c r="AF65" s="8">
        <f>IF($A65=AF$1,0,IF(SUM(IMshareM!AF$2:AF$78)-IMshareM!AF$32&gt;0,IMshareM!AF65/(SUM(IMshareM!AF$2:AF$78)-IMshareM!AF$32),0))</f>
        <v>0</v>
      </c>
      <c r="AG65" s="8">
        <f>IF($A65=AG$1,0,IF(SUM(IMshareM!AG$2:AG$78)-IMshareM!AG$33&gt;0,IMshareM!AG65/(SUM(IMshareM!AG$2:AG$78)-IMshareM!AG$33),0))</f>
        <v>0</v>
      </c>
      <c r="AH65" s="8">
        <f>IF($A65=AH$1,0,IF(SUM(IMshareM!AH$2:AH$78)-IMshareM!AH$34&gt;0,IMshareM!AH65/(SUM(IMshareM!AH$2:AH$78)-IMshareM!AH$34),0))</f>
        <v>0</v>
      </c>
      <c r="AI65" s="8">
        <f>IF($A65=AI$1,0,IF(SUM(IMshareM!AI$2:AI$78)-IMshareM!AI$35&gt;0,IMshareM!AI65/(SUM(IMshareM!AI$2:AI$78)-IMshareM!AI$35),0))</f>
        <v>0</v>
      </c>
      <c r="AJ65" s="8">
        <f>IF($A65=AJ$1,0,IF(SUM(IMshareM!AJ$2:AJ$78)-IMshareM!AJ$36&gt;0,IMshareM!AJ65/(SUM(IMshareM!AJ$2:AJ$78)-IMshareM!AJ$36),0))</f>
        <v>0</v>
      </c>
      <c r="AK65" s="8">
        <f>IF($A65=AK$1,0,IF(SUM(IMshareM!AK$2:AK$78)-IMshareM!AK$37&gt;0,IMshareM!AK65/(SUM(IMshareM!AK$2:AK$78)-IMshareM!AK$37),0))</f>
        <v>0</v>
      </c>
      <c r="AL65" s="8">
        <f>IF($A65=AL$1,0,IF(SUM(IMshareM!AL$2:AL$78)-IMshareM!AL$38&gt;0,IMshareM!AL65/(SUM(IMshareM!AL$2:AL$78)-IMshareM!AL$38),0))</f>
        <v>0</v>
      </c>
      <c r="AM65" s="8">
        <f>IF($A65=AM$1,0,IF(SUM(IMshareM!AM$2:AM$78)-IMshareM!AM$39&gt;0,IMshareM!AM65/(SUM(IMshareM!AM$2:AM$78)-IMshareM!AM$39),0))</f>
        <v>0</v>
      </c>
      <c r="AN65" s="8">
        <f>IF($A65=AN$1,0,IF(SUM(IMshareM!AN$2:AN$78)-IMshareM!AN$40&gt;0,IMshareM!AN65/(SUM(IMshareM!AN$2:AN$78)-IMshareM!AN$40),0))</f>
        <v>0</v>
      </c>
      <c r="AO65" s="8">
        <f>IF($A65=AO$1,0,IF(SUM(IMshareM!AO$2:AO$78)-IMshareM!AO$41&gt;0,IMshareM!AO65/(SUM(IMshareM!AO$2:AO$78)-IMshareM!AO$41),0))</f>
        <v>0</v>
      </c>
      <c r="AP65" s="8">
        <f>IF($A65=AP$1,0,IF(SUM(IMshareM!AP$2:AP$78)-IMshareM!AP$42&gt;0,IMshareM!AP65/(SUM(IMshareM!AP$2:AP$78)-IMshareM!AP$42),0))</f>
        <v>0</v>
      </c>
      <c r="AQ65" s="8">
        <f>IF($A65=AQ$1,0,IF(SUM(IMshareM!AQ$2:AQ$78)-IMshareM!AQ$43&gt;0,IMshareM!AQ65/(SUM(IMshareM!AQ$2:AQ$78)-IMshareM!AQ$43),0))</f>
        <v>0</v>
      </c>
      <c r="AR65" s="8">
        <f>IF($A65=AR$1,0,IF(SUM(IMshareM!AR$2:AR$78)-IMshareM!AR$44&gt;0,IMshareM!AR65/(SUM(IMshareM!AR$2:AR$78)-IMshareM!AR$44),0))</f>
        <v>0</v>
      </c>
      <c r="AS65" s="8">
        <f>IF($A65=AS$1,0,IF(SUM(IMshareM!AS$2:AS$78)-IMshareM!AS$45&gt;0,IMshareM!AS65/(SUM(IMshareM!AS$2:AS$78)-IMshareM!AS$45),0))</f>
        <v>0</v>
      </c>
      <c r="AT65" s="8">
        <f>IF($A65=AT$1,0,IF(SUM(IMshareM!AT$2:AT$78)-IMshareM!AT$46&gt;0,IMshareM!AT65/(SUM(IMshareM!AT$2:AT$78)-IMshareM!AT$46),0))</f>
        <v>0</v>
      </c>
      <c r="AU65" s="8">
        <f>IF($A65=AU$1,0,IF(SUM(IMshareM!AU$2:AU$78)-IMshareM!AU$47&gt;0,IMshareM!AU65/(SUM(IMshareM!AU$2:AU$78)-IMshareM!AU$47),0))</f>
        <v>0</v>
      </c>
      <c r="AV65" s="8">
        <f>IF($A65=AV$1,0,IF(SUM(IMshareM!AV$2:AV$78)-IMshareM!AV$48&gt;0,IMshareM!AV65/(SUM(IMshareM!AV$2:AV$78)-IMshareM!AV$48),0))</f>
        <v>1.3479187707985193E-4</v>
      </c>
      <c r="AW65" s="8">
        <f>IF($A65=AW$1,0,IF(SUM(IMshareM!AW$2:AW$78)-IMshareM!AW$49&gt;0,IMshareM!AW65/(SUM(IMshareM!AW$2:AW$78)-IMshareM!AW$49),0))</f>
        <v>0</v>
      </c>
      <c r="AX65" s="8">
        <f>IF($A65=AX$1,0,IF(SUM(IMshareM!AX$2:AX$78)-IMshareM!AX$50&gt;0,IMshareM!AX65/(SUM(IMshareM!AX$2:AX$78)-IMshareM!AX$50),0))</f>
        <v>0</v>
      </c>
      <c r="AY65" s="8">
        <f>IF($A65=AY$1,0,IF(SUM(IMshareM!AY$2:AY$78)-IMshareM!AY$51&gt;0,IMshareM!AY65/(SUM(IMshareM!AY$2:AY$78)-IMshareM!AY$51),0))</f>
        <v>0</v>
      </c>
      <c r="AZ65" s="8">
        <f>IF($A65=AZ$1,0,IF(SUM(IMshareM!AZ$2:AZ$78)-IMshareM!AZ$52&gt;0,IMshareM!AZ65/(SUM(IMshareM!AZ$2:AZ$78)-IMshareM!AZ$52),0))</f>
        <v>0</v>
      </c>
      <c r="BA65" s="8">
        <f>IF($A65=BA$1,0,IF(SUM(IMshareM!BA$2:BA$78)-IMshareM!BA$53&gt;0,IMshareM!BA65/(SUM(IMshareM!BA$2:BA$78)-IMshareM!BA$53),0))</f>
        <v>0</v>
      </c>
      <c r="BB65" s="8">
        <f>IF($A65=BB$1,0,IF(SUM(IMshareM!BB$2:BB$78)-IMshareM!BB$54&gt;0,IMshareM!BB65/(SUM(IMshareM!BB$2:BB$78)-IMshareM!BB$54),0))</f>
        <v>3.1800953090069767E-6</v>
      </c>
      <c r="BC65" s="8">
        <f>IF($A65=BC$1,0,IF(SUM(IMshareM!BC$2:BC$78)-IMshareM!BC$55&gt;0,IMshareM!BC65/(SUM(IMshareM!BC$2:BC$78)-IMshareM!BC$55),0))</f>
        <v>0</v>
      </c>
      <c r="BD65" s="8">
        <f>IF($A65=BD$1,0,IF(SUM(IMshareM!BD$2:BD$78)-IMshareM!BD$56&gt;0,IMshareM!BD65/(SUM(IMshareM!BD$2:BD$78)-IMshareM!BD$56),0))</f>
        <v>0</v>
      </c>
      <c r="BE65" s="8">
        <f>IF($A65=BE$1,0,IF(SUM(IMshareM!BE$2:BE$78)-IMshareM!BE$57&gt;0,IMshareM!BE65/(SUM(IMshareM!BE$2:BE$78)-IMshareM!BE$57),0))</f>
        <v>0</v>
      </c>
      <c r="BF65" s="8">
        <f>IF($A65=BF$1,0,IF(SUM(IMshareM!BF$2:BF$78)-IMshareM!BF$58&gt;0,IMshareM!BF65/(SUM(IMshareM!BF$2:BF$78)-IMshareM!BF$58),0))</f>
        <v>0</v>
      </c>
      <c r="BG65" s="8">
        <f>IF($A65=BG$1,0,IF(SUM(IMshareM!BG$2:BG$78)-IMshareM!BG$59&gt;0,IMshareM!BG65/(SUM(IMshareM!BG$2:BG$78)-IMshareM!BG$59),0))</f>
        <v>0</v>
      </c>
      <c r="BH65" s="8">
        <f>IF($A65=BH$1,0,IF(SUM(IMshareM!BH$2:BH$78)-IMshareM!BH$60&gt;0,IMshareM!BH65/(SUM(IMshareM!BH$2:BH$78)-IMshareM!BH$60),0))</f>
        <v>0</v>
      </c>
      <c r="BI65" s="8">
        <f>IF($A65=BI$1,0,IF(SUM(IMshareM!BI$2:BI$78)-IMshareM!BI$61&gt;0,IMshareM!BI65/(SUM(IMshareM!BI$2:BI$78)-IMshareM!BI$61),0))</f>
        <v>0</v>
      </c>
      <c r="BJ65" s="8">
        <f>IF($A65=BJ$1,0,IF(SUM(IMshareM!BJ$2:BJ$78)-IMshareM!BJ$62&gt;0,IMshareM!BJ65/(SUM(IMshareM!BJ$2:BJ$78)-IMshareM!BJ$62),0))</f>
        <v>0</v>
      </c>
      <c r="BK65" s="8">
        <f>IF($A65=BK$1,0,IF(SUM(IMshareM!BK$2:BK$78)-IMshareM!BK$63&gt;0,IMshareM!BK65/(SUM(IMshareM!BK$2:BK$78)-IMshareM!BK$63),0))</f>
        <v>0</v>
      </c>
      <c r="BL65" s="8">
        <f>IF($A65=BL$1,0,IF(SUM(IMshareM!BL$2:BL$78)-IMshareM!BL$64&gt;0,IMshareM!BL65/(SUM(IMshareM!BL$2:BL$78)-IMshareM!BL$64),0))</f>
        <v>0</v>
      </c>
      <c r="BM65" s="8">
        <f>IF($A65=BM$1,0,IF(SUM(IMshareM!BM$2:BM$78)-IMshareM!BM$65&gt;0,IMshareM!BM65/(SUM(IMshareM!BM$2:BM$78)-IMshareM!BM$65),0))</f>
        <v>0</v>
      </c>
      <c r="BN65" s="8">
        <f>IF($A65=BN$1,0,IF(SUM(IMshareM!BN$2:BN$78)-IMshareM!BN$66&gt;0,IMshareM!BN65/(SUM(IMshareM!BN$2:BN$78)-IMshareM!BN$66),0))</f>
        <v>0</v>
      </c>
      <c r="BO65" s="8">
        <f>IF($A65=BO$1,0,IF(SUM(IMshareM!BO$2:BO$78)-IMshareM!BO$67&gt;0,IMshareM!BO65/(SUM(IMshareM!BO$2:BO$78)-IMshareM!BO$67),0))</f>
        <v>0</v>
      </c>
      <c r="BP65" s="8">
        <f>IF($A65=BP$1,0,IF(SUM(IMshareM!BP$2:BP$78)-IMshareM!BP$68&gt;0,IMshareM!BP65/(SUM(IMshareM!BP$2:BP$78)-IMshareM!BP$68),0))</f>
        <v>0</v>
      </c>
      <c r="BQ65" s="8">
        <f>IF($A65=BQ$1,0,IF(SUM(IMshareM!BQ$2:BQ$78)-IMshareM!BQ$69&gt;0,IMshareM!BQ65/(SUM(IMshareM!BQ$2:BQ$78)-IMshareM!BQ$69),0))</f>
        <v>0</v>
      </c>
      <c r="BR65" s="8">
        <f>IF($A65=BR$1,0,IF(SUM(IMshareM!BR$2:BR$78)-IMshareM!BR$70&gt;0,IMshareM!BR65/(SUM(IMshareM!BR$2:BR$78)-IMshareM!BR$70),0))</f>
        <v>0</v>
      </c>
      <c r="BS65" s="8">
        <f>IF($A65=BS$1,0,IF(SUM(IMshareM!BS$2:BS$78)-IMshareM!BS$71&gt;0,IMshareM!BS65/(SUM(IMshareM!BS$2:BS$78)-IMshareM!BS$71),0))</f>
        <v>0</v>
      </c>
      <c r="BT65" s="8">
        <f>IF($A65=BT$1,0,IF(SUM(IMshareM!BT$2:BT$78)-IMshareM!BT$72&gt;0,IMshareM!BT65/(SUM(IMshareM!BT$2:BT$78)-IMshareM!BT$72),0))</f>
        <v>2.546594842605267E-7</v>
      </c>
      <c r="BU65" s="8">
        <f>IF($A65=BU$1,0,IF(SUM(IMshareM!BU$2:BU$78)-IMshareM!BU$73&gt;0,IMshareM!BU65/(SUM(IMshareM!BU$2:BU$78)-IMshareM!BU$73),0))</f>
        <v>0</v>
      </c>
      <c r="BV65" s="8">
        <f>IF($A65=BV$1,0,IF(SUM(IMshareM!BV$2:BV$78)-IMshareM!BV$74&gt;0,IMshareM!BV65/(SUM(IMshareM!BV$2:BV$78)-IMshareM!BV$74),0))</f>
        <v>0</v>
      </c>
      <c r="BW65" s="8">
        <f>IF($A65=BW$1,0,IF(SUM(IMshareM!BW$2:BW$78)-IMshareM!BW$75&gt;0,IMshareM!BW65/(SUM(IMshareM!BW$2:BW$78)-IMshareM!BW$75),0))</f>
        <v>1.1710735075960943E-5</v>
      </c>
      <c r="BX65" s="8">
        <f>IF($A65=BX$1,0,IF(SUM(IMshareM!BX$2:BX$78)-IMshareM!BX$76&gt;0,IMshareM!BX65/(SUM(IMshareM!BX$2:BX$78)-IMshareM!BX$76),0))</f>
        <v>0</v>
      </c>
      <c r="BY65" s="8">
        <f>IF($A65=BY$1,0,IF(SUM(IMshareM!BY$2:BY$78)-IMshareM!BY$77&gt;0,IMshareM!BY65/(SUM(IMshareM!BY$2:BY$78)-IMshareM!BY$77),0))</f>
        <v>0</v>
      </c>
      <c r="BZ65" s="8">
        <f>IF($A65=BZ$1,0,IF(SUM(IMshareM!BZ$2:BZ$78)-IMshareM!BZ$78&gt;0,IMshareM!BZ65/(SUM(IMshareM!BZ$2:BZ$78)-IMshareM!BZ$78),0))</f>
        <v>1.8189108210252569E-6</v>
      </c>
    </row>
    <row r="66" spans="1:78">
      <c r="A66" s="4" t="s">
        <v>199</v>
      </c>
      <c r="B66" s="8">
        <f>IF($A66=B$1,0,IF(SUM(IMshareM!B$2:B$78)-IMshareM!B$2&gt;0,IMshareM!B66/(SUM(IMshareM!B$2:B$78)-IMshareM!B$2),0))</f>
        <v>4.1953560745257393E-5</v>
      </c>
      <c r="C66" s="8">
        <f>IF($A66=C$1,0,IF(SUM(IMshareM!C$2:C$78)-IMshareM!C$3&gt;0,IMshareM!C66/(SUM(IMshareM!C$2:C$78)-IMshareM!C$3),0))</f>
        <v>2.7440195952730659E-2</v>
      </c>
      <c r="D66" s="8">
        <f>IF($A66=D$1,0,IF(SUM(IMshareM!D$2:D$78)-IMshareM!D$4&gt;0,IMshareM!D66/(SUM(IMshareM!D$2:D$78)-IMshareM!D$4),0))</f>
        <v>7.6342148004431622E-5</v>
      </c>
      <c r="E66" s="8">
        <f>IF($A66=E$1,0,IF(SUM(IMshareM!E$2:E$78)-IMshareM!E$5&gt;0,IMshareM!E66/(SUM(IMshareM!E$2:E$78)-IMshareM!E$5),0))</f>
        <v>3.60747057306591E-5</v>
      </c>
      <c r="F66" s="8">
        <f>IF($A66=F$1,0,IF(SUM(IMshareM!F$2:F$78)-IMshareM!F$6&gt;0,IMshareM!F66/(SUM(IMshareM!F$2:F$78)-IMshareM!F$6),0))</f>
        <v>2.3626926504085804E-2</v>
      </c>
      <c r="G66" s="8">
        <f>IF($A66=G$1,0,IF(SUM(IMshareM!G$2:G$78)-IMshareM!G$7&gt;0,IMshareM!G66/(SUM(IMshareM!G$2:G$78)-IMshareM!G$7),0))</f>
        <v>4.3754308520006731E-4</v>
      </c>
      <c r="H66" s="8">
        <f>IF($A66=H$1,0,IF(SUM(IMshareM!H$2:H$78)-IMshareM!H$8&gt;0,IMshareM!H66/(SUM(IMshareM!H$2:H$78)-IMshareM!H$8),0))</f>
        <v>0</v>
      </c>
      <c r="I66" s="8">
        <f>IF($A66=I$1,0,IF(SUM(IMshareM!I$2:I$78)-IMshareM!I$9&gt;0,IMshareM!I66/(SUM(IMshareM!I$2:I$78)-IMshareM!I$9),0))</f>
        <v>4.3605643894607674E-3</v>
      </c>
      <c r="J66" s="8">
        <f>IF($A66=J$1,0,IF(SUM(IMshareM!J$2:J$78)-IMshareM!J$10&gt;0,IMshareM!J66/(SUM(IMshareM!J$2:J$78)-IMshareM!J$10),0))</f>
        <v>0.13888068332402431</v>
      </c>
      <c r="K66" s="8">
        <f>IF($A66=K$1,0,IF(SUM(IMshareM!K$2:K$78)-IMshareM!K$11&gt;0,IMshareM!K66/(SUM(IMshareM!K$2:K$78)-IMshareM!K$11),0))</f>
        <v>6.8907327865743622E-3</v>
      </c>
      <c r="L66" s="8">
        <f>IF($A66=L$1,0,IF(SUM(IMshareM!L$2:L$78)-IMshareM!L$12&gt;0,IMshareM!L66/(SUM(IMshareM!L$2:L$78)-IMshareM!L$12),0))</f>
        <v>6.7213959665724172E-4</v>
      </c>
      <c r="M66" s="8">
        <f>IF($A66=M$1,0,IF(SUM(IMshareM!M$2:M$78)-IMshareM!M$13&gt;0,IMshareM!M66/(SUM(IMshareM!M$2:M$78)-IMshareM!M$13),0))</f>
        <v>2.3068143925555854E-5</v>
      </c>
      <c r="N66" s="8">
        <f>IF($A66=N$1,0,IF(SUM(IMshareM!N$2:N$78)-IMshareM!N$14&gt;0,IMshareM!N66/(SUM(IMshareM!N$2:N$78)-IMshareM!N$14),0))</f>
        <v>1.150569511906204E-2</v>
      </c>
      <c r="O66" s="8">
        <f>IF($A66=O$1,0,IF(SUM(IMshareM!O$2:O$78)-IMshareM!O$15&gt;0,IMshareM!O66/(SUM(IMshareM!O$2:O$78)-IMshareM!O$15),0))</f>
        <v>1.6297133637705151E-3</v>
      </c>
      <c r="P66" s="8">
        <f>IF($A66=P$1,0,IF(SUM(IMshareM!P$2:P$78)-IMshareM!P$16&gt;0,IMshareM!P66/(SUM(IMshareM!P$2:P$78)-IMshareM!P$16),0))</f>
        <v>2.1860928084370748E-3</v>
      </c>
      <c r="Q66" s="8">
        <f>IF($A66=Q$1,0,IF(SUM(IMshareM!Q$2:Q$78)-IMshareM!Q$17&gt;0,IMshareM!Q66/(SUM(IMshareM!Q$2:Q$78)-IMshareM!Q$17),0))</f>
        <v>1.4599638606166269E-4</v>
      </c>
      <c r="R66" s="8">
        <f>IF($A66=R$1,0,IF(SUM(IMshareM!R$2:R$78)-IMshareM!R$18&gt;0,IMshareM!R66/(SUM(IMshareM!R$2:R$78)-IMshareM!R$18),0))</f>
        <v>7.3278454867928256E-4</v>
      </c>
      <c r="S66" s="8">
        <f>IF($A66=S$1,0,IF(SUM(IMshareM!S$2:S$78)-IMshareM!S$19&gt;0,IMshareM!S66/(SUM(IMshareM!S$2:S$78)-IMshareM!S$19),0))</f>
        <v>1.0533300993528058E-3</v>
      </c>
      <c r="T66" s="8">
        <f>IF($A66=T$1,0,IF(SUM(IMshareM!T$2:T$78)-IMshareM!T$20&gt;0,IMshareM!T66/(SUM(IMshareM!T$2:T$78)-IMshareM!T$20),0))</f>
        <v>8.2468229906931679E-5</v>
      </c>
      <c r="U66" s="8">
        <f>IF($A66=U$1,0,IF(SUM(IMshareM!U$2:U$78)-IMshareM!U$21&gt;0,IMshareM!U66/(SUM(IMshareM!U$2:U$78)-IMshareM!U$21),0))</f>
        <v>2.9906552961638525E-4</v>
      </c>
      <c r="V66" s="8">
        <f>IF($A66=V$1,0,IF(SUM(IMshareM!V$2:V$78)-IMshareM!V$22&gt;0,IMshareM!V66/(SUM(IMshareM!V$2:V$78)-IMshareM!V$22),0))</f>
        <v>4.9334219203247627E-5</v>
      </c>
      <c r="W66" s="8">
        <f>IF($A66=W$1,0,IF(SUM(IMshareM!W$2:W$78)-IMshareM!W$23&gt;0,IMshareM!W66/(SUM(IMshareM!W$2:W$78)-IMshareM!W$23),0))</f>
        <v>3.3081729709850299E-4</v>
      </c>
      <c r="X66" s="8">
        <f>IF($A66=X$1,0,IF(SUM(IMshareM!X$2:X$78)-IMshareM!X$24&gt;0,IMshareM!X66/(SUM(IMshareM!X$2:X$78)-IMshareM!X$24),0))</f>
        <v>1.8496694146445463E-4</v>
      </c>
      <c r="Y66" s="8">
        <f>IF($A66=Y$1,0,IF(SUM(IMshareM!Y$2:Y$78)-IMshareM!Y$25&gt;0,IMshareM!Y66/(SUM(IMshareM!Y$2:Y$78)-IMshareM!Y$25),0))</f>
        <v>7.6170107225145413E-5</v>
      </c>
      <c r="Z66" s="8">
        <f>IF($A66=Z$1,0,IF(SUM(IMshareM!Z$2:Z$78)-IMshareM!Z$26&gt;0,IMshareM!Z66/(SUM(IMshareM!Z$2:Z$78)-IMshareM!Z$26),0))</f>
        <v>9.5303944030106872E-5</v>
      </c>
      <c r="AA66" s="8">
        <f>IF($A66=AA$1,0,IF(SUM(IMshareM!AA$2:AA$78)-IMshareM!AA$27&gt;0,IMshareM!AA66/(SUM(IMshareM!AA$2:AA$78)-IMshareM!AA$27),0))</f>
        <v>1.2964088546503954E-3</v>
      </c>
      <c r="AB66" s="8">
        <f>IF($A66=AB$1,0,IF(SUM(IMshareM!AB$2:AB$78)-IMshareM!AB$28&gt;0,IMshareM!AB66/(SUM(IMshareM!AB$2:AB$78)-IMshareM!AB$28),0))</f>
        <v>1.4463224765861723E-3</v>
      </c>
      <c r="AC66" s="8">
        <f>IF($A66=AC$1,0,IF(SUM(IMshareM!AC$2:AC$78)-IMshareM!AC$29&gt;0,IMshareM!AC66/(SUM(IMshareM!AC$2:AC$78)-IMshareM!AC$29),0))</f>
        <v>5.630194726700495E-5</v>
      </c>
      <c r="AD66" s="8">
        <f>IF($A66=AD$1,0,IF(SUM(IMshareM!AD$2:AD$78)-IMshareM!AD$30&gt;0,IMshareM!AD66/(SUM(IMshareM!AD$2:AD$78)-IMshareM!AD$30),0))</f>
        <v>9.4481888520931319E-3</v>
      </c>
      <c r="AE66" s="8">
        <f>IF($A66=AE$1,0,IF(SUM(IMshareM!AE$2:AE$78)-IMshareM!AE$31&gt;0,IMshareM!AE66/(SUM(IMshareM!AE$2:AE$78)-IMshareM!AE$31),0))</f>
        <v>7.8416768690111336E-5</v>
      </c>
      <c r="AF66" s="8">
        <f>IF($A66=AF$1,0,IF(SUM(IMshareM!AF$2:AF$78)-IMshareM!AF$32&gt;0,IMshareM!AF66/(SUM(IMshareM!AF$2:AF$78)-IMshareM!AF$32),0))</f>
        <v>6.0493010242211966E-4</v>
      </c>
      <c r="AG66" s="8">
        <f>IF($A66=AG$1,0,IF(SUM(IMshareM!AG$2:AG$78)-IMshareM!AG$33&gt;0,IMshareM!AG66/(SUM(IMshareM!AG$2:AG$78)-IMshareM!AG$33),0))</f>
        <v>5.3338351295748647E-2</v>
      </c>
      <c r="AH66" s="8">
        <f>IF($A66=AH$1,0,IF(SUM(IMshareM!AH$2:AH$78)-IMshareM!AH$34&gt;0,IMshareM!AH66/(SUM(IMshareM!AH$2:AH$78)-IMshareM!AH$34),0))</f>
        <v>1.2520773884055475E-2</v>
      </c>
      <c r="AI66" s="8">
        <f>IF($A66=AI$1,0,IF(SUM(IMshareM!AI$2:AI$78)-IMshareM!AI$35&gt;0,IMshareM!AI66/(SUM(IMshareM!AI$2:AI$78)-IMshareM!AI$35),0))</f>
        <v>7.3507159798315356E-4</v>
      </c>
      <c r="AJ66" s="8">
        <f>IF($A66=AJ$1,0,IF(SUM(IMshareM!AJ$2:AJ$78)-IMshareM!AJ$36&gt;0,IMshareM!AJ66/(SUM(IMshareM!AJ$2:AJ$78)-IMshareM!AJ$36),0))</f>
        <v>2.2493622587127439E-3</v>
      </c>
      <c r="AK66" s="8">
        <f>IF($A66=AK$1,0,IF(SUM(IMshareM!AK$2:AK$78)-IMshareM!AK$37&gt;0,IMshareM!AK66/(SUM(IMshareM!AK$2:AK$78)-IMshareM!AK$37),0))</f>
        <v>2.6718591184339727E-3</v>
      </c>
      <c r="AL66" s="8">
        <f>IF($A66=AL$1,0,IF(SUM(IMshareM!AL$2:AL$78)-IMshareM!AL$38&gt;0,IMshareM!AL66/(SUM(IMshareM!AL$2:AL$78)-IMshareM!AL$38),0))</f>
        <v>2.9438776319946365E-5</v>
      </c>
      <c r="AM66" s="8">
        <f>IF($A66=AM$1,0,IF(SUM(IMshareM!AM$2:AM$78)-IMshareM!AM$39&gt;0,IMshareM!AM66/(SUM(IMshareM!AM$2:AM$78)-IMshareM!AM$39),0))</f>
        <v>1.508360427140756E-3</v>
      </c>
      <c r="AN66" s="8">
        <f>IF($A66=AN$1,0,IF(SUM(IMshareM!AN$2:AN$78)-IMshareM!AN$40&gt;0,IMshareM!AN66/(SUM(IMshareM!AN$2:AN$78)-IMshareM!AN$40),0))</f>
        <v>3.5352424180547416E-4</v>
      </c>
      <c r="AO66" s="8">
        <f>IF($A66=AO$1,0,IF(SUM(IMshareM!AO$2:AO$78)-IMshareM!AO$41&gt;0,IMshareM!AO66/(SUM(IMshareM!AO$2:AO$78)-IMshareM!AO$41),0))</f>
        <v>2.7125711886703205E-6</v>
      </c>
      <c r="AP66" s="8">
        <f>IF($A66=AP$1,0,IF(SUM(IMshareM!AP$2:AP$78)-IMshareM!AP$42&gt;0,IMshareM!AP66/(SUM(IMshareM!AP$2:AP$78)-IMshareM!AP$42),0))</f>
        <v>2.7439221660765351E-3</v>
      </c>
      <c r="AQ66" s="8">
        <f>IF($A66=AQ$1,0,IF(SUM(IMshareM!AQ$2:AQ$78)-IMshareM!AQ$43&gt;0,IMshareM!AQ66/(SUM(IMshareM!AQ$2:AQ$78)-IMshareM!AQ$43),0))</f>
        <v>3.7167461959846971E-4</v>
      </c>
      <c r="AR66" s="8">
        <f>IF($A66=AR$1,0,IF(SUM(IMshareM!AR$2:AR$78)-IMshareM!AR$44&gt;0,IMshareM!AR66/(SUM(IMshareM!AR$2:AR$78)-IMshareM!AR$44),0))</f>
        <v>1.455732308240596E-3</v>
      </c>
      <c r="AS66" s="8">
        <f>IF($A66=AS$1,0,IF(SUM(IMshareM!AS$2:AS$78)-IMshareM!AS$45&gt;0,IMshareM!AS66/(SUM(IMshareM!AS$2:AS$78)-IMshareM!AS$45),0))</f>
        <v>1.2879149109789337E-2</v>
      </c>
      <c r="AT66" s="8">
        <f>IF($A66=AT$1,0,IF(SUM(IMshareM!AT$2:AT$78)-IMshareM!AT$46&gt;0,IMshareM!AT66/(SUM(IMshareM!AT$2:AT$78)-IMshareM!AT$46),0))</f>
        <v>1.476840329870463E-7</v>
      </c>
      <c r="AU66" s="8">
        <f>IF($A66=AU$1,0,IF(SUM(IMshareM!AU$2:AU$78)-IMshareM!AU$47&gt;0,IMshareM!AU66/(SUM(IMshareM!AU$2:AU$78)-IMshareM!AU$47),0))</f>
        <v>0</v>
      </c>
      <c r="AV66" s="8">
        <f>IF($A66=AV$1,0,IF(SUM(IMshareM!AV$2:AV$78)-IMshareM!AV$48&gt;0,IMshareM!AV66/(SUM(IMshareM!AV$2:AV$78)-IMshareM!AV$48),0))</f>
        <v>1.9297323451956001E-4</v>
      </c>
      <c r="AW66" s="8">
        <f>IF($A66=AW$1,0,IF(SUM(IMshareM!AW$2:AW$78)-IMshareM!AW$49&gt;0,IMshareM!AW66/(SUM(IMshareM!AW$2:AW$78)-IMshareM!AW$49),0))</f>
        <v>6.7698920852418137E-5</v>
      </c>
      <c r="AX66" s="8">
        <f>IF($A66=AX$1,0,IF(SUM(IMshareM!AX$2:AX$78)-IMshareM!AX$50&gt;0,IMshareM!AX66/(SUM(IMshareM!AX$2:AX$78)-IMshareM!AX$50),0))</f>
        <v>6.156411576314823E-4</v>
      </c>
      <c r="AY66" s="8">
        <f>IF($A66=AY$1,0,IF(SUM(IMshareM!AY$2:AY$78)-IMshareM!AY$51&gt;0,IMshareM!AY66/(SUM(IMshareM!AY$2:AY$78)-IMshareM!AY$51),0))</f>
        <v>4.3053126713349862E-2</v>
      </c>
      <c r="AZ66" s="8">
        <f>IF($A66=AZ$1,0,IF(SUM(IMshareM!AZ$2:AZ$78)-IMshareM!AZ$52&gt;0,IMshareM!AZ66/(SUM(IMshareM!AZ$2:AZ$78)-IMshareM!AZ$52),0))</f>
        <v>0.16742284059291035</v>
      </c>
      <c r="BA66" s="8">
        <f>IF($A66=BA$1,0,IF(SUM(IMshareM!BA$2:BA$78)-IMshareM!BA$53&gt;0,IMshareM!BA66/(SUM(IMshareM!BA$2:BA$78)-IMshareM!BA$53),0))</f>
        <v>7.0276032098642892E-4</v>
      </c>
      <c r="BB66" s="8">
        <f>IF($A66=BB$1,0,IF(SUM(IMshareM!BB$2:BB$78)-IMshareM!BB$54&gt;0,IMshareM!BB66/(SUM(IMshareM!BB$2:BB$78)-IMshareM!BB$54),0))</f>
        <v>3.3474600199689857E-3</v>
      </c>
      <c r="BC66" s="8">
        <f>IF($A66=BC$1,0,IF(SUM(IMshareM!BC$2:BC$78)-IMshareM!BC$55&gt;0,IMshareM!BC66/(SUM(IMshareM!BC$2:BC$78)-IMshareM!BC$55),0))</f>
        <v>2.2213768949656651E-3</v>
      </c>
      <c r="BD66" s="8">
        <f>IF($A66=BD$1,0,IF(SUM(IMshareM!BD$2:BD$78)-IMshareM!BD$56&gt;0,IMshareM!BD66/(SUM(IMshareM!BD$2:BD$78)-IMshareM!BD$56),0))</f>
        <v>2.7970831147468168E-3</v>
      </c>
      <c r="BE66" s="8">
        <f>IF($A66=BE$1,0,IF(SUM(IMshareM!BE$2:BE$78)-IMshareM!BE$57&gt;0,IMshareM!BE66/(SUM(IMshareM!BE$2:BE$78)-IMshareM!BE$57),0))</f>
        <v>5.6259219283539084E-3</v>
      </c>
      <c r="BF66" s="8">
        <f>IF($A66=BF$1,0,IF(SUM(IMshareM!BF$2:BF$78)-IMshareM!BF$58&gt;0,IMshareM!BF66/(SUM(IMshareM!BF$2:BF$78)-IMshareM!BF$58),0))</f>
        <v>1.9336531639661049E-5</v>
      </c>
      <c r="BG66" s="8">
        <f>IF($A66=BG$1,0,IF(SUM(IMshareM!BG$2:BG$78)-IMshareM!BG$59&gt;0,IMshareM!BG66/(SUM(IMshareM!BG$2:BG$78)-IMshareM!BG$59),0))</f>
        <v>8.6714676397919521E-2</v>
      </c>
      <c r="BH66" s="8">
        <f>IF($A66=BH$1,0,IF(SUM(IMshareM!BH$2:BH$78)-IMshareM!BH$60&gt;0,IMshareM!BH66/(SUM(IMshareM!BH$2:BH$78)-IMshareM!BH$60),0))</f>
        <v>5.0966307636584101E-5</v>
      </c>
      <c r="BI66" s="8">
        <f>IF($A66=BI$1,0,IF(SUM(IMshareM!BI$2:BI$78)-IMshareM!BI$61&gt;0,IMshareM!BI66/(SUM(IMshareM!BI$2:BI$78)-IMshareM!BI$61),0))</f>
        <v>1.6731355719299858E-5</v>
      </c>
      <c r="BJ66" s="8">
        <f>IF($A66=BJ$1,0,IF(SUM(IMshareM!BJ$2:BJ$78)-IMshareM!BJ$62&gt;0,IMshareM!BJ66/(SUM(IMshareM!BJ$2:BJ$78)-IMshareM!BJ$62),0))</f>
        <v>9.442856847884898E-5</v>
      </c>
      <c r="BK66" s="8">
        <f>IF($A66=BK$1,0,IF(SUM(IMshareM!BK$2:BK$78)-IMshareM!BK$63&gt;0,IMshareM!BK66/(SUM(IMshareM!BK$2:BK$78)-IMshareM!BK$63),0))</f>
        <v>5.58947207921094E-5</v>
      </c>
      <c r="BL66" s="8">
        <f>IF($A66=BL$1,0,IF(SUM(IMshareM!BL$2:BL$78)-IMshareM!BL$64&gt;0,IMshareM!BL66/(SUM(IMshareM!BL$2:BL$78)-IMshareM!BL$64),0))</f>
        <v>1.025784705118962E-3</v>
      </c>
      <c r="BM66" s="8">
        <f>IF($A66=BM$1,0,IF(SUM(IMshareM!BM$2:BM$78)-IMshareM!BM$65&gt;0,IMshareM!BM66/(SUM(IMshareM!BM$2:BM$78)-IMshareM!BM$65),0))</f>
        <v>7.6232631067780455E-5</v>
      </c>
      <c r="BN66" s="8">
        <f>IF($A66=BN$1,0,IF(SUM(IMshareM!BN$2:BN$78)-IMshareM!BN$66&gt;0,IMshareM!BN66/(SUM(IMshareM!BN$2:BN$78)-IMshareM!BN$66),0))</f>
        <v>0</v>
      </c>
      <c r="BO66" s="8">
        <f>IF($A66=BO$1,0,IF(SUM(IMshareM!BO$2:BO$78)-IMshareM!BO$67&gt;0,IMshareM!BO66/(SUM(IMshareM!BO$2:BO$78)-IMshareM!BO$67),0))</f>
        <v>1.4914952038882123E-5</v>
      </c>
      <c r="BP66" s="8">
        <f>IF($A66=BP$1,0,IF(SUM(IMshareM!BP$2:BP$78)-IMshareM!BP$68&gt;0,IMshareM!BP66/(SUM(IMshareM!BP$2:BP$78)-IMshareM!BP$68),0))</f>
        <v>7.7527510375826285E-7</v>
      </c>
      <c r="BQ66" s="8">
        <f>IF($A66=BQ$1,0,IF(SUM(IMshareM!BQ$2:BQ$78)-IMshareM!BQ$69&gt;0,IMshareM!BQ66/(SUM(IMshareM!BQ$2:BQ$78)-IMshareM!BQ$69),0))</f>
        <v>4.7787071402038004E-5</v>
      </c>
      <c r="BR66" s="8">
        <f>IF($A66=BR$1,0,IF(SUM(IMshareM!BR$2:BR$78)-IMshareM!BR$70&gt;0,IMshareM!BR66/(SUM(IMshareM!BR$2:BR$78)-IMshareM!BR$70),0))</f>
        <v>2.4018977260228235E-3</v>
      </c>
      <c r="BS66" s="8">
        <f>IF($A66=BS$1,0,IF(SUM(IMshareM!BS$2:BS$78)-IMshareM!BS$71&gt;0,IMshareM!BS66/(SUM(IMshareM!BS$2:BS$78)-IMshareM!BS$71),0))</f>
        <v>5.669978000328842E-3</v>
      </c>
      <c r="BT66" s="8">
        <f>IF($A66=BT$1,0,IF(SUM(IMshareM!BT$2:BT$78)-IMshareM!BT$72&gt;0,IMshareM!BT66/(SUM(IMshareM!BT$2:BT$78)-IMshareM!BT$72),0))</f>
        <v>1.7203533901865691E-4</v>
      </c>
      <c r="BU66" s="8">
        <f>IF($A66=BU$1,0,IF(SUM(IMshareM!BU$2:BU$78)-IMshareM!BU$73&gt;0,IMshareM!BU66/(SUM(IMshareM!BU$2:BU$78)-IMshareM!BU$73),0))</f>
        <v>1.8620069879586258E-3</v>
      </c>
      <c r="BV66" s="8">
        <f>IF($A66=BV$1,0,IF(SUM(IMshareM!BV$2:BV$78)-IMshareM!BV$74&gt;0,IMshareM!BV66/(SUM(IMshareM!BV$2:BV$78)-IMshareM!BV$74),0))</f>
        <v>6.3428414072096411E-5</v>
      </c>
      <c r="BW66" s="8">
        <f>IF($A66=BW$1,0,IF(SUM(IMshareM!BW$2:BW$78)-IMshareM!BW$75&gt;0,IMshareM!BW66/(SUM(IMshareM!BW$2:BW$78)-IMshareM!BW$75),0))</f>
        <v>1.4382257320971275E-3</v>
      </c>
      <c r="BX66" s="8">
        <f>IF($A66=BX$1,0,IF(SUM(IMshareM!BX$2:BX$78)-IMshareM!BX$76&gt;0,IMshareM!BX66/(SUM(IMshareM!BX$2:BX$78)-IMshareM!BX$76),0))</f>
        <v>4.3121665264671694E-3</v>
      </c>
      <c r="BY66" s="8">
        <f>IF($A66=BY$1,0,IF(SUM(IMshareM!BY$2:BY$78)-IMshareM!BY$77&gt;0,IMshareM!BY66/(SUM(IMshareM!BY$2:BY$78)-IMshareM!BY$77),0))</f>
        <v>6.6314425077182182E-5</v>
      </c>
      <c r="BZ66" s="8">
        <f>IF($A66=BZ$1,0,IF(SUM(IMshareM!BZ$2:BZ$78)-IMshareM!BZ$78&gt;0,IMshareM!BZ66/(SUM(IMshareM!BZ$2:BZ$78)-IMshareM!BZ$78),0))</f>
        <v>4.8146915908197545E-3</v>
      </c>
    </row>
    <row r="67" spans="1:78">
      <c r="A67" s="4" t="s">
        <v>201</v>
      </c>
      <c r="B67" s="8">
        <f>IF($A67=B$1,0,IF(SUM(IMshareM!B$2:B$78)-IMshareM!B$2&gt;0,IMshareM!B67/(SUM(IMshareM!B$2:B$78)-IMshareM!B$2),0))</f>
        <v>1.969972710858886E-2</v>
      </c>
      <c r="C67" s="8">
        <f>IF($A67=C$1,0,IF(SUM(IMshareM!C$2:C$78)-IMshareM!C$3&gt;0,IMshareM!C67/(SUM(IMshareM!C$2:C$78)-IMshareM!C$3),0))</f>
        <v>4.8402516758517861E-4</v>
      </c>
      <c r="D67" s="8">
        <f>IF($A67=D$1,0,IF(SUM(IMshareM!D$2:D$78)-IMshareM!D$4&gt;0,IMshareM!D67/(SUM(IMshareM!D$2:D$78)-IMshareM!D$4),0))</f>
        <v>5.0563288994578195E-3</v>
      </c>
      <c r="E67" s="8">
        <f>IF($A67=E$1,0,IF(SUM(IMshareM!E$2:E$78)-IMshareM!E$5&gt;0,IMshareM!E67/(SUM(IMshareM!E$2:E$78)-IMshareM!E$5),0))</f>
        <v>1.8232270485428234E-2</v>
      </c>
      <c r="F67" s="8">
        <f>IF($A67=F$1,0,IF(SUM(IMshareM!F$2:F$78)-IMshareM!F$6&gt;0,IMshareM!F67/(SUM(IMshareM!F$2:F$78)-IMshareM!F$6),0))</f>
        <v>1.1556849973682758E-3</v>
      </c>
      <c r="G67" s="8">
        <f>IF($A67=G$1,0,IF(SUM(IMshareM!G$2:G$78)-IMshareM!G$7&gt;0,IMshareM!G67/(SUM(IMshareM!G$2:G$78)-IMshareM!G$7),0))</f>
        <v>2.8662006619413163E-4</v>
      </c>
      <c r="H67" s="8">
        <f>IF($A67=H$1,0,IF(SUM(IMshareM!H$2:H$78)-IMshareM!H$8&gt;0,IMshareM!H67/(SUM(IMshareM!H$2:H$78)-IMshareM!H$8),0))</f>
        <v>3.483337865471055E-5</v>
      </c>
      <c r="I67" s="8">
        <f>IF($A67=I$1,0,IF(SUM(IMshareM!I$2:I$78)-IMshareM!I$9&gt;0,IMshareM!I67/(SUM(IMshareM!I$2:I$78)-IMshareM!I$9),0))</f>
        <v>8.0185860270426705E-4</v>
      </c>
      <c r="J67" s="8">
        <f>IF($A67=J$1,0,IF(SUM(IMshareM!J$2:J$78)-IMshareM!J$10&gt;0,IMshareM!J67/(SUM(IMshareM!J$2:J$78)-IMshareM!J$10),0))</f>
        <v>2.8427132162279491E-4</v>
      </c>
      <c r="K67" s="8">
        <f>IF($A67=K$1,0,IF(SUM(IMshareM!K$2:K$78)-IMshareM!K$11&gt;0,IMshareM!K67/(SUM(IMshareM!K$2:K$78)-IMshareM!K$11),0))</f>
        <v>7.9290402931592521E-4</v>
      </c>
      <c r="L67" s="8">
        <f>IF($A67=L$1,0,IF(SUM(IMshareM!L$2:L$78)-IMshareM!L$12&gt;0,IMshareM!L67/(SUM(IMshareM!L$2:L$78)-IMshareM!L$12),0))</f>
        <v>6.1871953661194554E-3</v>
      </c>
      <c r="M67" s="8">
        <f>IF($A67=M$1,0,IF(SUM(IMshareM!M$2:M$78)-IMshareM!M$13&gt;0,IMshareM!M67/(SUM(IMshareM!M$2:M$78)-IMshareM!M$13),0))</f>
        <v>3.3984915123747741E-5</v>
      </c>
      <c r="N67" s="8">
        <f>IF($A67=N$1,0,IF(SUM(IMshareM!N$2:N$78)-IMshareM!N$14&gt;0,IMshareM!N67/(SUM(IMshareM!N$2:N$78)-IMshareM!N$14),0))</f>
        <v>3.934011667518532E-3</v>
      </c>
      <c r="O67" s="8">
        <f>IF($A67=O$1,0,IF(SUM(IMshareM!O$2:O$78)-IMshareM!O$15&gt;0,IMshareM!O67/(SUM(IMshareM!O$2:O$78)-IMshareM!O$15),0))</f>
        <v>5.9049361529917932E-3</v>
      </c>
      <c r="P67" s="8">
        <f>IF($A67=P$1,0,IF(SUM(IMshareM!P$2:P$78)-IMshareM!P$16&gt;0,IMshareM!P67/(SUM(IMshareM!P$2:P$78)-IMshareM!P$16),0))</f>
        <v>0</v>
      </c>
      <c r="Q67" s="8">
        <f>IF($A67=Q$1,0,IF(SUM(IMshareM!Q$2:Q$78)-IMshareM!Q$17&gt;0,IMshareM!Q67/(SUM(IMshareM!Q$2:Q$78)-IMshareM!Q$17),0))</f>
        <v>1.442463362408134E-3</v>
      </c>
      <c r="R67" s="8">
        <f>IF($A67=R$1,0,IF(SUM(IMshareM!R$2:R$78)-IMshareM!R$18&gt;0,IMshareM!R67/(SUM(IMshareM!R$2:R$78)-IMshareM!R$18),0))</f>
        <v>9.6398338778307861E-4</v>
      </c>
      <c r="S67" s="8">
        <f>IF($A67=S$1,0,IF(SUM(IMshareM!S$2:S$78)-IMshareM!S$19&gt;0,IMshareM!S67/(SUM(IMshareM!S$2:S$78)-IMshareM!S$19),0))</f>
        <v>4.9155292188115079E-5</v>
      </c>
      <c r="T67" s="8">
        <f>IF($A67=T$1,0,IF(SUM(IMshareM!T$2:T$78)-IMshareM!T$20&gt;0,IMshareM!T67/(SUM(IMshareM!T$2:T$78)-IMshareM!T$20),0))</f>
        <v>8.9622084683587139E-3</v>
      </c>
      <c r="U67" s="8">
        <f>IF($A67=U$1,0,IF(SUM(IMshareM!U$2:U$78)-IMshareM!U$21&gt;0,IMshareM!U67/(SUM(IMshareM!U$2:U$78)-IMshareM!U$21),0))</f>
        <v>1.2095783341473324E-2</v>
      </c>
      <c r="V67" s="8">
        <f>IF($A67=V$1,0,IF(SUM(IMshareM!V$2:V$78)-IMshareM!V$22&gt;0,IMshareM!V67/(SUM(IMshareM!V$2:V$78)-IMshareM!V$22),0))</f>
        <v>6.7021807894145261E-2</v>
      </c>
      <c r="W67" s="8">
        <f>IF($A67=W$1,0,IF(SUM(IMshareM!W$2:W$78)-IMshareM!W$23&gt;0,IMshareM!W67/(SUM(IMshareM!W$2:W$78)-IMshareM!W$23),0))</f>
        <v>3.1334164763055148E-4</v>
      </c>
      <c r="X67" s="8">
        <f>IF($A67=X$1,0,IF(SUM(IMshareM!X$2:X$78)-IMshareM!X$24&gt;0,IMshareM!X67/(SUM(IMshareM!X$2:X$78)-IMshareM!X$24),0))</f>
        <v>1.4141355782475183E-2</v>
      </c>
      <c r="Y67" s="8">
        <f>IF($A67=Y$1,0,IF(SUM(IMshareM!Y$2:Y$78)-IMshareM!Y$25&gt;0,IMshareM!Y67/(SUM(IMshareM!Y$2:Y$78)-IMshareM!Y$25),0))</f>
        <v>1.2205283317426913E-3</v>
      </c>
      <c r="Z67" s="8">
        <f>IF($A67=Z$1,0,IF(SUM(IMshareM!Z$2:Z$78)-IMshareM!Z$26&gt;0,IMshareM!Z67/(SUM(IMshareM!Z$2:Z$78)-IMshareM!Z$26),0))</f>
        <v>2.8991627709219247E-3</v>
      </c>
      <c r="AA67" s="8">
        <f>IF($A67=AA$1,0,IF(SUM(IMshareM!AA$2:AA$78)-IMshareM!AA$27&gt;0,IMshareM!AA67/(SUM(IMshareM!AA$2:AA$78)-IMshareM!AA$27),0))</f>
        <v>6.1581059295113851E-3</v>
      </c>
      <c r="AB67" s="8">
        <f>IF($A67=AB$1,0,IF(SUM(IMshareM!AB$2:AB$78)-IMshareM!AB$28&gt;0,IMshareM!AB67/(SUM(IMshareM!AB$2:AB$78)-IMshareM!AB$28),0))</f>
        <v>7.6728380016210995E-3</v>
      </c>
      <c r="AC67" s="8">
        <f>IF($A67=AC$1,0,IF(SUM(IMshareM!AC$2:AC$78)-IMshareM!AC$29&gt;0,IMshareM!AC67/(SUM(IMshareM!AC$2:AC$78)-IMshareM!AC$29),0))</f>
        <v>1.5773701321279395E-6</v>
      </c>
      <c r="AD67" s="8">
        <f>IF($A67=AD$1,0,IF(SUM(IMshareM!AD$2:AD$78)-IMshareM!AD$30&gt;0,IMshareM!AD67/(SUM(IMshareM!AD$2:AD$78)-IMshareM!AD$30),0))</f>
        <v>2.0012808877819709E-5</v>
      </c>
      <c r="AE67" s="8">
        <f>IF($A67=AE$1,0,IF(SUM(IMshareM!AE$2:AE$78)-IMshareM!AE$31&gt;0,IMshareM!AE67/(SUM(IMshareM!AE$2:AE$78)-IMshareM!AE$31),0))</f>
        <v>1.5387921197926909E-3</v>
      </c>
      <c r="AF67" s="8">
        <f>IF($A67=AF$1,0,IF(SUM(IMshareM!AF$2:AF$78)-IMshareM!AF$32&gt;0,IMshareM!AF67/(SUM(IMshareM!AF$2:AF$78)-IMshareM!AF$32),0))</f>
        <v>2.1116390942841085E-2</v>
      </c>
      <c r="AG67" s="8">
        <f>IF($A67=AG$1,0,IF(SUM(IMshareM!AG$2:AG$78)-IMshareM!AG$33&gt;0,IMshareM!AG67/(SUM(IMshareM!AG$2:AG$78)-IMshareM!AG$33),0))</f>
        <v>2.0752720984785924E-4</v>
      </c>
      <c r="AH67" s="8">
        <f>IF($A67=AH$1,0,IF(SUM(IMshareM!AH$2:AH$78)-IMshareM!AH$34&gt;0,IMshareM!AH67/(SUM(IMshareM!AH$2:AH$78)-IMshareM!AH$34),0))</f>
        <v>3.9674438783123996E-3</v>
      </c>
      <c r="AI67" s="8">
        <f>IF($A67=AI$1,0,IF(SUM(IMshareM!AI$2:AI$78)-IMshareM!AI$35&gt;0,IMshareM!AI67/(SUM(IMshareM!AI$2:AI$78)-IMshareM!AI$35),0))</f>
        <v>9.3935729947481041E-5</v>
      </c>
      <c r="AJ67" s="8">
        <f>IF($A67=AJ$1,0,IF(SUM(IMshareM!AJ$2:AJ$78)-IMshareM!AJ$36&gt;0,IMshareM!AJ67/(SUM(IMshareM!AJ$2:AJ$78)-IMshareM!AJ$36),0))</f>
        <v>1.3453619354775031E-2</v>
      </c>
      <c r="AK67" s="8">
        <f>IF($A67=AK$1,0,IF(SUM(IMshareM!AK$2:AK$78)-IMshareM!AK$37&gt;0,IMshareM!AK67/(SUM(IMshareM!AK$2:AK$78)-IMshareM!AK$37),0))</f>
        <v>4.0035743888206215E-4</v>
      </c>
      <c r="AL67" s="8">
        <f>IF($A67=AL$1,0,IF(SUM(IMshareM!AL$2:AL$78)-IMshareM!AL$38&gt;0,IMshareM!AL67/(SUM(IMshareM!AL$2:AL$78)-IMshareM!AL$38),0))</f>
        <v>2.5243204802825846E-3</v>
      </c>
      <c r="AM67" s="8">
        <f>IF($A67=AM$1,0,IF(SUM(IMshareM!AM$2:AM$78)-IMshareM!AM$39&gt;0,IMshareM!AM67/(SUM(IMshareM!AM$2:AM$78)-IMshareM!AM$39),0))</f>
        <v>0</v>
      </c>
      <c r="AN67" s="8">
        <f>IF($A67=AN$1,0,IF(SUM(IMshareM!AN$2:AN$78)-IMshareM!AN$40&gt;0,IMshareM!AN67/(SUM(IMshareM!AN$2:AN$78)-IMshareM!AN$40),0))</f>
        <v>2.0020958509872257E-3</v>
      </c>
      <c r="AO67" s="8">
        <f>IF($A67=AO$1,0,IF(SUM(IMshareM!AO$2:AO$78)-IMshareM!AO$41&gt;0,IMshareM!AO67/(SUM(IMshareM!AO$2:AO$78)-IMshareM!AO$41),0))</f>
        <v>1.1460252689368938E-3</v>
      </c>
      <c r="AP67" s="8">
        <f>IF($A67=AP$1,0,IF(SUM(IMshareM!AP$2:AP$78)-IMshareM!AP$42&gt;0,IMshareM!AP67/(SUM(IMshareM!AP$2:AP$78)-IMshareM!AP$42),0))</f>
        <v>0</v>
      </c>
      <c r="AQ67" s="8">
        <f>IF($A67=AQ$1,0,IF(SUM(IMshareM!AQ$2:AQ$78)-IMshareM!AQ$43&gt;0,IMshareM!AQ67/(SUM(IMshareM!AQ$2:AQ$78)-IMshareM!AQ$43),0))</f>
        <v>2.6685961892135762E-4</v>
      </c>
      <c r="AR67" s="8">
        <f>IF($A67=AR$1,0,IF(SUM(IMshareM!AR$2:AR$78)-IMshareM!AR$44&gt;0,IMshareM!AR67/(SUM(IMshareM!AR$2:AR$78)-IMshareM!AR$44),0))</f>
        <v>0</v>
      </c>
      <c r="AS67" s="8">
        <f>IF($A67=AS$1,0,IF(SUM(IMshareM!AS$2:AS$78)-IMshareM!AS$45&gt;0,IMshareM!AS67/(SUM(IMshareM!AS$2:AS$78)-IMshareM!AS$45),0))</f>
        <v>2.1947001277179867E-3</v>
      </c>
      <c r="AT67" s="8">
        <f>IF($A67=AT$1,0,IF(SUM(IMshareM!AT$2:AT$78)-IMshareM!AT$46&gt;0,IMshareM!AT67/(SUM(IMshareM!AT$2:AT$78)-IMshareM!AT$46),0))</f>
        <v>4.808699327959986E-5</v>
      </c>
      <c r="AU67" s="8">
        <f>IF($A67=AU$1,0,IF(SUM(IMshareM!AU$2:AU$78)-IMshareM!AU$47&gt;0,IMshareM!AU67/(SUM(IMshareM!AU$2:AU$78)-IMshareM!AU$47),0))</f>
        <v>1.447549660945186E-3</v>
      </c>
      <c r="AV67" s="8">
        <f>IF($A67=AV$1,0,IF(SUM(IMshareM!AV$2:AV$78)-IMshareM!AV$48&gt;0,IMshareM!AV67/(SUM(IMshareM!AV$2:AV$78)-IMshareM!AV$48),0))</f>
        <v>2.9974094733881747E-4</v>
      </c>
      <c r="AW67" s="8">
        <f>IF($A67=AW$1,0,IF(SUM(IMshareM!AW$2:AW$78)-IMshareM!AW$49&gt;0,IMshareM!AW67/(SUM(IMshareM!AW$2:AW$78)-IMshareM!AW$49),0))</f>
        <v>5.5013090308000056E-4</v>
      </c>
      <c r="AX67" s="8">
        <f>IF($A67=AX$1,0,IF(SUM(IMshareM!AX$2:AX$78)-IMshareM!AX$50&gt;0,IMshareM!AX67/(SUM(IMshareM!AX$2:AX$78)-IMshareM!AX$50),0))</f>
        <v>1.8074540479803158E-4</v>
      </c>
      <c r="AY67" s="8">
        <f>IF($A67=AY$1,0,IF(SUM(IMshareM!AY$2:AY$78)-IMshareM!AY$51&gt;0,IMshareM!AY67/(SUM(IMshareM!AY$2:AY$78)-IMshareM!AY$51),0))</f>
        <v>4.4965235634817201E-5</v>
      </c>
      <c r="AZ67" s="8">
        <f>IF($A67=AZ$1,0,IF(SUM(IMshareM!AZ$2:AZ$78)-IMshareM!AZ$52&gt;0,IMshareM!AZ67/(SUM(IMshareM!AZ$2:AZ$78)-IMshareM!AZ$52),0))</f>
        <v>5.1216677793323494E-5</v>
      </c>
      <c r="BA67" s="8">
        <f>IF($A67=BA$1,0,IF(SUM(IMshareM!BA$2:BA$78)-IMshareM!BA$53&gt;0,IMshareM!BA67/(SUM(IMshareM!BA$2:BA$78)-IMshareM!BA$53),0))</f>
        <v>6.0893540734906058E-5</v>
      </c>
      <c r="BB67" s="8">
        <f>IF($A67=BB$1,0,IF(SUM(IMshareM!BB$2:BB$78)-IMshareM!BB$54&gt;0,IMshareM!BB67/(SUM(IMshareM!BB$2:BB$78)-IMshareM!BB$54),0))</f>
        <v>4.4406919252147739E-4</v>
      </c>
      <c r="BC67" s="8">
        <f>IF($A67=BC$1,0,IF(SUM(IMshareM!BC$2:BC$78)-IMshareM!BC$55&gt;0,IMshareM!BC67/(SUM(IMshareM!BC$2:BC$78)-IMshareM!BC$55),0))</f>
        <v>5.0861385616577139E-3</v>
      </c>
      <c r="BD67" s="8">
        <f>IF($A67=BD$1,0,IF(SUM(IMshareM!BD$2:BD$78)-IMshareM!BD$56&gt;0,IMshareM!BD67/(SUM(IMshareM!BD$2:BD$78)-IMshareM!BD$56),0))</f>
        <v>6.1648406240943476E-4</v>
      </c>
      <c r="BE67" s="8">
        <f>IF($A67=BE$1,0,IF(SUM(IMshareM!BE$2:BE$78)-IMshareM!BE$57&gt;0,IMshareM!BE67/(SUM(IMshareM!BE$2:BE$78)-IMshareM!BE$57),0))</f>
        <v>1.1328373732074371E-4</v>
      </c>
      <c r="BF67" s="8">
        <f>IF($A67=BF$1,0,IF(SUM(IMshareM!BF$2:BF$78)-IMshareM!BF$58&gt;0,IMshareM!BF67/(SUM(IMshareM!BF$2:BF$78)-IMshareM!BF$58),0))</f>
        <v>2.8400004477535911E-4</v>
      </c>
      <c r="BG67" s="8">
        <f>IF($A67=BG$1,0,IF(SUM(IMshareM!BG$2:BG$78)-IMshareM!BG$59&gt;0,IMshareM!BG67/(SUM(IMshareM!BG$2:BG$78)-IMshareM!BG$59),0))</f>
        <v>1.8489478286791471E-4</v>
      </c>
      <c r="BH67" s="8">
        <f>IF($A67=BH$1,0,IF(SUM(IMshareM!BH$2:BH$78)-IMshareM!BH$60&gt;0,IMshareM!BH67/(SUM(IMshareM!BH$2:BH$78)-IMshareM!BH$60),0))</f>
        <v>3.4553795168917871E-2</v>
      </c>
      <c r="BI67" s="8">
        <f>IF($A67=BI$1,0,IF(SUM(IMshareM!BI$2:BI$78)-IMshareM!BI$61&gt;0,IMshareM!BI67/(SUM(IMshareM!BI$2:BI$78)-IMshareM!BI$61),0))</f>
        <v>1.998131562080371E-2</v>
      </c>
      <c r="BJ67" s="8">
        <f>IF($A67=BJ$1,0,IF(SUM(IMshareM!BJ$2:BJ$78)-IMshareM!BJ$62&gt;0,IMshareM!BJ67/(SUM(IMshareM!BJ$2:BJ$78)-IMshareM!BJ$62),0))</f>
        <v>2.6905598500462417E-2</v>
      </c>
      <c r="BK67" s="8">
        <f>IF($A67=BK$1,0,IF(SUM(IMshareM!BK$2:BK$78)-IMshareM!BK$63&gt;0,IMshareM!BK67/(SUM(IMshareM!BK$2:BK$78)-IMshareM!BK$63),0))</f>
        <v>3.3660793191014424E-3</v>
      </c>
      <c r="BL67" s="8">
        <f>IF($A67=BL$1,0,IF(SUM(IMshareM!BL$2:BL$78)-IMshareM!BL$64&gt;0,IMshareM!BL67/(SUM(IMshareM!BL$2:BL$78)-IMshareM!BL$64),0))</f>
        <v>6.5641352959204836E-5</v>
      </c>
      <c r="BM67" s="8">
        <f>IF($A67=BM$1,0,IF(SUM(IMshareM!BM$2:BM$78)-IMshareM!BM$65&gt;0,IMshareM!BM67/(SUM(IMshareM!BM$2:BM$78)-IMshareM!BM$65),0))</f>
        <v>0</v>
      </c>
      <c r="BN67" s="8">
        <f>IF($A67=BN$1,0,IF(SUM(IMshareM!BN$2:BN$78)-IMshareM!BN$66&gt;0,IMshareM!BN67/(SUM(IMshareM!BN$2:BN$78)-IMshareM!BN$66),0))</f>
        <v>9.8233698249354084E-4</v>
      </c>
      <c r="BO67" s="8">
        <f>IF($A67=BO$1,0,IF(SUM(IMshareM!BO$2:BO$78)-IMshareM!BO$67&gt;0,IMshareM!BO67/(SUM(IMshareM!BO$2:BO$78)-IMshareM!BO$67),0))</f>
        <v>0</v>
      </c>
      <c r="BP67" s="8">
        <f>IF($A67=BP$1,0,IF(SUM(IMshareM!BP$2:BP$78)-IMshareM!BP$68&gt;0,IMshareM!BP67/(SUM(IMshareM!BP$2:BP$78)-IMshareM!BP$68),0))</f>
        <v>2.661477660868955E-2</v>
      </c>
      <c r="BQ67" s="8">
        <f>IF($A67=BQ$1,0,IF(SUM(IMshareM!BQ$2:BQ$78)-IMshareM!BQ$69&gt;0,IMshareM!BQ67/(SUM(IMshareM!BQ$2:BQ$78)-IMshareM!BQ$69),0))</f>
        <v>2.8131626077189092E-2</v>
      </c>
      <c r="BR67" s="8">
        <f>IF($A67=BR$1,0,IF(SUM(IMshareM!BR$2:BR$78)-IMshareM!BR$70&gt;0,IMshareM!BR67/(SUM(IMshareM!BR$2:BR$78)-IMshareM!BR$70),0))</f>
        <v>2.1464784603906034E-4</v>
      </c>
      <c r="BS67" s="8">
        <f>IF($A67=BS$1,0,IF(SUM(IMshareM!BS$2:BS$78)-IMshareM!BS$71&gt;0,IMshareM!BS67/(SUM(IMshareM!BS$2:BS$78)-IMshareM!BS$71),0))</f>
        <v>3.1932231869259741E-3</v>
      </c>
      <c r="BT67" s="8">
        <f>IF($A67=BT$1,0,IF(SUM(IMshareM!BT$2:BT$78)-IMshareM!BT$72&gt;0,IMshareM!BT67/(SUM(IMshareM!BT$2:BT$78)-IMshareM!BT$72),0))</f>
        <v>2.942051657017751E-2</v>
      </c>
      <c r="BU67" s="8">
        <f>IF($A67=BU$1,0,IF(SUM(IMshareM!BU$2:BU$78)-IMshareM!BU$73&gt;0,IMshareM!BU67/(SUM(IMshareM!BU$2:BU$78)-IMshareM!BU$73),0))</f>
        <v>2.0133385002907146E-4</v>
      </c>
      <c r="BV67" s="8">
        <f>IF($A67=BV$1,0,IF(SUM(IMshareM!BV$2:BV$78)-IMshareM!BV$74&gt;0,IMshareM!BV67/(SUM(IMshareM!BV$2:BV$78)-IMshareM!BV$74),0))</f>
        <v>3.5386882039475948E-3</v>
      </c>
      <c r="BW67" s="8">
        <f>IF($A67=BW$1,0,IF(SUM(IMshareM!BW$2:BW$78)-IMshareM!BW$75&gt;0,IMshareM!BW67/(SUM(IMshareM!BW$2:BW$78)-IMshareM!BW$75),0))</f>
        <v>1.5541649143330314E-3</v>
      </c>
      <c r="BX67" s="8">
        <f>IF($A67=BX$1,0,IF(SUM(IMshareM!BX$2:BX$78)-IMshareM!BX$76&gt;0,IMshareM!BX67/(SUM(IMshareM!BX$2:BX$78)-IMshareM!BX$76),0))</f>
        <v>3.7253719201188632E-5</v>
      </c>
      <c r="BY67" s="8">
        <f>IF($A67=BY$1,0,IF(SUM(IMshareM!BY$2:BY$78)-IMshareM!BY$77&gt;0,IMshareM!BY67/(SUM(IMshareM!BY$2:BY$78)-IMshareM!BY$77),0))</f>
        <v>8.3540398258431636E-3</v>
      </c>
      <c r="BZ67" s="8">
        <f>IF($A67=BZ$1,0,IF(SUM(IMshareM!BZ$2:BZ$78)-IMshareM!BZ$78&gt;0,IMshareM!BZ67/(SUM(IMshareM!BZ$2:BZ$78)-IMshareM!BZ$78),0))</f>
        <v>7.314963457499186E-4</v>
      </c>
    </row>
    <row r="68" spans="1:78">
      <c r="A68" s="4" t="s">
        <v>203</v>
      </c>
      <c r="B68" s="8">
        <f>IF($A68=B$1,0,IF(SUM(IMshareM!B$2:B$78)-IMshareM!B$2&gt;0,IMshareM!B68/(SUM(IMshareM!B$2:B$78)-IMshareM!B$2),0))</f>
        <v>2.4495641609730999E-4</v>
      </c>
      <c r="C68" s="8">
        <f>IF($A68=C$1,0,IF(SUM(IMshareM!C$2:C$78)-IMshareM!C$3&gt;0,IMshareM!C68/(SUM(IMshareM!C$2:C$78)-IMshareM!C$3),0))</f>
        <v>7.9828783793818158E-4</v>
      </c>
      <c r="D68" s="8">
        <f>IF($A68=D$1,0,IF(SUM(IMshareM!D$2:D$78)-IMshareM!D$4&gt;0,IMshareM!D68/(SUM(IMshareM!D$2:D$78)-IMshareM!D$4),0))</f>
        <v>1.3754170342343811E-2</v>
      </c>
      <c r="E68" s="8">
        <f>IF($A68=E$1,0,IF(SUM(IMshareM!E$2:E$78)-IMshareM!E$5&gt;0,IMshareM!E68/(SUM(IMshareM!E$2:E$78)-IMshareM!E$5),0))</f>
        <v>2.1508288339948053E-4</v>
      </c>
      <c r="F68" s="8">
        <f>IF($A68=F$1,0,IF(SUM(IMshareM!F$2:F$78)-IMshareM!F$6&gt;0,IMshareM!F68/(SUM(IMshareM!F$2:F$78)-IMshareM!F$6),0))</f>
        <v>2.4216001397885974E-5</v>
      </c>
      <c r="G68" s="8">
        <f>IF($A68=G$1,0,IF(SUM(IMshareM!G$2:G$78)-IMshareM!G$7&gt;0,IMshareM!G68/(SUM(IMshareM!G$2:G$78)-IMshareM!G$7),0))</f>
        <v>1.7561201961484036E-3</v>
      </c>
      <c r="H68" s="8">
        <f>IF($A68=H$1,0,IF(SUM(IMshareM!H$2:H$78)-IMshareM!H$8&gt;0,IMshareM!H68/(SUM(IMshareM!H$2:H$78)-IMshareM!H$8),0))</f>
        <v>6.3046384522289151E-4</v>
      </c>
      <c r="I68" s="8">
        <f>IF($A68=I$1,0,IF(SUM(IMshareM!I$2:I$78)-IMshareM!I$9&gt;0,IMshareM!I68/(SUM(IMshareM!I$2:I$78)-IMshareM!I$9),0))</f>
        <v>1.5972444775315671E-3</v>
      </c>
      <c r="J68" s="8">
        <f>IF($A68=J$1,0,IF(SUM(IMshareM!J$2:J$78)-IMshareM!J$10&gt;0,IMshareM!J68/(SUM(IMshareM!J$2:J$78)-IMshareM!J$10),0))</f>
        <v>1.5594614914202029E-5</v>
      </c>
      <c r="K68" s="8">
        <f>IF($A68=K$1,0,IF(SUM(IMshareM!K$2:K$78)-IMshareM!K$11&gt;0,IMshareM!K68/(SUM(IMshareM!K$2:K$78)-IMshareM!K$11),0))</f>
        <v>3.197043994703152E-3</v>
      </c>
      <c r="L68" s="8">
        <f>IF($A68=L$1,0,IF(SUM(IMshareM!L$2:L$78)-IMshareM!L$12&gt;0,IMshareM!L68/(SUM(IMshareM!L$2:L$78)-IMshareM!L$12),0))</f>
        <v>4.0265048725779008E-3</v>
      </c>
      <c r="M68" s="8">
        <f>IF($A68=M$1,0,IF(SUM(IMshareM!M$2:M$78)-IMshareM!M$13&gt;0,IMshareM!M68/(SUM(IMshareM!M$2:M$78)-IMshareM!M$13),0))</f>
        <v>5.5486486411162694E-5</v>
      </c>
      <c r="N68" s="8">
        <f>IF($A68=N$1,0,IF(SUM(IMshareM!N$2:N$78)-IMshareM!N$14&gt;0,IMshareM!N68/(SUM(IMshareM!N$2:N$78)-IMshareM!N$14),0))</f>
        <v>3.3746076720557868E-3</v>
      </c>
      <c r="O68" s="8">
        <f>IF($A68=O$1,0,IF(SUM(IMshareM!O$2:O$78)-IMshareM!O$15&gt;0,IMshareM!O68/(SUM(IMshareM!O$2:O$78)-IMshareM!O$15),0))</f>
        <v>9.7857805272498499E-5</v>
      </c>
      <c r="P68" s="8">
        <f>IF($A68=P$1,0,IF(SUM(IMshareM!P$2:P$78)-IMshareM!P$16&gt;0,IMshareM!P68/(SUM(IMshareM!P$2:P$78)-IMshareM!P$16),0))</f>
        <v>0</v>
      </c>
      <c r="Q68" s="8">
        <f>IF($A68=Q$1,0,IF(SUM(IMshareM!Q$2:Q$78)-IMshareM!Q$17&gt;0,IMshareM!Q68/(SUM(IMshareM!Q$2:Q$78)-IMshareM!Q$17),0))</f>
        <v>5.2690904697249696E-4</v>
      </c>
      <c r="R68" s="8">
        <f>IF($A68=R$1,0,IF(SUM(IMshareM!R$2:R$78)-IMshareM!R$18&gt;0,IMshareM!R68/(SUM(IMshareM!R$2:R$78)-IMshareM!R$18),0))</f>
        <v>1.7178555301162581E-4</v>
      </c>
      <c r="S68" s="8">
        <f>IF($A68=S$1,0,IF(SUM(IMshareM!S$2:S$78)-IMshareM!S$19&gt;0,IMshareM!S68/(SUM(IMshareM!S$2:S$78)-IMshareM!S$19),0))</f>
        <v>1.6706966412728505E-3</v>
      </c>
      <c r="T68" s="8">
        <f>IF($A68=T$1,0,IF(SUM(IMshareM!T$2:T$78)-IMshareM!T$20&gt;0,IMshareM!T68/(SUM(IMshareM!T$2:T$78)-IMshareM!T$20),0))</f>
        <v>9.2451428453621393E-3</v>
      </c>
      <c r="U68" s="8">
        <f>IF($A68=U$1,0,IF(SUM(IMshareM!U$2:U$78)-IMshareM!U$21&gt;0,IMshareM!U68/(SUM(IMshareM!U$2:U$78)-IMshareM!U$21),0))</f>
        <v>1.0268466594650172E-2</v>
      </c>
      <c r="V68" s="8">
        <f>IF($A68=V$1,0,IF(SUM(IMshareM!V$2:V$78)-IMshareM!V$22&gt;0,IMshareM!V68/(SUM(IMshareM!V$2:V$78)-IMshareM!V$22),0))</f>
        <v>4.2569611826596417E-2</v>
      </c>
      <c r="W68" s="8">
        <f>IF($A68=W$1,0,IF(SUM(IMshareM!W$2:W$78)-IMshareM!W$23&gt;0,IMshareM!W68/(SUM(IMshareM!W$2:W$78)-IMshareM!W$23),0))</f>
        <v>4.9236668541762364E-4</v>
      </c>
      <c r="X68" s="8">
        <f>IF($A68=X$1,0,IF(SUM(IMshareM!X$2:X$78)-IMshareM!X$24&gt;0,IMshareM!X68/(SUM(IMshareM!X$2:X$78)-IMshareM!X$24),0))</f>
        <v>5.4998500912499873E-3</v>
      </c>
      <c r="Y68" s="8">
        <f>IF($A68=Y$1,0,IF(SUM(IMshareM!Y$2:Y$78)-IMshareM!Y$25&gt;0,IMshareM!Y68/(SUM(IMshareM!Y$2:Y$78)-IMshareM!Y$25),0))</f>
        <v>3.7968067231459912E-3</v>
      </c>
      <c r="Z68" s="8">
        <f>IF($A68=Z$1,0,IF(SUM(IMshareM!Z$2:Z$78)-IMshareM!Z$26&gt;0,IMshareM!Z68/(SUM(IMshareM!Z$2:Z$78)-IMshareM!Z$26),0))</f>
        <v>9.7986391171527108E-3</v>
      </c>
      <c r="AA68" s="8">
        <f>IF($A68=AA$1,0,IF(SUM(IMshareM!AA$2:AA$78)-IMshareM!AA$27&gt;0,IMshareM!AA68/(SUM(IMshareM!AA$2:AA$78)-IMshareM!AA$27),0))</f>
        <v>5.9095247039309398E-3</v>
      </c>
      <c r="AB68" s="8">
        <f>IF($A68=AB$1,0,IF(SUM(IMshareM!AB$2:AB$78)-IMshareM!AB$28&gt;0,IMshareM!AB68/(SUM(IMshareM!AB$2:AB$78)-IMshareM!AB$28),0))</f>
        <v>7.6157805279650779E-3</v>
      </c>
      <c r="AC68" s="8">
        <f>IF($A68=AC$1,0,IF(SUM(IMshareM!AC$2:AC$78)-IMshareM!AC$29&gt;0,IMshareM!AC68/(SUM(IMshareM!AC$2:AC$78)-IMshareM!AC$29),0))</f>
        <v>4.7594609976409671E-4</v>
      </c>
      <c r="AD68" s="8">
        <f>IF($A68=AD$1,0,IF(SUM(IMshareM!AD$2:AD$78)-IMshareM!AD$30&gt;0,IMshareM!AD68/(SUM(IMshareM!AD$2:AD$78)-IMshareM!AD$30),0))</f>
        <v>8.732392342242795E-5</v>
      </c>
      <c r="AE68" s="8">
        <f>IF($A68=AE$1,0,IF(SUM(IMshareM!AE$2:AE$78)-IMshareM!AE$31&gt;0,IMshareM!AE68/(SUM(IMshareM!AE$2:AE$78)-IMshareM!AE$31),0))</f>
        <v>8.3514706292067517E-2</v>
      </c>
      <c r="AF68" s="8">
        <f>IF($A68=AF$1,0,IF(SUM(IMshareM!AF$2:AF$78)-IMshareM!AF$32&gt;0,IMshareM!AF68/(SUM(IMshareM!AF$2:AF$78)-IMshareM!AF$32),0))</f>
        <v>7.4356145963531831E-3</v>
      </c>
      <c r="AG68" s="8">
        <f>IF($A68=AG$1,0,IF(SUM(IMshareM!AG$2:AG$78)-IMshareM!AG$33&gt;0,IMshareM!AG68/(SUM(IMshareM!AG$2:AG$78)-IMshareM!AG$33),0))</f>
        <v>1.4973547458325582E-4</v>
      </c>
      <c r="AH68" s="8">
        <f>IF($A68=AH$1,0,IF(SUM(IMshareM!AH$2:AH$78)-IMshareM!AH$34&gt;0,IMshareM!AH68/(SUM(IMshareM!AH$2:AH$78)-IMshareM!AH$34),0))</f>
        <v>3.2861068286385564E-4</v>
      </c>
      <c r="AI68" s="8">
        <f>IF($A68=AI$1,0,IF(SUM(IMshareM!AI$2:AI$78)-IMshareM!AI$35&gt;0,IMshareM!AI68/(SUM(IMshareM!AI$2:AI$78)-IMshareM!AI$35),0))</f>
        <v>1.0256043780416911E-2</v>
      </c>
      <c r="AJ68" s="8">
        <f>IF($A68=AJ$1,0,IF(SUM(IMshareM!AJ$2:AJ$78)-IMshareM!AJ$36&gt;0,IMshareM!AJ68/(SUM(IMshareM!AJ$2:AJ$78)-IMshareM!AJ$36),0))</f>
        <v>1.1530151275410783E-2</v>
      </c>
      <c r="AK68" s="8">
        <f>IF($A68=AK$1,0,IF(SUM(IMshareM!AK$2:AK$78)-IMshareM!AK$37&gt;0,IMshareM!AK68/(SUM(IMshareM!AK$2:AK$78)-IMshareM!AK$37),0))</f>
        <v>2.823573516326123E-4</v>
      </c>
      <c r="AL68" s="8">
        <f>IF($A68=AL$1,0,IF(SUM(IMshareM!AL$2:AL$78)-IMshareM!AL$38&gt;0,IMshareM!AL68/(SUM(IMshareM!AL$2:AL$78)-IMshareM!AL$38),0))</f>
        <v>9.9745584046960264E-3</v>
      </c>
      <c r="AM68" s="8">
        <f>IF($A68=AM$1,0,IF(SUM(IMshareM!AM$2:AM$78)-IMshareM!AM$39&gt;0,IMshareM!AM68/(SUM(IMshareM!AM$2:AM$78)-IMshareM!AM$39),0))</f>
        <v>2.4322316014025041E-4</v>
      </c>
      <c r="AN68" s="8">
        <f>IF($A68=AN$1,0,IF(SUM(IMshareM!AN$2:AN$78)-IMshareM!AN$40&gt;0,IMshareM!AN68/(SUM(IMshareM!AN$2:AN$78)-IMshareM!AN$40),0))</f>
        <v>4.8653354011803177E-4</v>
      </c>
      <c r="AO68" s="8">
        <f>IF($A68=AO$1,0,IF(SUM(IMshareM!AO$2:AO$78)-IMshareM!AO$41&gt;0,IMshareM!AO68/(SUM(IMshareM!AO$2:AO$78)-IMshareM!AO$41),0))</f>
        <v>2.9717752086917952E-4</v>
      </c>
      <c r="AP68" s="8">
        <f>IF($A68=AP$1,0,IF(SUM(IMshareM!AP$2:AP$78)-IMshareM!AP$42&gt;0,IMshareM!AP68/(SUM(IMshareM!AP$2:AP$78)-IMshareM!AP$42),0))</f>
        <v>1.9087646522430539E-6</v>
      </c>
      <c r="AQ68" s="8">
        <f>IF($A68=AQ$1,0,IF(SUM(IMshareM!AQ$2:AQ$78)-IMshareM!AQ$43&gt;0,IMshareM!AQ68/(SUM(IMshareM!AQ$2:AQ$78)-IMshareM!AQ$43),0))</f>
        <v>1.8441571504716921E-4</v>
      </c>
      <c r="AR68" s="8">
        <f>IF($A68=AR$1,0,IF(SUM(IMshareM!AR$2:AR$78)-IMshareM!AR$44&gt;0,IMshareM!AR68/(SUM(IMshareM!AR$2:AR$78)-IMshareM!AR$44),0))</f>
        <v>0</v>
      </c>
      <c r="AS68" s="8">
        <f>IF($A68=AS$1,0,IF(SUM(IMshareM!AS$2:AS$78)-IMshareM!AS$45&gt;0,IMshareM!AS68/(SUM(IMshareM!AS$2:AS$78)-IMshareM!AS$45),0))</f>
        <v>1.1262095218660948E-2</v>
      </c>
      <c r="AT68" s="8">
        <f>IF($A68=AT$1,0,IF(SUM(IMshareM!AT$2:AT$78)-IMshareM!AT$46&gt;0,IMshareM!AT68/(SUM(IMshareM!AT$2:AT$78)-IMshareM!AT$46),0))</f>
        <v>3.7795730317671751E-4</v>
      </c>
      <c r="AU68" s="8">
        <f>IF($A68=AU$1,0,IF(SUM(IMshareM!AU$2:AU$78)-IMshareM!AU$47&gt;0,IMshareM!AU68/(SUM(IMshareM!AU$2:AU$78)-IMshareM!AU$47),0))</f>
        <v>1.2452896899781401E-3</v>
      </c>
      <c r="AV68" s="8">
        <f>IF($A68=AV$1,0,IF(SUM(IMshareM!AV$2:AV$78)-IMshareM!AV$48&gt;0,IMshareM!AV68/(SUM(IMshareM!AV$2:AV$78)-IMshareM!AV$48),0))</f>
        <v>5.6236089946419304E-4</v>
      </c>
      <c r="AW68" s="8">
        <f>IF($A68=AW$1,0,IF(SUM(IMshareM!AW$2:AW$78)-IMshareM!AW$49&gt;0,IMshareM!AW68/(SUM(IMshareM!AW$2:AW$78)-IMshareM!AW$49),0))</f>
        <v>1.8236012425103165E-3</v>
      </c>
      <c r="AX68" s="8">
        <f>IF($A68=AX$1,0,IF(SUM(IMshareM!AX$2:AX$78)-IMshareM!AX$50&gt;0,IMshareM!AX68/(SUM(IMshareM!AX$2:AX$78)-IMshareM!AX$50),0))</f>
        <v>9.2488566946993272E-5</v>
      </c>
      <c r="AY68" s="8">
        <f>IF($A68=AY$1,0,IF(SUM(IMshareM!AY$2:AY$78)-IMshareM!AY$51&gt;0,IMshareM!AY68/(SUM(IMshareM!AY$2:AY$78)-IMshareM!AY$51),0))</f>
        <v>9.4949278001705361E-6</v>
      </c>
      <c r="AZ68" s="8">
        <f>IF($A68=AZ$1,0,IF(SUM(IMshareM!AZ$2:AZ$78)-IMshareM!AZ$52&gt;0,IMshareM!AZ68/(SUM(IMshareM!AZ$2:AZ$78)-IMshareM!AZ$52),0))</f>
        <v>1.2204090502847284E-4</v>
      </c>
      <c r="BA68" s="8">
        <f>IF($A68=BA$1,0,IF(SUM(IMshareM!BA$2:BA$78)-IMshareM!BA$53&gt;0,IMshareM!BA68/(SUM(IMshareM!BA$2:BA$78)-IMshareM!BA$53),0))</f>
        <v>6.1806963715542167E-6</v>
      </c>
      <c r="BB68" s="8">
        <f>IF($A68=BB$1,0,IF(SUM(IMshareM!BB$2:BB$78)-IMshareM!BB$54&gt;0,IMshareM!BB68/(SUM(IMshareM!BB$2:BB$78)-IMshareM!BB$54),0))</f>
        <v>9.3534579619445571E-4</v>
      </c>
      <c r="BC68" s="8">
        <f>IF($A68=BC$1,0,IF(SUM(IMshareM!BC$2:BC$78)-IMshareM!BC$55&gt;0,IMshareM!BC68/(SUM(IMshareM!BC$2:BC$78)-IMshareM!BC$55),0))</f>
        <v>2.612631145605089E-3</v>
      </c>
      <c r="BD68" s="8">
        <f>IF($A68=BD$1,0,IF(SUM(IMshareM!BD$2:BD$78)-IMshareM!BD$56&gt;0,IMshareM!BD68/(SUM(IMshareM!BD$2:BD$78)-IMshareM!BD$56),0))</f>
        <v>3.1362372775380902E-3</v>
      </c>
      <c r="BE68" s="8">
        <f>IF($A68=BE$1,0,IF(SUM(IMshareM!BE$2:BE$78)-IMshareM!BE$57&gt;0,IMshareM!BE68/(SUM(IMshareM!BE$2:BE$78)-IMshareM!BE$57),0))</f>
        <v>8.9328927636418034E-5</v>
      </c>
      <c r="BF68" s="8">
        <f>IF($A68=BF$1,0,IF(SUM(IMshareM!BF$2:BF$78)-IMshareM!BF$58&gt;0,IMshareM!BF68/(SUM(IMshareM!BF$2:BF$78)-IMshareM!BF$58),0))</f>
        <v>5.5272092981022245E-4</v>
      </c>
      <c r="BG68" s="8">
        <f>IF($A68=BG$1,0,IF(SUM(IMshareM!BG$2:BG$78)-IMshareM!BG$59&gt;0,IMshareM!BG68/(SUM(IMshareM!BG$2:BG$78)-IMshareM!BG$59),0))</f>
        <v>2.2386417379814569E-4</v>
      </c>
      <c r="BH68" s="8">
        <f>IF($A68=BH$1,0,IF(SUM(IMshareM!BH$2:BH$78)-IMshareM!BH$60&gt;0,IMshareM!BH68/(SUM(IMshareM!BH$2:BH$78)-IMshareM!BH$60),0))</f>
        <v>2.6528006383889031E-2</v>
      </c>
      <c r="BI68" s="8">
        <f>IF($A68=BI$1,0,IF(SUM(IMshareM!BI$2:BI$78)-IMshareM!BI$61&gt;0,IMshareM!BI68/(SUM(IMshareM!BI$2:BI$78)-IMshareM!BI$61),0))</f>
        <v>4.1314138110045198E-4</v>
      </c>
      <c r="BJ68" s="8">
        <f>IF($A68=BJ$1,0,IF(SUM(IMshareM!BJ$2:BJ$78)-IMshareM!BJ$62&gt;0,IMshareM!BJ68/(SUM(IMshareM!BJ$2:BJ$78)-IMshareM!BJ$62),0))</f>
        <v>3.639633946186676E-2</v>
      </c>
      <c r="BK68" s="8">
        <f>IF($A68=BK$1,0,IF(SUM(IMshareM!BK$2:BK$78)-IMshareM!BK$63&gt;0,IMshareM!BK68/(SUM(IMshareM!BK$2:BK$78)-IMshareM!BK$63),0))</f>
        <v>3.2385592063465373E-3</v>
      </c>
      <c r="BL68" s="8">
        <f>IF($A68=BL$1,0,IF(SUM(IMshareM!BL$2:BL$78)-IMshareM!BL$64&gt;0,IMshareM!BL68/(SUM(IMshareM!BL$2:BL$78)-IMshareM!BL$64),0))</f>
        <v>2.2973072637530141E-5</v>
      </c>
      <c r="BM68" s="8">
        <f>IF($A68=BM$1,0,IF(SUM(IMshareM!BM$2:BM$78)-IMshareM!BM$65&gt;0,IMshareM!BM68/(SUM(IMshareM!BM$2:BM$78)-IMshareM!BM$65),0))</f>
        <v>0</v>
      </c>
      <c r="BN68" s="8">
        <f>IF($A68=BN$1,0,IF(SUM(IMshareM!BN$2:BN$78)-IMshareM!BN$66&gt;0,IMshareM!BN68/(SUM(IMshareM!BN$2:BN$78)-IMshareM!BN$66),0))</f>
        <v>1.6237340938619041E-3</v>
      </c>
      <c r="BO68" s="8">
        <f>IF($A68=BO$1,0,IF(SUM(IMshareM!BO$2:BO$78)-IMshareM!BO$67&gt;0,IMshareM!BO68/(SUM(IMshareM!BO$2:BO$78)-IMshareM!BO$67),0))</f>
        <v>2.7242265178483646E-3</v>
      </c>
      <c r="BP68" s="8">
        <f>IF($A68=BP$1,0,IF(SUM(IMshareM!BP$2:BP$78)-IMshareM!BP$68&gt;0,IMshareM!BP68/(SUM(IMshareM!BP$2:BP$78)-IMshareM!BP$68),0))</f>
        <v>0</v>
      </c>
      <c r="BQ68" s="8">
        <f>IF($A68=BQ$1,0,IF(SUM(IMshareM!BQ$2:BQ$78)-IMshareM!BQ$69&gt;0,IMshareM!BQ68/(SUM(IMshareM!BQ$2:BQ$78)-IMshareM!BQ$69),0))</f>
        <v>1.9764456023927377E-2</v>
      </c>
      <c r="BR68" s="8">
        <f>IF($A68=BR$1,0,IF(SUM(IMshareM!BR$2:BR$78)-IMshareM!BR$70&gt;0,IMshareM!BR68/(SUM(IMshareM!BR$2:BR$78)-IMshareM!BR$70),0))</f>
        <v>2.8812064975617795E-4</v>
      </c>
      <c r="BS68" s="8">
        <f>IF($A68=BS$1,0,IF(SUM(IMshareM!BS$2:BS$78)-IMshareM!BS$71&gt;0,IMshareM!BS68/(SUM(IMshareM!BS$2:BS$78)-IMshareM!BS$71),0))</f>
        <v>2.7831418139523877E-4</v>
      </c>
      <c r="BT68" s="8">
        <f>IF($A68=BT$1,0,IF(SUM(IMshareM!BT$2:BT$78)-IMshareM!BT$72&gt;0,IMshareM!BT68/(SUM(IMshareM!BT$2:BT$78)-IMshareM!BT$72),0))</f>
        <v>6.5453625826888684E-3</v>
      </c>
      <c r="BU68" s="8">
        <f>IF($A68=BU$1,0,IF(SUM(IMshareM!BU$2:BU$78)-IMshareM!BU$73&gt;0,IMshareM!BU68/(SUM(IMshareM!BU$2:BU$78)-IMshareM!BU$73),0))</f>
        <v>7.5649814109261422E-3</v>
      </c>
      <c r="BV68" s="8">
        <f>IF($A68=BV$1,0,IF(SUM(IMshareM!BV$2:BV$78)-IMshareM!BV$74&gt;0,IMshareM!BV68/(SUM(IMshareM!BV$2:BV$78)-IMshareM!BV$74),0))</f>
        <v>7.38995634740935E-3</v>
      </c>
      <c r="BW68" s="8">
        <f>IF($A68=BW$1,0,IF(SUM(IMshareM!BW$2:BW$78)-IMshareM!BW$75&gt;0,IMshareM!BW68/(SUM(IMshareM!BW$2:BW$78)-IMshareM!BW$75),0))</f>
        <v>2.7522431851695777E-3</v>
      </c>
      <c r="BX68" s="8">
        <f>IF($A68=BX$1,0,IF(SUM(IMshareM!BX$2:BX$78)-IMshareM!BX$76&gt;0,IMshareM!BX68/(SUM(IMshareM!BX$2:BX$78)-IMshareM!BX$76),0))</f>
        <v>9.7888524436481677E-5</v>
      </c>
      <c r="BY68" s="8">
        <f>IF($A68=BY$1,0,IF(SUM(IMshareM!BY$2:BY$78)-IMshareM!BY$77&gt;0,IMshareM!BY68/(SUM(IMshareM!BY$2:BY$78)-IMshareM!BY$77),0))</f>
        <v>1.3685663608507652E-3</v>
      </c>
      <c r="BZ68" s="8">
        <f>IF($A68=BZ$1,0,IF(SUM(IMshareM!BZ$2:BZ$78)-IMshareM!BZ$78&gt;0,IMshareM!BZ68/(SUM(IMshareM!BZ$2:BZ$78)-IMshareM!BZ$78),0))</f>
        <v>4.0342071498539215E-3</v>
      </c>
    </row>
    <row r="69" spans="1:78">
      <c r="A69" s="4" t="s">
        <v>205</v>
      </c>
      <c r="B69" s="8">
        <f>IF($A69=B$1,0,IF(SUM(IMshareM!B$2:B$78)-IMshareM!B$2&gt;0,IMshareM!B69/(SUM(IMshareM!B$2:B$78)-IMshareM!B$2),0))</f>
        <v>8.4389175255934008E-4</v>
      </c>
      <c r="C69" s="8">
        <f>IF($A69=C$1,0,IF(SUM(IMshareM!C$2:C$78)-IMshareM!C$3&gt;0,IMshareM!C69/(SUM(IMshareM!C$2:C$78)-IMshareM!C$3),0))</f>
        <v>2.3549269544849371E-3</v>
      </c>
      <c r="D69" s="8">
        <f>IF($A69=D$1,0,IF(SUM(IMshareM!D$2:D$78)-IMshareM!D$4&gt;0,IMshareM!D69/(SUM(IMshareM!D$2:D$78)-IMshareM!D$4),0))</f>
        <v>2.0127726587970108E-3</v>
      </c>
      <c r="E69" s="8">
        <f>IF($A69=E$1,0,IF(SUM(IMshareM!E$2:E$78)-IMshareM!E$5&gt;0,IMshareM!E69/(SUM(IMshareM!E$2:E$78)-IMshareM!E$5),0))</f>
        <v>2.7787029579495203E-2</v>
      </c>
      <c r="F69" s="8">
        <f>IF($A69=F$1,0,IF(SUM(IMshareM!F$2:F$78)-IMshareM!F$6&gt;0,IMshareM!F69/(SUM(IMshareM!F$2:F$78)-IMshareM!F$6),0))</f>
        <v>3.7895483534243384E-6</v>
      </c>
      <c r="G69" s="8">
        <f>IF($A69=G$1,0,IF(SUM(IMshareM!G$2:G$78)-IMshareM!G$7&gt;0,IMshareM!G69/(SUM(IMshareM!G$2:G$78)-IMshareM!G$7),0))</f>
        <v>5.5631800944082894E-3</v>
      </c>
      <c r="H69" s="8">
        <f>IF($A69=H$1,0,IF(SUM(IMshareM!H$2:H$78)-IMshareM!H$8&gt;0,IMshareM!H69/(SUM(IMshareM!H$2:H$78)-IMshareM!H$8),0))</f>
        <v>3.1225817376234982E-4</v>
      </c>
      <c r="I69" s="8">
        <f>IF($A69=I$1,0,IF(SUM(IMshareM!I$2:I$78)-IMshareM!I$9&gt;0,IMshareM!I69/(SUM(IMshareM!I$2:I$78)-IMshareM!I$9),0))</f>
        <v>3.8407481503143341E-3</v>
      </c>
      <c r="J69" s="8">
        <f>IF($A69=J$1,0,IF(SUM(IMshareM!J$2:J$78)-IMshareM!J$10&gt;0,IMshareM!J69/(SUM(IMshareM!J$2:J$78)-IMshareM!J$10),0))</f>
        <v>4.411820107820685E-3</v>
      </c>
      <c r="K69" s="8">
        <f>IF($A69=K$1,0,IF(SUM(IMshareM!K$2:K$78)-IMshareM!K$11&gt;0,IMshareM!K69/(SUM(IMshareM!K$2:K$78)-IMshareM!K$11),0))</f>
        <v>2.8204158760392838E-3</v>
      </c>
      <c r="L69" s="8">
        <f>IF($A69=L$1,0,IF(SUM(IMshareM!L$2:L$78)-IMshareM!L$12&gt;0,IMshareM!L69/(SUM(IMshareM!L$2:L$78)-IMshareM!L$12),0))</f>
        <v>4.4909265883915925E-3</v>
      </c>
      <c r="M69" s="8">
        <f>IF($A69=M$1,0,IF(SUM(IMshareM!M$2:M$78)-IMshareM!M$13&gt;0,IMshareM!M69/(SUM(IMshareM!M$2:M$78)-IMshareM!M$13),0))</f>
        <v>6.4632144225712474E-4</v>
      </c>
      <c r="N69" s="8">
        <f>IF($A69=N$1,0,IF(SUM(IMshareM!N$2:N$78)-IMshareM!N$14&gt;0,IMshareM!N69/(SUM(IMshareM!N$2:N$78)-IMshareM!N$14),0))</f>
        <v>1.2075938148487069E-2</v>
      </c>
      <c r="O69" s="8">
        <f>IF($A69=O$1,0,IF(SUM(IMshareM!O$2:O$78)-IMshareM!O$15&gt;0,IMshareM!O69/(SUM(IMshareM!O$2:O$78)-IMshareM!O$15),0))</f>
        <v>1.132564353620263E-3</v>
      </c>
      <c r="P69" s="8">
        <f>IF($A69=P$1,0,IF(SUM(IMshareM!P$2:P$78)-IMshareM!P$16&gt;0,IMshareM!P69/(SUM(IMshareM!P$2:P$78)-IMshareM!P$16),0))</f>
        <v>1.32791799440897E-3</v>
      </c>
      <c r="Q69" s="8">
        <f>IF($A69=Q$1,0,IF(SUM(IMshareM!Q$2:Q$78)-IMshareM!Q$17&gt;0,IMshareM!Q69/(SUM(IMshareM!Q$2:Q$78)-IMshareM!Q$17),0))</f>
        <v>3.9775217812600242E-4</v>
      </c>
      <c r="R69" s="8">
        <f>IF($A69=R$1,0,IF(SUM(IMshareM!R$2:R$78)-IMshareM!R$18&gt;0,IMshareM!R69/(SUM(IMshareM!R$2:R$78)-IMshareM!R$18),0))</f>
        <v>1.1806765316761752E-3</v>
      </c>
      <c r="S69" s="8">
        <f>IF($A69=S$1,0,IF(SUM(IMshareM!S$2:S$78)-IMshareM!S$19&gt;0,IMshareM!S69/(SUM(IMshareM!S$2:S$78)-IMshareM!S$19),0))</f>
        <v>3.002403873934177E-3</v>
      </c>
      <c r="T69" s="8">
        <f>IF($A69=T$1,0,IF(SUM(IMshareM!T$2:T$78)-IMshareM!T$20&gt;0,IMshareM!T69/(SUM(IMshareM!T$2:T$78)-IMshareM!T$20),0))</f>
        <v>2.0483552991202485E-3</v>
      </c>
      <c r="U69" s="8">
        <f>IF($A69=U$1,0,IF(SUM(IMshareM!U$2:U$78)-IMshareM!U$21&gt;0,IMshareM!U69/(SUM(IMshareM!U$2:U$78)-IMshareM!U$21),0))</f>
        <v>5.0510442587825615E-3</v>
      </c>
      <c r="V69" s="8">
        <f>IF($A69=V$1,0,IF(SUM(IMshareM!V$2:V$78)-IMshareM!V$22&gt;0,IMshareM!V69/(SUM(IMshareM!V$2:V$78)-IMshareM!V$22),0))</f>
        <v>6.46928371931344E-2</v>
      </c>
      <c r="W69" s="8">
        <f>IF($A69=W$1,0,IF(SUM(IMshareM!W$2:W$78)-IMshareM!W$23&gt;0,IMshareM!W69/(SUM(IMshareM!W$2:W$78)-IMshareM!W$23),0))</f>
        <v>8.6263919882619607E-4</v>
      </c>
      <c r="X69" s="8">
        <f>IF($A69=X$1,0,IF(SUM(IMshareM!X$2:X$78)-IMshareM!X$24&gt;0,IMshareM!X69/(SUM(IMshareM!X$2:X$78)-IMshareM!X$24),0))</f>
        <v>5.1649653833755783E-3</v>
      </c>
      <c r="Y69" s="8">
        <f>IF($A69=Y$1,0,IF(SUM(IMshareM!Y$2:Y$78)-IMshareM!Y$25&gt;0,IMshareM!Y69/(SUM(IMshareM!Y$2:Y$78)-IMshareM!Y$25),0))</f>
        <v>3.542983504807002E-2</v>
      </c>
      <c r="Z69" s="8">
        <f>IF($A69=Z$1,0,IF(SUM(IMshareM!Z$2:Z$78)-IMshareM!Z$26&gt;0,IMshareM!Z69/(SUM(IMshareM!Z$2:Z$78)-IMshareM!Z$26),0))</f>
        <v>3.0098838692229412E-2</v>
      </c>
      <c r="AA69" s="8">
        <f>IF($A69=AA$1,0,IF(SUM(IMshareM!AA$2:AA$78)-IMshareM!AA$27&gt;0,IMshareM!AA69/(SUM(IMshareM!AA$2:AA$78)-IMshareM!AA$27),0))</f>
        <v>1.6522516076424294E-3</v>
      </c>
      <c r="AB69" s="8">
        <f>IF($A69=AB$1,0,IF(SUM(IMshareM!AB$2:AB$78)-IMshareM!AB$28&gt;0,IMshareM!AB69/(SUM(IMshareM!AB$2:AB$78)-IMshareM!AB$28),0))</f>
        <v>7.392880508151462E-3</v>
      </c>
      <c r="AC69" s="8">
        <f>IF($A69=AC$1,0,IF(SUM(IMshareM!AC$2:AC$78)-IMshareM!AC$29&gt;0,IMshareM!AC69/(SUM(IMshareM!AC$2:AC$78)-IMshareM!AC$29),0))</f>
        <v>2.7704222905955097E-3</v>
      </c>
      <c r="AD69" s="8">
        <f>IF($A69=AD$1,0,IF(SUM(IMshareM!AD$2:AD$78)-IMshareM!AD$30&gt;0,IMshareM!AD69/(SUM(IMshareM!AD$2:AD$78)-IMshareM!AD$30),0))</f>
        <v>4.4640881257559459E-5</v>
      </c>
      <c r="AE69" s="8">
        <f>IF($A69=AE$1,0,IF(SUM(IMshareM!AE$2:AE$78)-IMshareM!AE$31&gt;0,IMshareM!AE69/(SUM(IMshareM!AE$2:AE$78)-IMshareM!AE$31),0))</f>
        <v>3.7607383931830721E-3</v>
      </c>
      <c r="AF69" s="8">
        <f>IF($A69=AF$1,0,IF(SUM(IMshareM!AF$2:AF$78)-IMshareM!AF$32&gt;0,IMshareM!AF69/(SUM(IMshareM!AF$2:AF$78)-IMshareM!AF$32),0))</f>
        <v>7.3059780641789311E-4</v>
      </c>
      <c r="AG69" s="8">
        <f>IF($A69=AG$1,0,IF(SUM(IMshareM!AG$2:AG$78)-IMshareM!AG$33&gt;0,IMshareM!AG69/(SUM(IMshareM!AG$2:AG$78)-IMshareM!AG$33),0))</f>
        <v>6.744429807394408E-3</v>
      </c>
      <c r="AH69" s="8">
        <f>IF($A69=AH$1,0,IF(SUM(IMshareM!AH$2:AH$78)-IMshareM!AH$34&gt;0,IMshareM!AH69/(SUM(IMshareM!AH$2:AH$78)-IMshareM!AH$34),0))</f>
        <v>2.4927621169130547E-3</v>
      </c>
      <c r="AI69" s="8">
        <f>IF($A69=AI$1,0,IF(SUM(IMshareM!AI$2:AI$78)-IMshareM!AI$35&gt;0,IMshareM!AI69/(SUM(IMshareM!AI$2:AI$78)-IMshareM!AI$35),0))</f>
        <v>2.0518196641280562E-3</v>
      </c>
      <c r="AJ69" s="8">
        <f>IF($A69=AJ$1,0,IF(SUM(IMshareM!AJ$2:AJ$78)-IMshareM!AJ$36&gt;0,IMshareM!AJ69/(SUM(IMshareM!AJ$2:AJ$78)-IMshareM!AJ$36),0))</f>
        <v>4.6514683040704365E-2</v>
      </c>
      <c r="AK69" s="8">
        <f>IF($A69=AK$1,0,IF(SUM(IMshareM!AK$2:AK$78)-IMshareM!AK$37&gt;0,IMshareM!AK69/(SUM(IMshareM!AK$2:AK$78)-IMshareM!AK$37),0))</f>
        <v>6.9451479923961935E-3</v>
      </c>
      <c r="AL69" s="8">
        <f>IF($A69=AL$1,0,IF(SUM(IMshareM!AL$2:AL$78)-IMshareM!AL$38&gt;0,IMshareM!AL69/(SUM(IMshareM!AL$2:AL$78)-IMshareM!AL$38),0))</f>
        <v>1.0179792151759681E-2</v>
      </c>
      <c r="AM69" s="8">
        <f>IF($A69=AM$1,0,IF(SUM(IMshareM!AM$2:AM$78)-IMshareM!AM$39&gt;0,IMshareM!AM69/(SUM(IMshareM!AM$2:AM$78)-IMshareM!AM$39),0))</f>
        <v>1.4658062104918679E-4</v>
      </c>
      <c r="AN69" s="8">
        <f>IF($A69=AN$1,0,IF(SUM(IMshareM!AN$2:AN$78)-IMshareM!AN$40&gt;0,IMshareM!AN69/(SUM(IMshareM!AN$2:AN$78)-IMshareM!AN$40),0))</f>
        <v>1.8445495587401436E-3</v>
      </c>
      <c r="AO69" s="8">
        <f>IF($A69=AO$1,0,IF(SUM(IMshareM!AO$2:AO$78)-IMshareM!AO$41&gt;0,IMshareM!AO69/(SUM(IMshareM!AO$2:AO$78)-IMshareM!AO$41),0))</f>
        <v>4.1385192969820269E-3</v>
      </c>
      <c r="AP69" s="8">
        <f>IF($A69=AP$1,0,IF(SUM(IMshareM!AP$2:AP$78)-IMshareM!AP$42&gt;0,IMshareM!AP69/(SUM(IMshareM!AP$2:AP$78)-IMshareM!AP$42),0))</f>
        <v>0</v>
      </c>
      <c r="AQ69" s="8">
        <f>IF($A69=AQ$1,0,IF(SUM(IMshareM!AQ$2:AQ$78)-IMshareM!AQ$43&gt;0,IMshareM!AQ69/(SUM(IMshareM!AQ$2:AQ$78)-IMshareM!AQ$43),0))</f>
        <v>2.7723324736183853E-4</v>
      </c>
      <c r="AR69" s="8">
        <f>IF($A69=AR$1,0,IF(SUM(IMshareM!AR$2:AR$78)-IMshareM!AR$44&gt;0,IMshareM!AR69/(SUM(IMshareM!AR$2:AR$78)-IMshareM!AR$44),0))</f>
        <v>3.4801389911927438E-2</v>
      </c>
      <c r="AS69" s="8">
        <f>IF($A69=AS$1,0,IF(SUM(IMshareM!AS$2:AS$78)-IMshareM!AS$45&gt;0,IMshareM!AS69/(SUM(IMshareM!AS$2:AS$78)-IMshareM!AS$45),0))</f>
        <v>1.7113349467712705E-2</v>
      </c>
      <c r="AT69" s="8">
        <f>IF($A69=AT$1,0,IF(SUM(IMshareM!AT$2:AT$78)-IMshareM!AT$46&gt;0,IMshareM!AT69/(SUM(IMshareM!AT$2:AT$78)-IMshareM!AT$46),0))</f>
        <v>1.328027293981034E-3</v>
      </c>
      <c r="AU69" s="8">
        <f>IF($A69=AU$1,0,IF(SUM(IMshareM!AU$2:AU$78)-IMshareM!AU$47&gt;0,IMshareM!AU69/(SUM(IMshareM!AU$2:AU$78)-IMshareM!AU$47),0))</f>
        <v>1.1475306726685021E-2</v>
      </c>
      <c r="AV69" s="8">
        <f>IF($A69=AV$1,0,IF(SUM(IMshareM!AV$2:AV$78)-IMshareM!AV$48&gt;0,IMshareM!AV69/(SUM(IMshareM!AV$2:AV$78)-IMshareM!AV$48),0))</f>
        <v>6.4986270095032444E-4</v>
      </c>
      <c r="AW69" s="8">
        <f>IF($A69=AW$1,0,IF(SUM(IMshareM!AW$2:AW$78)-IMshareM!AW$49&gt;0,IMshareM!AW69/(SUM(IMshareM!AW$2:AW$78)-IMshareM!AW$49),0))</f>
        <v>3.5511603818422406E-4</v>
      </c>
      <c r="AX69" s="8">
        <f>IF($A69=AX$1,0,IF(SUM(IMshareM!AX$2:AX$78)-IMshareM!AX$50&gt;0,IMshareM!AX69/(SUM(IMshareM!AX$2:AX$78)-IMshareM!AX$50),0))</f>
        <v>4.9560527694128289E-5</v>
      </c>
      <c r="AY69" s="8">
        <f>IF($A69=AY$1,0,IF(SUM(IMshareM!AY$2:AY$78)-IMshareM!AY$51&gt;0,IMshareM!AY69/(SUM(IMshareM!AY$2:AY$78)-IMshareM!AY$51),0))</f>
        <v>1.6265221442919094E-3</v>
      </c>
      <c r="AZ69" s="8">
        <f>IF($A69=AZ$1,0,IF(SUM(IMshareM!AZ$2:AZ$78)-IMshareM!AZ$52&gt;0,IMshareM!AZ69/(SUM(IMshareM!AZ$2:AZ$78)-IMshareM!AZ$52),0))</f>
        <v>1.4403198444802414E-3</v>
      </c>
      <c r="BA69" s="8">
        <f>IF($A69=BA$1,0,IF(SUM(IMshareM!BA$2:BA$78)-IMshareM!BA$53&gt;0,IMshareM!BA69/(SUM(IMshareM!BA$2:BA$78)-IMshareM!BA$53),0))</f>
        <v>3.7549178646258065E-4</v>
      </c>
      <c r="BB69" s="8">
        <f>IF($A69=BB$1,0,IF(SUM(IMshareM!BB$2:BB$78)-IMshareM!BB$54&gt;0,IMshareM!BB69/(SUM(IMshareM!BB$2:BB$78)-IMshareM!BB$54),0))</f>
        <v>3.8189587907524591E-3</v>
      </c>
      <c r="BC69" s="8">
        <f>IF($A69=BC$1,0,IF(SUM(IMshareM!BC$2:BC$78)-IMshareM!BC$55&gt;0,IMshareM!BC69/(SUM(IMshareM!BC$2:BC$78)-IMshareM!BC$55),0))</f>
        <v>5.930447147210683E-2</v>
      </c>
      <c r="BD69" s="8">
        <f>IF($A69=BD$1,0,IF(SUM(IMshareM!BD$2:BD$78)-IMshareM!BD$56&gt;0,IMshareM!BD69/(SUM(IMshareM!BD$2:BD$78)-IMshareM!BD$56),0))</f>
        <v>1.1872929398084988E-3</v>
      </c>
      <c r="BE69" s="8">
        <f>IF($A69=BE$1,0,IF(SUM(IMshareM!BE$2:BE$78)-IMshareM!BE$57&gt;0,IMshareM!BE69/(SUM(IMshareM!BE$2:BE$78)-IMshareM!BE$57),0))</f>
        <v>3.3020170595499722E-4</v>
      </c>
      <c r="BF69" s="8">
        <f>IF($A69=BF$1,0,IF(SUM(IMshareM!BF$2:BF$78)-IMshareM!BF$58&gt;0,IMshareM!BF69/(SUM(IMshareM!BF$2:BF$78)-IMshareM!BF$58),0))</f>
        <v>2.5162304536524589E-3</v>
      </c>
      <c r="BG69" s="8">
        <f>IF($A69=BG$1,0,IF(SUM(IMshareM!BG$2:BG$78)-IMshareM!BG$59&gt;0,IMshareM!BG69/(SUM(IMshareM!BG$2:BG$78)-IMshareM!BG$59),0))</f>
        <v>1.3887168617870073E-3</v>
      </c>
      <c r="BH69" s="8">
        <f>IF($A69=BH$1,0,IF(SUM(IMshareM!BH$2:BH$78)-IMshareM!BH$60&gt;0,IMshareM!BH69/(SUM(IMshareM!BH$2:BH$78)-IMshareM!BH$60),0))</f>
        <v>1.337621787492085E-2</v>
      </c>
      <c r="BI69" s="8">
        <f>IF($A69=BI$1,0,IF(SUM(IMshareM!BI$2:BI$78)-IMshareM!BI$61&gt;0,IMshareM!BI69/(SUM(IMshareM!BI$2:BI$78)-IMshareM!BI$61),0))</f>
        <v>5.5827449347213565E-4</v>
      </c>
      <c r="BJ69" s="8">
        <f>IF($A69=BJ$1,0,IF(SUM(IMshareM!BJ$2:BJ$78)-IMshareM!BJ$62&gt;0,IMshareM!BJ69/(SUM(IMshareM!BJ$2:BJ$78)-IMshareM!BJ$62),0))</f>
        <v>6.2987594237094253E-3</v>
      </c>
      <c r="BK69" s="8">
        <f>IF($A69=BK$1,0,IF(SUM(IMshareM!BK$2:BK$78)-IMshareM!BK$63&gt;0,IMshareM!BK69/(SUM(IMshareM!BK$2:BK$78)-IMshareM!BK$63),0))</f>
        <v>1.1224146721007101E-3</v>
      </c>
      <c r="BL69" s="8">
        <f>IF($A69=BL$1,0,IF(SUM(IMshareM!BL$2:BL$78)-IMshareM!BL$64&gt;0,IMshareM!BL69/(SUM(IMshareM!BL$2:BL$78)-IMshareM!BL$64),0))</f>
        <v>1.710345322603761E-2</v>
      </c>
      <c r="BM69" s="8">
        <f>IF($A69=BM$1,0,IF(SUM(IMshareM!BM$2:BM$78)-IMshareM!BM$65&gt;0,IMshareM!BM69/(SUM(IMshareM!BM$2:BM$78)-IMshareM!BM$65),0))</f>
        <v>3.3414948673339126E-5</v>
      </c>
      <c r="BN69" s="8">
        <f>IF($A69=BN$1,0,IF(SUM(IMshareM!BN$2:BN$78)-IMshareM!BN$66&gt;0,IMshareM!BN69/(SUM(IMshareM!BN$2:BN$78)-IMshareM!BN$66),0))</f>
        <v>1.428007363232525E-3</v>
      </c>
      <c r="BO69" s="8">
        <f>IF($A69=BO$1,0,IF(SUM(IMshareM!BO$2:BO$78)-IMshareM!BO$67&gt;0,IMshareM!BO69/(SUM(IMshareM!BO$2:BO$78)-IMshareM!BO$67),0))</f>
        <v>1.7004510194934994E-3</v>
      </c>
      <c r="BP69" s="8">
        <f>IF($A69=BP$1,0,IF(SUM(IMshareM!BP$2:BP$78)-IMshareM!BP$68&gt;0,IMshareM!BP69/(SUM(IMshareM!BP$2:BP$78)-IMshareM!BP$68),0))</f>
        <v>1.3914729102752024E-3</v>
      </c>
      <c r="BQ69" s="8">
        <f>IF($A69=BQ$1,0,IF(SUM(IMshareM!BQ$2:BQ$78)-IMshareM!BQ$69&gt;0,IMshareM!BQ69/(SUM(IMshareM!BQ$2:BQ$78)-IMshareM!BQ$69),0))</f>
        <v>0</v>
      </c>
      <c r="BR69" s="8">
        <f>IF($A69=BR$1,0,IF(SUM(IMshareM!BR$2:BR$78)-IMshareM!BR$70&gt;0,IMshareM!BR69/(SUM(IMshareM!BR$2:BR$78)-IMshareM!BR$70),0))</f>
        <v>1.1560496339851258E-3</v>
      </c>
      <c r="BS69" s="8">
        <f>IF($A69=BS$1,0,IF(SUM(IMshareM!BS$2:BS$78)-IMshareM!BS$71&gt;0,IMshareM!BS69/(SUM(IMshareM!BS$2:BS$78)-IMshareM!BS$71),0))</f>
        <v>3.2406192215953927E-4</v>
      </c>
      <c r="BT69" s="8">
        <f>IF($A69=BT$1,0,IF(SUM(IMshareM!BT$2:BT$78)-IMshareM!BT$72&gt;0,IMshareM!BT69/(SUM(IMshareM!BT$2:BT$78)-IMshareM!BT$72),0))</f>
        <v>1.7943614179593381E-3</v>
      </c>
      <c r="BU69" s="8">
        <f>IF($A69=BU$1,0,IF(SUM(IMshareM!BU$2:BU$78)-IMshareM!BU$73&gt;0,IMshareM!BU69/(SUM(IMshareM!BU$2:BU$78)-IMshareM!BU$73),0))</f>
        <v>1.1036909851703544E-2</v>
      </c>
      <c r="BV69" s="8">
        <f>IF($A69=BV$1,0,IF(SUM(IMshareM!BV$2:BV$78)-IMshareM!BV$74&gt;0,IMshareM!BV69/(SUM(IMshareM!BV$2:BV$78)-IMshareM!BV$74),0))</f>
        <v>3.9800158412933388E-3</v>
      </c>
      <c r="BW69" s="8">
        <f>IF($A69=BW$1,0,IF(SUM(IMshareM!BW$2:BW$78)-IMshareM!BW$75&gt;0,IMshareM!BW69/(SUM(IMshareM!BW$2:BW$78)-IMshareM!BW$75),0))</f>
        <v>2.535741462449993E-3</v>
      </c>
      <c r="BX69" s="8">
        <f>IF($A69=BX$1,0,IF(SUM(IMshareM!BX$2:BX$78)-IMshareM!BX$76&gt;0,IMshareM!BX69/(SUM(IMshareM!BX$2:BX$78)-IMshareM!BX$76),0))</f>
        <v>1.6207774213510204E-4</v>
      </c>
      <c r="BY69" s="8">
        <f>IF($A69=BY$1,0,IF(SUM(IMshareM!BY$2:BY$78)-IMshareM!BY$77&gt;0,IMshareM!BY69/(SUM(IMshareM!BY$2:BY$78)-IMshareM!BY$77),0))</f>
        <v>1.8624972880113924E-3</v>
      </c>
      <c r="BZ69" s="8">
        <f>IF($A69=BZ$1,0,IF(SUM(IMshareM!BZ$2:BZ$78)-IMshareM!BZ$78&gt;0,IMshareM!BZ69/(SUM(IMshareM!BZ$2:BZ$78)-IMshareM!BZ$78),0))</f>
        <v>2.4392951680489946E-3</v>
      </c>
    </row>
    <row r="70" spans="1:78">
      <c r="A70" s="4" t="s">
        <v>207</v>
      </c>
      <c r="B70" s="8">
        <f>IF($A70=B$1,0,IF(SUM(IMshareM!B$2:B$78)-IMshareM!B$2&gt;0,IMshareM!B70/(SUM(IMshareM!B$2:B$78)-IMshareM!B$2),0))</f>
        <v>5.6917951677512967E-3</v>
      </c>
      <c r="C70" s="8">
        <f>IF($A70=C$1,0,IF(SUM(IMshareM!C$2:C$78)-IMshareM!C$3&gt;0,IMshareM!C70/(SUM(IMshareM!C$2:C$78)-IMshareM!C$3),0))</f>
        <v>2.4809302052413499E-2</v>
      </c>
      <c r="D70" s="8">
        <f>IF($A70=D$1,0,IF(SUM(IMshareM!D$2:D$78)-IMshareM!D$4&gt;0,IMshareM!D70/(SUM(IMshareM!D$2:D$78)-IMshareM!D$4),0))</f>
        <v>3.6461426352960135E-3</v>
      </c>
      <c r="E70" s="8">
        <f>IF($A70=E$1,0,IF(SUM(IMshareM!E$2:E$78)-IMshareM!E$5&gt;0,IMshareM!E70/(SUM(IMshareM!E$2:E$78)-IMshareM!E$5),0))</f>
        <v>5.8327736933367854E-4</v>
      </c>
      <c r="F70" s="8">
        <f>IF($A70=F$1,0,IF(SUM(IMshareM!F$2:F$78)-IMshareM!F$6&gt;0,IMshareM!F70/(SUM(IMshareM!F$2:F$78)-IMshareM!F$6),0))</f>
        <v>9.0890823980797602E-3</v>
      </c>
      <c r="G70" s="8">
        <f>IF($A70=G$1,0,IF(SUM(IMshareM!G$2:G$78)-IMshareM!G$7&gt;0,IMshareM!G70/(SUM(IMshareM!G$2:G$78)-IMshareM!G$7),0))</f>
        <v>4.6506265998627816E-3</v>
      </c>
      <c r="H70" s="8">
        <f>IF($A70=H$1,0,IF(SUM(IMshareM!H$2:H$78)-IMshareM!H$8&gt;0,IMshareM!H70/(SUM(IMshareM!H$2:H$78)-IMshareM!H$8),0))</f>
        <v>0</v>
      </c>
      <c r="I70" s="8">
        <f>IF($A70=I$1,0,IF(SUM(IMshareM!I$2:I$78)-IMshareM!I$9&gt;0,IMshareM!I70/(SUM(IMshareM!I$2:I$78)-IMshareM!I$9),0))</f>
        <v>4.9019318948473056E-3</v>
      </c>
      <c r="J70" s="8">
        <f>IF($A70=J$1,0,IF(SUM(IMshareM!J$2:J$78)-IMshareM!J$10&gt;0,IMshareM!J70/(SUM(IMshareM!J$2:J$78)-IMshareM!J$10),0))</f>
        <v>6.3914102420498621E-3</v>
      </c>
      <c r="K70" s="8">
        <f>IF($A70=K$1,0,IF(SUM(IMshareM!K$2:K$78)-IMshareM!K$11&gt;0,IMshareM!K70/(SUM(IMshareM!K$2:K$78)-IMshareM!K$11),0))</f>
        <v>1.876420089350239E-3</v>
      </c>
      <c r="L70" s="8">
        <f>IF($A70=L$1,0,IF(SUM(IMshareM!L$2:L$78)-IMshareM!L$12&gt;0,IMshareM!L70/(SUM(IMshareM!L$2:L$78)-IMshareM!L$12),0))</f>
        <v>1.2788634438426361E-3</v>
      </c>
      <c r="M70" s="8">
        <f>IF($A70=M$1,0,IF(SUM(IMshareM!M$2:M$78)-IMshareM!M$13&gt;0,IMshareM!M70/(SUM(IMshareM!M$2:M$78)-IMshareM!M$13),0))</f>
        <v>1.2351150805435507E-3</v>
      </c>
      <c r="N70" s="8">
        <f>IF($A70=N$1,0,IF(SUM(IMshareM!N$2:N$78)-IMshareM!N$14&gt;0,IMshareM!N70/(SUM(IMshareM!N$2:N$78)-IMshareM!N$14),0))</f>
        <v>4.7564981625542721E-2</v>
      </c>
      <c r="O70" s="8">
        <f>IF($A70=O$1,0,IF(SUM(IMshareM!O$2:O$78)-IMshareM!O$15&gt;0,IMshareM!O70/(SUM(IMshareM!O$2:O$78)-IMshareM!O$15),0))</f>
        <v>4.0600740880915488E-4</v>
      </c>
      <c r="P70" s="8">
        <f>IF($A70=P$1,0,IF(SUM(IMshareM!P$2:P$78)-IMshareM!P$16&gt;0,IMshareM!P70/(SUM(IMshareM!P$2:P$78)-IMshareM!P$16),0))</f>
        <v>1.9842568676533961E-5</v>
      </c>
      <c r="Q70" s="8">
        <f>IF($A70=Q$1,0,IF(SUM(IMshareM!Q$2:Q$78)-IMshareM!Q$17&gt;0,IMshareM!Q70/(SUM(IMshareM!Q$2:Q$78)-IMshareM!Q$17),0))</f>
        <v>3.5832642920304433E-3</v>
      </c>
      <c r="R70" s="8">
        <f>IF($A70=R$1,0,IF(SUM(IMshareM!R$2:R$78)-IMshareM!R$18&gt;0,IMshareM!R70/(SUM(IMshareM!R$2:R$78)-IMshareM!R$18),0))</f>
        <v>1.5140471272807984E-3</v>
      </c>
      <c r="S70" s="8">
        <f>IF($A70=S$1,0,IF(SUM(IMshareM!S$2:S$78)-IMshareM!S$19&gt;0,IMshareM!S70/(SUM(IMshareM!S$2:S$78)-IMshareM!S$19),0))</f>
        <v>2.0652577625570146E-6</v>
      </c>
      <c r="T70" s="8">
        <f>IF($A70=T$1,0,IF(SUM(IMshareM!T$2:T$78)-IMshareM!T$20&gt;0,IMshareM!T70/(SUM(IMshareM!T$2:T$78)-IMshareM!T$20),0))</f>
        <v>1.2810497291056084E-2</v>
      </c>
      <c r="U70" s="8">
        <f>IF($A70=U$1,0,IF(SUM(IMshareM!U$2:U$78)-IMshareM!U$21&gt;0,IMshareM!U70/(SUM(IMshareM!U$2:U$78)-IMshareM!U$21),0))</f>
        <v>1.2132571072863434E-2</v>
      </c>
      <c r="V70" s="8">
        <f>IF($A70=V$1,0,IF(SUM(IMshareM!V$2:V$78)-IMshareM!V$22&gt;0,IMshareM!V70/(SUM(IMshareM!V$2:V$78)-IMshareM!V$22),0))</f>
        <v>1.735988416169608E-3</v>
      </c>
      <c r="W70" s="8">
        <f>IF($A70=W$1,0,IF(SUM(IMshareM!W$2:W$78)-IMshareM!W$23&gt;0,IMshareM!W70/(SUM(IMshareM!W$2:W$78)-IMshareM!W$23),0))</f>
        <v>1.6103196067490809E-3</v>
      </c>
      <c r="X70" s="8">
        <f>IF($A70=X$1,0,IF(SUM(IMshareM!X$2:X$78)-IMshareM!X$24&gt;0,IMshareM!X70/(SUM(IMshareM!X$2:X$78)-IMshareM!X$24),0))</f>
        <v>6.2382157068700556E-3</v>
      </c>
      <c r="Y70" s="8">
        <f>IF($A70=Y$1,0,IF(SUM(IMshareM!Y$2:Y$78)-IMshareM!Y$25&gt;0,IMshareM!Y70/(SUM(IMshareM!Y$2:Y$78)-IMshareM!Y$25),0))</f>
        <v>2.1610370773023865E-3</v>
      </c>
      <c r="Z70" s="8">
        <f>IF($A70=Z$1,0,IF(SUM(IMshareM!Z$2:Z$78)-IMshareM!Z$26&gt;0,IMshareM!Z70/(SUM(IMshareM!Z$2:Z$78)-IMshareM!Z$26),0))</f>
        <v>1.5592064145383516E-3</v>
      </c>
      <c r="AA70" s="8">
        <f>IF($A70=AA$1,0,IF(SUM(IMshareM!AA$2:AA$78)-IMshareM!AA$27&gt;0,IMshareM!AA70/(SUM(IMshareM!AA$2:AA$78)-IMshareM!AA$27),0))</f>
        <v>1.6238086341511623E-2</v>
      </c>
      <c r="AB70" s="8">
        <f>IF($A70=AB$1,0,IF(SUM(IMshareM!AB$2:AB$78)-IMshareM!AB$28&gt;0,IMshareM!AB70/(SUM(IMshareM!AB$2:AB$78)-IMshareM!AB$28),0))</f>
        <v>4.3313254606857322E-3</v>
      </c>
      <c r="AC70" s="8">
        <f>IF($A70=AC$1,0,IF(SUM(IMshareM!AC$2:AC$78)-IMshareM!AC$29&gt;0,IMshareM!AC70/(SUM(IMshareM!AC$2:AC$78)-IMshareM!AC$29),0))</f>
        <v>1.3267724557123555E-5</v>
      </c>
      <c r="AD70" s="8">
        <f>IF($A70=AD$1,0,IF(SUM(IMshareM!AD$2:AD$78)-IMshareM!AD$30&gt;0,IMshareM!AD70/(SUM(IMshareM!AD$2:AD$78)-IMshareM!AD$30),0))</f>
        <v>4.8035232913697323E-2</v>
      </c>
      <c r="AE70" s="8">
        <f>IF($A70=AE$1,0,IF(SUM(IMshareM!AE$2:AE$78)-IMshareM!AE$31&gt;0,IMshareM!AE70/(SUM(IMshareM!AE$2:AE$78)-IMshareM!AE$31),0))</f>
        <v>2.1831823816703821E-5</v>
      </c>
      <c r="AF70" s="8">
        <f>IF($A70=AF$1,0,IF(SUM(IMshareM!AF$2:AF$78)-IMshareM!AF$32&gt;0,IMshareM!AF70/(SUM(IMshareM!AF$2:AF$78)-IMshareM!AF$32),0))</f>
        <v>3.3511413664995601E-3</v>
      </c>
      <c r="AG70" s="8">
        <f>IF($A70=AG$1,0,IF(SUM(IMshareM!AG$2:AG$78)-IMshareM!AG$33&gt;0,IMshareM!AG70/(SUM(IMshareM!AG$2:AG$78)-IMshareM!AG$33),0))</f>
        <v>1.8417292678133634E-2</v>
      </c>
      <c r="AH70" s="8">
        <f>IF($A70=AH$1,0,IF(SUM(IMshareM!AH$2:AH$78)-IMshareM!AH$34&gt;0,IMshareM!AH70/(SUM(IMshareM!AH$2:AH$78)-IMshareM!AH$34),0))</f>
        <v>1.2967693332057375E-2</v>
      </c>
      <c r="AI70" s="8">
        <f>IF($A70=AI$1,0,IF(SUM(IMshareM!AI$2:AI$78)-IMshareM!AI$35&gt;0,IMshareM!AI70/(SUM(IMshareM!AI$2:AI$78)-IMshareM!AI$35),0))</f>
        <v>6.2313808309753371E-4</v>
      </c>
      <c r="AJ70" s="8">
        <f>IF($A70=AJ$1,0,IF(SUM(IMshareM!AJ$2:AJ$78)-IMshareM!AJ$36&gt;0,IMshareM!AJ70/(SUM(IMshareM!AJ$2:AJ$78)-IMshareM!AJ$36),0))</f>
        <v>1.1093152544324463E-3</v>
      </c>
      <c r="AK70" s="8">
        <f>IF($A70=AK$1,0,IF(SUM(IMshareM!AK$2:AK$78)-IMshareM!AK$37&gt;0,IMshareM!AK70/(SUM(IMshareM!AK$2:AK$78)-IMshareM!AK$37),0))</f>
        <v>1.3696438698596863E-3</v>
      </c>
      <c r="AL70" s="8">
        <f>IF($A70=AL$1,0,IF(SUM(IMshareM!AL$2:AL$78)-IMshareM!AL$38&gt;0,IMshareM!AL70/(SUM(IMshareM!AL$2:AL$78)-IMshareM!AL$38),0))</f>
        <v>7.2809269533473369E-3</v>
      </c>
      <c r="AM70" s="8">
        <f>IF($A70=AM$1,0,IF(SUM(IMshareM!AM$2:AM$78)-IMshareM!AM$39&gt;0,IMshareM!AM70/(SUM(IMshareM!AM$2:AM$78)-IMshareM!AM$39),0))</f>
        <v>2.8212426769663068E-4</v>
      </c>
      <c r="AN70" s="8">
        <f>IF($A70=AN$1,0,IF(SUM(IMshareM!AN$2:AN$78)-IMshareM!AN$40&gt;0,IMshareM!AN70/(SUM(IMshareM!AN$2:AN$78)-IMshareM!AN$40),0))</f>
        <v>9.8404877551271475E-2</v>
      </c>
      <c r="AO70" s="8">
        <f>IF($A70=AO$1,0,IF(SUM(IMshareM!AO$2:AO$78)-IMshareM!AO$41&gt;0,IMshareM!AO70/(SUM(IMshareM!AO$2:AO$78)-IMshareM!AO$41),0))</f>
        <v>2.0998894943208097E-6</v>
      </c>
      <c r="AP70" s="8">
        <f>IF($A70=AP$1,0,IF(SUM(IMshareM!AP$2:AP$78)-IMshareM!AP$42&gt;0,IMshareM!AP70/(SUM(IMshareM!AP$2:AP$78)-IMshareM!AP$42),0))</f>
        <v>5.132385735757513E-2</v>
      </c>
      <c r="AQ70" s="8">
        <f>IF($A70=AQ$1,0,IF(SUM(IMshareM!AQ$2:AQ$78)-IMshareM!AQ$43&gt;0,IMshareM!AQ70/(SUM(IMshareM!AQ$2:AQ$78)-IMshareM!AQ$43),0))</f>
        <v>2.7323693254637359E-3</v>
      </c>
      <c r="AR70" s="8">
        <f>IF($A70=AR$1,0,IF(SUM(IMshareM!AR$2:AR$78)-IMshareM!AR$44&gt;0,IMshareM!AR70/(SUM(IMshareM!AR$2:AR$78)-IMshareM!AR$44),0))</f>
        <v>0.32974165956630602</v>
      </c>
      <c r="AS70" s="8">
        <f>IF($A70=AS$1,0,IF(SUM(IMshareM!AS$2:AS$78)-IMshareM!AS$45&gt;0,IMshareM!AS70/(SUM(IMshareM!AS$2:AS$78)-IMshareM!AS$45),0))</f>
        <v>9.9335465700387348E-5</v>
      </c>
      <c r="AT70" s="8">
        <f>IF($A70=AT$1,0,IF(SUM(IMshareM!AT$2:AT$78)-IMshareM!AT$46&gt;0,IMshareM!AT70/(SUM(IMshareM!AT$2:AT$78)-IMshareM!AT$46),0))</f>
        <v>4.4642185682682633E-5</v>
      </c>
      <c r="AU70" s="8">
        <f>IF($A70=AU$1,0,IF(SUM(IMshareM!AU$2:AU$78)-IMshareM!AU$47&gt;0,IMshareM!AU70/(SUM(IMshareM!AU$2:AU$78)-IMshareM!AU$47),0))</f>
        <v>1.1206272586332419E-6</v>
      </c>
      <c r="AV70" s="8">
        <f>IF($A70=AV$1,0,IF(SUM(IMshareM!AV$2:AV$78)-IMshareM!AV$48&gt;0,IMshareM!AV70/(SUM(IMshareM!AV$2:AV$78)-IMshareM!AV$48),0))</f>
        <v>2.4440579906463269E-2</v>
      </c>
      <c r="AW70" s="8">
        <f>IF($A70=AW$1,0,IF(SUM(IMshareM!AW$2:AW$78)-IMshareM!AW$49&gt;0,IMshareM!AW70/(SUM(IMshareM!AW$2:AW$78)-IMshareM!AW$49),0))</f>
        <v>2.0485787398717377E-2</v>
      </c>
      <c r="AX70" s="8">
        <f>IF($A70=AX$1,0,IF(SUM(IMshareM!AX$2:AX$78)-IMshareM!AX$50&gt;0,IMshareM!AX70/(SUM(IMshareM!AX$2:AX$78)-IMshareM!AX$50),0))</f>
        <v>2.9825853877344302E-5</v>
      </c>
      <c r="AY70" s="8">
        <f>IF($A70=AY$1,0,IF(SUM(IMshareM!AY$2:AY$78)-IMshareM!AY$51&gt;0,IMshareM!AY70/(SUM(IMshareM!AY$2:AY$78)-IMshareM!AY$51),0))</f>
        <v>8.7721489469802461E-2</v>
      </c>
      <c r="AZ70" s="8">
        <f>IF($A70=AZ$1,0,IF(SUM(IMshareM!AZ$2:AZ$78)-IMshareM!AZ$52&gt;0,IMshareM!AZ70/(SUM(IMshareM!AZ$2:AZ$78)-IMshareM!AZ$52),0))</f>
        <v>1.9033792982445657E-2</v>
      </c>
      <c r="BA70" s="8">
        <f>IF($A70=BA$1,0,IF(SUM(IMshareM!BA$2:BA$78)-IMshareM!BA$53&gt;0,IMshareM!BA70/(SUM(IMshareM!BA$2:BA$78)-IMshareM!BA$53),0))</f>
        <v>3.2805052041989795E-6</v>
      </c>
      <c r="BB70" s="8">
        <f>IF($A70=BB$1,0,IF(SUM(IMshareM!BB$2:BB$78)-IMshareM!BB$54&gt;0,IMshareM!BB70/(SUM(IMshareM!BB$2:BB$78)-IMshareM!BB$54),0))</f>
        <v>3.5043335097179693E-3</v>
      </c>
      <c r="BC70" s="8">
        <f>IF($A70=BC$1,0,IF(SUM(IMshareM!BC$2:BC$78)-IMshareM!BC$55&gt;0,IMshareM!BC70/(SUM(IMshareM!BC$2:BC$78)-IMshareM!BC$55),0))</f>
        <v>4.9860812944167829E-4</v>
      </c>
      <c r="BD70" s="8">
        <f>IF($A70=BD$1,0,IF(SUM(IMshareM!BD$2:BD$78)-IMshareM!BD$56&gt;0,IMshareM!BD70/(SUM(IMshareM!BD$2:BD$78)-IMshareM!BD$56),0))</f>
        <v>3.653919772231428E-2</v>
      </c>
      <c r="BE70" s="8">
        <f>IF($A70=BE$1,0,IF(SUM(IMshareM!BE$2:BE$78)-IMshareM!BE$57&gt;0,IMshareM!BE70/(SUM(IMshareM!BE$2:BE$78)-IMshareM!BE$57),0))</f>
        <v>2.4321427817309439E-3</v>
      </c>
      <c r="BF70" s="8">
        <f>IF($A70=BF$1,0,IF(SUM(IMshareM!BF$2:BF$78)-IMshareM!BF$58&gt;0,IMshareM!BF70/(SUM(IMshareM!BF$2:BF$78)-IMshareM!BF$58),0))</f>
        <v>5.6168562784050574E-4</v>
      </c>
      <c r="BG70" s="8">
        <f>IF($A70=BG$1,0,IF(SUM(IMshareM!BG$2:BG$78)-IMshareM!BG$59&gt;0,IMshareM!BG70/(SUM(IMshareM!BG$2:BG$78)-IMshareM!BG$59),0))</f>
        <v>0.16662238926749071</v>
      </c>
      <c r="BH70" s="8">
        <f>IF($A70=BH$1,0,IF(SUM(IMshareM!BH$2:BH$78)-IMshareM!BH$60&gt;0,IMshareM!BH70/(SUM(IMshareM!BH$2:BH$78)-IMshareM!BH$60),0))</f>
        <v>6.224233238524352E-4</v>
      </c>
      <c r="BI70" s="8">
        <f>IF($A70=BI$1,0,IF(SUM(IMshareM!BI$2:BI$78)-IMshareM!BI$61&gt;0,IMshareM!BI70/(SUM(IMshareM!BI$2:BI$78)-IMshareM!BI$61),0))</f>
        <v>9.5627412421565893E-4</v>
      </c>
      <c r="BJ70" s="8">
        <f>IF($A70=BJ$1,0,IF(SUM(IMshareM!BJ$2:BJ$78)-IMshareM!BJ$62&gt;0,IMshareM!BJ70/(SUM(IMshareM!BJ$2:BJ$78)-IMshareM!BJ$62),0))</f>
        <v>3.683642878243311E-3</v>
      </c>
      <c r="BK70" s="8">
        <f>IF($A70=BK$1,0,IF(SUM(IMshareM!BK$2:BK$78)-IMshareM!BK$63&gt;0,IMshareM!BK70/(SUM(IMshareM!BK$2:BK$78)-IMshareM!BK$63),0))</f>
        <v>2.1015133053689053E-4</v>
      </c>
      <c r="BL70" s="8">
        <f>IF($A70=BL$1,0,IF(SUM(IMshareM!BL$2:BL$78)-IMshareM!BL$64&gt;0,IMshareM!BL70/(SUM(IMshareM!BL$2:BL$78)-IMshareM!BL$64),0))</f>
        <v>1.249395269591333E-2</v>
      </c>
      <c r="BM70" s="8">
        <f>IF($A70=BM$1,0,IF(SUM(IMshareM!BM$2:BM$78)-IMshareM!BM$65&gt;0,IMshareM!BM70/(SUM(IMshareM!BM$2:BM$78)-IMshareM!BM$65),0))</f>
        <v>1.3925659885974026E-4</v>
      </c>
      <c r="BN70" s="8">
        <f>IF($A70=BN$1,0,IF(SUM(IMshareM!BN$2:BN$78)-IMshareM!BN$66&gt;0,IMshareM!BN70/(SUM(IMshareM!BN$2:BN$78)-IMshareM!BN$66),0))</f>
        <v>3.3789227302527022E-2</v>
      </c>
      <c r="BO70" s="8">
        <f>IF($A70=BO$1,0,IF(SUM(IMshareM!BO$2:BO$78)-IMshareM!BO$67&gt;0,IMshareM!BO70/(SUM(IMshareM!BO$2:BO$78)-IMshareM!BO$67),0))</f>
        <v>3.0567859848598389E-3</v>
      </c>
      <c r="BP70" s="8">
        <f>IF($A70=BP$1,0,IF(SUM(IMshareM!BP$2:BP$78)-IMshareM!BP$68&gt;0,IMshareM!BP70/(SUM(IMshareM!BP$2:BP$78)-IMshareM!BP$68),0))</f>
        <v>2.0200786959266017E-3</v>
      </c>
      <c r="BQ70" s="8">
        <f>IF($A70=BQ$1,0,IF(SUM(IMshareM!BQ$2:BQ$78)-IMshareM!BQ$69&gt;0,IMshareM!BQ70/(SUM(IMshareM!BQ$2:BQ$78)-IMshareM!BQ$69),0))</f>
        <v>8.1902886156293413E-4</v>
      </c>
      <c r="BR70" s="8">
        <f>IF($A70=BR$1,0,IF(SUM(IMshareM!BR$2:BR$78)-IMshareM!BR$70&gt;0,IMshareM!BR70/(SUM(IMshareM!BR$2:BR$78)-IMshareM!BR$70),0))</f>
        <v>0</v>
      </c>
      <c r="BS70" s="8">
        <f>IF($A70=BS$1,0,IF(SUM(IMshareM!BS$2:BS$78)-IMshareM!BS$71&gt;0,IMshareM!BS70/(SUM(IMshareM!BS$2:BS$78)-IMshareM!BS$71),0))</f>
        <v>4.9572391576056703E-3</v>
      </c>
      <c r="BT70" s="8">
        <f>IF($A70=BT$1,0,IF(SUM(IMshareM!BT$2:BT$78)-IMshareM!BT$72&gt;0,IMshareM!BT70/(SUM(IMshareM!BT$2:BT$78)-IMshareM!BT$72),0))</f>
        <v>1.2255793769124791E-2</v>
      </c>
      <c r="BU70" s="8">
        <f>IF($A70=BU$1,0,IF(SUM(IMshareM!BU$2:BU$78)-IMshareM!BU$73&gt;0,IMshareM!BU70/(SUM(IMshareM!BU$2:BU$78)-IMshareM!BU$73),0))</f>
        <v>1.3921992478143535E-2</v>
      </c>
      <c r="BV70" s="8">
        <f>IF($A70=BV$1,0,IF(SUM(IMshareM!BV$2:BV$78)-IMshareM!BV$74&gt;0,IMshareM!BV70/(SUM(IMshareM!BV$2:BV$78)-IMshareM!BV$74),0))</f>
        <v>4.5661332945854671E-3</v>
      </c>
      <c r="BW70" s="8">
        <f>IF($A70=BW$1,0,IF(SUM(IMshareM!BW$2:BW$78)-IMshareM!BW$75&gt;0,IMshareM!BW70/(SUM(IMshareM!BW$2:BW$78)-IMshareM!BW$75),0))</f>
        <v>1.1740023696748873E-2</v>
      </c>
      <c r="BX70" s="8">
        <f>IF($A70=BX$1,0,IF(SUM(IMshareM!BX$2:BX$78)-IMshareM!BX$76&gt;0,IMshareM!BX70/(SUM(IMshareM!BX$2:BX$78)-IMshareM!BX$76),0))</f>
        <v>3.6628939334630323E-2</v>
      </c>
      <c r="BY70" s="8">
        <f>IF($A70=BY$1,0,IF(SUM(IMshareM!BY$2:BY$78)-IMshareM!BY$77&gt;0,IMshareM!BY70/(SUM(IMshareM!BY$2:BY$78)-IMshareM!BY$77),0))</f>
        <v>1.2514593436819894E-2</v>
      </c>
      <c r="BZ70" s="8">
        <f>IF($A70=BZ$1,0,IF(SUM(IMshareM!BZ$2:BZ$78)-IMshareM!BZ$78&gt;0,IMshareM!BZ70/(SUM(IMshareM!BZ$2:BZ$78)-IMshareM!BZ$78),0))</f>
        <v>5.5384008145758241E-3</v>
      </c>
    </row>
    <row r="71" spans="1:78">
      <c r="A71" s="4" t="s">
        <v>209</v>
      </c>
      <c r="B71" s="8">
        <f>IF($A71=B$1,0,IF(SUM(IMshareM!B$2:B$78)-IMshareM!B$2&gt;0,IMshareM!B71/(SUM(IMshareM!B$2:B$78)-IMshareM!B$2),0))</f>
        <v>7.7255660202098903E-4</v>
      </c>
      <c r="C71" s="8">
        <f>IF($A71=C$1,0,IF(SUM(IMshareM!C$2:C$78)-IMshareM!C$3&gt;0,IMshareM!C71/(SUM(IMshareM!C$2:C$78)-IMshareM!C$3),0))</f>
        <v>3.5909255673404481E-3</v>
      </c>
      <c r="D71" s="8">
        <f>IF($A71=D$1,0,IF(SUM(IMshareM!D$2:D$78)-IMshareM!D$4&gt;0,IMshareM!D71/(SUM(IMshareM!D$2:D$78)-IMshareM!D$4),0))</f>
        <v>5.9823190098124213E-5</v>
      </c>
      <c r="E71" s="8">
        <f>IF($A71=E$1,0,IF(SUM(IMshareM!E$2:E$78)-IMshareM!E$5&gt;0,IMshareM!E71/(SUM(IMshareM!E$2:E$78)-IMshareM!E$5),0))</f>
        <v>4.1436972508139231E-6</v>
      </c>
      <c r="F71" s="8">
        <f>IF($A71=F$1,0,IF(SUM(IMshareM!F$2:F$78)-IMshareM!F$6&gt;0,IMshareM!F71/(SUM(IMshareM!F$2:F$78)-IMshareM!F$6),0))</f>
        <v>0</v>
      </c>
      <c r="G71" s="8">
        <f>IF($A71=G$1,0,IF(SUM(IMshareM!G$2:G$78)-IMshareM!G$7&gt;0,IMshareM!G71/(SUM(IMshareM!G$2:G$78)-IMshareM!G$7),0))</f>
        <v>1.5694578876247296E-6</v>
      </c>
      <c r="H71" s="8">
        <f>IF($A71=H$1,0,IF(SUM(IMshareM!H$2:H$78)-IMshareM!H$8&gt;0,IMshareM!H71/(SUM(IMshareM!H$2:H$78)-IMshareM!H$8),0))</f>
        <v>0</v>
      </c>
      <c r="I71" s="8">
        <f>IF($A71=I$1,0,IF(SUM(IMshareM!I$2:I$78)-IMshareM!I$9&gt;0,IMshareM!I71/(SUM(IMshareM!I$2:I$78)-IMshareM!I$9),0))</f>
        <v>3.9722450209901469E-6</v>
      </c>
      <c r="J71" s="8">
        <f>IF($A71=J$1,0,IF(SUM(IMshareM!J$2:J$78)-IMshareM!J$10&gt;0,IMshareM!J71/(SUM(IMshareM!J$2:J$78)-IMshareM!J$10),0))</f>
        <v>0</v>
      </c>
      <c r="K71" s="8">
        <f>IF($A71=K$1,0,IF(SUM(IMshareM!K$2:K$78)-IMshareM!K$11&gt;0,IMshareM!K71/(SUM(IMshareM!K$2:K$78)-IMshareM!K$11),0))</f>
        <v>2.3129516745013239E-3</v>
      </c>
      <c r="L71" s="8">
        <f>IF($A71=L$1,0,IF(SUM(IMshareM!L$2:L$78)-IMshareM!L$12&gt;0,IMshareM!L71/(SUM(IMshareM!L$2:L$78)-IMshareM!L$12),0))</f>
        <v>4.2609094871903109E-3</v>
      </c>
      <c r="M71" s="8">
        <f>IF($A71=M$1,0,IF(SUM(IMshareM!M$2:M$78)-IMshareM!M$13&gt;0,IMshareM!M71/(SUM(IMshareM!M$2:M$78)-IMshareM!M$13),0))</f>
        <v>0</v>
      </c>
      <c r="N71" s="8">
        <f>IF($A71=N$1,0,IF(SUM(IMshareM!N$2:N$78)-IMshareM!N$14&gt;0,IMshareM!N71/(SUM(IMshareM!N$2:N$78)-IMshareM!N$14),0))</f>
        <v>9.0176476951505904E-6</v>
      </c>
      <c r="O71" s="8">
        <f>IF($A71=O$1,0,IF(SUM(IMshareM!O$2:O$78)-IMshareM!O$15&gt;0,IMshareM!O71/(SUM(IMshareM!O$2:O$78)-IMshareM!O$15),0))</f>
        <v>3.773144864881864E-3</v>
      </c>
      <c r="P71" s="8">
        <f>IF($A71=P$1,0,IF(SUM(IMshareM!P$2:P$78)-IMshareM!P$16&gt;0,IMshareM!P71/(SUM(IMshareM!P$2:P$78)-IMshareM!P$16),0))</f>
        <v>7.5665854193793147E-5</v>
      </c>
      <c r="Q71" s="8">
        <f>IF($A71=Q$1,0,IF(SUM(IMshareM!Q$2:Q$78)-IMshareM!Q$17&gt;0,IMshareM!Q71/(SUM(IMshareM!Q$2:Q$78)-IMshareM!Q$17),0))</f>
        <v>1.3118447086725562E-4</v>
      </c>
      <c r="R71" s="8">
        <f>IF($A71=R$1,0,IF(SUM(IMshareM!R$2:R$78)-IMshareM!R$18&gt;0,IMshareM!R71/(SUM(IMshareM!R$2:R$78)-IMshareM!R$18),0))</f>
        <v>1.8546631926539285E-3</v>
      </c>
      <c r="S71" s="8">
        <f>IF($A71=S$1,0,IF(SUM(IMshareM!S$2:S$78)-IMshareM!S$19&gt;0,IMshareM!S71/(SUM(IMshareM!S$2:S$78)-IMshareM!S$19),0))</f>
        <v>0</v>
      </c>
      <c r="T71" s="8">
        <f>IF($A71=T$1,0,IF(SUM(IMshareM!T$2:T$78)-IMshareM!T$20&gt;0,IMshareM!T71/(SUM(IMshareM!T$2:T$78)-IMshareM!T$20),0))</f>
        <v>5.3881988968596515E-4</v>
      </c>
      <c r="U71" s="8">
        <f>IF($A71=U$1,0,IF(SUM(IMshareM!U$2:U$78)-IMshareM!U$21&gt;0,IMshareM!U71/(SUM(IMshareM!U$2:U$78)-IMshareM!U$21),0))</f>
        <v>8.1653041552378295E-3</v>
      </c>
      <c r="V71" s="8">
        <f>IF($A71=V$1,0,IF(SUM(IMshareM!V$2:V$78)-IMshareM!V$22&gt;0,IMshareM!V71/(SUM(IMshareM!V$2:V$78)-IMshareM!V$22),0))</f>
        <v>8.0536310999851585E-7</v>
      </c>
      <c r="W71" s="8">
        <f>IF($A71=W$1,0,IF(SUM(IMshareM!W$2:W$78)-IMshareM!W$23&gt;0,IMshareM!W71/(SUM(IMshareM!W$2:W$78)-IMshareM!W$23),0))</f>
        <v>3.243165113288534E-3</v>
      </c>
      <c r="X71" s="8">
        <f>IF($A71=X$1,0,IF(SUM(IMshareM!X$2:X$78)-IMshareM!X$24&gt;0,IMshareM!X71/(SUM(IMshareM!X$2:X$78)-IMshareM!X$24),0))</f>
        <v>5.5900408536138022E-3</v>
      </c>
      <c r="Y71" s="8">
        <f>IF($A71=Y$1,0,IF(SUM(IMshareM!Y$2:Y$78)-IMshareM!Y$25&gt;0,IMshareM!Y71/(SUM(IMshareM!Y$2:Y$78)-IMshareM!Y$25),0))</f>
        <v>1.2562785085032602E-4</v>
      </c>
      <c r="Z71" s="8">
        <f>IF($A71=Z$1,0,IF(SUM(IMshareM!Z$2:Z$78)-IMshareM!Z$26&gt;0,IMshareM!Z71/(SUM(IMshareM!Z$2:Z$78)-IMshareM!Z$26),0))</f>
        <v>0</v>
      </c>
      <c r="AA71" s="8">
        <f>IF($A71=AA$1,0,IF(SUM(IMshareM!AA$2:AA$78)-IMshareM!AA$27&gt;0,IMshareM!AA71/(SUM(IMshareM!AA$2:AA$78)-IMshareM!AA$27),0))</f>
        <v>3.5339484524766505E-2</v>
      </c>
      <c r="AB71" s="8">
        <f>IF($A71=AB$1,0,IF(SUM(IMshareM!AB$2:AB$78)-IMshareM!AB$28&gt;0,IMshareM!AB71/(SUM(IMshareM!AB$2:AB$78)-IMshareM!AB$28),0))</f>
        <v>1.5743397217140452E-3</v>
      </c>
      <c r="AC71" s="8">
        <f>IF($A71=AC$1,0,IF(SUM(IMshareM!AC$2:AC$78)-IMshareM!AC$29&gt;0,IMshareM!AC71/(SUM(IMshareM!AC$2:AC$78)-IMshareM!AC$29),0))</f>
        <v>0</v>
      </c>
      <c r="AD71" s="8">
        <f>IF($A71=AD$1,0,IF(SUM(IMshareM!AD$2:AD$78)-IMshareM!AD$30&gt;0,IMshareM!AD71/(SUM(IMshareM!AD$2:AD$78)-IMshareM!AD$30),0))</f>
        <v>0</v>
      </c>
      <c r="AE71" s="8">
        <f>IF($A71=AE$1,0,IF(SUM(IMshareM!AE$2:AE$78)-IMshareM!AE$31&gt;0,IMshareM!AE71/(SUM(IMshareM!AE$2:AE$78)-IMshareM!AE$31),0))</f>
        <v>0</v>
      </c>
      <c r="AF71" s="8">
        <f>IF($A71=AF$1,0,IF(SUM(IMshareM!AF$2:AF$78)-IMshareM!AF$32&gt;0,IMshareM!AF71/(SUM(IMshareM!AF$2:AF$78)-IMshareM!AF$32),0))</f>
        <v>1.5404076884271116E-5</v>
      </c>
      <c r="AG71" s="8">
        <f>IF($A71=AG$1,0,IF(SUM(IMshareM!AG$2:AG$78)-IMshareM!AG$33&gt;0,IMshareM!AG71/(SUM(IMshareM!AG$2:AG$78)-IMshareM!AG$33),0))</f>
        <v>3.0121172228903263E-4</v>
      </c>
      <c r="AH71" s="8">
        <f>IF($A71=AH$1,0,IF(SUM(IMshareM!AH$2:AH$78)-IMshareM!AH$34&gt;0,IMshareM!AH71/(SUM(IMshareM!AH$2:AH$78)-IMshareM!AH$34),0))</f>
        <v>7.13863272025221E-5</v>
      </c>
      <c r="AI71" s="8">
        <f>IF($A71=AI$1,0,IF(SUM(IMshareM!AI$2:AI$78)-IMshareM!AI$35&gt;0,IMshareM!AI71/(SUM(IMshareM!AI$2:AI$78)-IMshareM!AI$35),0))</f>
        <v>5.6772195142185664E-4</v>
      </c>
      <c r="AJ71" s="8">
        <f>IF($A71=AJ$1,0,IF(SUM(IMshareM!AJ$2:AJ$78)-IMshareM!AJ$36&gt;0,IMshareM!AJ71/(SUM(IMshareM!AJ$2:AJ$78)-IMshareM!AJ$36),0))</f>
        <v>0</v>
      </c>
      <c r="AK71" s="8">
        <f>IF($A71=AK$1,0,IF(SUM(IMshareM!AK$2:AK$78)-IMshareM!AK$37&gt;0,IMshareM!AK71/(SUM(IMshareM!AK$2:AK$78)-IMshareM!AK$37),0))</f>
        <v>0</v>
      </c>
      <c r="AL71" s="8">
        <f>IF($A71=AL$1,0,IF(SUM(IMshareM!AL$2:AL$78)-IMshareM!AL$38&gt;0,IMshareM!AL71/(SUM(IMshareM!AL$2:AL$78)-IMshareM!AL$38),0))</f>
        <v>4.4209416286667578E-3</v>
      </c>
      <c r="AM71" s="8">
        <f>IF($A71=AM$1,0,IF(SUM(IMshareM!AM$2:AM$78)-IMshareM!AM$39&gt;0,IMshareM!AM71/(SUM(IMshareM!AM$2:AM$78)-IMshareM!AM$39),0))</f>
        <v>7.5612162553228557E-3</v>
      </c>
      <c r="AN71" s="8">
        <f>IF($A71=AN$1,0,IF(SUM(IMshareM!AN$2:AN$78)-IMshareM!AN$40&gt;0,IMshareM!AN71/(SUM(IMshareM!AN$2:AN$78)-IMshareM!AN$40),0))</f>
        <v>2.0453516845041777E-6</v>
      </c>
      <c r="AO71" s="8">
        <f>IF($A71=AO$1,0,IF(SUM(IMshareM!AO$2:AO$78)-IMshareM!AO$41&gt;0,IMshareM!AO71/(SUM(IMshareM!AO$2:AO$78)-IMshareM!AO$41),0))</f>
        <v>0</v>
      </c>
      <c r="AP71" s="8">
        <f>IF($A71=AP$1,0,IF(SUM(IMshareM!AP$2:AP$78)-IMshareM!AP$42&gt;0,IMshareM!AP71/(SUM(IMshareM!AP$2:AP$78)-IMshareM!AP$42),0))</f>
        <v>0</v>
      </c>
      <c r="AQ71" s="8">
        <f>IF($A71=AQ$1,0,IF(SUM(IMshareM!AQ$2:AQ$78)-IMshareM!AQ$43&gt;0,IMshareM!AQ71/(SUM(IMshareM!AQ$2:AQ$78)-IMshareM!AQ$43),0))</f>
        <v>1.500923695955861E-4</v>
      </c>
      <c r="AR71" s="8">
        <f>IF($A71=AR$1,0,IF(SUM(IMshareM!AR$2:AR$78)-IMshareM!AR$44&gt;0,IMshareM!AR71/(SUM(IMshareM!AR$2:AR$78)-IMshareM!AR$44),0))</f>
        <v>0</v>
      </c>
      <c r="AS71" s="8">
        <f>IF($A71=AS$1,0,IF(SUM(IMshareM!AS$2:AS$78)-IMshareM!AS$45&gt;0,IMshareM!AS71/(SUM(IMshareM!AS$2:AS$78)-IMshareM!AS$45),0))</f>
        <v>0</v>
      </c>
      <c r="AT71" s="8">
        <f>IF($A71=AT$1,0,IF(SUM(IMshareM!AT$2:AT$78)-IMshareM!AT$46&gt;0,IMshareM!AT71/(SUM(IMshareM!AT$2:AT$78)-IMshareM!AT$46),0))</f>
        <v>1.572891830780272E-5</v>
      </c>
      <c r="AU71" s="8">
        <f>IF($A71=AU$1,0,IF(SUM(IMshareM!AU$2:AU$78)-IMshareM!AU$47&gt;0,IMshareM!AU71/(SUM(IMshareM!AU$2:AU$78)-IMshareM!AU$47),0))</f>
        <v>0</v>
      </c>
      <c r="AV71" s="8">
        <f>IF($A71=AV$1,0,IF(SUM(IMshareM!AV$2:AV$78)-IMshareM!AV$48&gt;0,IMshareM!AV71/(SUM(IMshareM!AV$2:AV$78)-IMshareM!AV$48),0))</f>
        <v>3.5292792620995992E-3</v>
      </c>
      <c r="AW71" s="8">
        <f>IF($A71=AW$1,0,IF(SUM(IMshareM!AW$2:AW$78)-IMshareM!AW$49&gt;0,IMshareM!AW71/(SUM(IMshareM!AW$2:AW$78)-IMshareM!AW$49),0))</f>
        <v>3.0780772180690856E-5</v>
      </c>
      <c r="AX71" s="8">
        <f>IF($A71=AX$1,0,IF(SUM(IMshareM!AX$2:AX$78)-IMshareM!AX$50&gt;0,IMshareM!AX71/(SUM(IMshareM!AX$2:AX$78)-IMshareM!AX$50),0))</f>
        <v>0</v>
      </c>
      <c r="AY71" s="8">
        <f>IF($A71=AY$1,0,IF(SUM(IMshareM!AY$2:AY$78)-IMshareM!AY$51&gt;0,IMshareM!AY71/(SUM(IMshareM!AY$2:AY$78)-IMshareM!AY$51),0))</f>
        <v>0</v>
      </c>
      <c r="AZ71" s="8">
        <f>IF($A71=AZ$1,0,IF(SUM(IMshareM!AZ$2:AZ$78)-IMshareM!AZ$52&gt;0,IMshareM!AZ71/(SUM(IMshareM!AZ$2:AZ$78)-IMshareM!AZ$52),0))</f>
        <v>0</v>
      </c>
      <c r="BA71" s="8">
        <f>IF($A71=BA$1,0,IF(SUM(IMshareM!BA$2:BA$78)-IMshareM!BA$53&gt;0,IMshareM!BA71/(SUM(IMshareM!BA$2:BA$78)-IMshareM!BA$53),0))</f>
        <v>0</v>
      </c>
      <c r="BB71" s="8">
        <f>IF($A71=BB$1,0,IF(SUM(IMshareM!BB$2:BB$78)-IMshareM!BB$54&gt;0,IMshareM!BB71/(SUM(IMshareM!BB$2:BB$78)-IMshareM!BB$54),0))</f>
        <v>1.4796927914180982E-2</v>
      </c>
      <c r="BC71" s="8">
        <f>IF($A71=BC$1,0,IF(SUM(IMshareM!BC$2:BC$78)-IMshareM!BC$55&gt;0,IMshareM!BC71/(SUM(IMshareM!BC$2:BC$78)-IMshareM!BC$55),0))</f>
        <v>3.7361582566125592E-5</v>
      </c>
      <c r="BD71" s="8">
        <f>IF($A71=BD$1,0,IF(SUM(IMshareM!BD$2:BD$78)-IMshareM!BD$56&gt;0,IMshareM!BD71/(SUM(IMshareM!BD$2:BD$78)-IMshareM!BD$56),0))</f>
        <v>2.6349984652762714E-3</v>
      </c>
      <c r="BE71" s="8">
        <f>IF($A71=BE$1,0,IF(SUM(IMshareM!BE$2:BE$78)-IMshareM!BE$57&gt;0,IMshareM!BE71/(SUM(IMshareM!BE$2:BE$78)-IMshareM!BE$57),0))</f>
        <v>0</v>
      </c>
      <c r="BF71" s="8">
        <f>IF($A71=BF$1,0,IF(SUM(IMshareM!BF$2:BF$78)-IMshareM!BF$58&gt;0,IMshareM!BF71/(SUM(IMshareM!BF$2:BF$78)-IMshareM!BF$58),0))</f>
        <v>7.3000249449242863E-5</v>
      </c>
      <c r="BG71" s="8">
        <f>IF($A71=BG$1,0,IF(SUM(IMshareM!BG$2:BG$78)-IMshareM!BG$59&gt;0,IMshareM!BG71/(SUM(IMshareM!BG$2:BG$78)-IMshareM!BG$59),0))</f>
        <v>9.954704142472773E-5</v>
      </c>
      <c r="BH71" s="8">
        <f>IF($A71=BH$1,0,IF(SUM(IMshareM!BH$2:BH$78)-IMshareM!BH$60&gt;0,IMshareM!BH71/(SUM(IMshareM!BH$2:BH$78)-IMshareM!BH$60),0))</f>
        <v>6.7756309273866106E-3</v>
      </c>
      <c r="BI71" s="8">
        <f>IF($A71=BI$1,0,IF(SUM(IMshareM!BI$2:BI$78)-IMshareM!BI$61&gt;0,IMshareM!BI71/(SUM(IMshareM!BI$2:BI$78)-IMshareM!BI$61),0))</f>
        <v>8.4590223157304269E-8</v>
      </c>
      <c r="BJ71" s="8">
        <f>IF($A71=BJ$1,0,IF(SUM(IMshareM!BJ$2:BJ$78)-IMshareM!BJ$62&gt;0,IMshareM!BJ71/(SUM(IMshareM!BJ$2:BJ$78)-IMshareM!BJ$62),0))</f>
        <v>0</v>
      </c>
      <c r="BK71" s="8">
        <f>IF($A71=BK$1,0,IF(SUM(IMshareM!BK$2:BK$78)-IMshareM!BK$63&gt;0,IMshareM!BK71/(SUM(IMshareM!BK$2:BK$78)-IMshareM!BK$63),0))</f>
        <v>0</v>
      </c>
      <c r="BL71" s="8">
        <f>IF($A71=BL$1,0,IF(SUM(IMshareM!BL$2:BL$78)-IMshareM!BL$64&gt;0,IMshareM!BL71/(SUM(IMshareM!BL$2:BL$78)-IMshareM!BL$64),0))</f>
        <v>6.6492071836844288E-7</v>
      </c>
      <c r="BM71" s="8">
        <f>IF($A71=BM$1,0,IF(SUM(IMshareM!BM$2:BM$78)-IMshareM!BM$65&gt;0,IMshareM!BM71/(SUM(IMshareM!BM$2:BM$78)-IMshareM!BM$65),0))</f>
        <v>1.5699442768513317E-4</v>
      </c>
      <c r="BN71" s="8">
        <f>IF($A71=BN$1,0,IF(SUM(IMshareM!BN$2:BN$78)-IMshareM!BN$66&gt;0,IMshareM!BN71/(SUM(IMshareM!BN$2:BN$78)-IMshareM!BN$66),0))</f>
        <v>1.905955147253176E-3</v>
      </c>
      <c r="BO71" s="8">
        <f>IF($A71=BO$1,0,IF(SUM(IMshareM!BO$2:BO$78)-IMshareM!BO$67&gt;0,IMshareM!BO71/(SUM(IMshareM!BO$2:BO$78)-IMshareM!BO$67),0))</f>
        <v>4.4886640016761319E-7</v>
      </c>
      <c r="BP71" s="8">
        <f>IF($A71=BP$1,0,IF(SUM(IMshareM!BP$2:BP$78)-IMshareM!BP$68&gt;0,IMshareM!BP71/(SUM(IMshareM!BP$2:BP$78)-IMshareM!BP$68),0))</f>
        <v>8.7747369111941897E-5</v>
      </c>
      <c r="BQ71" s="8">
        <f>IF($A71=BQ$1,0,IF(SUM(IMshareM!BQ$2:BQ$78)-IMshareM!BQ$69&gt;0,IMshareM!BQ71/(SUM(IMshareM!BQ$2:BQ$78)-IMshareM!BQ$69),0))</f>
        <v>6.9256633341839934E-7</v>
      </c>
      <c r="BR71" s="8">
        <f>IF($A71=BR$1,0,IF(SUM(IMshareM!BR$2:BR$78)-IMshareM!BR$70&gt;0,IMshareM!BR71/(SUM(IMshareM!BR$2:BR$78)-IMshareM!BR$70),0))</f>
        <v>3.6960359592419007E-4</v>
      </c>
      <c r="BS71" s="8">
        <f>IF($A71=BS$1,0,IF(SUM(IMshareM!BS$2:BS$78)-IMshareM!BS$71&gt;0,IMshareM!BS71/(SUM(IMshareM!BS$2:BS$78)-IMshareM!BS$71),0))</f>
        <v>0</v>
      </c>
      <c r="BT71" s="8">
        <f>IF($A71=BT$1,0,IF(SUM(IMshareM!BT$2:BT$78)-IMshareM!BT$72&gt;0,IMshareM!BT71/(SUM(IMshareM!BT$2:BT$78)-IMshareM!BT$72),0))</f>
        <v>3.7549275511104029E-3</v>
      </c>
      <c r="BU71" s="8">
        <f>IF($A71=BU$1,0,IF(SUM(IMshareM!BU$2:BU$78)-IMshareM!BU$73&gt;0,IMshareM!BU71/(SUM(IMshareM!BU$2:BU$78)-IMshareM!BU$73),0))</f>
        <v>1.1483299198523674E-5</v>
      </c>
      <c r="BV71" s="8">
        <f>IF($A71=BV$1,0,IF(SUM(IMshareM!BV$2:BV$78)-IMshareM!BV$74&gt;0,IMshareM!BV71/(SUM(IMshareM!BV$2:BV$78)-IMshareM!BV$74),0))</f>
        <v>3.2968360878596478E-4</v>
      </c>
      <c r="BW71" s="8">
        <f>IF($A71=BW$1,0,IF(SUM(IMshareM!BW$2:BW$78)-IMshareM!BW$75&gt;0,IMshareM!BW71/(SUM(IMshareM!BW$2:BW$78)-IMshareM!BW$75),0))</f>
        <v>9.7881673310589129E-4</v>
      </c>
      <c r="BX71" s="8">
        <f>IF($A71=BX$1,0,IF(SUM(IMshareM!BX$2:BX$78)-IMshareM!BX$76&gt;0,IMshareM!BX71/(SUM(IMshareM!BX$2:BX$78)-IMshareM!BX$76),0))</f>
        <v>2.5376118803993826E-5</v>
      </c>
      <c r="BY71" s="8">
        <f>IF($A71=BY$1,0,IF(SUM(IMshareM!BY$2:BY$78)-IMshareM!BY$77&gt;0,IMshareM!BY71/(SUM(IMshareM!BY$2:BY$78)-IMshareM!BY$77),0))</f>
        <v>1.2371463827774401E-3</v>
      </c>
      <c r="BZ71" s="8">
        <f>IF($A71=BZ$1,0,IF(SUM(IMshareM!BZ$2:BZ$78)-IMshareM!BZ$78&gt;0,IMshareM!BZ71/(SUM(IMshareM!BZ$2:BZ$78)-IMshareM!BZ$78),0))</f>
        <v>1.0490056914859838E-2</v>
      </c>
    </row>
    <row r="72" spans="1:78">
      <c r="A72" s="4" t="s">
        <v>211</v>
      </c>
      <c r="B72" s="8">
        <f>IF($A72=B$1,0,IF(SUM(IMshareM!B$2:B$78)-IMshareM!B$2&gt;0,IMshareM!B72/(SUM(IMshareM!B$2:B$78)-IMshareM!B$2),0))</f>
        <v>7.3357008345767832E-3</v>
      </c>
      <c r="C72" s="8">
        <f>IF($A72=C$1,0,IF(SUM(IMshareM!C$2:C$78)-IMshareM!C$3&gt;0,IMshareM!C72/(SUM(IMshareM!C$2:C$78)-IMshareM!C$3),0))</f>
        <v>1.1189167663204771E-3</v>
      </c>
      <c r="D72" s="8">
        <f>IF($A72=D$1,0,IF(SUM(IMshareM!D$2:D$78)-IMshareM!D$4&gt;0,IMshareM!D72/(SUM(IMshareM!D$2:D$78)-IMshareM!D$4),0))</f>
        <v>2.5703880170969071E-3</v>
      </c>
      <c r="E72" s="8">
        <f>IF($A72=E$1,0,IF(SUM(IMshareM!E$2:E$78)-IMshareM!E$5&gt;0,IMshareM!E72/(SUM(IMshareM!E$2:E$78)-IMshareM!E$5),0))</f>
        <v>1.4099366864848673E-3</v>
      </c>
      <c r="F72" s="8">
        <f>IF($A72=F$1,0,IF(SUM(IMshareM!F$2:F$78)-IMshareM!F$6&gt;0,IMshareM!F72/(SUM(IMshareM!F$2:F$78)-IMshareM!F$6),0))</f>
        <v>1.0015076144791938E-2</v>
      </c>
      <c r="G72" s="8">
        <f>IF($A72=G$1,0,IF(SUM(IMshareM!G$2:G$78)-IMshareM!G$7&gt;0,IMshareM!G72/(SUM(IMshareM!G$2:G$78)-IMshareM!G$7),0))</f>
        <v>8.8222525871698675E-3</v>
      </c>
      <c r="H72" s="8">
        <f>IF($A72=H$1,0,IF(SUM(IMshareM!H$2:H$78)-IMshareM!H$8&gt;0,IMshareM!H72/(SUM(IMshareM!H$2:H$78)-IMshareM!H$8),0))</f>
        <v>4.1524396677217877E-2</v>
      </c>
      <c r="I72" s="8">
        <f>IF($A72=I$1,0,IF(SUM(IMshareM!I$2:I$78)-IMshareM!I$9&gt;0,IMshareM!I72/(SUM(IMshareM!I$2:I$78)-IMshareM!I$9),0))</f>
        <v>1.7180953857626601E-3</v>
      </c>
      <c r="J72" s="8">
        <f>IF($A72=J$1,0,IF(SUM(IMshareM!J$2:J$78)-IMshareM!J$10&gt;0,IMshareM!J72/(SUM(IMshareM!J$2:J$78)-IMshareM!J$10),0))</f>
        <v>2.5258421295615399E-4</v>
      </c>
      <c r="K72" s="8">
        <f>IF($A72=K$1,0,IF(SUM(IMshareM!K$2:K$78)-IMshareM!K$11&gt;0,IMshareM!K72/(SUM(IMshareM!K$2:K$78)-IMshareM!K$11),0))</f>
        <v>1.841655585002187E-4</v>
      </c>
      <c r="L72" s="8">
        <f>IF($A72=L$1,0,IF(SUM(IMshareM!L$2:L$78)-IMshareM!L$12&gt;0,IMshareM!L72/(SUM(IMshareM!L$2:L$78)-IMshareM!L$12),0))</f>
        <v>2.5983807730847455E-3</v>
      </c>
      <c r="M72" s="8">
        <f>IF($A72=M$1,0,IF(SUM(IMshareM!M$2:M$78)-IMshareM!M$13&gt;0,IMshareM!M72/(SUM(IMshareM!M$2:M$78)-IMshareM!M$13),0))</f>
        <v>1.7604685429361746E-3</v>
      </c>
      <c r="N72" s="8">
        <f>IF($A72=N$1,0,IF(SUM(IMshareM!N$2:N$78)-IMshareM!N$14&gt;0,IMshareM!N72/(SUM(IMshareM!N$2:N$78)-IMshareM!N$14),0))</f>
        <v>2.333290400603029E-4</v>
      </c>
      <c r="O72" s="8">
        <f>IF($A72=O$1,0,IF(SUM(IMshareM!O$2:O$78)-IMshareM!O$15&gt;0,IMshareM!O72/(SUM(IMshareM!O$2:O$78)-IMshareM!O$15),0))</f>
        <v>2.266290432527452E-2</v>
      </c>
      <c r="P72" s="8">
        <f>IF($A72=P$1,0,IF(SUM(IMshareM!P$2:P$78)-IMshareM!P$16&gt;0,IMshareM!P72/(SUM(IMshareM!P$2:P$78)-IMshareM!P$16),0))</f>
        <v>7.9522252768987108E-3</v>
      </c>
      <c r="Q72" s="8">
        <f>IF($A72=Q$1,0,IF(SUM(IMshareM!Q$2:Q$78)-IMshareM!Q$17&gt;0,IMshareM!Q72/(SUM(IMshareM!Q$2:Q$78)-IMshareM!Q$17),0))</f>
        <v>7.9399329007742573E-4</v>
      </c>
      <c r="R72" s="8">
        <f>IF($A72=R$1,0,IF(SUM(IMshareM!R$2:R$78)-IMshareM!R$18&gt;0,IMshareM!R72/(SUM(IMshareM!R$2:R$78)-IMshareM!R$18),0))</f>
        <v>2.8992989228335205E-4</v>
      </c>
      <c r="S72" s="8">
        <f>IF($A72=S$1,0,IF(SUM(IMshareM!S$2:S$78)-IMshareM!S$19&gt;0,IMshareM!S72/(SUM(IMshareM!S$2:S$78)-IMshareM!S$19),0))</f>
        <v>2.8501733908336695E-5</v>
      </c>
      <c r="T72" s="8">
        <f>IF($A72=T$1,0,IF(SUM(IMshareM!T$2:T$78)-IMshareM!T$20&gt;0,IMshareM!T72/(SUM(IMshareM!T$2:T$78)-IMshareM!T$20),0))</f>
        <v>1.1933851675086401E-3</v>
      </c>
      <c r="U72" s="8">
        <f>IF($A72=U$1,0,IF(SUM(IMshareM!U$2:U$78)-IMshareM!U$21&gt;0,IMshareM!U72/(SUM(IMshareM!U$2:U$78)-IMshareM!U$21),0))</f>
        <v>5.6690989177114485E-3</v>
      </c>
      <c r="V72" s="8">
        <f>IF($A72=V$1,0,IF(SUM(IMshareM!V$2:V$78)-IMshareM!V$22&gt;0,IMshareM!V72/(SUM(IMshareM!V$2:V$78)-IMshareM!V$22),0))</f>
        <v>6.5078138609115576E-3</v>
      </c>
      <c r="W72" s="8">
        <f>IF($A72=W$1,0,IF(SUM(IMshareM!W$2:W$78)-IMshareM!W$23&gt;0,IMshareM!W72/(SUM(IMshareM!W$2:W$78)-IMshareM!W$23),0))</f>
        <v>3.7962843272973272E-2</v>
      </c>
      <c r="X72" s="8">
        <f>IF($A72=X$1,0,IF(SUM(IMshareM!X$2:X$78)-IMshareM!X$24&gt;0,IMshareM!X72/(SUM(IMshareM!X$2:X$78)-IMshareM!X$24),0))</f>
        <v>6.8075520132673496E-3</v>
      </c>
      <c r="Y72" s="8">
        <f>IF($A72=Y$1,0,IF(SUM(IMshareM!Y$2:Y$78)-IMshareM!Y$25&gt;0,IMshareM!Y72/(SUM(IMshareM!Y$2:Y$78)-IMshareM!Y$25),0))</f>
        <v>6.5881071399503911E-4</v>
      </c>
      <c r="Z72" s="8">
        <f>IF($A72=Z$1,0,IF(SUM(IMshareM!Z$2:Z$78)-IMshareM!Z$26&gt;0,IMshareM!Z72/(SUM(IMshareM!Z$2:Z$78)-IMshareM!Z$26),0))</f>
        <v>4.4493615159867947E-3</v>
      </c>
      <c r="AA72" s="8">
        <f>IF($A72=AA$1,0,IF(SUM(IMshareM!AA$2:AA$78)-IMshareM!AA$27&gt;0,IMshareM!AA72/(SUM(IMshareM!AA$2:AA$78)-IMshareM!AA$27),0))</f>
        <v>7.3793052928189705E-3</v>
      </c>
      <c r="AB72" s="8">
        <f>IF($A72=AB$1,0,IF(SUM(IMshareM!AB$2:AB$78)-IMshareM!AB$28&gt;0,IMshareM!AB72/(SUM(IMshareM!AB$2:AB$78)-IMshareM!AB$28),0))</f>
        <v>4.4552307026869591E-3</v>
      </c>
      <c r="AC72" s="8">
        <f>IF($A72=AC$1,0,IF(SUM(IMshareM!AC$2:AC$78)-IMshareM!AC$29&gt;0,IMshareM!AC72/(SUM(IMshareM!AC$2:AC$78)-IMshareM!AC$29),0))</f>
        <v>3.2912306086618173E-2</v>
      </c>
      <c r="AD72" s="8">
        <f>IF($A72=AD$1,0,IF(SUM(IMshareM!AD$2:AD$78)-IMshareM!AD$30&gt;0,IMshareM!AD72/(SUM(IMshareM!AD$2:AD$78)-IMshareM!AD$30),0))</f>
        <v>2.483700570199186E-5</v>
      </c>
      <c r="AE72" s="8">
        <f>IF($A72=AE$1,0,IF(SUM(IMshareM!AE$2:AE$78)-IMshareM!AE$31&gt;0,IMshareM!AE72/(SUM(IMshareM!AE$2:AE$78)-IMshareM!AE$31),0))</f>
        <v>7.8294791644165744E-3</v>
      </c>
      <c r="AF72" s="8">
        <f>IF($A72=AF$1,0,IF(SUM(IMshareM!AF$2:AF$78)-IMshareM!AF$32&gt;0,IMshareM!AF72/(SUM(IMshareM!AF$2:AF$78)-IMshareM!AF$32),0))</f>
        <v>2.8854336666071663E-3</v>
      </c>
      <c r="AG72" s="8">
        <f>IF($A72=AG$1,0,IF(SUM(IMshareM!AG$2:AG$78)-IMshareM!AG$33&gt;0,IMshareM!AG72/(SUM(IMshareM!AG$2:AG$78)-IMshareM!AG$33),0))</f>
        <v>3.9550977271325942E-4</v>
      </c>
      <c r="AH72" s="8">
        <f>IF($A72=AH$1,0,IF(SUM(IMshareM!AH$2:AH$78)-IMshareM!AH$34&gt;0,IMshareM!AH72/(SUM(IMshareM!AH$2:AH$78)-IMshareM!AH$34),0))</f>
        <v>3.7129367725706732E-3</v>
      </c>
      <c r="AI72" s="8">
        <f>IF($A72=AI$1,0,IF(SUM(IMshareM!AI$2:AI$78)-IMshareM!AI$35&gt;0,IMshareM!AI72/(SUM(IMshareM!AI$2:AI$78)-IMshareM!AI$35),0))</f>
        <v>8.7122294384151412E-3</v>
      </c>
      <c r="AJ72" s="8">
        <f>IF($A72=AJ$1,0,IF(SUM(IMshareM!AJ$2:AJ$78)-IMshareM!AJ$36&gt;0,IMshareM!AJ72/(SUM(IMshareM!AJ$2:AJ$78)-IMshareM!AJ$36),0))</f>
        <v>2.8862648255543241E-4</v>
      </c>
      <c r="AK72" s="8">
        <f>IF($A72=AK$1,0,IF(SUM(IMshareM!AK$2:AK$78)-IMshareM!AK$37&gt;0,IMshareM!AK72/(SUM(IMshareM!AK$2:AK$78)-IMshareM!AK$37),0))</f>
        <v>8.8584351213694176E-3</v>
      </c>
      <c r="AL72" s="8">
        <f>IF($A72=AL$1,0,IF(SUM(IMshareM!AL$2:AL$78)-IMshareM!AL$38&gt;0,IMshareM!AL72/(SUM(IMshareM!AL$2:AL$78)-IMshareM!AL$38),0))</f>
        <v>8.9277097820383636E-3</v>
      </c>
      <c r="AM72" s="8">
        <f>IF($A72=AM$1,0,IF(SUM(IMshareM!AM$2:AM$78)-IMshareM!AM$39&gt;0,IMshareM!AM72/(SUM(IMshareM!AM$2:AM$78)-IMshareM!AM$39),0))</f>
        <v>4.1652424134451853E-2</v>
      </c>
      <c r="AN72" s="8">
        <f>IF($A72=AN$1,0,IF(SUM(IMshareM!AN$2:AN$78)-IMshareM!AN$40&gt;0,IMshareM!AN72/(SUM(IMshareM!AN$2:AN$78)-IMshareM!AN$40),0))</f>
        <v>8.3884718883718381E-5</v>
      </c>
      <c r="AO72" s="8">
        <f>IF($A72=AO$1,0,IF(SUM(IMshareM!AO$2:AO$78)-IMshareM!AO$41&gt;0,IMshareM!AO72/(SUM(IMshareM!AO$2:AO$78)-IMshareM!AO$41),0))</f>
        <v>1.4768815526579616E-2</v>
      </c>
      <c r="AP72" s="8">
        <f>IF($A72=AP$1,0,IF(SUM(IMshareM!AP$2:AP$78)-IMshareM!AP$42&gt;0,IMshareM!AP72/(SUM(IMshareM!AP$2:AP$78)-IMshareM!AP$42),0))</f>
        <v>9.3204839561571656E-5</v>
      </c>
      <c r="AQ72" s="8">
        <f>IF($A72=AQ$1,0,IF(SUM(IMshareM!AQ$2:AQ$78)-IMshareM!AQ$43&gt;0,IMshareM!AQ72/(SUM(IMshareM!AQ$2:AQ$78)-IMshareM!AQ$43),0))</f>
        <v>1.094421078899985E-4</v>
      </c>
      <c r="AR72" s="8">
        <f>IF($A72=AR$1,0,IF(SUM(IMshareM!AR$2:AR$78)-IMshareM!AR$44&gt;0,IMshareM!AR72/(SUM(IMshareM!AR$2:AR$78)-IMshareM!AR$44),0))</f>
        <v>3.4930501843294159E-4</v>
      </c>
      <c r="AS72" s="8">
        <f>IF($A72=AS$1,0,IF(SUM(IMshareM!AS$2:AS$78)-IMshareM!AS$45&gt;0,IMshareM!AS72/(SUM(IMshareM!AS$2:AS$78)-IMshareM!AS$45),0))</f>
        <v>2.2225103807252677E-3</v>
      </c>
      <c r="AT72" s="8">
        <f>IF($A72=AT$1,0,IF(SUM(IMshareM!AT$2:AT$78)-IMshareM!AT$46&gt;0,IMshareM!AT72/(SUM(IMshareM!AT$2:AT$78)-IMshareM!AT$46),0))</f>
        <v>2.246450094082501E-3</v>
      </c>
      <c r="AU72" s="8">
        <f>IF($A72=AU$1,0,IF(SUM(IMshareM!AU$2:AU$78)-IMshareM!AU$47&gt;0,IMshareM!AU72/(SUM(IMshareM!AU$2:AU$78)-IMshareM!AU$47),0))</f>
        <v>4.5814454113904488E-2</v>
      </c>
      <c r="AV72" s="8">
        <f>IF($A72=AV$1,0,IF(SUM(IMshareM!AV$2:AV$78)-IMshareM!AV$48&gt;0,IMshareM!AV72/(SUM(IMshareM!AV$2:AV$78)-IMshareM!AV$48),0))</f>
        <v>3.2141493792808166E-2</v>
      </c>
      <c r="AW72" s="8">
        <f>IF($A72=AW$1,0,IF(SUM(IMshareM!AW$2:AW$78)-IMshareM!AW$49&gt;0,IMshareM!AW72/(SUM(IMshareM!AW$2:AW$78)-IMshareM!AW$49),0))</f>
        <v>8.0768547793656244E-4</v>
      </c>
      <c r="AX72" s="8">
        <f>IF($A72=AX$1,0,IF(SUM(IMshareM!AX$2:AX$78)-IMshareM!AX$50&gt;0,IMshareM!AX72/(SUM(IMshareM!AX$2:AX$78)-IMshareM!AX$50),0))</f>
        <v>2.0660803316923386E-3</v>
      </c>
      <c r="AY72" s="8">
        <f>IF($A72=AY$1,0,IF(SUM(IMshareM!AY$2:AY$78)-IMshareM!AY$51&gt;0,IMshareM!AY72/(SUM(IMshareM!AY$2:AY$78)-IMshareM!AY$51),0))</f>
        <v>1.8416193355817461E-3</v>
      </c>
      <c r="AZ72" s="8">
        <f>IF($A72=AZ$1,0,IF(SUM(IMshareM!AZ$2:AZ$78)-IMshareM!AZ$52&gt;0,IMshareM!AZ72/(SUM(IMshareM!AZ$2:AZ$78)-IMshareM!AZ$52),0))</f>
        <v>6.9734469980747469E-5</v>
      </c>
      <c r="BA72" s="8">
        <f>IF($A72=BA$1,0,IF(SUM(IMshareM!BA$2:BA$78)-IMshareM!BA$53&gt;0,IMshareM!BA72/(SUM(IMshareM!BA$2:BA$78)-IMshareM!BA$53),0))</f>
        <v>1.2344253150995558E-3</v>
      </c>
      <c r="BB72" s="8">
        <f>IF($A72=BB$1,0,IF(SUM(IMshareM!BB$2:BB$78)-IMshareM!BB$54&gt;0,IMshareM!BB72/(SUM(IMshareM!BB$2:BB$78)-IMshareM!BB$54),0))</f>
        <v>4.7958899726995297E-3</v>
      </c>
      <c r="BC72" s="8">
        <f>IF($A72=BC$1,0,IF(SUM(IMshareM!BC$2:BC$78)-IMshareM!BC$55&gt;0,IMshareM!BC72/(SUM(IMshareM!BC$2:BC$78)-IMshareM!BC$55),0))</f>
        <v>1.223654499166842E-3</v>
      </c>
      <c r="BD72" s="8">
        <f>IF($A72=BD$1,0,IF(SUM(IMshareM!BD$2:BD$78)-IMshareM!BD$56&gt;0,IMshareM!BD72/(SUM(IMshareM!BD$2:BD$78)-IMshareM!BD$56),0))</f>
        <v>2.9471055091213169E-3</v>
      </c>
      <c r="BE72" s="8">
        <f>IF($A72=BE$1,0,IF(SUM(IMshareM!BE$2:BE$78)-IMshareM!BE$57&gt;0,IMshareM!BE72/(SUM(IMshareM!BE$2:BE$78)-IMshareM!BE$57),0))</f>
        <v>5.3906412601203817E-3</v>
      </c>
      <c r="BF72" s="8">
        <f>IF($A72=BF$1,0,IF(SUM(IMshareM!BF$2:BF$78)-IMshareM!BF$58&gt;0,IMshareM!BF72/(SUM(IMshareM!BF$2:BF$78)-IMshareM!BF$58),0))</f>
        <v>5.5292085266882771E-3</v>
      </c>
      <c r="BG72" s="8">
        <f>IF($A72=BG$1,0,IF(SUM(IMshareM!BG$2:BG$78)-IMshareM!BG$59&gt;0,IMshareM!BG72/(SUM(IMshareM!BG$2:BG$78)-IMshareM!BG$59),0))</f>
        <v>4.5276774246872108E-4</v>
      </c>
      <c r="BH72" s="8">
        <f>IF($A72=BH$1,0,IF(SUM(IMshareM!BH$2:BH$78)-IMshareM!BH$60&gt;0,IMshareM!BH72/(SUM(IMshareM!BH$2:BH$78)-IMshareM!BH$60),0))</f>
        <v>5.853324449233489E-3</v>
      </c>
      <c r="BI72" s="8">
        <f>IF($A72=BI$1,0,IF(SUM(IMshareM!BI$2:BI$78)-IMshareM!BI$61&gt;0,IMshareM!BI72/(SUM(IMshareM!BI$2:BI$78)-IMshareM!BI$61),0))</f>
        <v>7.5458505568342394E-5</v>
      </c>
      <c r="BJ72" s="8">
        <f>IF($A72=BJ$1,0,IF(SUM(IMshareM!BJ$2:BJ$78)-IMshareM!BJ$62&gt;0,IMshareM!BJ72/(SUM(IMshareM!BJ$2:BJ$78)-IMshareM!BJ$62),0))</f>
        <v>2.5681744749951246E-2</v>
      </c>
      <c r="BK72" s="8">
        <f>IF($A72=BK$1,0,IF(SUM(IMshareM!BK$2:BK$78)-IMshareM!BK$63&gt;0,IMshareM!BK72/(SUM(IMshareM!BK$2:BK$78)-IMshareM!BK$63),0))</f>
        <v>3.7085857056747329E-2</v>
      </c>
      <c r="BL72" s="8">
        <f>IF($A72=BL$1,0,IF(SUM(IMshareM!BL$2:BL$78)-IMshareM!BL$64&gt;0,IMshareM!BL72/(SUM(IMshareM!BL$2:BL$78)-IMshareM!BL$64),0))</f>
        <v>6.8922899306959884E-3</v>
      </c>
      <c r="BM72" s="8">
        <f>IF($A72=BM$1,0,IF(SUM(IMshareM!BM$2:BM$78)-IMshareM!BM$65&gt;0,IMshareM!BM72/(SUM(IMshareM!BM$2:BM$78)-IMshareM!BM$65),0))</f>
        <v>8.3958143993588981E-3</v>
      </c>
      <c r="BN72" s="8">
        <f>IF($A72=BN$1,0,IF(SUM(IMshareM!BN$2:BN$78)-IMshareM!BN$66&gt;0,IMshareM!BN72/(SUM(IMshareM!BN$2:BN$78)-IMshareM!BN$66),0))</f>
        <v>6.3322643975809211E-4</v>
      </c>
      <c r="BO72" s="8">
        <f>IF($A72=BO$1,0,IF(SUM(IMshareM!BO$2:BO$78)-IMshareM!BO$67&gt;0,IMshareM!BO72/(SUM(IMshareM!BO$2:BO$78)-IMshareM!BO$67),0))</f>
        <v>1.4556392863880863E-3</v>
      </c>
      <c r="BP72" s="8">
        <f>IF($A72=BP$1,0,IF(SUM(IMshareM!BP$2:BP$78)-IMshareM!BP$68&gt;0,IMshareM!BP72/(SUM(IMshareM!BP$2:BP$78)-IMshareM!BP$68),0))</f>
        <v>3.169331727699625E-3</v>
      </c>
      <c r="BQ72" s="8">
        <f>IF($A72=BQ$1,0,IF(SUM(IMshareM!BQ$2:BQ$78)-IMshareM!BQ$69&gt;0,IMshareM!BQ72/(SUM(IMshareM!BQ$2:BQ$78)-IMshareM!BQ$69),0))</f>
        <v>1.9693814278933064E-3</v>
      </c>
      <c r="BR72" s="8">
        <f>IF($A72=BR$1,0,IF(SUM(IMshareM!BR$2:BR$78)-IMshareM!BR$70&gt;0,IMshareM!BR72/(SUM(IMshareM!BR$2:BR$78)-IMshareM!BR$70),0))</f>
        <v>3.8677303493086027E-4</v>
      </c>
      <c r="BS72" s="8">
        <f>IF($A72=BS$1,0,IF(SUM(IMshareM!BS$2:BS$78)-IMshareM!BS$71&gt;0,IMshareM!BS72/(SUM(IMshareM!BS$2:BS$78)-IMshareM!BS$71),0))</f>
        <v>3.561458050408034E-2</v>
      </c>
      <c r="BT72" s="8">
        <f>IF($A72=BT$1,0,IF(SUM(IMshareM!BT$2:BT$78)-IMshareM!BT$72&gt;0,IMshareM!BT72/(SUM(IMshareM!BT$2:BT$78)-IMshareM!BT$72),0))</f>
        <v>0</v>
      </c>
      <c r="BU72" s="8">
        <f>IF($A72=BU$1,0,IF(SUM(IMshareM!BU$2:BU$78)-IMshareM!BU$73&gt;0,IMshareM!BU72/(SUM(IMshareM!BU$2:BU$78)-IMshareM!BU$73),0))</f>
        <v>1.6326130923435475E-4</v>
      </c>
      <c r="BV72" s="8">
        <f>IF($A72=BV$1,0,IF(SUM(IMshareM!BV$2:BV$78)-IMshareM!BV$74&gt;0,IMshareM!BV72/(SUM(IMshareM!BV$2:BV$78)-IMshareM!BV$74),0))</f>
        <v>2.454627865426082E-2</v>
      </c>
      <c r="BW72" s="8">
        <f>IF($A72=BW$1,0,IF(SUM(IMshareM!BW$2:BW$78)-IMshareM!BW$75&gt;0,IMshareM!BW72/(SUM(IMshareM!BW$2:BW$78)-IMshareM!BW$75),0))</f>
        <v>5.4858136582819979E-4</v>
      </c>
      <c r="BX72" s="8">
        <f>IF($A72=BX$1,0,IF(SUM(IMshareM!BX$2:BX$78)-IMshareM!BX$76&gt;0,IMshareM!BX72/(SUM(IMshareM!BX$2:BX$78)-IMshareM!BX$76),0))</f>
        <v>1.2819746303638756E-4</v>
      </c>
      <c r="BY72" s="8">
        <f>IF($A72=BY$1,0,IF(SUM(IMshareM!BY$2:BY$78)-IMshareM!BY$77&gt;0,IMshareM!BY72/(SUM(IMshareM!BY$2:BY$78)-IMshareM!BY$77),0))</f>
        <v>1.0080458950250582E-2</v>
      </c>
      <c r="BZ72" s="8">
        <f>IF($A72=BZ$1,0,IF(SUM(IMshareM!BZ$2:BZ$78)-IMshareM!BZ$78&gt;0,IMshareM!BZ72/(SUM(IMshareM!BZ$2:BZ$78)-IMshareM!BZ$78),0))</f>
        <v>1.5835873211103014E-2</v>
      </c>
    </row>
    <row r="73" spans="1:78">
      <c r="A73" s="4" t="s">
        <v>213</v>
      </c>
      <c r="B73" s="8">
        <f>IF($A73=B$1,0,IF(SUM(IMshareM!B$2:B$78)-IMshareM!B$2&gt;0,IMshareM!B73/(SUM(IMshareM!B$2:B$78)-IMshareM!B$2),0))</f>
        <v>9.3409066857398464E-3</v>
      </c>
      <c r="C73" s="8">
        <f>IF($A73=C$1,0,IF(SUM(IMshareM!C$2:C$78)-IMshareM!C$3&gt;0,IMshareM!C73/(SUM(IMshareM!C$2:C$78)-IMshareM!C$3),0))</f>
        <v>2.039114322036319E-2</v>
      </c>
      <c r="D73" s="8">
        <f>IF($A73=D$1,0,IF(SUM(IMshareM!D$2:D$78)-IMshareM!D$4&gt;0,IMshareM!D73/(SUM(IMshareM!D$2:D$78)-IMshareM!D$4),0))</f>
        <v>9.6836175043417995E-3</v>
      </c>
      <c r="E73" s="8">
        <f>IF($A73=E$1,0,IF(SUM(IMshareM!E$2:E$78)-IMshareM!E$5&gt;0,IMshareM!E73/(SUM(IMshareM!E$2:E$78)-IMshareM!E$5),0))</f>
        <v>1.4820351226051641E-3</v>
      </c>
      <c r="F73" s="8">
        <f>IF($A73=F$1,0,IF(SUM(IMshareM!F$2:F$78)-IMshareM!F$6&gt;0,IMshareM!F73/(SUM(IMshareM!F$2:F$78)-IMshareM!F$6),0))</f>
        <v>6.6555541253030112E-3</v>
      </c>
      <c r="G73" s="8">
        <f>IF($A73=G$1,0,IF(SUM(IMshareM!G$2:G$78)-IMshareM!G$7&gt;0,IMshareM!G73/(SUM(IMshareM!G$2:G$78)-IMshareM!G$7),0))</f>
        <v>9.3482537691881573E-4</v>
      </c>
      <c r="H73" s="8">
        <f>IF($A73=H$1,0,IF(SUM(IMshareM!H$2:H$78)-IMshareM!H$8&gt;0,IMshareM!H73/(SUM(IMshareM!H$2:H$78)-IMshareM!H$8),0))</f>
        <v>1.8405190705544391E-3</v>
      </c>
      <c r="I73" s="8">
        <f>IF($A73=I$1,0,IF(SUM(IMshareM!I$2:I$78)-IMshareM!I$9&gt;0,IMshareM!I73/(SUM(IMshareM!I$2:I$78)-IMshareM!I$9),0))</f>
        <v>1.1645844377491121E-2</v>
      </c>
      <c r="J73" s="8">
        <f>IF($A73=J$1,0,IF(SUM(IMshareM!J$2:J$78)-IMshareM!J$10&gt;0,IMshareM!J73/(SUM(IMshareM!J$2:J$78)-IMshareM!J$10),0))</f>
        <v>1.152269679858943E-2</v>
      </c>
      <c r="K73" s="8">
        <f>IF($A73=K$1,0,IF(SUM(IMshareM!K$2:K$78)-IMshareM!K$11&gt;0,IMshareM!K73/(SUM(IMshareM!K$2:K$78)-IMshareM!K$11),0))</f>
        <v>1.3956231261067171E-2</v>
      </c>
      <c r="L73" s="8">
        <f>IF($A73=L$1,0,IF(SUM(IMshareM!L$2:L$78)-IMshareM!L$12&gt;0,IMshareM!L73/(SUM(IMshareM!L$2:L$78)-IMshareM!L$12),0))</f>
        <v>1.6696596665325584E-2</v>
      </c>
      <c r="M73" s="8">
        <f>IF($A73=M$1,0,IF(SUM(IMshareM!M$2:M$78)-IMshareM!M$13&gt;0,IMshareM!M73/(SUM(IMshareM!M$2:M$78)-IMshareM!M$13),0))</f>
        <v>1.1105366479557768E-3</v>
      </c>
      <c r="N73" s="8">
        <f>IF($A73=N$1,0,IF(SUM(IMshareM!N$2:N$78)-IMshareM!N$14&gt;0,IMshareM!N73/(SUM(IMshareM!N$2:N$78)-IMshareM!N$14),0))</f>
        <v>2.7843120919705242E-2</v>
      </c>
      <c r="O73" s="8">
        <f>IF($A73=O$1,0,IF(SUM(IMshareM!O$2:O$78)-IMshareM!O$15&gt;0,IMshareM!O73/(SUM(IMshareM!O$2:O$78)-IMshareM!O$15),0))</f>
        <v>1.006506126079823E-2</v>
      </c>
      <c r="P73" s="8">
        <f>IF($A73=P$1,0,IF(SUM(IMshareM!P$2:P$78)-IMshareM!P$16&gt;0,IMshareM!P73/(SUM(IMshareM!P$2:P$78)-IMshareM!P$16),0))</f>
        <v>7.241366691167877E-4</v>
      </c>
      <c r="Q73" s="8">
        <f>IF($A73=Q$1,0,IF(SUM(IMshareM!Q$2:Q$78)-IMshareM!Q$17&gt;0,IMshareM!Q73/(SUM(IMshareM!Q$2:Q$78)-IMshareM!Q$17),0))</f>
        <v>2.6860613552825402E-2</v>
      </c>
      <c r="R73" s="8">
        <f>IF($A73=R$1,0,IF(SUM(IMshareM!R$2:R$78)-IMshareM!R$18&gt;0,IMshareM!R73/(SUM(IMshareM!R$2:R$78)-IMshareM!R$18),0))</f>
        <v>7.2619978589942812E-3</v>
      </c>
      <c r="S73" s="8">
        <f>IF($A73=S$1,0,IF(SUM(IMshareM!S$2:S$78)-IMshareM!S$19&gt;0,IMshareM!S73/(SUM(IMshareM!S$2:S$78)-IMshareM!S$19),0))</f>
        <v>6.2646293345102093E-3</v>
      </c>
      <c r="T73" s="8">
        <f>IF($A73=T$1,0,IF(SUM(IMshareM!T$2:T$78)-IMshareM!T$20&gt;0,IMshareM!T73/(SUM(IMshareM!T$2:T$78)-IMshareM!T$20),0))</f>
        <v>1.0251254611754752E-3</v>
      </c>
      <c r="U73" s="8">
        <f>IF($A73=U$1,0,IF(SUM(IMshareM!U$2:U$78)-IMshareM!U$21&gt;0,IMshareM!U73/(SUM(IMshareM!U$2:U$78)-IMshareM!U$21),0))</f>
        <v>3.8447418551742817E-3</v>
      </c>
      <c r="V73" s="8">
        <f>IF($A73=V$1,0,IF(SUM(IMshareM!V$2:V$78)-IMshareM!V$22&gt;0,IMshareM!V73/(SUM(IMshareM!V$2:V$78)-IMshareM!V$22),0))</f>
        <v>8.6433339641234473E-3</v>
      </c>
      <c r="W73" s="8">
        <f>IF($A73=W$1,0,IF(SUM(IMshareM!W$2:W$78)-IMshareM!W$23&gt;0,IMshareM!W73/(SUM(IMshareM!W$2:W$78)-IMshareM!W$23),0))</f>
        <v>8.3874039069756537E-4</v>
      </c>
      <c r="X73" s="8">
        <f>IF($A73=X$1,0,IF(SUM(IMshareM!X$2:X$78)-IMshareM!X$24&gt;0,IMshareM!X73/(SUM(IMshareM!X$2:X$78)-IMshareM!X$24),0))</f>
        <v>2.7689006133056497E-3</v>
      </c>
      <c r="Y73" s="8">
        <f>IF($A73=Y$1,0,IF(SUM(IMshareM!Y$2:Y$78)-IMshareM!Y$25&gt;0,IMshareM!Y73/(SUM(IMshareM!Y$2:Y$78)-IMshareM!Y$25),0))</f>
        <v>3.3996366972790693E-3</v>
      </c>
      <c r="Z73" s="8">
        <f>IF($A73=Z$1,0,IF(SUM(IMshareM!Z$2:Z$78)-IMshareM!Z$26&gt;0,IMshareM!Z73/(SUM(IMshareM!Z$2:Z$78)-IMshareM!Z$26),0))</f>
        <v>8.2432597993185811E-3</v>
      </c>
      <c r="AA73" s="8">
        <f>IF($A73=AA$1,0,IF(SUM(IMshareM!AA$2:AA$78)-IMshareM!AA$27&gt;0,IMshareM!AA73/(SUM(IMshareM!AA$2:AA$78)-IMshareM!AA$27),0))</f>
        <v>2.5072624101873785E-3</v>
      </c>
      <c r="AB73" s="8">
        <f>IF($A73=AB$1,0,IF(SUM(IMshareM!AB$2:AB$78)-IMshareM!AB$28&gt;0,IMshareM!AB73/(SUM(IMshareM!AB$2:AB$78)-IMshareM!AB$28),0))</f>
        <v>4.1357459452704979E-3</v>
      </c>
      <c r="AC73" s="8">
        <f>IF($A73=AC$1,0,IF(SUM(IMshareM!AC$2:AC$78)-IMshareM!AC$29&gt;0,IMshareM!AC73/(SUM(IMshareM!AC$2:AC$78)-IMshareM!AC$29),0))</f>
        <v>1.6880281347985884E-3</v>
      </c>
      <c r="AD73" s="8">
        <f>IF($A73=AD$1,0,IF(SUM(IMshareM!AD$2:AD$78)-IMshareM!AD$30&gt;0,IMshareM!AD73/(SUM(IMshareM!AD$2:AD$78)-IMshareM!AD$30),0))</f>
        <v>3.436814354437881E-2</v>
      </c>
      <c r="AE73" s="8">
        <f>IF($A73=AE$1,0,IF(SUM(IMshareM!AE$2:AE$78)-IMshareM!AE$31&gt;0,IMshareM!AE73/(SUM(IMshareM!AE$2:AE$78)-IMshareM!AE$31),0))</f>
        <v>1.297513253282063E-2</v>
      </c>
      <c r="AF73" s="8">
        <f>IF($A73=AF$1,0,IF(SUM(IMshareM!AF$2:AF$78)-IMshareM!AF$32&gt;0,IMshareM!AF73/(SUM(IMshareM!AF$2:AF$78)-IMshareM!AF$32),0))</f>
        <v>3.1815687091678391E-3</v>
      </c>
      <c r="AG73" s="8">
        <f>IF($A73=AG$1,0,IF(SUM(IMshareM!AG$2:AG$78)-IMshareM!AG$33&gt;0,IMshareM!AG73/(SUM(IMshareM!AG$2:AG$78)-IMshareM!AG$33),0))</f>
        <v>7.5703646560979871E-3</v>
      </c>
      <c r="AH73" s="8">
        <f>IF($A73=AH$1,0,IF(SUM(IMshareM!AH$2:AH$78)-IMshareM!AH$34&gt;0,IMshareM!AH73/(SUM(IMshareM!AH$2:AH$78)-IMshareM!AH$34),0))</f>
        <v>7.3114589824431848E-3</v>
      </c>
      <c r="AI73" s="8">
        <f>IF($A73=AI$1,0,IF(SUM(IMshareM!AI$2:AI$78)-IMshareM!AI$35&gt;0,IMshareM!AI73/(SUM(IMshareM!AI$2:AI$78)-IMshareM!AI$35),0))</f>
        <v>4.1017422898966416E-3</v>
      </c>
      <c r="AJ73" s="8">
        <f>IF($A73=AJ$1,0,IF(SUM(IMshareM!AJ$2:AJ$78)-IMshareM!AJ$36&gt;0,IMshareM!AJ73/(SUM(IMshareM!AJ$2:AJ$78)-IMshareM!AJ$36),0))</f>
        <v>2.4349200362986352E-3</v>
      </c>
      <c r="AK73" s="8">
        <f>IF($A73=AK$1,0,IF(SUM(IMshareM!AK$2:AK$78)-IMshareM!AK$37&gt;0,IMshareM!AK73/(SUM(IMshareM!AK$2:AK$78)-IMshareM!AK$37),0))</f>
        <v>8.0998631319086686E-3</v>
      </c>
      <c r="AL73" s="8">
        <f>IF($A73=AL$1,0,IF(SUM(IMshareM!AL$2:AL$78)-IMshareM!AL$38&gt;0,IMshareM!AL73/(SUM(IMshareM!AL$2:AL$78)-IMshareM!AL$38),0))</f>
        <v>2.4241214852358953E-3</v>
      </c>
      <c r="AM73" s="8">
        <f>IF($A73=AM$1,0,IF(SUM(IMshareM!AM$2:AM$78)-IMshareM!AM$39&gt;0,IMshareM!AM73/(SUM(IMshareM!AM$2:AM$78)-IMshareM!AM$39),0))</f>
        <v>5.0110537542808198E-3</v>
      </c>
      <c r="AN73" s="8">
        <f>IF($A73=AN$1,0,IF(SUM(IMshareM!AN$2:AN$78)-IMshareM!AN$40&gt;0,IMshareM!AN73/(SUM(IMshareM!AN$2:AN$78)-IMshareM!AN$40),0))</f>
        <v>3.4459277474263784E-2</v>
      </c>
      <c r="AO73" s="8">
        <f>IF($A73=AO$1,0,IF(SUM(IMshareM!AO$2:AO$78)-IMshareM!AO$41&gt;0,IMshareM!AO73/(SUM(IMshareM!AO$2:AO$78)-IMshareM!AO$41),0))</f>
        <v>1.5575582814566436E-4</v>
      </c>
      <c r="AP73" s="8">
        <f>IF($A73=AP$1,0,IF(SUM(IMshareM!AP$2:AP$78)-IMshareM!AP$42&gt;0,IMshareM!AP73/(SUM(IMshareM!AP$2:AP$78)-IMshareM!AP$42),0))</f>
        <v>0.21647219298744969</v>
      </c>
      <c r="AQ73" s="8">
        <f>IF($A73=AQ$1,0,IF(SUM(IMshareM!AQ$2:AQ$78)-IMshareM!AQ$43&gt;0,IMshareM!AQ73/(SUM(IMshareM!AQ$2:AQ$78)-IMshareM!AQ$43),0))</f>
        <v>4.9463513831415886E-3</v>
      </c>
      <c r="AR73" s="8">
        <f>IF($A73=AR$1,0,IF(SUM(IMshareM!AR$2:AR$78)-IMshareM!AR$44&gt;0,IMshareM!AR73/(SUM(IMshareM!AR$2:AR$78)-IMshareM!AR$44),0))</f>
        <v>1.2889252894665021E-5</v>
      </c>
      <c r="AS73" s="8">
        <f>IF($A73=AS$1,0,IF(SUM(IMshareM!AS$2:AS$78)-IMshareM!AS$45&gt;0,IMshareM!AS73/(SUM(IMshareM!AS$2:AS$78)-IMshareM!AS$45),0))</f>
        <v>2.0675659008504038E-3</v>
      </c>
      <c r="AT73" s="8">
        <f>IF($A73=AT$1,0,IF(SUM(IMshareM!AT$2:AT$78)-IMshareM!AT$46&gt;0,IMshareM!AT73/(SUM(IMshareM!AT$2:AT$78)-IMshareM!AT$46),0))</f>
        <v>1.350858821611918E-3</v>
      </c>
      <c r="AU73" s="8">
        <f>IF($A73=AU$1,0,IF(SUM(IMshareM!AU$2:AU$78)-IMshareM!AU$47&gt;0,IMshareM!AU73/(SUM(IMshareM!AU$2:AU$78)-IMshareM!AU$47),0))</f>
        <v>1.0113854875116389E-2</v>
      </c>
      <c r="AV73" s="8">
        <f>IF($A73=AV$1,0,IF(SUM(IMshareM!AV$2:AV$78)-IMshareM!AV$48&gt;0,IMshareM!AV73/(SUM(IMshareM!AV$2:AV$78)-IMshareM!AV$48),0))</f>
        <v>2.6684620565944769E-3</v>
      </c>
      <c r="AW73" s="8">
        <f>IF($A73=AW$1,0,IF(SUM(IMshareM!AW$2:AW$78)-IMshareM!AW$49&gt;0,IMshareM!AW73/(SUM(IMshareM!AW$2:AW$78)-IMshareM!AW$49),0))</f>
        <v>2.7239208037397301E-2</v>
      </c>
      <c r="AX73" s="8">
        <f>IF($A73=AX$1,0,IF(SUM(IMshareM!AX$2:AX$78)-IMshareM!AX$50&gt;0,IMshareM!AX73/(SUM(IMshareM!AX$2:AX$78)-IMshareM!AX$50),0))</f>
        <v>3.8207974276174015E-5</v>
      </c>
      <c r="AY73" s="8">
        <f>IF($A73=AY$1,0,IF(SUM(IMshareM!AY$2:AY$78)-IMshareM!AY$51&gt;0,IMshareM!AY73/(SUM(IMshareM!AY$2:AY$78)-IMshareM!AY$51),0))</f>
        <v>1.9358509014362521E-3</v>
      </c>
      <c r="AZ73" s="8">
        <f>IF($A73=AZ$1,0,IF(SUM(IMshareM!AZ$2:AZ$78)-IMshareM!AZ$52&gt;0,IMshareM!AZ73/(SUM(IMshareM!AZ$2:AZ$78)-IMshareM!AZ$52),0))</f>
        <v>3.4037209330450291E-2</v>
      </c>
      <c r="BA73" s="8">
        <f>IF($A73=BA$1,0,IF(SUM(IMshareM!BA$2:BA$78)-IMshareM!BA$53&gt;0,IMshareM!BA73/(SUM(IMshareM!BA$2:BA$78)-IMshareM!BA$53),0))</f>
        <v>6.0022656422688614E-5</v>
      </c>
      <c r="BB73" s="8">
        <f>IF($A73=BB$1,0,IF(SUM(IMshareM!BB$2:BB$78)-IMshareM!BB$54&gt;0,IMshareM!BB73/(SUM(IMshareM!BB$2:BB$78)-IMshareM!BB$54),0))</f>
        <v>7.7404266595580964E-3</v>
      </c>
      <c r="BC73" s="8">
        <f>IF($A73=BC$1,0,IF(SUM(IMshareM!BC$2:BC$78)-IMshareM!BC$55&gt;0,IMshareM!BC73/(SUM(IMshareM!BC$2:BC$78)-IMshareM!BC$55),0))</f>
        <v>5.1703525800585936E-3</v>
      </c>
      <c r="BD73" s="8">
        <f>IF($A73=BD$1,0,IF(SUM(IMshareM!BD$2:BD$78)-IMshareM!BD$56&gt;0,IMshareM!BD73/(SUM(IMshareM!BD$2:BD$78)-IMshareM!BD$56),0))</f>
        <v>2.0058121727888015E-2</v>
      </c>
      <c r="BE73" s="8">
        <f>IF($A73=BE$1,0,IF(SUM(IMshareM!BE$2:BE$78)-IMshareM!BE$57&gt;0,IMshareM!BE73/(SUM(IMshareM!BE$2:BE$78)-IMshareM!BE$57),0))</f>
        <v>5.3489530906855277E-3</v>
      </c>
      <c r="BF73" s="8">
        <f>IF($A73=BF$1,0,IF(SUM(IMshareM!BF$2:BF$78)-IMshareM!BF$58&gt;0,IMshareM!BF73/(SUM(IMshareM!BF$2:BF$78)-IMshareM!BF$58),0))</f>
        <v>2.4488388883011691E-2</v>
      </c>
      <c r="BG73" s="8">
        <f>IF($A73=BG$1,0,IF(SUM(IMshareM!BG$2:BG$78)-IMshareM!BG$59&gt;0,IMshareM!BG73/(SUM(IMshareM!BG$2:BG$78)-IMshareM!BG$59),0))</f>
        <v>3.7525041753764747E-2</v>
      </c>
      <c r="BH73" s="8">
        <f>IF($A73=BH$1,0,IF(SUM(IMshareM!BH$2:BH$78)-IMshareM!BH$60&gt;0,IMshareM!BH73/(SUM(IMshareM!BH$2:BH$78)-IMshareM!BH$60),0))</f>
        <v>2.3935489551345342E-2</v>
      </c>
      <c r="BI73" s="8">
        <f>IF($A73=BI$1,0,IF(SUM(IMshareM!BI$2:BI$78)-IMshareM!BI$61&gt;0,IMshareM!BI73/(SUM(IMshareM!BI$2:BI$78)-IMshareM!BI$61),0))</f>
        <v>2.7581282854069024E-3</v>
      </c>
      <c r="BJ73" s="8">
        <f>IF($A73=BJ$1,0,IF(SUM(IMshareM!BJ$2:BJ$78)-IMshareM!BJ$62&gt;0,IMshareM!BJ73/(SUM(IMshareM!BJ$2:BJ$78)-IMshareM!BJ$62),0))</f>
        <v>9.8856611888848873E-3</v>
      </c>
      <c r="BK73" s="8">
        <f>IF($A73=BK$1,0,IF(SUM(IMshareM!BK$2:BK$78)-IMshareM!BK$63&gt;0,IMshareM!BK73/(SUM(IMshareM!BK$2:BK$78)-IMshareM!BK$63),0))</f>
        <v>2.4983220948515995E-3</v>
      </c>
      <c r="BL73" s="8">
        <f>IF($A73=BL$1,0,IF(SUM(IMshareM!BL$2:BL$78)-IMshareM!BL$64&gt;0,IMshareM!BL73/(SUM(IMshareM!BL$2:BL$78)-IMshareM!BL$64),0))</f>
        <v>9.0315242405043811E-3</v>
      </c>
      <c r="BM73" s="8">
        <f>IF($A73=BM$1,0,IF(SUM(IMshareM!BM$2:BM$78)-IMshareM!BM$65&gt;0,IMshareM!BM73/(SUM(IMshareM!BM$2:BM$78)-IMshareM!BM$65),0))</f>
        <v>1.0899107472653778E-3</v>
      </c>
      <c r="BN73" s="8">
        <f>IF($A73=BN$1,0,IF(SUM(IMshareM!BN$2:BN$78)-IMshareM!BN$66&gt;0,IMshareM!BN73/(SUM(IMshareM!BN$2:BN$78)-IMshareM!BN$66),0))</f>
        <v>1.7310714007096589E-2</v>
      </c>
      <c r="BO73" s="8">
        <f>IF($A73=BO$1,0,IF(SUM(IMshareM!BO$2:BO$78)-IMshareM!BO$67&gt;0,IMshareM!BO73/(SUM(IMshareM!BO$2:BO$78)-IMshareM!BO$67),0))</f>
        <v>1.8296224414160033E-4</v>
      </c>
      <c r="BP73" s="8">
        <f>IF($A73=BP$1,0,IF(SUM(IMshareM!BP$2:BP$78)-IMshareM!BP$68&gt;0,IMshareM!BP73/(SUM(IMshareM!BP$2:BP$78)-IMshareM!BP$68),0))</f>
        <v>4.2160585011696717E-3</v>
      </c>
      <c r="BQ73" s="8">
        <f>IF($A73=BQ$1,0,IF(SUM(IMshareM!BQ$2:BQ$78)-IMshareM!BQ$69&gt;0,IMshareM!BQ73/(SUM(IMshareM!BQ$2:BQ$78)-IMshareM!BQ$69),0))</f>
        <v>4.5033428713886796E-3</v>
      </c>
      <c r="BR73" s="8">
        <f>IF($A73=BR$1,0,IF(SUM(IMshareM!BR$2:BR$78)-IMshareM!BR$70&gt;0,IMshareM!BR73/(SUM(IMshareM!BR$2:BR$78)-IMshareM!BR$70),0))</f>
        <v>1.6030238367662635E-2</v>
      </c>
      <c r="BS73" s="8">
        <f>IF($A73=BS$1,0,IF(SUM(IMshareM!BS$2:BS$78)-IMshareM!BS$71&gt;0,IMshareM!BS73/(SUM(IMshareM!BS$2:BS$78)-IMshareM!BS$71),0))</f>
        <v>3.8825915129589977E-3</v>
      </c>
      <c r="BT73" s="8">
        <f>IF($A73=BT$1,0,IF(SUM(IMshareM!BT$2:BT$78)-IMshareM!BT$72&gt;0,IMshareM!BT73/(SUM(IMshareM!BT$2:BT$78)-IMshareM!BT$72),0))</f>
        <v>3.4812266712107871E-3</v>
      </c>
      <c r="BU73" s="8">
        <f>IF($A73=BU$1,0,IF(SUM(IMshareM!BU$2:BU$78)-IMshareM!BU$73&gt;0,IMshareM!BU73/(SUM(IMshareM!BU$2:BU$78)-IMshareM!BU$73),0))</f>
        <v>0</v>
      </c>
      <c r="BV73" s="8">
        <f>IF($A73=BV$1,0,IF(SUM(IMshareM!BV$2:BV$78)-IMshareM!BV$74&gt;0,IMshareM!BV73/(SUM(IMshareM!BV$2:BV$78)-IMshareM!BV$74),0))</f>
        <v>3.414099110800351E-3</v>
      </c>
      <c r="BW73" s="8">
        <f>IF($A73=BW$1,0,IF(SUM(IMshareM!BW$2:BW$78)-IMshareM!BW$75&gt;0,IMshareM!BW73/(SUM(IMshareM!BW$2:BW$78)-IMshareM!BW$75),0))</f>
        <v>2.892932981827074E-2</v>
      </c>
      <c r="BX73" s="8">
        <f>IF($A73=BX$1,0,IF(SUM(IMshareM!BX$2:BX$78)-IMshareM!BX$76&gt;0,IMshareM!BX73/(SUM(IMshareM!BX$2:BX$78)-IMshareM!BX$76),0))</f>
        <v>2.628076427062544E-2</v>
      </c>
      <c r="BY73" s="8">
        <f>IF($A73=BY$1,0,IF(SUM(IMshareM!BY$2:BY$78)-IMshareM!BY$77&gt;0,IMshareM!BY73/(SUM(IMshareM!BY$2:BY$78)-IMshareM!BY$77),0))</f>
        <v>6.2523743327423014E-3</v>
      </c>
      <c r="BZ73" s="8">
        <f>IF($A73=BZ$1,0,IF(SUM(IMshareM!BZ$2:BZ$78)-IMshareM!BZ$78&gt;0,IMshareM!BZ73/(SUM(IMshareM!BZ$2:BZ$78)-IMshareM!BZ$78),0))</f>
        <v>4.6860658471370486E-3</v>
      </c>
    </row>
    <row r="74" spans="1:78">
      <c r="A74" s="4" t="s">
        <v>215</v>
      </c>
      <c r="B74" s="8">
        <f>IF($A74=B$1,0,IF(SUM(IMshareM!B$2:B$78)-IMshareM!B$2&gt;0,IMshareM!B74/(SUM(IMshareM!B$2:B$78)-IMshareM!B$2),0))</f>
        <v>0</v>
      </c>
      <c r="C74" s="8">
        <f>IF($A74=C$1,0,IF(SUM(IMshareM!C$2:C$78)-IMshareM!C$3&gt;0,IMshareM!C74/(SUM(IMshareM!C$2:C$78)-IMshareM!C$3),0))</f>
        <v>7.6871923530386852E-6</v>
      </c>
      <c r="D74" s="8">
        <f>IF($A74=D$1,0,IF(SUM(IMshareM!D$2:D$78)-IMshareM!D$4&gt;0,IMshareM!D74/(SUM(IMshareM!D$2:D$78)-IMshareM!D$4),0))</f>
        <v>1.3099956925034542E-5</v>
      </c>
      <c r="E74" s="8">
        <f>IF($A74=E$1,0,IF(SUM(IMshareM!E$2:E$78)-IMshareM!E$5&gt;0,IMshareM!E74/(SUM(IMshareM!E$2:E$78)-IMshareM!E$5),0))</f>
        <v>9.8025352566684324E-7</v>
      </c>
      <c r="F74" s="8">
        <f>IF($A74=F$1,0,IF(SUM(IMshareM!F$2:F$78)-IMshareM!F$6&gt;0,IMshareM!F74/(SUM(IMshareM!F$2:F$78)-IMshareM!F$6),0))</f>
        <v>7.4939769037196844E-7</v>
      </c>
      <c r="G74" s="8">
        <f>IF($A74=G$1,0,IF(SUM(IMshareM!G$2:G$78)-IMshareM!G$7&gt;0,IMshareM!G74/(SUM(IMshareM!G$2:G$78)-IMshareM!G$7),0))</f>
        <v>6.3465971385862077E-5</v>
      </c>
      <c r="H74" s="8">
        <f>IF($A74=H$1,0,IF(SUM(IMshareM!H$2:H$78)-IMshareM!H$8&gt;0,IMshareM!H74/(SUM(IMshareM!H$2:H$78)-IMshareM!H$8),0))</f>
        <v>6.3249011679754102E-4</v>
      </c>
      <c r="I74" s="8">
        <f>IF($A74=I$1,0,IF(SUM(IMshareM!I$2:I$78)-IMshareM!I$9&gt;0,IMshareM!I74/(SUM(IMshareM!I$2:I$78)-IMshareM!I$9),0))</f>
        <v>0</v>
      </c>
      <c r="J74" s="8">
        <f>IF($A74=J$1,0,IF(SUM(IMshareM!J$2:J$78)-IMshareM!J$10&gt;0,IMshareM!J74/(SUM(IMshareM!J$2:J$78)-IMshareM!J$10),0))</f>
        <v>0</v>
      </c>
      <c r="K74" s="8">
        <f>IF($A74=K$1,0,IF(SUM(IMshareM!K$2:K$78)-IMshareM!K$11&gt;0,IMshareM!K74/(SUM(IMshareM!K$2:K$78)-IMshareM!K$11),0))</f>
        <v>5.3036918416909884E-6</v>
      </c>
      <c r="L74" s="8">
        <f>IF($A74=L$1,0,IF(SUM(IMshareM!L$2:L$78)-IMshareM!L$12&gt;0,IMshareM!L74/(SUM(IMshareM!L$2:L$78)-IMshareM!L$12),0))</f>
        <v>5.2395450585918898E-6</v>
      </c>
      <c r="M74" s="8">
        <f>IF($A74=M$1,0,IF(SUM(IMshareM!M$2:M$78)-IMshareM!M$13&gt;0,IMshareM!M74/(SUM(IMshareM!M$2:M$78)-IMshareM!M$13),0))</f>
        <v>3.2198811797616261E-6</v>
      </c>
      <c r="N74" s="8">
        <f>IF($A74=N$1,0,IF(SUM(IMshareM!N$2:N$78)-IMshareM!N$14&gt;0,IMshareM!N74/(SUM(IMshareM!N$2:N$78)-IMshareM!N$14),0))</f>
        <v>5.0307711840647436E-6</v>
      </c>
      <c r="O74" s="8">
        <f>IF($A74=O$1,0,IF(SUM(IMshareM!O$2:O$78)-IMshareM!O$15&gt;0,IMshareM!O74/(SUM(IMshareM!O$2:O$78)-IMshareM!O$15),0))</f>
        <v>6.8763612896352843E-5</v>
      </c>
      <c r="P74" s="8">
        <f>IF($A74=P$1,0,IF(SUM(IMshareM!P$2:P$78)-IMshareM!P$16&gt;0,IMshareM!P74/(SUM(IMshareM!P$2:P$78)-IMshareM!P$16),0))</f>
        <v>0</v>
      </c>
      <c r="Q74" s="8">
        <f>IF($A74=Q$1,0,IF(SUM(IMshareM!Q$2:Q$78)-IMshareM!Q$17&gt;0,IMshareM!Q74/(SUM(IMshareM!Q$2:Q$78)-IMshareM!Q$17),0))</f>
        <v>8.8346050701777783E-7</v>
      </c>
      <c r="R74" s="8">
        <f>IF($A74=R$1,0,IF(SUM(IMshareM!R$2:R$78)-IMshareM!R$18&gt;0,IMshareM!R74/(SUM(IMshareM!R$2:R$78)-IMshareM!R$18),0))</f>
        <v>0</v>
      </c>
      <c r="S74" s="8">
        <f>IF($A74=S$1,0,IF(SUM(IMshareM!S$2:S$78)-IMshareM!S$19&gt;0,IMshareM!S74/(SUM(IMshareM!S$2:S$78)-IMshareM!S$19),0))</f>
        <v>3.1041628307682693E-5</v>
      </c>
      <c r="T74" s="8">
        <f>IF($A74=T$1,0,IF(SUM(IMshareM!T$2:T$78)-IMshareM!T$20&gt;0,IMshareM!T74/(SUM(IMshareM!T$2:T$78)-IMshareM!T$20),0))</f>
        <v>5.3593335798303299E-6</v>
      </c>
      <c r="U74" s="8">
        <f>IF($A74=U$1,0,IF(SUM(IMshareM!U$2:U$78)-IMshareM!U$21&gt;0,IMshareM!U74/(SUM(IMshareM!U$2:U$78)-IMshareM!U$21),0))</f>
        <v>4.4659458586703544E-5</v>
      </c>
      <c r="V74" s="8">
        <f>IF($A74=V$1,0,IF(SUM(IMshareM!V$2:V$78)-IMshareM!V$22&gt;0,IMshareM!V74/(SUM(IMshareM!V$2:V$78)-IMshareM!V$22),0))</f>
        <v>4.4623682298664991E-6</v>
      </c>
      <c r="W74" s="8">
        <f>IF($A74=W$1,0,IF(SUM(IMshareM!W$2:W$78)-IMshareM!W$23&gt;0,IMshareM!W74/(SUM(IMshareM!W$2:W$78)-IMshareM!W$23),0))</f>
        <v>2.4903485576305062E-4</v>
      </c>
      <c r="X74" s="8">
        <f>IF($A74=X$1,0,IF(SUM(IMshareM!X$2:X$78)-IMshareM!X$24&gt;0,IMshareM!X74/(SUM(IMshareM!X$2:X$78)-IMshareM!X$24),0))</f>
        <v>1.0516626364405515E-5</v>
      </c>
      <c r="Y74" s="8">
        <f>IF($A74=Y$1,0,IF(SUM(IMshareM!Y$2:Y$78)-IMshareM!Y$25&gt;0,IMshareM!Y74/(SUM(IMshareM!Y$2:Y$78)-IMshareM!Y$25),0))</f>
        <v>9.5393315364046452E-4</v>
      </c>
      <c r="Z74" s="8">
        <f>IF($A74=Z$1,0,IF(SUM(IMshareM!Z$2:Z$78)-IMshareM!Z$26&gt;0,IMshareM!Z74/(SUM(IMshareM!Z$2:Z$78)-IMshareM!Z$26),0))</f>
        <v>6.340193117803065E-5</v>
      </c>
      <c r="AA74" s="8">
        <f>IF($A74=AA$1,0,IF(SUM(IMshareM!AA$2:AA$78)-IMshareM!AA$27&gt;0,IMshareM!AA74/(SUM(IMshareM!AA$2:AA$78)-IMshareM!AA$27),0))</f>
        <v>2.1891110998803728E-4</v>
      </c>
      <c r="AB74" s="8">
        <f>IF($A74=AB$1,0,IF(SUM(IMshareM!AB$2:AB$78)-IMshareM!AB$28&gt;0,IMshareM!AB74/(SUM(IMshareM!AB$2:AB$78)-IMshareM!AB$28),0))</f>
        <v>1.0569826018649292E-5</v>
      </c>
      <c r="AC74" s="8">
        <f>IF($A74=AC$1,0,IF(SUM(IMshareM!AC$2:AC$78)-IMshareM!AC$29&gt;0,IMshareM!AC74/(SUM(IMshareM!AC$2:AC$78)-IMshareM!AC$29),0))</f>
        <v>0</v>
      </c>
      <c r="AD74" s="8">
        <f>IF($A74=AD$1,0,IF(SUM(IMshareM!AD$2:AD$78)-IMshareM!AD$30&gt;0,IMshareM!AD74/(SUM(IMshareM!AD$2:AD$78)-IMshareM!AD$30),0))</f>
        <v>9.7185852065540031E-6</v>
      </c>
      <c r="AE74" s="8">
        <f>IF($A74=AE$1,0,IF(SUM(IMshareM!AE$2:AE$78)-IMshareM!AE$31&gt;0,IMshareM!AE74/(SUM(IMshareM!AE$2:AE$78)-IMshareM!AE$31),0))</f>
        <v>2.4893654410694192E-6</v>
      </c>
      <c r="AF74" s="8">
        <f>IF($A74=AF$1,0,IF(SUM(IMshareM!AF$2:AF$78)-IMshareM!AF$32&gt;0,IMshareM!AF74/(SUM(IMshareM!AF$2:AF$78)-IMshareM!AF$32),0))</f>
        <v>1.4752682262202476E-4</v>
      </c>
      <c r="AG74" s="8">
        <f>IF($A74=AG$1,0,IF(SUM(IMshareM!AG$2:AG$78)-IMshareM!AG$33&gt;0,IMshareM!AG74/(SUM(IMshareM!AG$2:AG$78)-IMshareM!AG$33),0))</f>
        <v>8.3962914531219979E-6</v>
      </c>
      <c r="AH74" s="8">
        <f>IF($A74=AH$1,0,IF(SUM(IMshareM!AH$2:AH$78)-IMshareM!AH$34&gt;0,IMshareM!AH74/(SUM(IMshareM!AH$2:AH$78)-IMshareM!AH$34),0))</f>
        <v>1.7586927348251904E-5</v>
      </c>
      <c r="AI74" s="8">
        <f>IF($A74=AI$1,0,IF(SUM(IMshareM!AI$2:AI$78)-IMshareM!AI$35&gt;0,IMshareM!AI74/(SUM(IMshareM!AI$2:AI$78)-IMshareM!AI$35),0))</f>
        <v>2.9741913334630027E-7</v>
      </c>
      <c r="AJ74" s="8">
        <f>IF($A74=AJ$1,0,IF(SUM(IMshareM!AJ$2:AJ$78)-IMshareM!AJ$36&gt;0,IMshareM!AJ74/(SUM(IMshareM!AJ$2:AJ$78)-IMshareM!AJ$36),0))</f>
        <v>1.3657688914261963E-4</v>
      </c>
      <c r="AK74" s="8">
        <f>IF($A74=AK$1,0,IF(SUM(IMshareM!AK$2:AK$78)-IMshareM!AK$37&gt;0,IMshareM!AK74/(SUM(IMshareM!AK$2:AK$78)-IMshareM!AK$37),0))</f>
        <v>1.1889225219483235E-5</v>
      </c>
      <c r="AL74" s="8">
        <f>IF($A74=AL$1,0,IF(SUM(IMshareM!AL$2:AL$78)-IMshareM!AL$38&gt;0,IMshareM!AL74/(SUM(IMshareM!AL$2:AL$78)-IMshareM!AL$38),0))</f>
        <v>2.7915865631087483E-5</v>
      </c>
      <c r="AM74" s="8">
        <f>IF($A74=AM$1,0,IF(SUM(IMshareM!AM$2:AM$78)-IMshareM!AM$39&gt;0,IMshareM!AM74/(SUM(IMshareM!AM$2:AM$78)-IMshareM!AM$39),0))</f>
        <v>0</v>
      </c>
      <c r="AN74" s="8">
        <f>IF($A74=AN$1,0,IF(SUM(IMshareM!AN$2:AN$78)-IMshareM!AN$40&gt;0,IMshareM!AN74/(SUM(IMshareM!AN$2:AN$78)-IMshareM!AN$40),0))</f>
        <v>7.9283315660713167E-7</v>
      </c>
      <c r="AO74" s="8">
        <f>IF($A74=AO$1,0,IF(SUM(IMshareM!AO$2:AO$78)-IMshareM!AO$41&gt;0,IMshareM!AO74/(SUM(IMshareM!AO$2:AO$78)-IMshareM!AO$41),0))</f>
        <v>2.8006129095420884E-2</v>
      </c>
      <c r="AP74" s="8">
        <f>IF($A74=AP$1,0,IF(SUM(IMshareM!AP$2:AP$78)-IMshareM!AP$42&gt;0,IMshareM!AP74/(SUM(IMshareM!AP$2:AP$78)-IMshareM!AP$42),0))</f>
        <v>0</v>
      </c>
      <c r="AQ74" s="8">
        <f>IF($A74=AQ$1,0,IF(SUM(IMshareM!AQ$2:AQ$78)-IMshareM!AQ$43&gt;0,IMshareM!AQ74/(SUM(IMshareM!AQ$2:AQ$78)-IMshareM!AQ$43),0))</f>
        <v>4.4292709650840438E-7</v>
      </c>
      <c r="AR74" s="8">
        <f>IF($A74=AR$1,0,IF(SUM(IMshareM!AR$2:AR$78)-IMshareM!AR$44&gt;0,IMshareM!AR74/(SUM(IMshareM!AR$2:AR$78)-IMshareM!AR$44),0))</f>
        <v>0</v>
      </c>
      <c r="AS74" s="8">
        <f>IF($A74=AS$1,0,IF(SUM(IMshareM!AS$2:AS$78)-IMshareM!AS$45&gt;0,IMshareM!AS74/(SUM(IMshareM!AS$2:AS$78)-IMshareM!AS$45),0))</f>
        <v>3.4424956160583115E-4</v>
      </c>
      <c r="AT74" s="8">
        <f>IF($A74=AT$1,0,IF(SUM(IMshareM!AT$2:AT$78)-IMshareM!AT$46&gt;0,IMshareM!AT74/(SUM(IMshareM!AT$2:AT$78)-IMshareM!AT$46),0))</f>
        <v>8.2046684992803518E-8</v>
      </c>
      <c r="AU74" s="8">
        <f>IF($A74=AU$1,0,IF(SUM(IMshareM!AU$2:AU$78)-IMshareM!AU$47&gt;0,IMshareM!AU74/(SUM(IMshareM!AU$2:AU$78)-IMshareM!AU$47),0))</f>
        <v>3.5204218975934583E-4</v>
      </c>
      <c r="AV74" s="8">
        <f>IF($A74=AV$1,0,IF(SUM(IMshareM!AV$2:AV$78)-IMshareM!AV$48&gt;0,IMshareM!AV74/(SUM(IMshareM!AV$2:AV$78)-IMshareM!AV$48),0))</f>
        <v>0</v>
      </c>
      <c r="AW74" s="8">
        <f>IF($A74=AW$1,0,IF(SUM(IMshareM!AW$2:AW$78)-IMshareM!AW$49&gt;0,IMshareM!AW74/(SUM(IMshareM!AW$2:AW$78)-IMshareM!AW$49),0))</f>
        <v>0</v>
      </c>
      <c r="AX74" s="8">
        <f>IF($A74=AX$1,0,IF(SUM(IMshareM!AX$2:AX$78)-IMshareM!AX$50&gt;0,IMshareM!AX74/(SUM(IMshareM!AX$2:AX$78)-IMshareM!AX$50),0))</f>
        <v>0</v>
      </c>
      <c r="AY74" s="8">
        <f>IF($A74=AY$1,0,IF(SUM(IMshareM!AY$2:AY$78)-IMshareM!AY$51&gt;0,IMshareM!AY74/(SUM(IMshareM!AY$2:AY$78)-IMshareM!AY$51),0))</f>
        <v>0</v>
      </c>
      <c r="AZ74" s="8">
        <f>IF($A74=AZ$1,0,IF(SUM(IMshareM!AZ$2:AZ$78)-IMshareM!AZ$52&gt;0,IMshareM!AZ74/(SUM(IMshareM!AZ$2:AZ$78)-IMshareM!AZ$52),0))</f>
        <v>0</v>
      </c>
      <c r="BA74" s="8">
        <f>IF($A74=BA$1,0,IF(SUM(IMshareM!BA$2:BA$78)-IMshareM!BA$53&gt;0,IMshareM!BA74/(SUM(IMshareM!BA$2:BA$78)-IMshareM!BA$53),0))</f>
        <v>0</v>
      </c>
      <c r="BB74" s="8">
        <f>IF($A74=BB$1,0,IF(SUM(IMshareM!BB$2:BB$78)-IMshareM!BB$54&gt;0,IMshareM!BB74/(SUM(IMshareM!BB$2:BB$78)-IMshareM!BB$54),0))</f>
        <v>8.5346002037498011E-5</v>
      </c>
      <c r="BC74" s="8">
        <f>IF($A74=BC$1,0,IF(SUM(IMshareM!BC$2:BC$78)-IMshareM!BC$55&gt;0,IMshareM!BC74/(SUM(IMshareM!BC$2:BC$78)-IMshareM!BC$55),0))</f>
        <v>1.229731675468924E-5</v>
      </c>
      <c r="BD74" s="8">
        <f>IF($A74=BD$1,0,IF(SUM(IMshareM!BD$2:BD$78)-IMshareM!BD$56&gt;0,IMshareM!BD74/(SUM(IMshareM!BD$2:BD$78)-IMshareM!BD$56),0))</f>
        <v>3.8515406267653721E-5</v>
      </c>
      <c r="BE74" s="8">
        <f>IF($A74=BE$1,0,IF(SUM(IMshareM!BE$2:BE$78)-IMshareM!BE$57&gt;0,IMshareM!BE74/(SUM(IMshareM!BE$2:BE$78)-IMshareM!BE$57),0))</f>
        <v>0</v>
      </c>
      <c r="BF74" s="8">
        <f>IF($A74=BF$1,0,IF(SUM(IMshareM!BF$2:BF$78)-IMshareM!BF$58&gt;0,IMshareM!BF74/(SUM(IMshareM!BF$2:BF$78)-IMshareM!BF$58),0))</f>
        <v>7.6150709274322049E-5</v>
      </c>
      <c r="BG74" s="8">
        <f>IF($A74=BG$1,0,IF(SUM(IMshareM!BG$2:BG$78)-IMshareM!BG$59&gt;0,IMshareM!BG74/(SUM(IMshareM!BG$2:BG$78)-IMshareM!BG$59),0))</f>
        <v>0</v>
      </c>
      <c r="BH74" s="8">
        <f>IF($A74=BH$1,0,IF(SUM(IMshareM!BH$2:BH$78)-IMshareM!BH$60&gt;0,IMshareM!BH74/(SUM(IMshareM!BH$2:BH$78)-IMshareM!BH$60),0))</f>
        <v>7.2686710892904739E-4</v>
      </c>
      <c r="BI74" s="8">
        <f>IF($A74=BI$1,0,IF(SUM(IMshareM!BI$2:BI$78)-IMshareM!BI$61&gt;0,IMshareM!BI74/(SUM(IMshareM!BI$2:BI$78)-IMshareM!BI$61),0))</f>
        <v>1.7622935265613037E-7</v>
      </c>
      <c r="BJ74" s="8">
        <f>IF($A74=BJ$1,0,IF(SUM(IMshareM!BJ$2:BJ$78)-IMshareM!BJ$62&gt;0,IMshareM!BJ74/(SUM(IMshareM!BJ$2:BJ$78)-IMshareM!BJ$62),0))</f>
        <v>1.7260429798001285E-3</v>
      </c>
      <c r="BK74" s="8">
        <f>IF($A74=BK$1,0,IF(SUM(IMshareM!BK$2:BK$78)-IMshareM!BK$63&gt;0,IMshareM!BK74/(SUM(IMshareM!BK$2:BK$78)-IMshareM!BK$63),0))</f>
        <v>3.5097352477553054E-3</v>
      </c>
      <c r="BL74" s="8">
        <f>IF($A74=BL$1,0,IF(SUM(IMshareM!BL$2:BL$78)-IMshareM!BL$64&gt;0,IMshareM!BL74/(SUM(IMshareM!BL$2:BL$78)-IMshareM!BL$64),0))</f>
        <v>0</v>
      </c>
      <c r="BM74" s="8">
        <f>IF($A74=BM$1,0,IF(SUM(IMshareM!BM$2:BM$78)-IMshareM!BM$65&gt;0,IMshareM!BM74/(SUM(IMshareM!BM$2:BM$78)-IMshareM!BM$65),0))</f>
        <v>0</v>
      </c>
      <c r="BN74" s="8">
        <f>IF($A74=BN$1,0,IF(SUM(IMshareM!BN$2:BN$78)-IMshareM!BN$66&gt;0,IMshareM!BN74/(SUM(IMshareM!BN$2:BN$78)-IMshareM!BN$66),0))</f>
        <v>3.5799881125675109E-6</v>
      </c>
      <c r="BO74" s="8">
        <f>IF($A74=BO$1,0,IF(SUM(IMshareM!BO$2:BO$78)-IMshareM!BO$67&gt;0,IMshareM!BO74/(SUM(IMshareM!BO$2:BO$78)-IMshareM!BO$67),0))</f>
        <v>1.5814944211615094E-7</v>
      </c>
      <c r="BP74" s="8">
        <f>IF($A74=BP$1,0,IF(SUM(IMshareM!BP$2:BP$78)-IMshareM!BP$68&gt;0,IMshareM!BP74/(SUM(IMshareM!BP$2:BP$78)-IMshareM!BP$68),0))</f>
        <v>1.4472288930331894E-5</v>
      </c>
      <c r="BQ74" s="8">
        <f>IF($A74=BQ$1,0,IF(SUM(IMshareM!BQ$2:BQ$78)-IMshareM!BQ$69&gt;0,IMshareM!BQ74/(SUM(IMshareM!BQ$2:BQ$78)-IMshareM!BQ$69),0))</f>
        <v>6.5101224133666429E-6</v>
      </c>
      <c r="BR74" s="8">
        <f>IF($A74=BR$1,0,IF(SUM(IMshareM!BR$2:BR$78)-IMshareM!BR$70&gt;0,IMshareM!BR74/(SUM(IMshareM!BR$2:BR$78)-IMshareM!BR$70),0))</f>
        <v>1.2377287561446378E-6</v>
      </c>
      <c r="BS74" s="8">
        <f>IF($A74=BS$1,0,IF(SUM(IMshareM!BS$2:BS$78)-IMshareM!BS$71&gt;0,IMshareM!BS74/(SUM(IMshareM!BS$2:BS$78)-IMshareM!BS$71),0))</f>
        <v>0</v>
      </c>
      <c r="BT74" s="8">
        <f>IF($A74=BT$1,0,IF(SUM(IMshareM!BT$2:BT$78)-IMshareM!BT$72&gt;0,IMshareM!BT74/(SUM(IMshareM!BT$2:BT$78)-IMshareM!BT$72),0))</f>
        <v>5.7609450103887881E-5</v>
      </c>
      <c r="BU74" s="8">
        <f>IF($A74=BU$1,0,IF(SUM(IMshareM!BU$2:BU$78)-IMshareM!BU$73&gt;0,IMshareM!BU74/(SUM(IMshareM!BU$2:BU$78)-IMshareM!BU$73),0))</f>
        <v>6.6644240746003583E-6</v>
      </c>
      <c r="BV74" s="8">
        <f>IF($A74=BV$1,0,IF(SUM(IMshareM!BV$2:BV$78)-IMshareM!BV$74&gt;0,IMshareM!BV74/(SUM(IMshareM!BV$2:BV$78)-IMshareM!BV$74),0))</f>
        <v>0</v>
      </c>
      <c r="BW74" s="8">
        <f>IF($A74=BW$1,0,IF(SUM(IMshareM!BW$2:BW$78)-IMshareM!BW$75&gt;0,IMshareM!BW74/(SUM(IMshareM!BW$2:BW$78)-IMshareM!BW$75),0))</f>
        <v>1.4431167448825064E-6</v>
      </c>
      <c r="BX74" s="8">
        <f>IF($A74=BX$1,0,IF(SUM(IMshareM!BX$2:BX$78)-IMshareM!BX$76&gt;0,IMshareM!BX74/(SUM(IMshareM!BX$2:BX$78)-IMshareM!BX$76),0))</f>
        <v>4.7376982808742695E-5</v>
      </c>
      <c r="BY74" s="8">
        <f>IF($A74=BY$1,0,IF(SUM(IMshareM!BY$2:BY$78)-IMshareM!BY$77&gt;0,IMshareM!BY74/(SUM(IMshareM!BY$2:BY$78)-IMshareM!BY$77),0))</f>
        <v>1.7808762596919985E-6</v>
      </c>
      <c r="BZ74" s="8">
        <f>IF($A74=BZ$1,0,IF(SUM(IMshareM!BZ$2:BZ$78)-IMshareM!BZ$78&gt;0,IMshareM!BZ74/(SUM(IMshareM!BZ$2:BZ$78)-IMshareM!BZ$78),0))</f>
        <v>9.5469701501567437E-4</v>
      </c>
    </row>
    <row r="75" spans="1:78">
      <c r="A75" s="4" t="s">
        <v>217</v>
      </c>
      <c r="B75" s="8">
        <f>IF($A75=B$1,0,IF(SUM(IMshareM!B$2:B$78)-IMshareM!B$2&gt;0,IMshareM!B75/(SUM(IMshareM!B$2:B$78)-IMshareM!B$2),0))</f>
        <v>4.5501666569359923E-2</v>
      </c>
      <c r="C75" s="8">
        <f>IF($A75=C$1,0,IF(SUM(IMshareM!C$2:C$78)-IMshareM!C$3&gt;0,IMshareM!C75/(SUM(IMshareM!C$2:C$78)-IMshareM!C$3),0))</f>
        <v>0.14106005315044229</v>
      </c>
      <c r="D75" s="8">
        <f>IF($A75=D$1,0,IF(SUM(IMshareM!D$2:D$78)-IMshareM!D$4&gt;0,IMshareM!D75/(SUM(IMshareM!D$2:D$78)-IMshareM!D$4),0))</f>
        <v>2.2676376309651657E-2</v>
      </c>
      <c r="E75" s="8">
        <f>IF($A75=E$1,0,IF(SUM(IMshareM!E$2:E$78)-IMshareM!E$5&gt;0,IMshareM!E75/(SUM(IMshareM!E$2:E$78)-IMshareM!E$5),0))</f>
        <v>9.9790146270379403E-3</v>
      </c>
      <c r="F75" s="8">
        <f>IF($A75=F$1,0,IF(SUM(IMshareM!F$2:F$78)-IMshareM!F$6&gt;0,IMshareM!F75/(SUM(IMshareM!F$2:F$78)-IMshareM!F$6),0))</f>
        <v>1.4212684418980196E-2</v>
      </c>
      <c r="G75" s="8">
        <f>IF($A75=G$1,0,IF(SUM(IMshareM!G$2:G$78)-IMshareM!G$7&gt;0,IMshareM!G75/(SUM(IMshareM!G$2:G$78)-IMshareM!G$7),0))</f>
        <v>1.5158626121779817E-2</v>
      </c>
      <c r="H75" s="8">
        <f>IF($A75=H$1,0,IF(SUM(IMshareM!H$2:H$78)-IMshareM!H$8&gt;0,IMshareM!H75/(SUM(IMshareM!H$2:H$78)-IMshareM!H$8),0))</f>
        <v>1.4752387387214014E-4</v>
      </c>
      <c r="I75" s="8">
        <f>IF($A75=I$1,0,IF(SUM(IMshareM!I$2:I$78)-IMshareM!I$9&gt;0,IMshareM!I75/(SUM(IMshareM!I$2:I$78)-IMshareM!I$9),0))</f>
        <v>9.114729525939512E-2</v>
      </c>
      <c r="J75" s="8">
        <f>IF($A75=J$1,0,IF(SUM(IMshareM!J$2:J$78)-IMshareM!J$10&gt;0,IMshareM!J75/(SUM(IMshareM!J$2:J$78)-IMshareM!J$10),0))</f>
        <v>0.1390778626613734</v>
      </c>
      <c r="K75" s="8">
        <f>IF($A75=K$1,0,IF(SUM(IMshareM!K$2:K$78)-IMshareM!K$11&gt;0,IMshareM!K75/(SUM(IMshareM!K$2:K$78)-IMshareM!K$11),0))</f>
        <v>0.40793141859506338</v>
      </c>
      <c r="L75" s="8">
        <f>IF($A75=L$1,0,IF(SUM(IMshareM!L$2:L$78)-IMshareM!L$12&gt;0,IMshareM!L75/(SUM(IMshareM!L$2:L$78)-IMshareM!L$12),0))</f>
        <v>5.3275167755929512E-2</v>
      </c>
      <c r="M75" s="8">
        <f>IF($A75=M$1,0,IF(SUM(IMshareM!M$2:M$78)-IMshareM!M$13&gt;0,IMshareM!M75/(SUM(IMshareM!M$2:M$78)-IMshareM!M$13),0))</f>
        <v>4.9714069822731459E-2</v>
      </c>
      <c r="N75" s="8">
        <f>IF($A75=N$1,0,IF(SUM(IMshareM!N$2:N$78)-IMshareM!N$14&gt;0,IMshareM!N75/(SUM(IMshareM!N$2:N$78)-IMshareM!N$14),0))</f>
        <v>4.0800743705641428E-2</v>
      </c>
      <c r="O75" s="8">
        <f>IF($A75=O$1,0,IF(SUM(IMshareM!O$2:O$78)-IMshareM!O$15&gt;0,IMshareM!O75/(SUM(IMshareM!O$2:O$78)-IMshareM!O$15),0))</f>
        <v>0.28555346988480668</v>
      </c>
      <c r="P75" s="8">
        <f>IF($A75=P$1,0,IF(SUM(IMshareM!P$2:P$78)-IMshareM!P$16&gt;0,IMshareM!P75/(SUM(IMshareM!P$2:P$78)-IMshareM!P$16),0))</f>
        <v>2.271863114559811E-2</v>
      </c>
      <c r="Q75" s="8">
        <f>IF($A75=Q$1,0,IF(SUM(IMshareM!Q$2:Q$78)-IMshareM!Q$17&gt;0,IMshareM!Q75/(SUM(IMshareM!Q$2:Q$78)-IMshareM!Q$17),0))</f>
        <v>0.10417638514079704</v>
      </c>
      <c r="R75" s="8">
        <f>IF($A75=R$1,0,IF(SUM(IMshareM!R$2:R$78)-IMshareM!R$18&gt;0,IMshareM!R75/(SUM(IMshareM!R$2:R$78)-IMshareM!R$18),0))</f>
        <v>0.39882733953145089</v>
      </c>
      <c r="S75" s="8">
        <f>IF($A75=S$1,0,IF(SUM(IMshareM!S$2:S$78)-IMshareM!S$19&gt;0,IMshareM!S75/(SUM(IMshareM!S$2:S$78)-IMshareM!S$19),0))</f>
        <v>1.2671767730823787E-2</v>
      </c>
      <c r="T75" s="8">
        <f>IF($A75=T$1,0,IF(SUM(IMshareM!T$2:T$78)-IMshareM!T$20&gt;0,IMshareM!T75/(SUM(IMshareM!T$2:T$78)-IMshareM!T$20),0))</f>
        <v>1.8698553965095673E-2</v>
      </c>
      <c r="U75" s="8">
        <f>IF($A75=U$1,0,IF(SUM(IMshareM!U$2:U$78)-IMshareM!U$21&gt;0,IMshareM!U75/(SUM(IMshareM!U$2:U$78)-IMshareM!U$21),0))</f>
        <v>4.2937400306929427E-2</v>
      </c>
      <c r="V75" s="8">
        <f>IF($A75=V$1,0,IF(SUM(IMshareM!V$2:V$78)-IMshareM!V$22&gt;0,IMshareM!V75/(SUM(IMshareM!V$2:V$78)-IMshareM!V$22),0))</f>
        <v>1.0213603936110059E-2</v>
      </c>
      <c r="W75" s="8">
        <f>IF($A75=W$1,0,IF(SUM(IMshareM!W$2:W$78)-IMshareM!W$23&gt;0,IMshareM!W75/(SUM(IMshareM!W$2:W$78)-IMshareM!W$23),0))</f>
        <v>6.8369434203685062E-2</v>
      </c>
      <c r="X75" s="8">
        <f>IF($A75=X$1,0,IF(SUM(IMshareM!X$2:X$78)-IMshareM!X$24&gt;0,IMshareM!X75/(SUM(IMshareM!X$2:X$78)-IMshareM!X$24),0))</f>
        <v>1.0706720129785015E-2</v>
      </c>
      <c r="Y75" s="8">
        <f>IF($A75=Y$1,0,IF(SUM(IMshareM!Y$2:Y$78)-IMshareM!Y$25&gt;0,IMshareM!Y75/(SUM(IMshareM!Y$2:Y$78)-IMshareM!Y$25),0))</f>
        <v>3.9951338959500989E-2</v>
      </c>
      <c r="Z75" s="8">
        <f>IF($A75=Z$1,0,IF(SUM(IMshareM!Z$2:Z$78)-IMshareM!Z$26&gt;0,IMshareM!Z75/(SUM(IMshareM!Z$2:Z$78)-IMshareM!Z$26),0))</f>
        <v>1.9901180268681658E-2</v>
      </c>
      <c r="AA75" s="8">
        <f>IF($A75=AA$1,0,IF(SUM(IMshareM!AA$2:AA$78)-IMshareM!AA$27&gt;0,IMshareM!AA75/(SUM(IMshareM!AA$2:AA$78)-IMshareM!AA$27),0))</f>
        <v>9.3905220755206714E-2</v>
      </c>
      <c r="AB75" s="8">
        <f>IF($A75=AB$1,0,IF(SUM(IMshareM!AB$2:AB$78)-IMshareM!AB$28&gt;0,IMshareM!AB75/(SUM(IMshareM!AB$2:AB$78)-IMshareM!AB$28),0))</f>
        <v>0.24070125325493272</v>
      </c>
      <c r="AC75" s="8">
        <f>IF($A75=AC$1,0,IF(SUM(IMshareM!AC$2:AC$78)-IMshareM!AC$29&gt;0,IMshareM!AC75/(SUM(IMshareM!AC$2:AC$78)-IMshareM!AC$29),0))</f>
        <v>5.6044482525700878E-3</v>
      </c>
      <c r="AD75" s="8">
        <f>IF($A75=AD$1,0,IF(SUM(IMshareM!AD$2:AD$78)-IMshareM!AD$30&gt;0,IMshareM!AD75/(SUM(IMshareM!AD$2:AD$78)-IMshareM!AD$30),0))</f>
        <v>1.3332527013721019E-2</v>
      </c>
      <c r="AE75" s="8">
        <f>IF($A75=AE$1,0,IF(SUM(IMshareM!AE$2:AE$78)-IMshareM!AE$31&gt;0,IMshareM!AE75/(SUM(IMshareM!AE$2:AE$78)-IMshareM!AE$31),0))</f>
        <v>7.2189943864966431E-3</v>
      </c>
      <c r="AF75" s="8">
        <f>IF($A75=AF$1,0,IF(SUM(IMshareM!AF$2:AF$78)-IMshareM!AF$32&gt;0,IMshareM!AF75/(SUM(IMshareM!AF$2:AF$78)-IMshareM!AF$32),0))</f>
        <v>1.3300685750692166E-2</v>
      </c>
      <c r="AG75" s="8">
        <f>IF($A75=AG$1,0,IF(SUM(IMshareM!AG$2:AG$78)-IMshareM!AG$33&gt;0,IMshareM!AG75/(SUM(IMshareM!AG$2:AG$78)-IMshareM!AG$33),0))</f>
        <v>2.0757840242655024E-2</v>
      </c>
      <c r="AH75" s="8">
        <f>IF($A75=AH$1,0,IF(SUM(IMshareM!AH$2:AH$78)-IMshareM!AH$34&gt;0,IMshareM!AH75/(SUM(IMshareM!AH$2:AH$78)-IMshareM!AH$34),0))</f>
        <v>2.669045689912411E-2</v>
      </c>
      <c r="AI75" s="8">
        <f>IF($A75=AI$1,0,IF(SUM(IMshareM!AI$2:AI$78)-IMshareM!AI$35&gt;0,IMshareM!AI75/(SUM(IMshareM!AI$2:AI$78)-IMshareM!AI$35),0))</f>
        <v>7.3686711835220423E-2</v>
      </c>
      <c r="AJ75" s="8">
        <f>IF($A75=AJ$1,0,IF(SUM(IMshareM!AJ$2:AJ$78)-IMshareM!AJ$36&gt;0,IMshareM!AJ75/(SUM(IMshareM!AJ$2:AJ$78)-IMshareM!AJ$36),0))</f>
        <v>6.0856844111629158E-2</v>
      </c>
      <c r="AK75" s="8">
        <f>IF($A75=AK$1,0,IF(SUM(IMshareM!AK$2:AK$78)-IMshareM!AK$37&gt;0,IMshareM!AK75/(SUM(IMshareM!AK$2:AK$78)-IMshareM!AK$37),0))</f>
        <v>0.12515173539453264</v>
      </c>
      <c r="AL75" s="8">
        <f>IF($A75=AL$1,0,IF(SUM(IMshareM!AL$2:AL$78)-IMshareM!AL$38&gt;0,IMshareM!AL75/(SUM(IMshareM!AL$2:AL$78)-IMshareM!AL$38),0))</f>
        <v>1.3691287792087222E-2</v>
      </c>
      <c r="AM75" s="8">
        <f>IF($A75=AM$1,0,IF(SUM(IMshareM!AM$2:AM$78)-IMshareM!AM$39&gt;0,IMshareM!AM75/(SUM(IMshareM!AM$2:AM$78)-IMshareM!AM$39),0))</f>
        <v>1.3539488648415801E-2</v>
      </c>
      <c r="AN75" s="8">
        <f>IF($A75=AN$1,0,IF(SUM(IMshareM!AN$2:AN$78)-IMshareM!AN$40&gt;0,IMshareM!AN75/(SUM(IMshareM!AN$2:AN$78)-IMshareM!AN$40),0))</f>
        <v>5.1522292314279815E-2</v>
      </c>
      <c r="AO75" s="8">
        <f>IF($A75=AO$1,0,IF(SUM(IMshareM!AO$2:AO$78)-IMshareM!AO$41&gt;0,IMshareM!AO75/(SUM(IMshareM!AO$2:AO$78)-IMshareM!AO$41),0))</f>
        <v>0.29590809681807784</v>
      </c>
      <c r="AP75" s="8">
        <f>IF($A75=AP$1,0,IF(SUM(IMshareM!AP$2:AP$78)-IMshareM!AP$42&gt;0,IMshareM!AP75/(SUM(IMshareM!AP$2:AP$78)-IMshareM!AP$42),0))</f>
        <v>5.268695627407621E-3</v>
      </c>
      <c r="AQ75" s="8">
        <f>IF($A75=AQ$1,0,IF(SUM(IMshareM!AQ$2:AQ$78)-IMshareM!AQ$43&gt;0,IMshareM!AQ75/(SUM(IMshareM!AQ$2:AQ$78)-IMshareM!AQ$43),0))</f>
        <v>0.17502483511531591</v>
      </c>
      <c r="AR75" s="8">
        <f>IF($A75=AR$1,0,IF(SUM(IMshareM!AR$2:AR$78)-IMshareM!AR$44&gt;0,IMshareM!AR75/(SUM(IMshareM!AR$2:AR$78)-IMshareM!AR$44),0))</f>
        <v>2.2132027339217489E-4</v>
      </c>
      <c r="AS75" s="8">
        <f>IF($A75=AS$1,0,IF(SUM(IMshareM!AS$2:AS$78)-IMshareM!AS$45&gt;0,IMshareM!AS75/(SUM(IMshareM!AS$2:AS$78)-IMshareM!AS$45),0))</f>
        <v>8.5013300320038471E-3</v>
      </c>
      <c r="AT75" s="8">
        <f>IF($A75=AT$1,0,IF(SUM(IMshareM!AT$2:AT$78)-IMshareM!AT$46&gt;0,IMshareM!AT75/(SUM(IMshareM!AT$2:AT$78)-IMshareM!AT$46),0))</f>
        <v>1.253093285198017E-2</v>
      </c>
      <c r="AU75" s="8">
        <f>IF($A75=AU$1,0,IF(SUM(IMshareM!AU$2:AU$78)-IMshareM!AU$47&gt;0,IMshareM!AU75/(SUM(IMshareM!AU$2:AU$78)-IMshareM!AU$47),0))</f>
        <v>1.384504316790594E-2</v>
      </c>
      <c r="AV75" s="8">
        <f>IF($A75=AV$1,0,IF(SUM(IMshareM!AV$2:AV$78)-IMshareM!AV$48&gt;0,IMshareM!AV75/(SUM(IMshareM!AV$2:AV$78)-IMshareM!AV$48),0))</f>
        <v>8.1340408808656776E-3</v>
      </c>
      <c r="AW75" s="8">
        <f>IF($A75=AW$1,0,IF(SUM(IMshareM!AW$2:AW$78)-IMshareM!AW$49&gt;0,IMshareM!AW75/(SUM(IMshareM!AW$2:AW$78)-IMshareM!AW$49),0))</f>
        <v>0.19145183454967443</v>
      </c>
      <c r="AX75" s="8">
        <f>IF($A75=AX$1,0,IF(SUM(IMshareM!AX$2:AX$78)-IMshareM!AX$50&gt;0,IMshareM!AX75/(SUM(IMshareM!AX$2:AX$78)-IMshareM!AX$50),0))</f>
        <v>3.4194328611989919E-3</v>
      </c>
      <c r="AY75" s="8">
        <f>IF($A75=AY$1,0,IF(SUM(IMshareM!AY$2:AY$78)-IMshareM!AY$51&gt;0,IMshareM!AY75/(SUM(IMshareM!AY$2:AY$78)-IMshareM!AY$51),0))</f>
        <v>2.283969566336477E-2</v>
      </c>
      <c r="AZ75" s="8">
        <f>IF($A75=AZ$1,0,IF(SUM(IMshareM!AZ$2:AZ$78)-IMshareM!AZ$52&gt;0,IMshareM!AZ75/(SUM(IMshareM!AZ$2:AZ$78)-IMshareM!AZ$52),0))</f>
        <v>3.0326992171290361E-2</v>
      </c>
      <c r="BA75" s="8">
        <f>IF($A75=BA$1,0,IF(SUM(IMshareM!BA$2:BA$78)-IMshareM!BA$53&gt;0,IMshareM!BA75/(SUM(IMshareM!BA$2:BA$78)-IMshareM!BA$53),0))</f>
        <v>1.7198936692626128E-2</v>
      </c>
      <c r="BB75" s="8">
        <f>IF($A75=BB$1,0,IF(SUM(IMshareM!BB$2:BB$78)-IMshareM!BB$54&gt;0,IMshareM!BB75/(SUM(IMshareM!BB$2:BB$78)-IMshareM!BB$54),0))</f>
        <v>7.8836382665484678E-2</v>
      </c>
      <c r="BC75" s="8">
        <f>IF($A75=BC$1,0,IF(SUM(IMshareM!BC$2:BC$78)-IMshareM!BC$55&gt;0,IMshareM!BC75/(SUM(IMshareM!BC$2:BC$78)-IMshareM!BC$55),0))</f>
        <v>0.16536678636191141</v>
      </c>
      <c r="BD75" s="8">
        <f>IF($A75=BD$1,0,IF(SUM(IMshareM!BD$2:BD$78)-IMshareM!BD$56&gt;0,IMshareM!BD75/(SUM(IMshareM!BD$2:BD$78)-IMshareM!BD$56),0))</f>
        <v>0.10411430198335307</v>
      </c>
      <c r="BE75" s="8">
        <f>IF($A75=BE$1,0,IF(SUM(IMshareM!BE$2:BE$78)-IMshareM!BE$57&gt;0,IMshareM!BE75/(SUM(IMshareM!BE$2:BE$78)-IMshareM!BE$57),0))</f>
        <v>4.047865811820358E-2</v>
      </c>
      <c r="BF75" s="8">
        <f>IF($A75=BF$1,0,IF(SUM(IMshareM!BF$2:BF$78)-IMshareM!BF$58&gt;0,IMshareM!BF75/(SUM(IMshareM!BF$2:BF$78)-IMshareM!BF$58),0))</f>
        <v>0.21505266880482851</v>
      </c>
      <c r="BG75" s="8">
        <f>IF($A75=BG$1,0,IF(SUM(IMshareM!BG$2:BG$78)-IMshareM!BG$59&gt;0,IMshareM!BG75/(SUM(IMshareM!BG$2:BG$78)-IMshareM!BG$59),0))</f>
        <v>4.8324609671623261E-2</v>
      </c>
      <c r="BH75" s="8">
        <f>IF($A75=BH$1,0,IF(SUM(IMshareM!BH$2:BH$78)-IMshareM!BH$60&gt;0,IMshareM!BH75/(SUM(IMshareM!BH$2:BH$78)-IMshareM!BH$60),0))</f>
        <v>1.9268665663267449E-2</v>
      </c>
      <c r="BI75" s="8">
        <f>IF($A75=BI$1,0,IF(SUM(IMshareM!BI$2:BI$78)-IMshareM!BI$61&gt;0,IMshareM!BI75/(SUM(IMshareM!BI$2:BI$78)-IMshareM!BI$61),0))</f>
        <v>3.6681206762665718E-3</v>
      </c>
      <c r="BJ75" s="8">
        <f>IF($A75=BJ$1,0,IF(SUM(IMshareM!BJ$2:BJ$78)-IMshareM!BJ$62&gt;0,IMshareM!BJ75/(SUM(IMshareM!BJ$2:BJ$78)-IMshareM!BJ$62),0))</f>
        <v>6.6297734357463351E-3</v>
      </c>
      <c r="BK75" s="8">
        <f>IF($A75=BK$1,0,IF(SUM(IMshareM!BK$2:BK$78)-IMshareM!BK$63&gt;0,IMshareM!BK75/(SUM(IMshareM!BK$2:BK$78)-IMshareM!BK$63),0))</f>
        <v>6.7758159762065125E-3</v>
      </c>
      <c r="BL75" s="8">
        <f>IF($A75=BL$1,0,IF(SUM(IMshareM!BL$2:BL$78)-IMshareM!BL$64&gt;0,IMshareM!BL75/(SUM(IMshareM!BL$2:BL$78)-IMshareM!BL$64),0))</f>
        <v>0.10239529023306571</v>
      </c>
      <c r="BM75" s="8">
        <f>IF($A75=BM$1,0,IF(SUM(IMshareM!BM$2:BM$78)-IMshareM!BM$65&gt;0,IMshareM!BM75/(SUM(IMshareM!BM$2:BM$78)-IMshareM!BM$65),0))</f>
        <v>1.4387514739964977E-2</v>
      </c>
      <c r="BN75" s="8">
        <f>IF($A75=BN$1,0,IF(SUM(IMshareM!BN$2:BN$78)-IMshareM!BN$66&gt;0,IMshareM!BN75/(SUM(IMshareM!BN$2:BN$78)-IMshareM!BN$66),0))</f>
        <v>0.26553434051955538</v>
      </c>
      <c r="BO75" s="8">
        <f>IF($A75=BO$1,0,IF(SUM(IMshareM!BO$2:BO$78)-IMshareM!BO$67&gt;0,IMshareM!BO75/(SUM(IMshareM!BO$2:BO$78)-IMshareM!BO$67),0))</f>
        <v>2.4275508471813725E-3</v>
      </c>
      <c r="BP75" s="8">
        <f>IF($A75=BP$1,0,IF(SUM(IMshareM!BP$2:BP$78)-IMshareM!BP$68&gt;0,IMshareM!BP75/(SUM(IMshareM!BP$2:BP$78)-IMshareM!BP$68),0))</f>
        <v>1.3873340321151615E-2</v>
      </c>
      <c r="BQ75" s="8">
        <f>IF($A75=BQ$1,0,IF(SUM(IMshareM!BQ$2:BQ$78)-IMshareM!BQ$69&gt;0,IMshareM!BQ75/(SUM(IMshareM!BQ$2:BQ$78)-IMshareM!BQ$69),0))</f>
        <v>2.3559996175412254E-2</v>
      </c>
      <c r="BR75" s="8">
        <f>IF($A75=BR$1,0,IF(SUM(IMshareM!BR$2:BR$78)-IMshareM!BR$70&gt;0,IMshareM!BR75/(SUM(IMshareM!BR$2:BR$78)-IMshareM!BR$70),0))</f>
        <v>3.0209574749923484E-2</v>
      </c>
      <c r="BS75" s="8">
        <f>IF($A75=BS$1,0,IF(SUM(IMshareM!BS$2:BS$78)-IMshareM!BS$71&gt;0,IMshareM!BS75/(SUM(IMshareM!BS$2:BS$78)-IMshareM!BS$71),0))</f>
        <v>1.8507814356587403E-2</v>
      </c>
      <c r="BT75" s="8">
        <f>IF($A75=BT$1,0,IF(SUM(IMshareM!BT$2:BT$78)-IMshareM!BT$72&gt;0,IMshareM!BT75/(SUM(IMshareM!BT$2:BT$78)-IMshareM!BT$72),0))</f>
        <v>4.385171036551249E-2</v>
      </c>
      <c r="BU75" s="8">
        <f>IF($A75=BU$1,0,IF(SUM(IMshareM!BU$2:BU$78)-IMshareM!BU$73&gt;0,IMshareM!BU75/(SUM(IMshareM!BU$2:BU$78)-IMshareM!BU$73),0))</f>
        <v>5.9468307979765558E-2</v>
      </c>
      <c r="BV75" s="8">
        <f>IF($A75=BV$1,0,IF(SUM(IMshareM!BV$2:BV$78)-IMshareM!BV$74&gt;0,IMshareM!BV75/(SUM(IMshareM!BV$2:BV$78)-IMshareM!BV$74),0))</f>
        <v>1.2764515927617971E-2</v>
      </c>
      <c r="BW75" s="8">
        <f>IF($A75=BW$1,0,IF(SUM(IMshareM!BW$2:BW$78)-IMshareM!BW$75&gt;0,IMshareM!BW75/(SUM(IMshareM!BW$2:BW$78)-IMshareM!BW$75),0))</f>
        <v>0</v>
      </c>
      <c r="BX75" s="8">
        <f>IF($A75=BX$1,0,IF(SUM(IMshareM!BX$2:BX$78)-IMshareM!BX$76&gt;0,IMshareM!BX75/(SUM(IMshareM!BX$2:BX$78)-IMshareM!BX$76),0))</f>
        <v>4.9991720022503142E-3</v>
      </c>
      <c r="BY75" s="8">
        <f>IF($A75=BY$1,0,IF(SUM(IMshareM!BY$2:BY$78)-IMshareM!BY$77&gt;0,IMshareM!BY75/(SUM(IMshareM!BY$2:BY$78)-IMshareM!BY$77),0))</f>
        <v>8.8585834510673769E-2</v>
      </c>
      <c r="BZ75" s="8">
        <f>IF($A75=BZ$1,0,IF(SUM(IMshareM!BZ$2:BZ$78)-IMshareM!BZ$78&gt;0,IMshareM!BZ75/(SUM(IMshareM!BZ$2:BZ$78)-IMshareM!BZ$78),0))</f>
        <v>0.17386647913668141</v>
      </c>
    </row>
    <row r="76" spans="1:78">
      <c r="A76" s="4" t="s">
        <v>219</v>
      </c>
      <c r="B76" s="8">
        <f>IF($A76=B$1,0,IF(SUM(IMshareM!B$2:B$78)-IMshareM!B$2&gt;0,IMshareM!B76/(SUM(IMshareM!B$2:B$78)-IMshareM!B$2),0))</f>
        <v>4.4116759497260368E-3</v>
      </c>
      <c r="C76" s="8">
        <f>IF($A76=C$1,0,IF(SUM(IMshareM!C$2:C$78)-IMshareM!C$3&gt;0,IMshareM!C76/(SUM(IMshareM!C$2:C$78)-IMshareM!C$3),0))</f>
        <v>4.0840068222356427E-3</v>
      </c>
      <c r="D76" s="8">
        <f>IF($A76=D$1,0,IF(SUM(IMshareM!D$2:D$78)-IMshareM!D$4&gt;0,IMshareM!D76/(SUM(IMshareM!D$2:D$78)-IMshareM!D$4),0))</f>
        <v>3.3823981201524321E-2</v>
      </c>
      <c r="E76" s="8">
        <f>IF($A76=E$1,0,IF(SUM(IMshareM!E$2:E$78)-IMshareM!E$5&gt;0,IMshareM!E76/(SUM(IMshareM!E$2:E$78)-IMshareM!E$5),0))</f>
        <v>5.2276667963854237E-5</v>
      </c>
      <c r="F76" s="8">
        <f>IF($A76=F$1,0,IF(SUM(IMshareM!F$2:F$78)-IMshareM!F$6&gt;0,IMshareM!F76/(SUM(IMshareM!F$2:F$78)-IMshareM!F$6),0))</f>
        <v>1.1618160148883197E-3</v>
      </c>
      <c r="G76" s="8">
        <f>IF($A76=G$1,0,IF(SUM(IMshareM!G$2:G$78)-IMshareM!G$7&gt;0,IMshareM!G76/(SUM(IMshareM!G$2:G$78)-IMshareM!G$7),0))</f>
        <v>0</v>
      </c>
      <c r="H76" s="8">
        <f>IF($A76=H$1,0,IF(SUM(IMshareM!H$2:H$78)-IMshareM!H$8&gt;0,IMshareM!H76/(SUM(IMshareM!H$2:H$78)-IMshareM!H$8),0))</f>
        <v>0</v>
      </c>
      <c r="I76" s="8">
        <f>IF($A76=I$1,0,IF(SUM(IMshareM!I$2:I$78)-IMshareM!I$9&gt;0,IMshareM!I76/(SUM(IMshareM!I$2:I$78)-IMshareM!I$9),0))</f>
        <v>1.8249693080175551E-2</v>
      </c>
      <c r="J76" s="8">
        <f>IF($A76=J$1,0,IF(SUM(IMshareM!J$2:J$78)-IMshareM!J$10&gt;0,IMshareM!J76/(SUM(IMshareM!J$2:J$78)-IMshareM!J$10),0))</f>
        <v>2.6828015313904558E-4</v>
      </c>
      <c r="K76" s="8">
        <f>IF($A76=K$1,0,IF(SUM(IMshareM!K$2:K$78)-IMshareM!K$11&gt;0,IMshareM!K76/(SUM(IMshareM!K$2:K$78)-IMshareM!K$11),0))</f>
        <v>2.599715126721432E-2</v>
      </c>
      <c r="L76" s="8">
        <f>IF($A76=L$1,0,IF(SUM(IMshareM!L$2:L$78)-IMshareM!L$12&gt;0,IMshareM!L76/(SUM(IMshareM!L$2:L$78)-IMshareM!L$12),0))</f>
        <v>9.999495239422198E-3</v>
      </c>
      <c r="M76" s="8">
        <f>IF($A76=M$1,0,IF(SUM(IMshareM!M$2:M$78)-IMshareM!M$13&gt;0,IMshareM!M76/(SUM(IMshareM!M$2:M$78)-IMshareM!M$13),0))</f>
        <v>4.6289012720056241E-2</v>
      </c>
      <c r="N76" s="8">
        <f>IF($A76=N$1,0,IF(SUM(IMshareM!N$2:N$78)-IMshareM!N$14&gt;0,IMshareM!N76/(SUM(IMshareM!N$2:N$78)-IMshareM!N$14),0))</f>
        <v>6.6812767676415849E-2</v>
      </c>
      <c r="O76" s="8">
        <f>IF($A76=O$1,0,IF(SUM(IMshareM!O$2:O$78)-IMshareM!O$15&gt;0,IMshareM!O76/(SUM(IMshareM!O$2:O$78)-IMshareM!O$15),0))</f>
        <v>4.7724998542904356E-3</v>
      </c>
      <c r="P76" s="8">
        <f>IF($A76=P$1,0,IF(SUM(IMshareM!P$2:P$78)-IMshareM!P$16&gt;0,IMshareM!P76/(SUM(IMshareM!P$2:P$78)-IMshareM!P$16),0))</f>
        <v>2.9556927659390899E-4</v>
      </c>
      <c r="Q76" s="8">
        <f>IF($A76=Q$1,0,IF(SUM(IMshareM!Q$2:Q$78)-IMshareM!Q$17&gt;0,IMshareM!Q76/(SUM(IMshareM!Q$2:Q$78)-IMshareM!Q$17),0))</f>
        <v>6.5871727752781967E-2</v>
      </c>
      <c r="R76" s="8">
        <f>IF($A76=R$1,0,IF(SUM(IMshareM!R$2:R$78)-IMshareM!R$18&gt;0,IMshareM!R76/(SUM(IMshareM!R$2:R$78)-IMshareM!R$18),0))</f>
        <v>1.4646225642908732E-3</v>
      </c>
      <c r="S76" s="8">
        <f>IF($A76=S$1,0,IF(SUM(IMshareM!S$2:S$78)-IMshareM!S$19&gt;0,IMshareM!S76/(SUM(IMshareM!S$2:S$78)-IMshareM!S$19),0))</f>
        <v>0</v>
      </c>
      <c r="T76" s="8">
        <f>IF($A76=T$1,0,IF(SUM(IMshareM!T$2:T$78)-IMshareM!T$20&gt;0,IMshareM!T76/(SUM(IMshareM!T$2:T$78)-IMshareM!T$20),0))</f>
        <v>4.0114081913308402E-3</v>
      </c>
      <c r="U76" s="8">
        <f>IF($A76=U$1,0,IF(SUM(IMshareM!U$2:U$78)-IMshareM!U$21&gt;0,IMshareM!U76/(SUM(IMshareM!U$2:U$78)-IMshareM!U$21),0))</f>
        <v>8.4553622546357111E-3</v>
      </c>
      <c r="V76" s="8">
        <f>IF($A76=V$1,0,IF(SUM(IMshareM!V$2:V$78)-IMshareM!V$22&gt;0,IMshareM!V76/(SUM(IMshareM!V$2:V$78)-IMshareM!V$22),0))</f>
        <v>6.666458669970787E-5</v>
      </c>
      <c r="W76" s="8">
        <f>IF($A76=W$1,0,IF(SUM(IMshareM!W$2:W$78)-IMshareM!W$23&gt;0,IMshareM!W76/(SUM(IMshareM!W$2:W$78)-IMshareM!W$23),0))</f>
        <v>3.2383081970749163E-2</v>
      </c>
      <c r="X76" s="8">
        <f>IF($A76=X$1,0,IF(SUM(IMshareM!X$2:X$78)-IMshareM!X$24&gt;0,IMshareM!X76/(SUM(IMshareM!X$2:X$78)-IMshareM!X$24),0))</f>
        <v>4.8015653482720239E-3</v>
      </c>
      <c r="Y76" s="8">
        <f>IF($A76=Y$1,0,IF(SUM(IMshareM!Y$2:Y$78)-IMshareM!Y$25&gt;0,IMshareM!Y76/(SUM(IMshareM!Y$2:Y$78)-IMshareM!Y$25),0))</f>
        <v>3.0155858359014198E-4</v>
      </c>
      <c r="Z76" s="8">
        <f>IF($A76=Z$1,0,IF(SUM(IMshareM!Z$2:Z$78)-IMshareM!Z$26&gt;0,IMshareM!Z76/(SUM(IMshareM!Z$2:Z$78)-IMshareM!Z$26),0))</f>
        <v>3.3217980334468052E-3</v>
      </c>
      <c r="AA76" s="8">
        <f>IF($A76=AA$1,0,IF(SUM(IMshareM!AA$2:AA$78)-IMshareM!AA$27&gt;0,IMshareM!AA76/(SUM(IMshareM!AA$2:AA$78)-IMshareM!AA$27),0))</f>
        <v>1.0234809463495155E-2</v>
      </c>
      <c r="AB76" s="8">
        <f>IF($A76=AB$1,0,IF(SUM(IMshareM!AB$2:AB$78)-IMshareM!AB$28&gt;0,IMshareM!AB76/(SUM(IMshareM!AB$2:AB$78)-IMshareM!AB$28),0))</f>
        <v>3.7112653866481072E-3</v>
      </c>
      <c r="AC76" s="8">
        <f>IF($A76=AC$1,0,IF(SUM(IMshareM!AC$2:AC$78)-IMshareM!AC$29&gt;0,IMshareM!AC76/(SUM(IMshareM!AC$2:AC$78)-IMshareM!AC$29),0))</f>
        <v>0</v>
      </c>
      <c r="AD76" s="8">
        <f>IF($A76=AD$1,0,IF(SUM(IMshareM!AD$2:AD$78)-IMshareM!AD$30&gt;0,IMshareM!AD76/(SUM(IMshareM!AD$2:AD$78)-IMshareM!AD$30),0))</f>
        <v>5.7181153359321793E-2</v>
      </c>
      <c r="AE76" s="8">
        <f>IF($A76=AE$1,0,IF(SUM(IMshareM!AE$2:AE$78)-IMshareM!AE$31&gt;0,IMshareM!AE76/(SUM(IMshareM!AE$2:AE$78)-IMshareM!AE$31),0))</f>
        <v>1.503005294956787E-5</v>
      </c>
      <c r="AF76" s="8">
        <f>IF($A76=AF$1,0,IF(SUM(IMshareM!AF$2:AF$78)-IMshareM!AF$32&gt;0,IMshareM!AF76/(SUM(IMshareM!AF$2:AF$78)-IMshareM!AF$32),0))</f>
        <v>1.4664992387298506E-5</v>
      </c>
      <c r="AG76" s="8">
        <f>IF($A76=AG$1,0,IF(SUM(IMshareM!AG$2:AG$78)-IMshareM!AG$33&gt;0,IMshareM!AG76/(SUM(IMshareM!AG$2:AG$78)-IMshareM!AG$33),0))</f>
        <v>3.957458640615414E-2</v>
      </c>
      <c r="AH76" s="8">
        <f>IF($A76=AH$1,0,IF(SUM(IMshareM!AH$2:AH$78)-IMshareM!AH$34&gt;0,IMshareM!AH76/(SUM(IMshareM!AH$2:AH$78)-IMshareM!AH$34),0))</f>
        <v>2.6913685432231601E-2</v>
      </c>
      <c r="AI76" s="8">
        <f>IF($A76=AI$1,0,IF(SUM(IMshareM!AI$2:AI$78)-IMshareM!AI$35&gt;0,IMshareM!AI76/(SUM(IMshareM!AI$2:AI$78)-IMshareM!AI$35),0))</f>
        <v>0.11714345736971851</v>
      </c>
      <c r="AJ76" s="8">
        <f>IF($A76=AJ$1,0,IF(SUM(IMshareM!AJ$2:AJ$78)-IMshareM!AJ$36&gt;0,IMshareM!AJ76/(SUM(IMshareM!AJ$2:AJ$78)-IMshareM!AJ$36),0))</f>
        <v>1.577013342316042E-4</v>
      </c>
      <c r="AK76" s="8">
        <f>IF($A76=AK$1,0,IF(SUM(IMshareM!AK$2:AK$78)-IMshareM!AK$37&gt;0,IMshareM!AK76/(SUM(IMshareM!AK$2:AK$78)-IMshareM!AK$37),0))</f>
        <v>3.7928599473037467E-5</v>
      </c>
      <c r="AL76" s="8">
        <f>IF($A76=AL$1,0,IF(SUM(IMshareM!AL$2:AL$78)-IMshareM!AL$38&gt;0,IMshareM!AL76/(SUM(IMshareM!AL$2:AL$78)-IMshareM!AL$38),0))</f>
        <v>1.9699556714821004E-2</v>
      </c>
      <c r="AM76" s="8">
        <f>IF($A76=AM$1,0,IF(SUM(IMshareM!AM$2:AM$78)-IMshareM!AM$39&gt;0,IMshareM!AM76/(SUM(IMshareM!AM$2:AM$78)-IMshareM!AM$39),0))</f>
        <v>5.7425860878379759E-5</v>
      </c>
      <c r="AN76" s="8">
        <f>IF($A76=AN$1,0,IF(SUM(IMshareM!AN$2:AN$78)-IMshareM!AN$40&gt;0,IMshareM!AN76/(SUM(IMshareM!AN$2:AN$78)-IMshareM!AN$40),0))</f>
        <v>0.12926983592242328</v>
      </c>
      <c r="AO76" s="8">
        <f>IF($A76=AO$1,0,IF(SUM(IMshareM!AO$2:AO$78)-IMshareM!AO$41&gt;0,IMshareM!AO76/(SUM(IMshareM!AO$2:AO$78)-IMshareM!AO$41),0))</f>
        <v>0</v>
      </c>
      <c r="AP76" s="8">
        <f>IF($A76=AP$1,0,IF(SUM(IMshareM!AP$2:AP$78)-IMshareM!AP$42&gt;0,IMshareM!AP76/(SUM(IMshareM!AP$2:AP$78)-IMshareM!AP$42),0))</f>
        <v>1.1388814790429785E-2</v>
      </c>
      <c r="AQ76" s="8">
        <f>IF($A76=AQ$1,0,IF(SUM(IMshareM!AQ$2:AQ$78)-IMshareM!AQ$43&gt;0,IMshareM!AQ76/(SUM(IMshareM!AQ$2:AQ$78)-IMshareM!AQ$43),0))</f>
        <v>3.6303924373877978E-2</v>
      </c>
      <c r="AR76" s="8">
        <f>IF($A76=AR$1,0,IF(SUM(IMshareM!AR$2:AR$78)-IMshareM!AR$44&gt;0,IMshareM!AR76/(SUM(IMshareM!AR$2:AR$78)-IMshareM!AR$44),0))</f>
        <v>5.9083668239758969E-2</v>
      </c>
      <c r="AS76" s="8">
        <f>IF($A76=AS$1,0,IF(SUM(IMshareM!AS$2:AS$78)-IMshareM!AS$45&gt;0,IMshareM!AS76/(SUM(IMshareM!AS$2:AS$78)-IMshareM!AS$45),0))</f>
        <v>2.6546150597859187E-6</v>
      </c>
      <c r="AT76" s="8">
        <f>IF($A76=AT$1,0,IF(SUM(IMshareM!AT$2:AT$78)-IMshareM!AT$46&gt;0,IMshareM!AT76/(SUM(IMshareM!AT$2:AT$78)-IMshareM!AT$46),0))</f>
        <v>1.3093653586230451E-6</v>
      </c>
      <c r="AU76" s="8">
        <f>IF($A76=AU$1,0,IF(SUM(IMshareM!AU$2:AU$78)-IMshareM!AU$47&gt;0,IMshareM!AU76/(SUM(IMshareM!AU$2:AU$78)-IMshareM!AU$47),0))</f>
        <v>2.4321479428699331E-3</v>
      </c>
      <c r="AV76" s="8">
        <f>IF($A76=AV$1,0,IF(SUM(IMshareM!AV$2:AV$78)-IMshareM!AV$48&gt;0,IMshareM!AV76/(SUM(IMshareM!AV$2:AV$78)-IMshareM!AV$48),0))</f>
        <v>1.6115531330272184E-2</v>
      </c>
      <c r="AW76" s="8">
        <f>IF($A76=AW$1,0,IF(SUM(IMshareM!AW$2:AW$78)-IMshareM!AW$49&gt;0,IMshareM!AW76/(SUM(IMshareM!AW$2:AW$78)-IMshareM!AW$49),0))</f>
        <v>4.1512920220413384E-2</v>
      </c>
      <c r="AX76" s="8">
        <f>IF($A76=AX$1,0,IF(SUM(IMshareM!AX$2:AX$78)-IMshareM!AX$50&gt;0,IMshareM!AX76/(SUM(IMshareM!AX$2:AX$78)-IMshareM!AX$50),0))</f>
        <v>0</v>
      </c>
      <c r="AY76" s="8">
        <f>IF($A76=AY$1,0,IF(SUM(IMshareM!AY$2:AY$78)-IMshareM!AY$51&gt;0,IMshareM!AY76/(SUM(IMshareM!AY$2:AY$78)-IMshareM!AY$51),0))</f>
        <v>3.7597552784641243E-4</v>
      </c>
      <c r="AZ76" s="8">
        <f>IF($A76=AZ$1,0,IF(SUM(IMshareM!AZ$2:AZ$78)-IMshareM!AZ$52&gt;0,IMshareM!AZ76/(SUM(IMshareM!AZ$2:AZ$78)-IMshareM!AZ$52),0))</f>
        <v>2.8230924393463429E-2</v>
      </c>
      <c r="BA76" s="8">
        <f>IF($A76=BA$1,0,IF(SUM(IMshareM!BA$2:BA$78)-IMshareM!BA$53&gt;0,IMshareM!BA76/(SUM(IMshareM!BA$2:BA$78)-IMshareM!BA$53),0))</f>
        <v>3.3411120272296916E-4</v>
      </c>
      <c r="BB76" s="8">
        <f>IF($A76=BB$1,0,IF(SUM(IMshareM!BB$2:BB$78)-IMshareM!BB$54&gt;0,IMshareM!BB76/(SUM(IMshareM!BB$2:BB$78)-IMshareM!BB$54),0))</f>
        <v>1.3525447025133735E-2</v>
      </c>
      <c r="BC76" s="8">
        <f>IF($A76=BC$1,0,IF(SUM(IMshareM!BC$2:BC$78)-IMshareM!BC$55&gt;0,IMshareM!BC76/(SUM(IMshareM!BC$2:BC$78)-IMshareM!BC$55),0))</f>
        <v>7.269999000970224E-4</v>
      </c>
      <c r="BD76" s="8">
        <f>IF($A76=BD$1,0,IF(SUM(IMshareM!BD$2:BD$78)-IMshareM!BD$56&gt;0,IMshareM!BD76/(SUM(IMshareM!BD$2:BD$78)-IMshareM!BD$56),0))</f>
        <v>4.3348139611913576E-2</v>
      </c>
      <c r="BE76" s="8">
        <f>IF($A76=BE$1,0,IF(SUM(IMshareM!BE$2:BE$78)-IMshareM!BE$57&gt;0,IMshareM!BE76/(SUM(IMshareM!BE$2:BE$78)-IMshareM!BE$57),0))</f>
        <v>3.9427309346791469E-5</v>
      </c>
      <c r="BF76" s="8">
        <f>IF($A76=BF$1,0,IF(SUM(IMshareM!BF$2:BF$78)-IMshareM!BF$58&gt;0,IMshareM!BF76/(SUM(IMshareM!BF$2:BF$78)-IMshareM!BF$58),0))</f>
        <v>7.285587766150561E-3</v>
      </c>
      <c r="BG76" s="8">
        <f>IF($A76=BG$1,0,IF(SUM(IMshareM!BG$2:BG$78)-IMshareM!BG$59&gt;0,IMshareM!BG76/(SUM(IMshareM!BG$2:BG$78)-IMshareM!BG$59),0))</f>
        <v>4.474118388688049E-2</v>
      </c>
      <c r="BH76" s="8">
        <f>IF($A76=BH$1,0,IF(SUM(IMshareM!BH$2:BH$78)-IMshareM!BH$60&gt;0,IMshareM!BH76/(SUM(IMshareM!BH$2:BH$78)-IMshareM!BH$60),0))</f>
        <v>1.1055991359913919E-2</v>
      </c>
      <c r="BI76" s="8">
        <f>IF($A76=BI$1,0,IF(SUM(IMshareM!BI$2:BI$78)-IMshareM!BI$61&gt;0,IMshareM!BI76/(SUM(IMshareM!BI$2:BI$78)-IMshareM!BI$61),0))</f>
        <v>6.9676017588727343E-4</v>
      </c>
      <c r="BJ76" s="8">
        <f>IF($A76=BJ$1,0,IF(SUM(IMshareM!BJ$2:BJ$78)-IMshareM!BJ$62&gt;0,IMshareM!BJ76/(SUM(IMshareM!BJ$2:BJ$78)-IMshareM!BJ$62),0))</f>
        <v>1.4971783719420993E-3</v>
      </c>
      <c r="BK76" s="8">
        <f>IF($A76=BK$1,0,IF(SUM(IMshareM!BK$2:BK$78)-IMshareM!BK$63&gt;0,IMshareM!BK76/(SUM(IMshareM!BK$2:BK$78)-IMshareM!BK$63),0))</f>
        <v>1.1601595292341241E-4</v>
      </c>
      <c r="BL76" s="8">
        <f>IF($A76=BL$1,0,IF(SUM(IMshareM!BL$2:BL$78)-IMshareM!BL$64&gt;0,IMshareM!BL76/(SUM(IMshareM!BL$2:BL$78)-IMshareM!BL$64),0))</f>
        <v>2.1282580648801681E-5</v>
      </c>
      <c r="BM76" s="8">
        <f>IF($A76=BM$1,0,IF(SUM(IMshareM!BM$2:BM$78)-IMshareM!BM$65&gt;0,IMshareM!BM76/(SUM(IMshareM!BM$2:BM$78)-IMshareM!BM$65),0))</f>
        <v>7.7992308755943523E-5</v>
      </c>
      <c r="BN76" s="8">
        <f>IF($A76=BN$1,0,IF(SUM(IMshareM!BN$2:BN$78)-IMshareM!BN$66&gt;0,IMshareM!BN76/(SUM(IMshareM!BN$2:BN$78)-IMshareM!BN$66),0))</f>
        <v>6.4809938759718203E-2</v>
      </c>
      <c r="BO76" s="8">
        <f>IF($A76=BO$1,0,IF(SUM(IMshareM!BO$2:BO$78)-IMshareM!BO$67&gt;0,IMshareM!BO76/(SUM(IMshareM!BO$2:BO$78)-IMshareM!BO$67),0))</f>
        <v>3.0630887261251337E-4</v>
      </c>
      <c r="BP76" s="8">
        <f>IF($A76=BP$1,0,IF(SUM(IMshareM!BP$2:BP$78)-IMshareM!BP$68&gt;0,IMshareM!BP76/(SUM(IMshareM!BP$2:BP$78)-IMshareM!BP$68),0))</f>
        <v>3.6754531641612468E-4</v>
      </c>
      <c r="BQ76" s="8">
        <f>IF($A76=BQ$1,0,IF(SUM(IMshareM!BQ$2:BQ$78)-IMshareM!BQ$69&gt;0,IMshareM!BQ76/(SUM(IMshareM!BQ$2:BQ$78)-IMshareM!BQ$69),0))</f>
        <v>2.2512558961744794E-3</v>
      </c>
      <c r="BR76" s="8">
        <f>IF($A76=BR$1,0,IF(SUM(IMshareM!BR$2:BR$78)-IMshareM!BR$70&gt;0,IMshareM!BR76/(SUM(IMshareM!BR$2:BR$78)-IMshareM!BR$70),0))</f>
        <v>5.4983969493597573E-2</v>
      </c>
      <c r="BS76" s="8">
        <f>IF($A76=BS$1,0,IF(SUM(IMshareM!BS$2:BS$78)-IMshareM!BS$71&gt;0,IMshareM!BS76/(SUM(IMshareM!BS$2:BS$78)-IMshareM!BS$71),0))</f>
        <v>1.6817249902527633E-4</v>
      </c>
      <c r="BT76" s="8">
        <f>IF($A76=BT$1,0,IF(SUM(IMshareM!BT$2:BT$78)-IMshareM!BT$72&gt;0,IMshareM!BT76/(SUM(IMshareM!BT$2:BT$78)-IMshareM!BT$72),0))</f>
        <v>7.1763167091074527E-3</v>
      </c>
      <c r="BU76" s="8">
        <f>IF($A76=BU$1,0,IF(SUM(IMshareM!BU$2:BU$78)-IMshareM!BU$73&gt;0,IMshareM!BU76/(SUM(IMshareM!BU$2:BU$78)-IMshareM!BU$73),0))</f>
        <v>1.8858147292348248E-2</v>
      </c>
      <c r="BV76" s="8">
        <f>IF($A76=BV$1,0,IF(SUM(IMshareM!BV$2:BV$78)-IMshareM!BV$74&gt;0,IMshareM!BV76/(SUM(IMshareM!BV$2:BV$78)-IMshareM!BV$74),0))</f>
        <v>1.6550601119005169E-3</v>
      </c>
      <c r="BW76" s="8">
        <f>IF($A76=BW$1,0,IF(SUM(IMshareM!BW$2:BW$78)-IMshareM!BW$75&gt;0,IMshareM!BW76/(SUM(IMshareM!BW$2:BW$78)-IMshareM!BW$75),0))</f>
        <v>5.7353587078324629E-2</v>
      </c>
      <c r="BX76" s="8">
        <f>IF($A76=BX$1,0,IF(SUM(IMshareM!BX$2:BX$78)-IMshareM!BX$76&gt;0,IMshareM!BX76/(SUM(IMshareM!BX$2:BX$78)-IMshareM!BX$76),0))</f>
        <v>0</v>
      </c>
      <c r="BY76" s="8">
        <f>IF($A76=BY$1,0,IF(SUM(IMshareM!BY$2:BY$78)-IMshareM!BY$77&gt;0,IMshareM!BY76/(SUM(IMshareM!BY$2:BY$78)-IMshareM!BY$77),0))</f>
        <v>7.7366037384924476E-4</v>
      </c>
      <c r="BZ76" s="8">
        <f>IF($A76=BZ$1,0,IF(SUM(IMshareM!BZ$2:BZ$78)-IMshareM!BZ$78&gt;0,IMshareM!BZ76/(SUM(IMshareM!BZ$2:BZ$78)-IMshareM!BZ$78),0))</f>
        <v>4.8089956189658707E-3</v>
      </c>
    </row>
    <row r="77" spans="1:78">
      <c r="A77" s="4" t="s">
        <v>221</v>
      </c>
      <c r="B77" s="8">
        <f>IF($A77=B$1,0,IF(SUM(IMshareM!B$2:B$78)-IMshareM!B$2&gt;0,IMshareM!B77/(SUM(IMshareM!B$2:B$78)-IMshareM!B$2),0))</f>
        <v>1.053540944760631E-4</v>
      </c>
      <c r="C77" s="8">
        <f>IF($A77=C$1,0,IF(SUM(IMshareM!C$2:C$78)-IMshareM!C$3&gt;0,IMshareM!C77/(SUM(IMshareM!C$2:C$78)-IMshareM!C$3),0))</f>
        <v>5.2673240164427277E-3</v>
      </c>
      <c r="D77" s="8">
        <f>IF($A77=D$1,0,IF(SUM(IMshareM!D$2:D$78)-IMshareM!D$4&gt;0,IMshareM!D77/(SUM(IMshareM!D$2:D$78)-IMshareM!D$4),0))</f>
        <v>3.064989436101523E-5</v>
      </c>
      <c r="E77" s="8">
        <f>IF($A77=E$1,0,IF(SUM(IMshareM!E$2:E$78)-IMshareM!E$5&gt;0,IMshareM!E77/(SUM(IMshareM!E$2:E$78)-IMshareM!E$5),0))</f>
        <v>2.6285143102381023E-5</v>
      </c>
      <c r="F77" s="8">
        <f>IF($A77=F$1,0,IF(SUM(IMshareM!F$2:F$78)-IMshareM!F$6&gt;0,IMshareM!F77/(SUM(IMshareM!F$2:F$78)-IMshareM!F$6),0))</f>
        <v>9.486397384848047E-5</v>
      </c>
      <c r="G77" s="8">
        <f>IF($A77=G$1,0,IF(SUM(IMshareM!G$2:G$78)-IMshareM!G$7&gt;0,IMshareM!G77/(SUM(IMshareM!G$2:G$78)-IMshareM!G$7),0))</f>
        <v>0</v>
      </c>
      <c r="H77" s="8">
        <f>IF($A77=H$1,0,IF(SUM(IMshareM!H$2:H$78)-IMshareM!H$8&gt;0,IMshareM!H77/(SUM(IMshareM!H$2:H$78)-IMshareM!H$8),0))</f>
        <v>0</v>
      </c>
      <c r="I77" s="8">
        <f>IF($A77=I$1,0,IF(SUM(IMshareM!I$2:I$78)-IMshareM!I$9&gt;0,IMshareM!I77/(SUM(IMshareM!I$2:I$78)-IMshareM!I$9),0))</f>
        <v>1.2841719213668911E-5</v>
      </c>
      <c r="J77" s="8">
        <f>IF($A77=J$1,0,IF(SUM(IMshareM!J$2:J$78)-IMshareM!J$10&gt;0,IMshareM!J77/(SUM(IMshareM!J$2:J$78)-IMshareM!J$10),0))</f>
        <v>0</v>
      </c>
      <c r="K77" s="8">
        <f>IF($A77=K$1,0,IF(SUM(IMshareM!K$2:K$78)-IMshareM!K$11&gt;0,IMshareM!K77/(SUM(IMshareM!K$2:K$78)-IMshareM!K$11),0))</f>
        <v>2.433410595040504E-4</v>
      </c>
      <c r="L77" s="8">
        <f>IF($A77=L$1,0,IF(SUM(IMshareM!L$2:L$78)-IMshareM!L$12&gt;0,IMshareM!L77/(SUM(IMshareM!L$2:L$78)-IMshareM!L$12),0))</f>
        <v>3.4487802799282728E-6</v>
      </c>
      <c r="M77" s="8">
        <f>IF($A77=M$1,0,IF(SUM(IMshareM!M$2:M$78)-IMshareM!M$13&gt;0,IMshareM!M77/(SUM(IMshareM!M$2:M$78)-IMshareM!M$13),0))</f>
        <v>8.074496593282088E-4</v>
      </c>
      <c r="N77" s="8">
        <f>IF($A77=N$1,0,IF(SUM(IMshareM!N$2:N$78)-IMshareM!N$14&gt;0,IMshareM!N77/(SUM(IMshareM!N$2:N$78)-IMshareM!N$14),0))</f>
        <v>2.283006819476043E-6</v>
      </c>
      <c r="O77" s="8">
        <f>IF($A77=O$1,0,IF(SUM(IMshareM!O$2:O$78)-IMshareM!O$15&gt;0,IMshareM!O77/(SUM(IMshareM!O$2:O$78)-IMshareM!O$15),0))</f>
        <v>7.0986563736452651E-2</v>
      </c>
      <c r="P77" s="8">
        <f>IF($A77=P$1,0,IF(SUM(IMshareM!P$2:P$78)-IMshareM!P$16&gt;0,IMshareM!P77/(SUM(IMshareM!P$2:P$78)-IMshareM!P$16),0))</f>
        <v>2.0638715846876452E-3</v>
      </c>
      <c r="Q77" s="8">
        <f>IF($A77=Q$1,0,IF(SUM(IMshareM!Q$2:Q$78)-IMshareM!Q$17&gt;0,IMshareM!Q77/(SUM(IMshareM!Q$2:Q$78)-IMshareM!Q$17),0))</f>
        <v>4.3637388758190576E-7</v>
      </c>
      <c r="R77" s="8">
        <f>IF($A77=R$1,0,IF(SUM(IMshareM!R$2:R$78)-IMshareM!R$18&gt;0,IMshareM!R77/(SUM(IMshareM!R$2:R$78)-IMshareM!R$18),0))</f>
        <v>1.1123720842094963E-3</v>
      </c>
      <c r="S77" s="8">
        <f>IF($A77=S$1,0,IF(SUM(IMshareM!S$2:S$78)-IMshareM!S$19&gt;0,IMshareM!S77/(SUM(IMshareM!S$2:S$78)-IMshareM!S$19),0))</f>
        <v>2.1872099585855355E-4</v>
      </c>
      <c r="T77" s="8">
        <f>IF($A77=T$1,0,IF(SUM(IMshareM!T$2:T$78)-IMshareM!T$20&gt;0,IMshareM!T77/(SUM(IMshareM!T$2:T$78)-IMshareM!T$20),0))</f>
        <v>5.267393618489424E-7</v>
      </c>
      <c r="U77" s="8">
        <f>IF($A77=U$1,0,IF(SUM(IMshareM!U$2:U$78)-IMshareM!U$21&gt;0,IMshareM!U77/(SUM(IMshareM!U$2:U$78)-IMshareM!U$21),0))</f>
        <v>2.0972356294635944E-5</v>
      </c>
      <c r="V77" s="8">
        <f>IF($A77=V$1,0,IF(SUM(IMshareM!V$2:V$78)-IMshareM!V$22&gt;0,IMshareM!V77/(SUM(IMshareM!V$2:V$78)-IMshareM!V$22),0))</f>
        <v>8.214148660894392E-6</v>
      </c>
      <c r="W77" s="8">
        <f>IF($A77=W$1,0,IF(SUM(IMshareM!W$2:W$78)-IMshareM!W$23&gt;0,IMshareM!W77/(SUM(IMshareM!W$2:W$78)-IMshareM!W$23),0))</f>
        <v>4.0026478655306789E-5</v>
      </c>
      <c r="X77" s="8">
        <f>IF($A77=X$1,0,IF(SUM(IMshareM!X$2:X$78)-IMshareM!X$24&gt;0,IMshareM!X77/(SUM(IMshareM!X$2:X$78)-IMshareM!X$24),0))</f>
        <v>1.940481875845979E-5</v>
      </c>
      <c r="Y77" s="8">
        <f>IF($A77=Y$1,0,IF(SUM(IMshareM!Y$2:Y$78)-IMshareM!Y$25&gt;0,IMshareM!Y77/(SUM(IMshareM!Y$2:Y$78)-IMshareM!Y$25),0))</f>
        <v>6.5214465142778775E-5</v>
      </c>
      <c r="Z77" s="8">
        <f>IF($A77=Z$1,0,IF(SUM(IMshareM!Z$2:Z$78)-IMshareM!Z$26&gt;0,IMshareM!Z77/(SUM(IMshareM!Z$2:Z$78)-IMshareM!Z$26),0))</f>
        <v>9.3702844749890097E-7</v>
      </c>
      <c r="AA77" s="8">
        <f>IF($A77=AA$1,0,IF(SUM(IMshareM!AA$2:AA$78)-IMshareM!AA$27&gt;0,IMshareM!AA77/(SUM(IMshareM!AA$2:AA$78)-IMshareM!AA$27),0))</f>
        <v>4.4332581257127047E-5</v>
      </c>
      <c r="AB77" s="8">
        <f>IF($A77=AB$1,0,IF(SUM(IMshareM!AB$2:AB$78)-IMshareM!AB$28&gt;0,IMshareM!AB77/(SUM(IMshareM!AB$2:AB$78)-IMshareM!AB$28),0))</f>
        <v>3.9302557198792564E-4</v>
      </c>
      <c r="AC77" s="8">
        <f>IF($A77=AC$1,0,IF(SUM(IMshareM!AC$2:AC$78)-IMshareM!AC$29&gt;0,IMshareM!AC77/(SUM(IMshareM!AC$2:AC$78)-IMshareM!AC$29),0))</f>
        <v>1.8381451304225364E-5</v>
      </c>
      <c r="AD77" s="8">
        <f>IF($A77=AD$1,0,IF(SUM(IMshareM!AD$2:AD$78)-IMshareM!AD$30&gt;0,IMshareM!AD77/(SUM(IMshareM!AD$2:AD$78)-IMshareM!AD$30),0))</f>
        <v>2.5680777203252271E-5</v>
      </c>
      <c r="AE77" s="8">
        <f>IF($A77=AE$1,0,IF(SUM(IMshareM!AE$2:AE$78)-IMshareM!AE$31&gt;0,IMshareM!AE77/(SUM(IMshareM!AE$2:AE$78)-IMshareM!AE$31),0))</f>
        <v>7.0705338497279407E-6</v>
      </c>
      <c r="AF77" s="8">
        <f>IF($A77=AF$1,0,IF(SUM(IMshareM!AF$2:AF$78)-IMshareM!AF$32&gt;0,IMshareM!AF77/(SUM(IMshareM!AF$2:AF$78)-IMshareM!AF$32),0))</f>
        <v>1.9394021762664565E-6</v>
      </c>
      <c r="AG77" s="8">
        <f>IF($A77=AG$1,0,IF(SUM(IMshareM!AG$2:AG$78)-IMshareM!AG$33&gt;0,IMshareM!AG77/(SUM(IMshareM!AG$2:AG$78)-IMshareM!AG$33),0))</f>
        <v>2.2666122117236936E-4</v>
      </c>
      <c r="AH77" s="8">
        <f>IF($A77=AH$1,0,IF(SUM(IMshareM!AH$2:AH$78)-IMshareM!AH$34&gt;0,IMshareM!AH77/(SUM(IMshareM!AH$2:AH$78)-IMshareM!AH$34),0))</f>
        <v>4.0141336922573981E-4</v>
      </c>
      <c r="AI77" s="8">
        <f>IF($A77=AI$1,0,IF(SUM(IMshareM!AI$2:AI$78)-IMshareM!AI$35&gt;0,IMshareM!AI77/(SUM(IMshareM!AI$2:AI$78)-IMshareM!AI$35),0))</f>
        <v>4.0995414280034223E-6</v>
      </c>
      <c r="AJ77" s="8">
        <f>IF($A77=AJ$1,0,IF(SUM(IMshareM!AJ$2:AJ$78)-IMshareM!AJ$36&gt;0,IMshareM!AJ77/(SUM(IMshareM!AJ$2:AJ$78)-IMshareM!AJ$36),0))</f>
        <v>1.8144871347579699E-4</v>
      </c>
      <c r="AK77" s="8">
        <f>IF($A77=AK$1,0,IF(SUM(IMshareM!AK$2:AK$78)-IMshareM!AK$37&gt;0,IMshareM!AK77/(SUM(IMshareM!AK$2:AK$78)-IMshareM!AK$37),0))</f>
        <v>5.8566814732966261E-7</v>
      </c>
      <c r="AL77" s="8">
        <f>IF($A77=AL$1,0,IF(SUM(IMshareM!AL$2:AL$78)-IMshareM!AL$38&gt;0,IMshareM!AL77/(SUM(IMshareM!AL$2:AL$78)-IMshareM!AL$38),0))</f>
        <v>4.3585565021799209E-6</v>
      </c>
      <c r="AM77" s="8">
        <f>IF($A77=AM$1,0,IF(SUM(IMshareM!AM$2:AM$78)-IMshareM!AM$39&gt;0,IMshareM!AM77/(SUM(IMshareM!AM$2:AM$78)-IMshareM!AM$39),0))</f>
        <v>1.5676354486901631E-4</v>
      </c>
      <c r="AN77" s="8">
        <f>IF($A77=AN$1,0,IF(SUM(IMshareM!AN$2:AN$78)-IMshareM!AN$40&gt;0,IMshareM!AN77/(SUM(IMshareM!AN$2:AN$78)-IMshareM!AN$40),0))</f>
        <v>4.7483960222665489E-6</v>
      </c>
      <c r="AO77" s="8">
        <f>IF($A77=AO$1,0,IF(SUM(IMshareM!AO$2:AO$78)-IMshareM!AO$41&gt;0,IMshareM!AO77/(SUM(IMshareM!AO$2:AO$78)-IMshareM!AO$41),0))</f>
        <v>1.4187301937563647E-4</v>
      </c>
      <c r="AP77" s="8">
        <f>IF($A77=AP$1,0,IF(SUM(IMshareM!AP$2:AP$78)-IMshareM!AP$42&gt;0,IMshareM!AP77/(SUM(IMshareM!AP$2:AP$78)-IMshareM!AP$42),0))</f>
        <v>0</v>
      </c>
      <c r="AQ77" s="8">
        <f>IF($A77=AQ$1,0,IF(SUM(IMshareM!AQ$2:AQ$78)-IMshareM!AQ$43&gt;0,IMshareM!AQ77/(SUM(IMshareM!AQ$2:AQ$78)-IMshareM!AQ$43),0))</f>
        <v>1.589380239073259E-4</v>
      </c>
      <c r="AR77" s="8">
        <f>IF($A77=AR$1,0,IF(SUM(IMshareM!AR$2:AR$78)-IMshareM!AR$44&gt;0,IMshareM!AR77/(SUM(IMshareM!AR$2:AR$78)-IMshareM!AR$44),0))</f>
        <v>0</v>
      </c>
      <c r="AS77" s="8">
        <f>IF($A77=AS$1,0,IF(SUM(IMshareM!AS$2:AS$78)-IMshareM!AS$45&gt;0,IMshareM!AS77/(SUM(IMshareM!AS$2:AS$78)-IMshareM!AS$45),0))</f>
        <v>0</v>
      </c>
      <c r="AT77" s="8">
        <f>IF($A77=AT$1,0,IF(SUM(IMshareM!AT$2:AT$78)-IMshareM!AT$46&gt;0,IMshareM!AT77/(SUM(IMshareM!AT$2:AT$78)-IMshareM!AT$46),0))</f>
        <v>0</v>
      </c>
      <c r="AU77" s="8">
        <f>IF($A77=AU$1,0,IF(SUM(IMshareM!AU$2:AU$78)-IMshareM!AU$47&gt;0,IMshareM!AU77/(SUM(IMshareM!AU$2:AU$78)-IMshareM!AU$47),0))</f>
        <v>5.0628725745883389E-4</v>
      </c>
      <c r="AV77" s="8">
        <f>IF($A77=AV$1,0,IF(SUM(IMshareM!AV$2:AV$78)-IMshareM!AV$48&gt;0,IMshareM!AV77/(SUM(IMshareM!AV$2:AV$78)-IMshareM!AV$48),0))</f>
        <v>6.4643352708725565E-4</v>
      </c>
      <c r="AW77" s="8">
        <f>IF($A77=AW$1,0,IF(SUM(IMshareM!AW$2:AW$78)-IMshareM!AW$49&gt;0,IMshareM!AW77/(SUM(IMshareM!AW$2:AW$78)-IMshareM!AW$49),0))</f>
        <v>6.7022294802266202E-7</v>
      </c>
      <c r="AX77" s="8">
        <f>IF($A77=AX$1,0,IF(SUM(IMshareM!AX$2:AX$78)-IMshareM!AX$50&gt;0,IMshareM!AX77/(SUM(IMshareM!AX$2:AX$78)-IMshareM!AX$50),0))</f>
        <v>0</v>
      </c>
      <c r="AY77" s="8">
        <f>IF($A77=AY$1,0,IF(SUM(IMshareM!AY$2:AY$78)-IMshareM!AY$51&gt;0,IMshareM!AY77/(SUM(IMshareM!AY$2:AY$78)-IMshareM!AY$51),0))</f>
        <v>0</v>
      </c>
      <c r="AZ77" s="8">
        <f>IF($A77=AZ$1,0,IF(SUM(IMshareM!AZ$2:AZ$78)-IMshareM!AZ$52&gt;0,IMshareM!AZ77/(SUM(IMshareM!AZ$2:AZ$78)-IMshareM!AZ$52),0))</f>
        <v>1.6247125396174027E-6</v>
      </c>
      <c r="BA77" s="8">
        <f>IF($A77=BA$1,0,IF(SUM(IMshareM!BA$2:BA$78)-IMshareM!BA$53&gt;0,IMshareM!BA77/(SUM(IMshareM!BA$2:BA$78)-IMshareM!BA$53),0))</f>
        <v>1.3383166168792066E-3</v>
      </c>
      <c r="BB77" s="8">
        <f>IF($A77=BB$1,0,IF(SUM(IMshareM!BB$2:BB$78)-IMshareM!BB$54&gt;0,IMshareM!BB77/(SUM(IMshareM!BB$2:BB$78)-IMshareM!BB$54),0))</f>
        <v>1.7937652073734563E-4</v>
      </c>
      <c r="BC77" s="8">
        <f>IF($A77=BC$1,0,IF(SUM(IMshareM!BC$2:BC$78)-IMshareM!BC$55&gt;0,IMshareM!BC77/(SUM(IMshareM!BC$2:BC$78)-IMshareM!BC$55),0))</f>
        <v>9.4058587477307727E-5</v>
      </c>
      <c r="BD77" s="8">
        <f>IF($A77=BD$1,0,IF(SUM(IMshareM!BD$2:BD$78)-IMshareM!BD$56&gt;0,IMshareM!BD77/(SUM(IMshareM!BD$2:BD$78)-IMshareM!BD$56),0))</f>
        <v>6.4578838381356589E-4</v>
      </c>
      <c r="BE77" s="8">
        <f>IF($A77=BE$1,0,IF(SUM(IMshareM!BE$2:BE$78)-IMshareM!BE$57&gt;0,IMshareM!BE77/(SUM(IMshareM!BE$2:BE$78)-IMshareM!BE$57),0))</f>
        <v>1.6209863436842E-4</v>
      </c>
      <c r="BF77" s="8">
        <f>IF($A77=BF$1,0,IF(SUM(IMshareM!BF$2:BF$78)-IMshareM!BF$58&gt;0,IMshareM!BF77/(SUM(IMshareM!BF$2:BF$78)-IMshareM!BF$58),0))</f>
        <v>5.3257678759756311E-4</v>
      </c>
      <c r="BG77" s="8">
        <f>IF($A77=BG$1,0,IF(SUM(IMshareM!BG$2:BG$78)-IMshareM!BG$59&gt;0,IMshareM!BG77/(SUM(IMshareM!BG$2:BG$78)-IMshareM!BG$59),0))</f>
        <v>1.3217468130587824E-4</v>
      </c>
      <c r="BH77" s="8">
        <f>IF($A77=BH$1,0,IF(SUM(IMshareM!BH$2:BH$78)-IMshareM!BH$60&gt;0,IMshareM!BH77/(SUM(IMshareM!BH$2:BH$78)-IMshareM!BH$60),0))</f>
        <v>1.139035733737545E-6</v>
      </c>
      <c r="BI77" s="8">
        <f>IF($A77=BI$1,0,IF(SUM(IMshareM!BI$2:BI$78)-IMshareM!BI$61&gt;0,IMshareM!BI77/(SUM(IMshareM!BI$2:BI$78)-IMshareM!BI$61),0))</f>
        <v>7.0492410474260482E-8</v>
      </c>
      <c r="BJ77" s="8">
        <f>IF($A77=BJ$1,0,IF(SUM(IMshareM!BJ$2:BJ$78)-IMshareM!BJ$62&gt;0,IMshareM!BJ77/(SUM(IMshareM!BJ$2:BJ$78)-IMshareM!BJ$62),0))</f>
        <v>2.8743597566248478E-4</v>
      </c>
      <c r="BK77" s="8">
        <f>IF($A77=BK$1,0,IF(SUM(IMshareM!BK$2:BK$78)-IMshareM!BK$63&gt;0,IMshareM!BK77/(SUM(IMshareM!BK$2:BK$78)-IMshareM!BK$63),0))</f>
        <v>7.2417754940746115E-5</v>
      </c>
      <c r="BL77" s="8">
        <f>IF($A77=BL$1,0,IF(SUM(IMshareM!BL$2:BL$78)-IMshareM!BL$64&gt;0,IMshareM!BL77/(SUM(IMshareM!BL$2:BL$78)-IMshareM!BL$64),0))</f>
        <v>8.7880554852995803E-5</v>
      </c>
      <c r="BM77" s="8">
        <f>IF($A77=BM$1,0,IF(SUM(IMshareM!BM$2:BM$78)-IMshareM!BM$65&gt;0,IMshareM!BM77/(SUM(IMshareM!BM$2:BM$78)-IMshareM!BM$65),0))</f>
        <v>3.766082713499549E-3</v>
      </c>
      <c r="BN77" s="8">
        <f>IF($A77=BN$1,0,IF(SUM(IMshareM!BN$2:BN$78)-IMshareM!BN$66&gt;0,IMshareM!BN77/(SUM(IMshareM!BN$2:BN$78)-IMshareM!BN$66),0))</f>
        <v>2.5951085049787951E-6</v>
      </c>
      <c r="BO77" s="8">
        <f>IF($A77=BO$1,0,IF(SUM(IMshareM!BO$2:BO$78)-IMshareM!BO$67&gt;0,IMshareM!BO77/(SUM(IMshareM!BO$2:BO$78)-IMshareM!BO$67),0))</f>
        <v>5.4003616228040239E-6</v>
      </c>
      <c r="BP77" s="8">
        <f>IF($A77=BP$1,0,IF(SUM(IMshareM!BP$2:BP$78)-IMshareM!BP$68&gt;0,IMshareM!BP77/(SUM(IMshareM!BP$2:BP$78)-IMshareM!BP$68),0))</f>
        <v>1.9872162952577747E-6</v>
      </c>
      <c r="BQ77" s="8">
        <f>IF($A77=BQ$1,0,IF(SUM(IMshareM!BQ$2:BQ$78)-IMshareM!BQ$69&gt;0,IMshareM!BQ77/(SUM(IMshareM!BQ$2:BQ$78)-IMshareM!BQ$69),0))</f>
        <v>3.0472915868493793E-5</v>
      </c>
      <c r="BR77" s="8">
        <f>IF($A77=BR$1,0,IF(SUM(IMshareM!BR$2:BR$78)-IMshareM!BR$70&gt;0,IMshareM!BR77/(SUM(IMshareM!BR$2:BR$78)-IMshareM!BR$70),0))</f>
        <v>3.6093184270531454E-4</v>
      </c>
      <c r="BS77" s="8">
        <f>IF($A77=BS$1,0,IF(SUM(IMshareM!BS$2:BS$78)-IMshareM!BS$71&gt;0,IMshareM!BS77/(SUM(IMshareM!BS$2:BS$78)-IMshareM!BS$71),0))</f>
        <v>7.342966033347207E-7</v>
      </c>
      <c r="BT77" s="8">
        <f>IF($A77=BT$1,0,IF(SUM(IMshareM!BT$2:BT$78)-IMshareM!BT$72&gt;0,IMshareM!BT77/(SUM(IMshareM!BT$2:BT$78)-IMshareM!BT$72),0))</f>
        <v>8.89748716636893E-5</v>
      </c>
      <c r="BU77" s="8">
        <f>IF($A77=BU$1,0,IF(SUM(IMshareM!BU$2:BU$78)-IMshareM!BU$73&gt;0,IMshareM!BU77/(SUM(IMshareM!BU$2:BU$78)-IMshareM!BU$73),0))</f>
        <v>3.7593591999428828E-7</v>
      </c>
      <c r="BV77" s="8">
        <f>IF($A77=BV$1,0,IF(SUM(IMshareM!BV$2:BV$78)-IMshareM!BV$74&gt;0,IMshareM!BV77/(SUM(IMshareM!BV$2:BV$78)-IMshareM!BV$74),0))</f>
        <v>4.6854153155592818E-5</v>
      </c>
      <c r="BW77" s="8">
        <f>IF($A77=BW$1,0,IF(SUM(IMshareM!BW$2:BW$78)-IMshareM!BW$75&gt;0,IMshareM!BW77/(SUM(IMshareM!BW$2:BW$78)-IMshareM!BW$75),0))</f>
        <v>1.8803764078139155E-4</v>
      </c>
      <c r="BX77" s="8">
        <f>IF($A77=BX$1,0,IF(SUM(IMshareM!BX$2:BX$78)-IMshareM!BX$76&gt;0,IMshareM!BX77/(SUM(IMshareM!BX$2:BX$78)-IMshareM!BX$76),0))</f>
        <v>4.4188900584317906E-5</v>
      </c>
      <c r="BY77" s="8">
        <f>IF($A77=BY$1,0,IF(SUM(IMshareM!BY$2:BY$78)-IMshareM!BY$77&gt;0,IMshareM!BY77/(SUM(IMshareM!BY$2:BY$78)-IMshareM!BY$77),0))</f>
        <v>0</v>
      </c>
      <c r="BZ77" s="8">
        <f>IF($A77=BZ$1,0,IF(SUM(IMshareM!BZ$2:BZ$78)-IMshareM!BZ$78&gt;0,IMshareM!BZ77/(SUM(IMshareM!BZ$2:BZ$78)-IMshareM!BZ$78),0))</f>
        <v>3.7232640900676343E-2</v>
      </c>
    </row>
    <row r="78" spans="1:78">
      <c r="A78" s="4" t="s">
        <v>223</v>
      </c>
      <c r="B78" s="8">
        <f>IF($A78=B$1,0,IF(SUM(IMshareM!B$2:B$78)-IMshareM!B$2&gt;0,IMshareM!B78/(SUM(IMshareM!B$2:B$78)-IMshareM!B$2),0))</f>
        <v>6.5679309043510732E-5</v>
      </c>
      <c r="C78" s="8">
        <f>IF($A78=C$1,0,IF(SUM(IMshareM!C$2:C$78)-IMshareM!C$3&gt;0,IMshareM!C78/(SUM(IMshareM!C$2:C$78)-IMshareM!C$3),0))</f>
        <v>3.0839216068067978E-3</v>
      </c>
      <c r="D78" s="8">
        <f>IF($A78=D$1,0,IF(SUM(IMshareM!D$2:D$78)-IMshareM!D$4&gt;0,IMshareM!D78/(SUM(IMshareM!D$2:D$78)-IMshareM!D$4),0))</f>
        <v>6.8622900757474275E-3</v>
      </c>
      <c r="E78" s="8">
        <f>IF($A78=E$1,0,IF(SUM(IMshareM!E$2:E$78)-IMshareM!E$5&gt;0,IMshareM!E78/(SUM(IMshareM!E$2:E$78)-IMshareM!E$5),0))</f>
        <v>2.2236938343104222E-4</v>
      </c>
      <c r="F78" s="8">
        <f>IF($A78=F$1,0,IF(SUM(IMshareM!F$2:F$78)-IMshareM!F$6&gt;0,IMshareM!F78/(SUM(IMshareM!F$2:F$78)-IMshareM!F$6),0))</f>
        <v>2.8968980052128264E-3</v>
      </c>
      <c r="G78" s="8">
        <f>IF($A78=G$1,0,IF(SUM(IMshareM!G$2:G$78)-IMshareM!G$7&gt;0,IMshareM!G78/(SUM(IMshareM!G$2:G$78)-IMshareM!G$7),0))</f>
        <v>3.7055581630913311E-3</v>
      </c>
      <c r="H78" s="8">
        <f>IF($A78=H$1,0,IF(SUM(IMshareM!H$2:H$78)-IMshareM!H$8&gt;0,IMshareM!H78/(SUM(IMshareM!H$2:H$78)-IMshareM!H$8),0))</f>
        <v>4.8324366690642604E-3</v>
      </c>
      <c r="I78" s="8">
        <f>IF($A78=I$1,0,IF(SUM(IMshareM!I$2:I$78)-IMshareM!I$9&gt;0,IMshareM!I78/(SUM(IMshareM!I$2:I$78)-IMshareM!I$9),0))</f>
        <v>1.5335991924886419E-2</v>
      </c>
      <c r="J78" s="8">
        <f>IF($A78=J$1,0,IF(SUM(IMshareM!J$2:J$78)-IMshareM!J$10&gt;0,IMshareM!J78/(SUM(IMshareM!J$2:J$78)-IMshareM!J$10),0))</f>
        <v>4.7399676399020206E-3</v>
      </c>
      <c r="K78" s="8">
        <f>IF($A78=K$1,0,IF(SUM(IMshareM!K$2:K$78)-IMshareM!K$11&gt;0,IMshareM!K78/(SUM(IMshareM!K$2:K$78)-IMshareM!K$11),0))</f>
        <v>4.0741519276896428E-3</v>
      </c>
      <c r="L78" s="8">
        <f>IF($A78=L$1,0,IF(SUM(IMshareM!L$2:L$78)-IMshareM!L$12&gt;0,IMshareM!L78/(SUM(IMshareM!L$2:L$78)-IMshareM!L$12),0))</f>
        <v>6.909055095795401E-3</v>
      </c>
      <c r="M78" s="8">
        <f>IF($A78=M$1,0,IF(SUM(IMshareM!M$2:M$78)-IMshareM!M$13&gt;0,IMshareM!M78/(SUM(IMshareM!M$2:M$78)-IMshareM!M$13),0))</f>
        <v>2.7943074816897187E-3</v>
      </c>
      <c r="N78" s="8">
        <f>IF($A78=N$1,0,IF(SUM(IMshareM!N$2:N$78)-IMshareM!N$14&gt;0,IMshareM!N78/(SUM(IMshareM!N$2:N$78)-IMshareM!N$14),0))</f>
        <v>1.000732548067574E-2</v>
      </c>
      <c r="O78" s="8">
        <f>IF($A78=O$1,0,IF(SUM(IMshareM!O$2:O$78)-IMshareM!O$15&gt;0,IMshareM!O78/(SUM(IMshareM!O$2:O$78)-IMshareM!O$15),0))</f>
        <v>7.0852508134824535E-2</v>
      </c>
      <c r="P78" s="8">
        <f>IF($A78=P$1,0,IF(SUM(IMshareM!P$2:P$78)-IMshareM!P$16&gt;0,IMshareM!P78/(SUM(IMshareM!P$2:P$78)-IMshareM!P$16),0))</f>
        <v>2.771013990409521E-2</v>
      </c>
      <c r="Q78" s="8">
        <f>IF($A78=Q$1,0,IF(SUM(IMshareM!Q$2:Q$78)-IMshareM!Q$17&gt;0,IMshareM!Q78/(SUM(IMshareM!Q$2:Q$78)-IMshareM!Q$17),0))</f>
        <v>4.9529015380618616E-3</v>
      </c>
      <c r="R78" s="8">
        <f>IF($A78=R$1,0,IF(SUM(IMshareM!R$2:R$78)-IMshareM!R$18&gt;0,IMshareM!R78/(SUM(IMshareM!R$2:R$78)-IMshareM!R$18),0))</f>
        <v>1.7776964703509795E-2</v>
      </c>
      <c r="S78" s="8">
        <f>IF($A78=S$1,0,IF(SUM(IMshareM!S$2:S$78)-IMshareM!S$19&gt;0,IMshareM!S78/(SUM(IMshareM!S$2:S$78)-IMshareM!S$19),0))</f>
        <v>7.2151044978857933E-3</v>
      </c>
      <c r="T78" s="8">
        <f>IF($A78=T$1,0,IF(SUM(IMshareM!T$2:T$78)-IMshareM!T$20&gt;0,IMshareM!T78/(SUM(IMshareM!T$2:T$78)-IMshareM!T$20),0))</f>
        <v>1.2858873034048283E-2</v>
      </c>
      <c r="U78" s="8">
        <f>IF($A78=U$1,0,IF(SUM(IMshareM!U$2:U$78)-IMshareM!U$21&gt;0,IMshareM!U78/(SUM(IMshareM!U$2:U$78)-IMshareM!U$21),0))</f>
        <v>4.6955713899515854E-2</v>
      </c>
      <c r="V78" s="8">
        <f>IF($A78=V$1,0,IF(SUM(IMshareM!V$2:V$78)-IMshareM!V$22&gt;0,IMshareM!V78/(SUM(IMshareM!V$2:V$78)-IMshareM!V$22),0))</f>
        <v>7.9883469733123772E-3</v>
      </c>
      <c r="W78" s="8">
        <f>IF($A78=W$1,0,IF(SUM(IMshareM!W$2:W$78)-IMshareM!W$23&gt;0,IMshareM!W78/(SUM(IMshareM!W$2:W$78)-IMshareM!W$23),0))</f>
        <v>6.7503715366494807E-3</v>
      </c>
      <c r="X78" s="8">
        <f>IF($A78=X$1,0,IF(SUM(IMshareM!X$2:X$78)-IMshareM!X$24&gt;0,IMshareM!X78/(SUM(IMshareM!X$2:X$78)-IMshareM!X$24),0))</f>
        <v>1.6140792904983284E-2</v>
      </c>
      <c r="Y78" s="8">
        <f>IF($A78=Y$1,0,IF(SUM(IMshareM!Y$2:Y$78)-IMshareM!Y$25&gt;0,IMshareM!Y78/(SUM(IMshareM!Y$2:Y$78)-IMshareM!Y$25),0))</f>
        <v>3.9291254425350225E-2</v>
      </c>
      <c r="Z78" s="8">
        <f>IF($A78=Z$1,0,IF(SUM(IMshareM!Z$2:Z$78)-IMshareM!Z$26&gt;0,IMshareM!Z78/(SUM(IMshareM!Z$2:Z$78)-IMshareM!Z$26),0))</f>
        <v>2.4841637178251455E-4</v>
      </c>
      <c r="AA78" s="8">
        <f>IF($A78=AA$1,0,IF(SUM(IMshareM!AA$2:AA$78)-IMshareM!AA$27&gt;0,IMshareM!AA78/(SUM(IMshareM!AA$2:AA$78)-IMshareM!AA$27),0))</f>
        <v>1.1623149022971785E-2</v>
      </c>
      <c r="AB78" s="8">
        <f>IF($A78=AB$1,0,IF(SUM(IMshareM!AB$2:AB$78)-IMshareM!AB$28&gt;0,IMshareM!AB78/(SUM(IMshareM!AB$2:AB$78)-IMshareM!AB$28),0))</f>
        <v>5.2155958658992516E-3</v>
      </c>
      <c r="AC78" s="8">
        <f>IF($A78=AC$1,0,IF(SUM(IMshareM!AC$2:AC$78)-IMshareM!AC$29&gt;0,IMshareM!AC78/(SUM(IMshareM!AC$2:AC$78)-IMshareM!AC$29),0))</f>
        <v>4.1467925262359678E-3</v>
      </c>
      <c r="AD78" s="8">
        <f>IF($A78=AD$1,0,IF(SUM(IMshareM!AD$2:AD$78)-IMshareM!AD$30&gt;0,IMshareM!AD78/(SUM(IMshareM!AD$2:AD$78)-IMshareM!AD$30),0))</f>
        <v>1.052487019931422E-4</v>
      </c>
      <c r="AE78" s="8">
        <f>IF($A78=AE$1,0,IF(SUM(IMshareM!AE$2:AE$78)-IMshareM!AE$31&gt;0,IMshareM!AE78/(SUM(IMshareM!AE$2:AE$78)-IMshareM!AE$31),0))</f>
        <v>3.745398229099744E-3</v>
      </c>
      <c r="AF78" s="8">
        <f>IF($A78=AF$1,0,IF(SUM(IMshareM!AF$2:AF$78)-IMshareM!AF$32&gt;0,IMshareM!AF78/(SUM(IMshareM!AF$2:AF$78)-IMshareM!AF$32),0))</f>
        <v>7.0821028127549021E-2</v>
      </c>
      <c r="AG78" s="8">
        <f>IF($A78=AG$1,0,IF(SUM(IMshareM!AG$2:AG$78)-IMshareM!AG$33&gt;0,IMshareM!AG78/(SUM(IMshareM!AG$2:AG$78)-IMshareM!AG$33),0))</f>
        <v>4.2240721347687601E-4</v>
      </c>
      <c r="AH78" s="8">
        <f>IF($A78=AH$1,0,IF(SUM(IMshareM!AH$2:AH$78)-IMshareM!AH$34&gt;0,IMshareM!AH78/(SUM(IMshareM!AH$2:AH$78)-IMshareM!AH$34),0))</f>
        <v>4.7296254948372826E-3</v>
      </c>
      <c r="AI78" s="8">
        <f>IF($A78=AI$1,0,IF(SUM(IMshareM!AI$2:AI$78)-IMshareM!AI$35&gt;0,IMshareM!AI78/(SUM(IMshareM!AI$2:AI$78)-IMshareM!AI$35),0))</f>
        <v>2.3621709154286806E-3</v>
      </c>
      <c r="AJ78" s="8">
        <f>IF($A78=AJ$1,0,IF(SUM(IMshareM!AJ$2:AJ$78)-IMshareM!AJ$36&gt;0,IMshareM!AJ78/(SUM(IMshareM!AJ$2:AJ$78)-IMshareM!AJ$36),0))</f>
        <v>4.9848212937025002E-3</v>
      </c>
      <c r="AK78" s="8">
        <f>IF($A78=AK$1,0,IF(SUM(IMshareM!AK$2:AK$78)-IMshareM!AK$37&gt;0,IMshareM!AK78/(SUM(IMshareM!AK$2:AK$78)-IMshareM!AK$37),0))</f>
        <v>1.0535722075843746E-3</v>
      </c>
      <c r="AL78" s="8">
        <f>IF($A78=AL$1,0,IF(SUM(IMshareM!AL$2:AL$78)-IMshareM!AL$38&gt;0,IMshareM!AL78/(SUM(IMshareM!AL$2:AL$78)-IMshareM!AL$38),0))</f>
        <v>3.0425949327471714E-2</v>
      </c>
      <c r="AM78" s="8">
        <f>IF($A78=AM$1,0,IF(SUM(IMshareM!AM$2:AM$78)-IMshareM!AM$39&gt;0,IMshareM!AM78/(SUM(IMshareM!AM$2:AM$78)-IMshareM!AM$39),0))</f>
        <v>1.0121306708855389E-3</v>
      </c>
      <c r="AN78" s="8">
        <f>IF($A78=AN$1,0,IF(SUM(IMshareM!AN$2:AN$78)-IMshareM!AN$40&gt;0,IMshareM!AN78/(SUM(IMshareM!AN$2:AN$78)-IMshareM!AN$40),0))</f>
        <v>4.7477818669138878E-4</v>
      </c>
      <c r="AO78" s="8">
        <f>IF($A78=AO$1,0,IF(SUM(IMshareM!AO$2:AO$78)-IMshareM!AO$41&gt;0,IMshareM!AO78/(SUM(IMshareM!AO$2:AO$78)-IMshareM!AO$41),0))</f>
        <v>1.6886476656535976E-4</v>
      </c>
      <c r="AP78" s="8">
        <f>IF($A78=AP$1,0,IF(SUM(IMshareM!AP$2:AP$78)-IMshareM!AP$42&gt;0,IMshareM!AP78/(SUM(IMshareM!AP$2:AP$78)-IMshareM!AP$42),0))</f>
        <v>0</v>
      </c>
      <c r="AQ78" s="8">
        <f>IF($A78=AQ$1,0,IF(SUM(IMshareM!AQ$2:AQ$78)-IMshareM!AQ$43&gt;0,IMshareM!AQ78/(SUM(IMshareM!AQ$2:AQ$78)-IMshareM!AQ$43),0))</f>
        <v>8.0132046007012068E-5</v>
      </c>
      <c r="AR78" s="8">
        <f>IF($A78=AR$1,0,IF(SUM(IMshareM!AR$2:AR$78)-IMshareM!AR$44&gt;0,IMshareM!AR78/(SUM(IMshareM!AR$2:AR$78)-IMshareM!AR$44),0))</f>
        <v>0</v>
      </c>
      <c r="AS78" s="8">
        <f>IF($A78=AS$1,0,IF(SUM(IMshareM!AS$2:AS$78)-IMshareM!AS$45&gt;0,IMshareM!AS78/(SUM(IMshareM!AS$2:AS$78)-IMshareM!AS$45),0))</f>
        <v>3.7810452249816581E-4</v>
      </c>
      <c r="AT78" s="8">
        <f>IF($A78=AT$1,0,IF(SUM(IMshareM!AT$2:AT$78)-IMshareM!AT$46&gt;0,IMshareM!AT78/(SUM(IMshareM!AT$2:AT$78)-IMshareM!AT$46),0))</f>
        <v>8.9398070991341408E-2</v>
      </c>
      <c r="AU78" s="8">
        <f>IF($A78=AU$1,0,IF(SUM(IMshareM!AU$2:AU$78)-IMshareM!AU$47&gt;0,IMshareM!AU78/(SUM(IMshareM!AU$2:AU$78)-IMshareM!AU$47),0))</f>
        <v>4.1032583397535022E-4</v>
      </c>
      <c r="AV78" s="8">
        <f>IF($A78=AV$1,0,IF(SUM(IMshareM!AV$2:AV$78)-IMshareM!AV$48&gt;0,IMshareM!AV78/(SUM(IMshareM!AV$2:AV$78)-IMshareM!AV$48),0))</f>
        <v>8.4468609266664008E-4</v>
      </c>
      <c r="AW78" s="8">
        <f>IF($A78=AW$1,0,IF(SUM(IMshareM!AW$2:AW$78)-IMshareM!AW$49&gt;0,IMshareM!AW78/(SUM(IMshareM!AW$2:AW$78)-IMshareM!AW$49),0))</f>
        <v>8.8759951112780575E-4</v>
      </c>
      <c r="AX78" s="8">
        <f>IF($A78=AX$1,0,IF(SUM(IMshareM!AX$2:AX$78)-IMshareM!AX$50&gt;0,IMshareM!AX78/(SUM(IMshareM!AX$2:AX$78)-IMshareM!AX$50),0))</f>
        <v>1.8391924026027955E-5</v>
      </c>
      <c r="AY78" s="8">
        <f>IF($A78=AY$1,0,IF(SUM(IMshareM!AY$2:AY$78)-IMshareM!AY$51&gt;0,IMshareM!AY78/(SUM(IMshareM!AY$2:AY$78)-IMshareM!AY$51),0))</f>
        <v>5.5019419653584164E-5</v>
      </c>
      <c r="AZ78" s="8">
        <f>IF($A78=AZ$1,0,IF(SUM(IMshareM!AZ$2:AZ$78)-IMshareM!AZ$52&gt;0,IMshareM!AZ78/(SUM(IMshareM!AZ$2:AZ$78)-IMshareM!AZ$52),0))</f>
        <v>8.2604837572223156E-4</v>
      </c>
      <c r="BA78" s="8">
        <f>IF($A78=BA$1,0,IF(SUM(IMshareM!BA$2:BA$78)-IMshareM!BA$53&gt;0,IMshareM!BA78/(SUM(IMshareM!BA$2:BA$78)-IMshareM!BA$53),0))</f>
        <v>2.0733018052664829E-3</v>
      </c>
      <c r="BB78" s="8">
        <f>IF($A78=BB$1,0,IF(SUM(IMshareM!BB$2:BB$78)-IMshareM!BB$54&gt;0,IMshareM!BB78/(SUM(IMshareM!BB$2:BB$78)-IMshareM!BB$54),0))</f>
        <v>5.7798565218816662E-3</v>
      </c>
      <c r="BC78" s="8">
        <f>IF($A78=BC$1,0,IF(SUM(IMshareM!BC$2:BC$78)-IMshareM!BC$55&gt;0,IMshareM!BC78/(SUM(IMshareM!BC$2:BC$78)-IMshareM!BC$55),0))</f>
        <v>1.027441571316003E-3</v>
      </c>
      <c r="BD78" s="8">
        <f>IF($A78=BD$1,0,IF(SUM(IMshareM!BD$2:BD$78)-IMshareM!BD$56&gt;0,IMshareM!BD78/(SUM(IMshareM!BD$2:BD$78)-IMshareM!BD$56),0))</f>
        <v>1.4406408065518667E-3</v>
      </c>
      <c r="BE78" s="8">
        <f>IF($A78=BE$1,0,IF(SUM(IMshareM!BE$2:BE$78)-IMshareM!BE$57&gt;0,IMshareM!BE78/(SUM(IMshareM!BE$2:BE$78)-IMshareM!BE$57),0))</f>
        <v>1.096994595215493E-2</v>
      </c>
      <c r="BF78" s="8">
        <f>IF($A78=BF$1,0,IF(SUM(IMshareM!BF$2:BF$78)-IMshareM!BF$58&gt;0,IMshareM!BF78/(SUM(IMshareM!BF$2:BF$78)-IMshareM!BF$58),0))</f>
        <v>9.2690736813677707E-4</v>
      </c>
      <c r="BG78" s="8">
        <f>IF($A78=BG$1,0,IF(SUM(IMshareM!BG$2:BG$78)-IMshareM!BG$59&gt;0,IMshareM!BG78/(SUM(IMshareM!BG$2:BG$78)-IMshareM!BG$59),0))</f>
        <v>3.6026065971000065E-4</v>
      </c>
      <c r="BH78" s="8">
        <f>IF($A78=BH$1,0,IF(SUM(IMshareM!BH$2:BH$78)-IMshareM!BH$60&gt;0,IMshareM!BH78/(SUM(IMshareM!BH$2:BH$78)-IMshareM!BH$60),0))</f>
        <v>7.0089008694924088E-3</v>
      </c>
      <c r="BI78" s="8">
        <f>IF($A78=BI$1,0,IF(SUM(IMshareM!BI$2:BI$78)-IMshareM!BI$61&gt;0,IMshareM!BI78/(SUM(IMshareM!BI$2:BI$78)-IMshareM!BI$61),0))</f>
        <v>1.3620948746804187E-3</v>
      </c>
      <c r="BJ78" s="8">
        <f>IF($A78=BJ$1,0,IF(SUM(IMshareM!BJ$2:BJ$78)-IMshareM!BJ$62&gt;0,IMshareM!BJ78/(SUM(IMshareM!BJ$2:BJ$78)-IMshareM!BJ$62),0))</f>
        <v>7.3635024694998566E-3</v>
      </c>
      <c r="BK78" s="8">
        <f>IF($A78=BK$1,0,IF(SUM(IMshareM!BK$2:BK$78)-IMshareM!BK$63&gt;0,IMshareM!BK78/(SUM(IMshareM!BK$2:BK$78)-IMshareM!BK$63),0))</f>
        <v>6.1935453449981992E-3</v>
      </c>
      <c r="BL78" s="8">
        <f>IF($A78=BL$1,0,IF(SUM(IMshareM!BL$2:BL$78)-IMshareM!BL$64&gt;0,IMshareM!BL78/(SUM(IMshareM!BL$2:BL$78)-IMshareM!BL$64),0))</f>
        <v>0.12581339934079169</v>
      </c>
      <c r="BM78" s="8">
        <f>IF($A78=BM$1,0,IF(SUM(IMshareM!BM$2:BM$78)-IMshareM!BM$65&gt;0,IMshareM!BM78/(SUM(IMshareM!BM$2:BM$78)-IMshareM!BM$65),0))</f>
        <v>7.2369473134711246E-2</v>
      </c>
      <c r="BN78" s="8">
        <f>IF($A78=BN$1,0,IF(SUM(IMshareM!BN$2:BN$78)-IMshareM!BN$66&gt;0,IMshareM!BN78/(SUM(IMshareM!BN$2:BN$78)-IMshareM!BN$66),0))</f>
        <v>2.61278939247717E-3</v>
      </c>
      <c r="BO78" s="8">
        <f>IF($A78=BO$1,0,IF(SUM(IMshareM!BO$2:BO$78)-IMshareM!BO$67&gt;0,IMshareM!BO78/(SUM(IMshareM!BO$2:BO$78)-IMshareM!BO$67),0))</f>
        <v>5.5144487306406857E-2</v>
      </c>
      <c r="BP78" s="8">
        <f>IF($A78=BP$1,0,IF(SUM(IMshareM!BP$2:BP$78)-IMshareM!BP$68&gt;0,IMshareM!BP78/(SUM(IMshareM!BP$2:BP$78)-IMshareM!BP$68),0))</f>
        <v>5.2901927124660852E-2</v>
      </c>
      <c r="BQ78" s="8">
        <f>IF($A78=BQ$1,0,IF(SUM(IMshareM!BQ$2:BQ$78)-IMshareM!BQ$69&gt;0,IMshareM!BQ78/(SUM(IMshareM!BQ$2:BQ$78)-IMshareM!BQ$69),0))</f>
        <v>9.125793288386165E-2</v>
      </c>
      <c r="BR78" s="8">
        <f>IF($A78=BR$1,0,IF(SUM(IMshareM!BR$2:BR$78)-IMshareM!BR$70&gt;0,IMshareM!BR78/(SUM(IMshareM!BR$2:BR$78)-IMshareM!BR$70),0))</f>
        <v>3.3016275715389083E-3</v>
      </c>
      <c r="BS78" s="8">
        <f>IF($A78=BS$1,0,IF(SUM(IMshareM!BS$2:BS$78)-IMshareM!BS$71&gt;0,IMshareM!BS78/(SUM(IMshareM!BS$2:BS$78)-IMshareM!BS$71),0))</f>
        <v>5.5946959362596672E-3</v>
      </c>
      <c r="BT78" s="8">
        <f>IF($A78=BT$1,0,IF(SUM(IMshareM!BT$2:BT$78)-IMshareM!BT$72&gt;0,IMshareM!BT78/(SUM(IMshareM!BT$2:BT$78)-IMshareM!BT$72),0))</f>
        <v>1.2113856360812679E-2</v>
      </c>
      <c r="BU78" s="8">
        <f>IF($A78=BU$1,0,IF(SUM(IMshareM!BU$2:BU$78)-IMshareM!BU$73&gt;0,IMshareM!BU78/(SUM(IMshareM!BU$2:BU$78)-IMshareM!BU$73),0))</f>
        <v>4.7905268356901085E-4</v>
      </c>
      <c r="BV78" s="8">
        <f>IF($A78=BV$1,0,IF(SUM(IMshareM!BV$2:BV$78)-IMshareM!BV$74&gt;0,IMshareM!BV78/(SUM(IMshareM!BV$2:BV$78)-IMshareM!BV$74),0))</f>
        <v>1.2525328822525749E-2</v>
      </c>
      <c r="BW78" s="8">
        <f>IF($A78=BW$1,0,IF(SUM(IMshareM!BW$2:BW$78)-IMshareM!BW$75&gt;0,IMshareM!BW78/(SUM(IMshareM!BW$2:BW$78)-IMshareM!BW$75),0))</f>
        <v>4.6641008059810241E-3</v>
      </c>
      <c r="BX78" s="8">
        <f>IF($A78=BX$1,0,IF(SUM(IMshareM!BX$2:BX$78)-IMshareM!BX$76&gt;0,IMshareM!BX78/(SUM(IMshareM!BX$2:BX$78)-IMshareM!BX$76),0))</f>
        <v>3.5505638446724252E-6</v>
      </c>
      <c r="BY78" s="8">
        <f>IF($A78=BY$1,0,IF(SUM(IMshareM!BY$2:BY$78)-IMshareM!BY$77&gt;0,IMshareM!BY78/(SUM(IMshareM!BY$2:BY$78)-IMshareM!BY$77),0))</f>
        <v>2.5330956187215928E-2</v>
      </c>
      <c r="BZ78" s="8">
        <f>IF($A78=BZ$1,0,IF(SUM(IMshareM!BZ$2:BZ$78)-IMshareM!BZ$78&gt;0,IMshareM!BZ78/(SUM(IMshareM!BZ$2:BZ$78)-IMshareM!BZ$78),0))</f>
        <v>0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Z78"/>
  <sheetViews>
    <sheetView showGridLines="0" workbookViewId="0"/>
  </sheetViews>
  <sheetFormatPr defaultRowHeight="13.8"/>
  <cols>
    <col min="1" max="1" width="22" customWidth="1"/>
    <col min="2" max="78" width="11" customWidth="1"/>
  </cols>
  <sheetData>
    <row r="1" spans="1:78">
      <c r="A1" s="1" t="s">
        <v>389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8">
        <f>IF($A2=B$1,0,IF(SUM(IMshareC!B$2:B$78)-IMshareC!B$2&gt;0,IMshareC!B2/(SUM(IMshareC!B$2:B$78)-IMshareC!B$2),0))</f>
        <v>0</v>
      </c>
      <c r="C2" s="8">
        <f>IF($A2=C$1,0,IF(SUM(IMshareC!C$2:C$78)-IMshareC!C$3&gt;0,IMshareC!C2/(SUM(IMshareC!C$2:C$78)-IMshareC!C$3),0))</f>
        <v>4.6480371174346178E-5</v>
      </c>
      <c r="D2" s="8">
        <f>IF($A2=D$1,0,IF(SUM(IMshareC!D$2:D$78)-IMshareC!D$4&gt;0,IMshareC!D2/(SUM(IMshareC!D$2:D$78)-IMshareC!D$4),0))</f>
        <v>0</v>
      </c>
      <c r="E2" s="8">
        <f>IF($A2=E$1,0,IF(SUM(IMshareC!E$2:E$78)-IMshareC!E$5&gt;0,IMshareC!E2/(SUM(IMshareC!E$2:E$78)-IMshareC!E$5),0))</f>
        <v>2.174374961852584E-7</v>
      </c>
      <c r="F2" s="8">
        <f>IF($A2=F$1,0,IF(SUM(IMshareC!F$2:F$78)-IMshareC!F$6&gt;0,IMshareC!F2/(SUM(IMshareC!F$2:F$78)-IMshareC!F$6),0))</f>
        <v>0</v>
      </c>
      <c r="G2" s="8">
        <f>IF($A2=G$1,0,IF(SUM(IMshareC!G$2:G$78)-IMshareC!G$7&gt;0,IMshareC!G2/(SUM(IMshareC!G$2:G$78)-IMshareC!G$7),0))</f>
        <v>5.0262807889582245E-6</v>
      </c>
      <c r="H2" s="8">
        <f>IF($A2=H$1,0,IF(SUM(IMshareC!H$2:H$78)-IMshareC!H$8&gt;0,IMshareC!H2/(SUM(IMshareC!H$2:H$78)-IMshareC!H$8),0))</f>
        <v>0</v>
      </c>
      <c r="I2" s="8">
        <f>IF($A2=I$1,0,IF(SUM(IMshareC!I$2:I$78)-IMshareC!I$9&gt;0,IMshareC!I2/(SUM(IMshareC!I$2:I$78)-IMshareC!I$9),0))</f>
        <v>2.5894748349256883E-4</v>
      </c>
      <c r="J2" s="8">
        <f>IF($A2=J$1,0,IF(SUM(IMshareC!J$2:J$78)-IMshareC!J$10&gt;0,IMshareC!J2/(SUM(IMshareC!J$2:J$78)-IMshareC!J$10),0))</f>
        <v>0</v>
      </c>
      <c r="K2" s="8">
        <f>IF($A2=K$1,0,IF(SUM(IMshareC!K$2:K$78)-IMshareC!K$11&gt;0,IMshareC!K2/(SUM(IMshareC!K$2:K$78)-IMshareC!K$11),0))</f>
        <v>1.9486395706105435E-5</v>
      </c>
      <c r="L2" s="8">
        <f>IF($A2=L$1,0,IF(SUM(IMshareC!L$2:L$78)-IMshareC!L$12&gt;0,IMshareC!L2/(SUM(IMshareC!L$2:L$78)-IMshareC!L$12),0))</f>
        <v>3.0369040211735743E-5</v>
      </c>
      <c r="M2" s="8">
        <f>IF($A2=M$1,0,IF(SUM(IMshareC!M$2:M$78)-IMshareC!M$13&gt;0,IMshareC!M2/(SUM(IMshareC!M$2:M$78)-IMshareC!M$13),0))</f>
        <v>4.6474479894946337E-3</v>
      </c>
      <c r="N2" s="8">
        <f>IF($A2=N$1,0,IF(SUM(IMshareC!N$2:N$78)-IMshareC!N$14&gt;0,IMshareC!N2/(SUM(IMshareC!N$2:N$78)-IMshareC!N$14),0))</f>
        <v>6.4130840871089777E-8</v>
      </c>
      <c r="O2" s="8">
        <f>IF($A2=O$1,0,IF(SUM(IMshareC!O$2:O$78)-IMshareC!O$15&gt;0,IMshareC!O2/(SUM(IMshareC!O$2:O$78)-IMshareC!O$15),0))</f>
        <v>0</v>
      </c>
      <c r="P2" s="8">
        <f>IF($A2=P$1,0,IF(SUM(IMshareC!P$2:P$78)-IMshareC!P$16&gt;0,IMshareC!P2/(SUM(IMshareC!P$2:P$78)-IMshareC!P$16),0))</f>
        <v>0</v>
      </c>
      <c r="Q2" s="8">
        <f>IF($A2=Q$1,0,IF(SUM(IMshareC!Q$2:Q$78)-IMshareC!Q$17&gt;0,IMshareC!Q2/(SUM(IMshareC!Q$2:Q$78)-IMshareC!Q$17),0))</f>
        <v>2.2618967937326744E-3</v>
      </c>
      <c r="R2" s="8">
        <f>IF($A2=R$1,0,IF(SUM(IMshareC!R$2:R$78)-IMshareC!R$18&gt;0,IMshareC!R2/(SUM(IMshareC!R$2:R$78)-IMshareC!R$18),0))</f>
        <v>9.789707120372632E-5</v>
      </c>
      <c r="S2" s="8">
        <f>IF($A2=S$1,0,IF(SUM(IMshareC!S$2:S$78)-IMshareC!S$19&gt;0,IMshareC!S2/(SUM(IMshareC!S$2:S$78)-IMshareC!S$19),0))</f>
        <v>0</v>
      </c>
      <c r="T2" s="8">
        <f>IF($A2=T$1,0,IF(SUM(IMshareC!T$2:T$78)-IMshareC!T$20&gt;0,IMshareC!T2/(SUM(IMshareC!T$2:T$78)-IMshareC!T$20),0))</f>
        <v>2.2041201816448696E-7</v>
      </c>
      <c r="U2" s="8">
        <f>IF($A2=U$1,0,IF(SUM(IMshareC!U$2:U$78)-IMshareC!U$21&gt;0,IMshareC!U2/(SUM(IMshareC!U$2:U$78)-IMshareC!U$21),0))</f>
        <v>2.421774879997441E-7</v>
      </c>
      <c r="V2" s="8">
        <f>IF($A2=V$1,0,IF(SUM(IMshareC!V$2:V$78)-IMshareC!V$22&gt;0,IMshareC!V2/(SUM(IMshareC!V$2:V$78)-IMshareC!V$22),0))</f>
        <v>5.7478164189595711E-5</v>
      </c>
      <c r="W2" s="8">
        <f>IF($A2=W$1,0,IF(SUM(IMshareC!W$2:W$78)-IMshareC!W$23&gt;0,IMshareC!W2/(SUM(IMshareC!W$2:W$78)-IMshareC!W$23),0))</f>
        <v>7.7868262997274112E-5</v>
      </c>
      <c r="X2" s="8">
        <f>IF($A2=X$1,0,IF(SUM(IMshareC!X$2:X$78)-IMshareC!X$24&gt;0,IMshareC!X2/(SUM(IMshareC!X$2:X$78)-IMshareC!X$24),0))</f>
        <v>9.1196230098565593E-6</v>
      </c>
      <c r="Y2" s="8">
        <f>IF($A2=Y$1,0,IF(SUM(IMshareC!Y$2:Y$78)-IMshareC!Y$25&gt;0,IMshareC!Y2/(SUM(IMshareC!Y$2:Y$78)-IMshareC!Y$25),0))</f>
        <v>7.0243188491220734E-6</v>
      </c>
      <c r="Z2" s="8">
        <f>IF($A2=Z$1,0,IF(SUM(IMshareC!Z$2:Z$78)-IMshareC!Z$26&gt;0,IMshareC!Z2/(SUM(IMshareC!Z$2:Z$78)-IMshareC!Z$26),0))</f>
        <v>5.2755204335155649E-6</v>
      </c>
      <c r="AA2" s="8">
        <f>IF($A2=AA$1,0,IF(SUM(IMshareC!AA$2:AA$78)-IMshareC!AA$27&gt;0,IMshareC!AA2/(SUM(IMshareC!AA$2:AA$78)-IMshareC!AA$27),0))</f>
        <v>5.1465957881206262E-4</v>
      </c>
      <c r="AB2" s="8">
        <f>IF($A2=AB$1,0,IF(SUM(IMshareC!AB$2:AB$78)-IMshareC!AB$28&gt;0,IMshareC!AB2/(SUM(IMshareC!AB$2:AB$78)-IMshareC!AB$28),0))</f>
        <v>1.0769764495963157E-4</v>
      </c>
      <c r="AC2" s="8">
        <f>IF($A2=AC$1,0,IF(SUM(IMshareC!AC$2:AC$78)-IMshareC!AC$29&gt;0,IMshareC!AC2/(SUM(IMshareC!AC$2:AC$78)-IMshareC!AC$29),0))</f>
        <v>0</v>
      </c>
      <c r="AD2" s="8">
        <f>IF($A2=AD$1,0,IF(SUM(IMshareC!AD$2:AD$78)-IMshareC!AD$30&gt;0,IMshareC!AD2/(SUM(IMshareC!AD$2:AD$78)-IMshareC!AD$30),0))</f>
        <v>0</v>
      </c>
      <c r="AE2" s="8">
        <f>IF($A2=AE$1,0,IF(SUM(IMshareC!AE$2:AE$78)-IMshareC!AE$31&gt;0,IMshareC!AE2/(SUM(IMshareC!AE$2:AE$78)-IMshareC!AE$31),0))</f>
        <v>0</v>
      </c>
      <c r="AF2" s="8">
        <f>IF($A2=AF$1,0,IF(SUM(IMshareC!AF$2:AF$78)-IMshareC!AF$32&gt;0,IMshareC!AF2/(SUM(IMshareC!AF$2:AF$78)-IMshareC!AF$32),0))</f>
        <v>0</v>
      </c>
      <c r="AG2" s="8">
        <f>IF($A2=AG$1,0,IF(SUM(IMshareC!AG$2:AG$78)-IMshareC!AG$33&gt;0,IMshareC!AG2/(SUM(IMshareC!AG$2:AG$78)-IMshareC!AG$33),0))</f>
        <v>3.5393607408844475E-6</v>
      </c>
      <c r="AH2" s="8">
        <f>IF($A2=AH$1,0,IF(SUM(IMshareC!AH$2:AH$78)-IMshareC!AH$34&gt;0,IMshareC!AH2/(SUM(IMshareC!AH$2:AH$78)-IMshareC!AH$34),0))</f>
        <v>2.4124592394780039E-8</v>
      </c>
      <c r="AI2" s="8">
        <f>IF($A2=AI$1,0,IF(SUM(IMshareC!AI$2:AI$78)-IMshareC!AI$35&gt;0,IMshareC!AI2/(SUM(IMshareC!AI$2:AI$78)-IMshareC!AI$35),0))</f>
        <v>0</v>
      </c>
      <c r="AJ2" s="8">
        <f>IF($A2=AJ$1,0,IF(SUM(IMshareC!AJ$2:AJ$78)-IMshareC!AJ$36&gt;0,IMshareC!AJ2/(SUM(IMshareC!AJ$2:AJ$78)-IMshareC!AJ$36),0))</f>
        <v>0</v>
      </c>
      <c r="AK2" s="8">
        <f>IF($A2=AK$1,0,IF(SUM(IMshareC!AK$2:AK$78)-IMshareC!AK$37&gt;0,IMshareC!AK2/(SUM(IMshareC!AK$2:AK$78)-IMshareC!AK$37),0))</f>
        <v>0</v>
      </c>
      <c r="AL2" s="8">
        <f>IF($A2=AL$1,0,IF(SUM(IMshareC!AL$2:AL$78)-IMshareC!AL$38&gt;0,IMshareC!AL2/(SUM(IMshareC!AL$2:AL$78)-IMshareC!AL$38),0))</f>
        <v>3.3465641857321658E-6</v>
      </c>
      <c r="AM2" s="8">
        <f>IF($A2=AM$1,0,IF(SUM(IMshareC!AM$2:AM$78)-IMshareC!AM$39&gt;0,IMshareC!AM2/(SUM(IMshareC!AM$2:AM$78)-IMshareC!AM$39),0))</f>
        <v>0</v>
      </c>
      <c r="AN2" s="8">
        <f>IF($A2=AN$1,0,IF(SUM(IMshareC!AN$2:AN$78)-IMshareC!AN$40&gt;0,IMshareC!AN2/(SUM(IMshareC!AN$2:AN$78)-IMshareC!AN$40),0))</f>
        <v>0</v>
      </c>
      <c r="AO2" s="8">
        <f>IF($A2=AO$1,0,IF(SUM(IMshareC!AO$2:AO$78)-IMshareC!AO$41&gt;0,IMshareC!AO2/(SUM(IMshareC!AO$2:AO$78)-IMshareC!AO$41),0))</f>
        <v>0</v>
      </c>
      <c r="AP2" s="8">
        <f>IF($A2=AP$1,0,IF(SUM(IMshareC!AP$2:AP$78)-IMshareC!AP$42&gt;0,IMshareC!AP2/(SUM(IMshareC!AP$2:AP$78)-IMshareC!AP$42),0))</f>
        <v>0</v>
      </c>
      <c r="AQ2" s="8">
        <f>IF($A2=AQ$1,0,IF(SUM(IMshareC!AQ$2:AQ$78)-IMshareC!AQ$43&gt;0,IMshareC!AQ2/(SUM(IMshareC!AQ$2:AQ$78)-IMshareC!AQ$43),0))</f>
        <v>0</v>
      </c>
      <c r="AR2" s="8">
        <f>IF($A2=AR$1,0,IF(SUM(IMshareC!AR$2:AR$78)-IMshareC!AR$44&gt;0,IMshareC!AR2/(SUM(IMshareC!AR$2:AR$78)-IMshareC!AR$44),0))</f>
        <v>0</v>
      </c>
      <c r="AS2" s="8">
        <f>IF($A2=AS$1,0,IF(SUM(IMshareC!AS$2:AS$78)-IMshareC!AS$45&gt;0,IMshareC!AS2/(SUM(IMshareC!AS$2:AS$78)-IMshareC!AS$45),0))</f>
        <v>1.2975681461389489E-6</v>
      </c>
      <c r="AT2" s="8">
        <f>IF($A2=AT$1,0,IF(SUM(IMshareC!AT$2:AT$78)-IMshareC!AT$46&gt;0,IMshareC!AT2/(SUM(IMshareC!AT$2:AT$78)-IMshareC!AT$46),0))</f>
        <v>0</v>
      </c>
      <c r="AU2" s="8">
        <f>IF($A2=AU$1,0,IF(SUM(IMshareC!AU$2:AU$78)-IMshareC!AU$47&gt;0,IMshareC!AU2/(SUM(IMshareC!AU$2:AU$78)-IMshareC!AU$47),0))</f>
        <v>0</v>
      </c>
      <c r="AV2" s="8">
        <f>IF($A2=AV$1,0,IF(SUM(IMshareC!AV$2:AV$78)-IMshareC!AV$48&gt;0,IMshareC!AV2/(SUM(IMshareC!AV$2:AV$78)-IMshareC!AV$48),0))</f>
        <v>0</v>
      </c>
      <c r="AW2" s="8">
        <f>IF($A2=AW$1,0,IF(SUM(IMshareC!AW$2:AW$78)-IMshareC!AW$49&gt;0,IMshareC!AW2/(SUM(IMshareC!AW$2:AW$78)-IMshareC!AW$49),0))</f>
        <v>4.0454316682717235E-6</v>
      </c>
      <c r="AX2" s="8">
        <f>IF($A2=AX$1,0,IF(SUM(IMshareC!AX$2:AX$78)-IMshareC!AX$50&gt;0,IMshareC!AX2/(SUM(IMshareC!AX$2:AX$78)-IMshareC!AX$50),0))</f>
        <v>0</v>
      </c>
      <c r="AY2" s="8">
        <f>IF($A2=AY$1,0,IF(SUM(IMshareC!AY$2:AY$78)-IMshareC!AY$51&gt;0,IMshareC!AY2/(SUM(IMshareC!AY$2:AY$78)-IMshareC!AY$51),0))</f>
        <v>0</v>
      </c>
      <c r="AZ2" s="8">
        <f>IF($A2=AZ$1,0,IF(SUM(IMshareC!AZ$2:AZ$78)-IMshareC!AZ$52&gt;0,IMshareC!AZ2/(SUM(IMshareC!AZ$2:AZ$78)-IMshareC!AZ$52),0))</f>
        <v>5.3539188475262319E-8</v>
      </c>
      <c r="BA2" s="8">
        <f>IF($A2=BA$1,0,IF(SUM(IMshareC!BA$2:BA$78)-IMshareC!BA$53&gt;0,IMshareC!BA2/(SUM(IMshareC!BA$2:BA$78)-IMshareC!BA$53),0))</f>
        <v>0</v>
      </c>
      <c r="BB2" s="8">
        <f>IF($A2=BB$1,0,IF(SUM(IMshareC!BB$2:BB$78)-IMshareC!BB$54&gt;0,IMshareC!BB2/(SUM(IMshareC!BB$2:BB$78)-IMshareC!BB$54),0))</f>
        <v>1.1705365762532522E-6</v>
      </c>
      <c r="BC2" s="8">
        <f>IF($A2=BC$1,0,IF(SUM(IMshareC!BC$2:BC$78)-IMshareC!BC$55&gt;0,IMshareC!BC2/(SUM(IMshareC!BC$2:BC$78)-IMshareC!BC$55),0))</f>
        <v>5.2860827613379718E-6</v>
      </c>
      <c r="BD2" s="8">
        <f>IF($A2=BD$1,0,IF(SUM(IMshareC!BD$2:BD$78)-IMshareC!BD$56&gt;0,IMshareC!BD2/(SUM(IMshareC!BD$2:BD$78)-IMshareC!BD$56),0))</f>
        <v>0</v>
      </c>
      <c r="BE2" s="8">
        <f>IF($A2=BE$1,0,IF(SUM(IMshareC!BE$2:BE$78)-IMshareC!BE$57&gt;0,IMshareC!BE2/(SUM(IMshareC!BE$2:BE$78)-IMshareC!BE$57),0))</f>
        <v>0</v>
      </c>
      <c r="BF2" s="8">
        <f>IF($A2=BF$1,0,IF(SUM(IMshareC!BF$2:BF$78)-IMshareC!BF$58&gt;0,IMshareC!BF2/(SUM(IMshareC!BF$2:BF$78)-IMshareC!BF$58),0))</f>
        <v>8.3987269504087955E-3</v>
      </c>
      <c r="BG2" s="8">
        <f>IF($A2=BG$1,0,IF(SUM(IMshareC!BG$2:BG$78)-IMshareC!BG$59&gt;0,IMshareC!BG2/(SUM(IMshareC!BG$2:BG$78)-IMshareC!BG$59),0))</f>
        <v>5.3488396730747944E-6</v>
      </c>
      <c r="BH2" s="8">
        <f>IF($A2=BH$1,0,IF(SUM(IMshareC!BH$2:BH$78)-IMshareC!BH$60&gt;0,IMshareC!BH2/(SUM(IMshareC!BH$2:BH$78)-IMshareC!BH$60),0))</f>
        <v>6.3289474610458641E-6</v>
      </c>
      <c r="BI2" s="8">
        <f>IF($A2=BI$1,0,IF(SUM(IMshareC!BI$2:BI$78)-IMshareC!BI$61&gt;0,IMshareC!BI2/(SUM(IMshareC!BI$2:BI$78)-IMshareC!BI$61),0))</f>
        <v>3.6151395037352209E-5</v>
      </c>
      <c r="BJ2" s="8">
        <f>IF($A2=BJ$1,0,IF(SUM(IMshareC!BJ$2:BJ$78)-IMshareC!BJ$62&gt;0,IMshareC!BJ2/(SUM(IMshareC!BJ$2:BJ$78)-IMshareC!BJ$62),0))</f>
        <v>3.0076165865721284E-7</v>
      </c>
      <c r="BK2" s="8">
        <f>IF($A2=BK$1,0,IF(SUM(IMshareC!BK$2:BK$78)-IMshareC!BK$63&gt;0,IMshareC!BK2/(SUM(IMshareC!BK$2:BK$78)-IMshareC!BK$63),0))</f>
        <v>0</v>
      </c>
      <c r="BL2" s="8">
        <f>IF($A2=BL$1,0,IF(SUM(IMshareC!BL$2:BL$78)-IMshareC!BL$64&gt;0,IMshareC!BL2/(SUM(IMshareC!BL$2:BL$78)-IMshareC!BL$64),0))</f>
        <v>0</v>
      </c>
      <c r="BM2" s="8">
        <f>IF($A2=BM$1,0,IF(SUM(IMshareC!BM$2:BM$78)-IMshareC!BM$65&gt;0,IMshareC!BM2/(SUM(IMshareC!BM$2:BM$78)-IMshareC!BM$65),0))</f>
        <v>0</v>
      </c>
      <c r="BN2" s="8">
        <f>IF($A2=BN$1,0,IF(SUM(IMshareC!BN$2:BN$78)-IMshareC!BN$66&gt;0,IMshareC!BN2/(SUM(IMshareC!BN$2:BN$78)-IMshareC!BN$66),0))</f>
        <v>2.4773792538390459E-9</v>
      </c>
      <c r="BO2" s="8">
        <f>IF($A2=BO$1,0,IF(SUM(IMshareC!BO$2:BO$78)-IMshareC!BO$67&gt;0,IMshareC!BO2/(SUM(IMshareC!BO$2:BO$78)-IMshareC!BO$67),0))</f>
        <v>1.2867268273558632E-6</v>
      </c>
      <c r="BP2" s="8">
        <f>IF($A2=BP$1,0,IF(SUM(IMshareC!BP$2:BP$78)-IMshareC!BP$68&gt;0,IMshareC!BP2/(SUM(IMshareC!BP$2:BP$78)-IMshareC!BP$68),0))</f>
        <v>0</v>
      </c>
      <c r="BQ2" s="8">
        <f>IF($A2=BQ$1,0,IF(SUM(IMshareC!BQ$2:BQ$78)-IMshareC!BQ$69&gt;0,IMshareC!BQ2/(SUM(IMshareC!BQ$2:BQ$78)-IMshareC!BQ$69),0))</f>
        <v>1.3414491310878204E-6</v>
      </c>
      <c r="BR2" s="8">
        <f>IF($A2=BR$1,0,IF(SUM(IMshareC!BR$2:BR$78)-IMshareC!BR$70&gt;0,IMshareC!BR2/(SUM(IMshareC!BR$2:BR$78)-IMshareC!BR$70),0))</f>
        <v>2.6205650091356057E-6</v>
      </c>
      <c r="BS2" s="8">
        <f>IF($A2=BS$1,0,IF(SUM(IMshareC!BS$2:BS$78)-IMshareC!BS$71&gt;0,IMshareC!BS2/(SUM(IMshareC!BS$2:BS$78)-IMshareC!BS$71),0))</f>
        <v>0</v>
      </c>
      <c r="BT2" s="8">
        <f>IF($A2=BT$1,0,IF(SUM(IMshareC!BT$2:BT$78)-IMshareC!BT$72&gt;0,IMshareC!BT2/(SUM(IMshareC!BT$2:BT$78)-IMshareC!BT$72),0))</f>
        <v>4.7406016441487357E-7</v>
      </c>
      <c r="BU2" s="8">
        <f>IF($A2=BU$1,0,IF(SUM(IMshareC!BU$2:BU$78)-IMshareC!BU$73&gt;0,IMshareC!BU2/(SUM(IMshareC!BU$2:BU$78)-IMshareC!BU$73),0))</f>
        <v>2.8220759905190581E-8</v>
      </c>
      <c r="BV2" s="8">
        <f>IF($A2=BV$1,0,IF(SUM(IMshareC!BV$2:BV$78)-IMshareC!BV$74&gt;0,IMshareC!BV2/(SUM(IMshareC!BV$2:BV$78)-IMshareC!BV$74),0))</f>
        <v>0</v>
      </c>
      <c r="BW2" s="8">
        <f>IF($A2=BW$1,0,IF(SUM(IMshareC!BW$2:BW$78)-IMshareC!BW$75&gt;0,IMshareC!BW2/(SUM(IMshareC!BW$2:BW$78)-IMshareC!BW$75),0))</f>
        <v>4.6560752309966454E-5</v>
      </c>
      <c r="BX2" s="8">
        <f>IF($A2=BX$1,0,IF(SUM(IMshareC!BX$2:BX$78)-IMshareC!BX$76&gt;0,IMshareC!BX2/(SUM(IMshareC!BX$2:BX$78)-IMshareC!BX$76),0))</f>
        <v>0</v>
      </c>
      <c r="BY2" s="8">
        <f>IF($A2=BY$1,0,IF(SUM(IMshareC!BY$2:BY$78)-IMshareC!BY$77&gt;0,IMshareC!BY2/(SUM(IMshareC!BY$2:BY$78)-IMshareC!BY$77),0))</f>
        <v>6.4861939169376326E-6</v>
      </c>
      <c r="BZ2" s="8">
        <f>IF($A2=BZ$1,0,IF(SUM(IMshareC!BZ$2:BZ$78)-IMshareC!BZ$78&gt;0,IMshareC!BZ2/(SUM(IMshareC!BZ$2:BZ$78)-IMshareC!BZ$78),0))</f>
        <v>5.3664738308510055E-4</v>
      </c>
    </row>
    <row r="3" spans="1:78">
      <c r="A3" s="4" t="s">
        <v>72</v>
      </c>
      <c r="B3" s="8">
        <f>IF($A3=B$1,0,IF(SUM(IMshareC!B$2:B$78)-IMshareC!B$2&gt;0,IMshareC!B3/(SUM(IMshareC!B$2:B$78)-IMshareC!B$2),0))</f>
        <v>1.3227751592398499E-4</v>
      </c>
      <c r="C3" s="8">
        <f>IF($A3=C$1,0,IF(SUM(IMshareC!C$2:C$78)-IMshareC!C$3&gt;0,IMshareC!C3/(SUM(IMshareC!C$2:C$78)-IMshareC!C$3),0))</f>
        <v>0</v>
      </c>
      <c r="D3" s="8">
        <f>IF($A3=D$1,0,IF(SUM(IMshareC!D$2:D$78)-IMshareC!D$4&gt;0,IMshareC!D3/(SUM(IMshareC!D$2:D$78)-IMshareC!D$4),0))</f>
        <v>3.9465248425916234E-4</v>
      </c>
      <c r="E3" s="8">
        <f>IF($A3=E$1,0,IF(SUM(IMshareC!E$2:E$78)-IMshareC!E$5&gt;0,IMshareC!E3/(SUM(IMshareC!E$2:E$78)-IMshareC!E$5),0))</f>
        <v>3.8875977939614789E-5</v>
      </c>
      <c r="F3" s="8">
        <f>IF($A3=F$1,0,IF(SUM(IMshareC!F$2:F$78)-IMshareC!F$6&gt;0,IMshareC!F3/(SUM(IMshareC!F$2:F$78)-IMshareC!F$6),0))</f>
        <v>2.3687235638223684E-5</v>
      </c>
      <c r="G3" s="8">
        <f>IF($A3=G$1,0,IF(SUM(IMshareC!G$2:G$78)-IMshareC!G$7&gt;0,IMshareC!G3/(SUM(IMshareC!G$2:G$78)-IMshareC!G$7),0))</f>
        <v>1.2653016834664041E-5</v>
      </c>
      <c r="H3" s="8">
        <f>IF($A3=H$1,0,IF(SUM(IMshareC!H$2:H$78)-IMshareC!H$8&gt;0,IMshareC!H3/(SUM(IMshareC!H$2:H$78)-IMshareC!H$8),0))</f>
        <v>0</v>
      </c>
      <c r="I3" s="8">
        <f>IF($A3=I$1,0,IF(SUM(IMshareC!I$2:I$78)-IMshareC!I$9&gt;0,IMshareC!I3/(SUM(IMshareC!I$2:I$78)-IMshareC!I$9),0))</f>
        <v>7.3892394024278405E-5</v>
      </c>
      <c r="J3" s="8">
        <f>IF($A3=J$1,0,IF(SUM(IMshareC!J$2:J$78)-IMshareC!J$10&gt;0,IMshareC!J3/(SUM(IMshareC!J$2:J$78)-IMshareC!J$10),0))</f>
        <v>4.8648138395310719E-4</v>
      </c>
      <c r="K3" s="8">
        <f>IF($A3=K$1,0,IF(SUM(IMshareC!K$2:K$78)-IMshareC!K$11&gt;0,IMshareC!K3/(SUM(IMshareC!K$2:K$78)-IMshareC!K$11),0))</f>
        <v>7.9188175231933501E-4</v>
      </c>
      <c r="L3" s="8">
        <f>IF($A3=L$1,0,IF(SUM(IMshareC!L$2:L$78)-IMshareC!L$12&gt;0,IMshareC!L3/(SUM(IMshareC!L$2:L$78)-IMshareC!L$12),0))</f>
        <v>3.7634693603286071E-4</v>
      </c>
      <c r="M3" s="8">
        <f>IF($A3=M$1,0,IF(SUM(IMshareC!M$2:M$78)-IMshareC!M$13&gt;0,IMshareC!M3/(SUM(IMshareC!M$2:M$78)-IMshareC!M$13),0))</f>
        <v>4.3865581764626705E-3</v>
      </c>
      <c r="N3" s="8">
        <f>IF($A3=N$1,0,IF(SUM(IMshareC!N$2:N$78)-IMshareC!N$14&gt;0,IMshareC!N3/(SUM(IMshareC!N$2:N$78)-IMshareC!N$14),0))</f>
        <v>1.579578530824226E-5</v>
      </c>
      <c r="O3" s="8">
        <f>IF($A3=O$1,0,IF(SUM(IMshareC!O$2:O$78)-IMshareC!O$15&gt;0,IMshareC!O3/(SUM(IMshareC!O$2:O$78)-IMshareC!O$15),0))</f>
        <v>7.1721110594768689E-3</v>
      </c>
      <c r="P3" s="8">
        <f>IF($A3=P$1,0,IF(SUM(IMshareC!P$2:P$78)-IMshareC!P$16&gt;0,IMshareC!P3/(SUM(IMshareC!P$2:P$78)-IMshareC!P$16),0))</f>
        <v>0</v>
      </c>
      <c r="Q3" s="8">
        <f>IF($A3=Q$1,0,IF(SUM(IMshareC!Q$2:Q$78)-IMshareC!Q$17&gt;0,IMshareC!Q3/(SUM(IMshareC!Q$2:Q$78)-IMshareC!Q$17),0))</f>
        <v>4.7185736464500137E-4</v>
      </c>
      <c r="R3" s="8">
        <f>IF($A3=R$1,0,IF(SUM(IMshareC!R$2:R$78)-IMshareC!R$18&gt;0,IMshareC!R3/(SUM(IMshareC!R$2:R$78)-IMshareC!R$18),0))</f>
        <v>1.0974103204834354E-3</v>
      </c>
      <c r="S3" s="8">
        <f>IF($A3=S$1,0,IF(SUM(IMshareC!S$2:S$78)-IMshareC!S$19&gt;0,IMshareC!S3/(SUM(IMshareC!S$2:S$78)-IMshareC!S$19),0))</f>
        <v>0</v>
      </c>
      <c r="T3" s="8">
        <f>IF($A3=T$1,0,IF(SUM(IMshareC!T$2:T$78)-IMshareC!T$20&gt;0,IMshareC!T3/(SUM(IMshareC!T$2:T$78)-IMshareC!T$20),0))</f>
        <v>3.6201524744124802E-5</v>
      </c>
      <c r="U3" s="8">
        <f>IF($A3=U$1,0,IF(SUM(IMshareC!U$2:U$78)-IMshareC!U$21&gt;0,IMshareC!U3/(SUM(IMshareC!U$2:U$78)-IMshareC!U$21),0))</f>
        <v>8.2332102265223305E-5</v>
      </c>
      <c r="V3" s="8">
        <f>IF($A3=V$1,0,IF(SUM(IMshareC!V$2:V$78)-IMshareC!V$22&gt;0,IMshareC!V3/(SUM(IMshareC!V$2:V$78)-IMshareC!V$22),0))</f>
        <v>1.3225520361590746E-4</v>
      </c>
      <c r="W3" s="8">
        <f>IF($A3=W$1,0,IF(SUM(IMshareC!W$2:W$78)-IMshareC!W$23&gt;0,IMshareC!W3/(SUM(IMshareC!W$2:W$78)-IMshareC!W$23),0))</f>
        <v>4.5618723780802397E-4</v>
      </c>
      <c r="X3" s="8">
        <f>IF($A3=X$1,0,IF(SUM(IMshareC!X$2:X$78)-IMshareC!X$24&gt;0,IMshareC!X3/(SUM(IMshareC!X$2:X$78)-IMshareC!X$24),0))</f>
        <v>3.5863895233060987E-4</v>
      </c>
      <c r="Y3" s="8">
        <f>IF($A3=Y$1,0,IF(SUM(IMshareC!Y$2:Y$78)-IMshareC!Y$25&gt;0,IMshareC!Y3/(SUM(IMshareC!Y$2:Y$78)-IMshareC!Y$25),0))</f>
        <v>1.7145387254035205E-4</v>
      </c>
      <c r="Z3" s="8">
        <f>IF($A3=Z$1,0,IF(SUM(IMshareC!Z$2:Z$78)-IMshareC!Z$26&gt;0,IMshareC!Z3/(SUM(IMshareC!Z$2:Z$78)-IMshareC!Z$26),0))</f>
        <v>1.233387746390104E-4</v>
      </c>
      <c r="AA3" s="8">
        <f>IF($A3=AA$1,0,IF(SUM(IMshareC!AA$2:AA$78)-IMshareC!AA$27&gt;0,IMshareC!AA3/(SUM(IMshareC!AA$2:AA$78)-IMshareC!AA$27),0))</f>
        <v>2.5517402807297552E-4</v>
      </c>
      <c r="AB3" s="8">
        <f>IF($A3=AB$1,0,IF(SUM(IMshareC!AB$2:AB$78)-IMshareC!AB$28&gt;0,IMshareC!AB3/(SUM(IMshareC!AB$2:AB$78)-IMshareC!AB$28),0))</f>
        <v>5.2626645915520578E-4</v>
      </c>
      <c r="AC3" s="8">
        <f>IF($A3=AC$1,0,IF(SUM(IMshareC!AC$2:AC$78)-IMshareC!AC$29&gt;0,IMshareC!AC3/(SUM(IMshareC!AC$2:AC$78)-IMshareC!AC$29),0))</f>
        <v>8.5809804563716178E-5</v>
      </c>
      <c r="AD3" s="8">
        <f>IF($A3=AD$1,0,IF(SUM(IMshareC!AD$2:AD$78)-IMshareC!AD$30&gt;0,IMshareC!AD3/(SUM(IMshareC!AD$2:AD$78)-IMshareC!AD$30),0))</f>
        <v>5.4153758928402112E-5</v>
      </c>
      <c r="AE3" s="8">
        <f>IF($A3=AE$1,0,IF(SUM(IMshareC!AE$2:AE$78)-IMshareC!AE$31&gt;0,IMshareC!AE3/(SUM(IMshareC!AE$2:AE$78)-IMshareC!AE$31),0))</f>
        <v>2.8497173016208299E-5</v>
      </c>
      <c r="AF3" s="8">
        <f>IF($A3=AF$1,0,IF(SUM(IMshareC!AF$2:AF$78)-IMshareC!AF$32&gt;0,IMshareC!AF3/(SUM(IMshareC!AF$2:AF$78)-IMshareC!AF$32),0))</f>
        <v>1.9296236252533026E-5</v>
      </c>
      <c r="AG3" s="8">
        <f>IF($A3=AG$1,0,IF(SUM(IMshareC!AG$2:AG$78)-IMshareC!AG$33&gt;0,IMshareC!AG3/(SUM(IMshareC!AG$2:AG$78)-IMshareC!AG$33),0))</f>
        <v>7.6689076953981913E-4</v>
      </c>
      <c r="AH3" s="8">
        <f>IF($A3=AH$1,0,IF(SUM(IMshareC!AH$2:AH$78)-IMshareC!AH$34&gt;0,IMshareC!AH3/(SUM(IMshareC!AH$2:AH$78)-IMshareC!AH$34),0))</f>
        <v>1.5560129980048262E-4</v>
      </c>
      <c r="AI3" s="8">
        <f>IF($A3=AI$1,0,IF(SUM(IMshareC!AI$2:AI$78)-IMshareC!AI$35&gt;0,IMshareC!AI3/(SUM(IMshareC!AI$2:AI$78)-IMshareC!AI$35),0))</f>
        <v>1.9680363133645232E-5</v>
      </c>
      <c r="AJ3" s="8">
        <f>IF($A3=AJ$1,0,IF(SUM(IMshareC!AJ$2:AJ$78)-IMshareC!AJ$36&gt;0,IMshareC!AJ3/(SUM(IMshareC!AJ$2:AJ$78)-IMshareC!AJ$36),0))</f>
        <v>1.0665129948851497E-4</v>
      </c>
      <c r="AK3" s="8">
        <f>IF($A3=AK$1,0,IF(SUM(IMshareC!AK$2:AK$78)-IMshareC!AK$37&gt;0,IMshareC!AK3/(SUM(IMshareC!AK$2:AK$78)-IMshareC!AK$37),0))</f>
        <v>3.8464600211236523E-4</v>
      </c>
      <c r="AL3" s="8">
        <f>IF($A3=AL$1,0,IF(SUM(IMshareC!AL$2:AL$78)-IMshareC!AL$38&gt;0,IMshareC!AL3/(SUM(IMshareC!AL$2:AL$78)-IMshareC!AL$38),0))</f>
        <v>4.8644202914743463E-5</v>
      </c>
      <c r="AM3" s="8">
        <f>IF($A3=AM$1,0,IF(SUM(IMshareC!AM$2:AM$78)-IMshareC!AM$39&gt;0,IMshareC!AM3/(SUM(IMshareC!AM$2:AM$78)-IMshareC!AM$39),0))</f>
        <v>4.4556636362614417E-4</v>
      </c>
      <c r="AN3" s="8">
        <f>IF($A3=AN$1,0,IF(SUM(IMshareC!AN$2:AN$78)-IMshareC!AN$40&gt;0,IMshareC!AN3/(SUM(IMshareC!AN$2:AN$78)-IMshareC!AN$40),0))</f>
        <v>5.2788592485438935E-5</v>
      </c>
      <c r="AO3" s="8">
        <f>IF($A3=AO$1,0,IF(SUM(IMshareC!AO$2:AO$78)-IMshareC!AO$41&gt;0,IMshareC!AO3/(SUM(IMshareC!AO$2:AO$78)-IMshareC!AO$41),0))</f>
        <v>5.8856421647179805E-3</v>
      </c>
      <c r="AP3" s="8">
        <f>IF($A3=AP$1,0,IF(SUM(IMshareC!AP$2:AP$78)-IMshareC!AP$42&gt;0,IMshareC!AP3/(SUM(IMshareC!AP$2:AP$78)-IMshareC!AP$42),0))</f>
        <v>8.5264831694399482E-5</v>
      </c>
      <c r="AQ3" s="8">
        <f>IF($A3=AQ$1,0,IF(SUM(IMshareC!AQ$2:AQ$78)-IMshareC!AQ$43&gt;0,IMshareC!AQ3/(SUM(IMshareC!AQ$2:AQ$78)-IMshareC!AQ$43),0))</f>
        <v>4.2391869141984985E-6</v>
      </c>
      <c r="AR3" s="8">
        <f>IF($A3=AR$1,0,IF(SUM(IMshareC!AR$2:AR$78)-IMshareC!AR$44&gt;0,IMshareC!AR3/(SUM(IMshareC!AR$2:AR$78)-IMshareC!AR$44),0))</f>
        <v>3.7381066202626982E-4</v>
      </c>
      <c r="AS3" s="8">
        <f>IF($A3=AS$1,0,IF(SUM(IMshareC!AS$2:AS$78)-IMshareC!AS$45&gt;0,IMshareC!AS3/(SUM(IMshareC!AS$2:AS$78)-IMshareC!AS$45),0))</f>
        <v>7.98304772872245E-5</v>
      </c>
      <c r="AT3" s="8">
        <f>IF($A3=AT$1,0,IF(SUM(IMshareC!AT$2:AT$78)-IMshareC!AT$46&gt;0,IMshareC!AT3/(SUM(IMshareC!AT$2:AT$78)-IMshareC!AT$46),0))</f>
        <v>3.4984559365271042E-6</v>
      </c>
      <c r="AU3" s="8">
        <f>IF($A3=AU$1,0,IF(SUM(IMshareC!AU$2:AU$78)-IMshareC!AU$47&gt;0,IMshareC!AU3/(SUM(IMshareC!AU$2:AU$78)-IMshareC!AU$47),0))</f>
        <v>7.0516970440123174E-4</v>
      </c>
      <c r="AV3" s="8">
        <f>IF($A3=AV$1,0,IF(SUM(IMshareC!AV$2:AV$78)-IMshareC!AV$48&gt;0,IMshareC!AV3/(SUM(IMshareC!AV$2:AV$78)-IMshareC!AV$48),0))</f>
        <v>3.7402504549871439E-5</v>
      </c>
      <c r="AW3" s="8">
        <f>IF($A3=AW$1,0,IF(SUM(IMshareC!AW$2:AW$78)-IMshareC!AW$49&gt;0,IMshareC!AW3/(SUM(IMshareC!AW$2:AW$78)-IMshareC!AW$49),0))</f>
        <v>3.5697415538397823E-4</v>
      </c>
      <c r="AX3" s="8">
        <f>IF($A3=AX$1,0,IF(SUM(IMshareC!AX$2:AX$78)-IMshareC!AX$50&gt;0,IMshareC!AX3/(SUM(IMshareC!AX$2:AX$78)-IMshareC!AX$50),0))</f>
        <v>2.0366802212393591E-5</v>
      </c>
      <c r="AY3" s="8">
        <f>IF($A3=AY$1,0,IF(SUM(IMshareC!AY$2:AY$78)-IMshareC!AY$51&gt;0,IMshareC!AY3/(SUM(IMshareC!AY$2:AY$78)-IMshareC!AY$51),0))</f>
        <v>7.9730747547303413E-4</v>
      </c>
      <c r="AZ3" s="8">
        <f>IF($A3=AZ$1,0,IF(SUM(IMshareC!AZ$2:AZ$78)-IMshareC!AZ$52&gt;0,IMshareC!AZ3/(SUM(IMshareC!AZ$2:AZ$78)-IMshareC!AZ$52),0))</f>
        <v>1.156523626968763E-4</v>
      </c>
      <c r="BA3" s="8">
        <f>IF($A3=BA$1,0,IF(SUM(IMshareC!BA$2:BA$78)-IMshareC!BA$53&gt;0,IMshareC!BA3/(SUM(IMshareC!BA$2:BA$78)-IMshareC!BA$53),0))</f>
        <v>4.6554949144062718E-4</v>
      </c>
      <c r="BB3" s="8">
        <f>IF($A3=BB$1,0,IF(SUM(IMshareC!BB$2:BB$78)-IMshareC!BB$54&gt;0,IMshareC!BB3/(SUM(IMshareC!BB$2:BB$78)-IMshareC!BB$54),0))</f>
        <v>9.5320764731553253E-4</v>
      </c>
      <c r="BC3" s="8">
        <f>IF($A3=BC$1,0,IF(SUM(IMshareC!BC$2:BC$78)-IMshareC!BC$55&gt;0,IMshareC!BC3/(SUM(IMshareC!BC$2:BC$78)-IMshareC!BC$55),0))</f>
        <v>3.2753909175518847E-4</v>
      </c>
      <c r="BD3" s="8">
        <f>IF($A3=BD$1,0,IF(SUM(IMshareC!BD$2:BD$78)-IMshareC!BD$56&gt;0,IMshareC!BD3/(SUM(IMshareC!BD$2:BD$78)-IMshareC!BD$56),0))</f>
        <v>4.0654925785292728E-2</v>
      </c>
      <c r="BE3" s="8">
        <f>IF($A3=BE$1,0,IF(SUM(IMshareC!BE$2:BE$78)-IMshareC!BE$57&gt;0,IMshareC!BE3/(SUM(IMshareC!BE$2:BE$78)-IMshareC!BE$57),0))</f>
        <v>1.639155106669554E-3</v>
      </c>
      <c r="BF3" s="8">
        <f>IF($A3=BF$1,0,IF(SUM(IMshareC!BF$2:BF$78)-IMshareC!BF$58&gt;0,IMshareC!BF3/(SUM(IMshareC!BF$2:BF$78)-IMshareC!BF$58),0))</f>
        <v>2.676695517657778E-3</v>
      </c>
      <c r="BG3" s="8">
        <f>IF($A3=BG$1,0,IF(SUM(IMshareC!BG$2:BG$78)-IMshareC!BG$59&gt;0,IMshareC!BG3/(SUM(IMshareC!BG$2:BG$78)-IMshareC!BG$59),0))</f>
        <v>6.6210058154581199E-5</v>
      </c>
      <c r="BH3" s="8">
        <f>IF($A3=BH$1,0,IF(SUM(IMshareC!BH$2:BH$78)-IMshareC!BH$60&gt;0,IMshareC!BH3/(SUM(IMshareC!BH$2:BH$78)-IMshareC!BH$60),0))</f>
        <v>3.9333492748816987E-5</v>
      </c>
      <c r="BI3" s="8">
        <f>IF($A3=BI$1,0,IF(SUM(IMshareC!BI$2:BI$78)-IMshareC!BI$61&gt;0,IMshareC!BI3/(SUM(IMshareC!BI$2:BI$78)-IMshareC!BI$61),0))</f>
        <v>1.4002228703209973E-5</v>
      </c>
      <c r="BJ3" s="8">
        <f>IF($A3=BJ$1,0,IF(SUM(IMshareC!BJ$2:BJ$78)-IMshareC!BJ$62&gt;0,IMshareC!BJ3/(SUM(IMshareC!BJ$2:BJ$78)-IMshareC!BJ$62),0))</f>
        <v>5.6158778428799145E-6</v>
      </c>
      <c r="BK3" s="8">
        <f>IF($A3=BK$1,0,IF(SUM(IMshareC!BK$2:BK$78)-IMshareC!BK$63&gt;0,IMshareC!BK3/(SUM(IMshareC!BK$2:BK$78)-IMshareC!BK$63),0))</f>
        <v>3.0169383482903312E-6</v>
      </c>
      <c r="BL3" s="8">
        <f>IF($A3=BL$1,0,IF(SUM(IMshareC!BL$2:BL$78)-IMshareC!BL$64&gt;0,IMshareC!BL3/(SUM(IMshareC!BL$2:BL$78)-IMshareC!BL$64),0))</f>
        <v>3.1982230597577888E-4</v>
      </c>
      <c r="BM3" s="8">
        <f>IF($A3=BM$1,0,IF(SUM(IMshareC!BM$2:BM$78)-IMshareC!BM$65&gt;0,IMshareC!BM3/(SUM(IMshareC!BM$2:BM$78)-IMshareC!BM$65),0))</f>
        <v>3.8663012764593671E-3</v>
      </c>
      <c r="BN3" s="8">
        <f>IF($A3=BN$1,0,IF(SUM(IMshareC!BN$2:BN$78)-IMshareC!BN$66&gt;0,IMshareC!BN3/(SUM(IMshareC!BN$2:BN$78)-IMshareC!BN$66),0))</f>
        <v>2.9702508869525359E-5</v>
      </c>
      <c r="BO3" s="8">
        <f>IF($A3=BO$1,0,IF(SUM(IMshareC!BO$2:BO$78)-IMshareC!BO$67&gt;0,IMshareC!BO3/(SUM(IMshareC!BO$2:BO$78)-IMshareC!BO$67),0))</f>
        <v>2.1785303252016124E-4</v>
      </c>
      <c r="BP3" s="8">
        <f>IF($A3=BP$1,0,IF(SUM(IMshareC!BP$2:BP$78)-IMshareC!BP$68&gt;0,IMshareC!BP3/(SUM(IMshareC!BP$2:BP$78)-IMshareC!BP$68),0))</f>
        <v>1.3447210881865126E-4</v>
      </c>
      <c r="BQ3" s="8">
        <f>IF($A3=BQ$1,0,IF(SUM(IMshareC!BQ$2:BQ$78)-IMshareC!BQ$69&gt;0,IMshareC!BQ3/(SUM(IMshareC!BQ$2:BQ$78)-IMshareC!BQ$69),0))</f>
        <v>7.9047923536457968E-4</v>
      </c>
      <c r="BR3" s="8">
        <f>IF($A3=BR$1,0,IF(SUM(IMshareC!BR$2:BR$78)-IMshareC!BR$70&gt;0,IMshareC!BR3/(SUM(IMshareC!BR$2:BR$78)-IMshareC!BR$70),0))</f>
        <v>6.7193862872764467E-4</v>
      </c>
      <c r="BS3" s="8">
        <f>IF($A3=BS$1,0,IF(SUM(IMshareC!BS$2:BS$78)-IMshareC!BS$71&gt;0,IMshareC!BS3/(SUM(IMshareC!BS$2:BS$78)-IMshareC!BS$71),0))</f>
        <v>9.7349047483951134E-6</v>
      </c>
      <c r="BT3" s="8">
        <f>IF($A3=BT$1,0,IF(SUM(IMshareC!BT$2:BT$78)-IMshareC!BT$72&gt;0,IMshareC!BT3/(SUM(IMshareC!BT$2:BT$78)-IMshareC!BT$72),0))</f>
        <v>1.1418405806731435E-4</v>
      </c>
      <c r="BU3" s="8">
        <f>IF($A3=BU$1,0,IF(SUM(IMshareC!BU$2:BU$78)-IMshareC!BU$73&gt;0,IMshareC!BU3/(SUM(IMshareC!BU$2:BU$78)-IMshareC!BU$73),0))</f>
        <v>2.596135487960962E-5</v>
      </c>
      <c r="BV3" s="8">
        <f>IF($A3=BV$1,0,IF(SUM(IMshareC!BV$2:BV$78)-IMshareC!BV$74&gt;0,IMshareC!BV3/(SUM(IMshareC!BV$2:BV$78)-IMshareC!BV$74),0))</f>
        <v>9.9808460796594424E-6</v>
      </c>
      <c r="BW3" s="8">
        <f>IF($A3=BW$1,0,IF(SUM(IMshareC!BW$2:BW$78)-IMshareC!BW$75&gt;0,IMshareC!BW3/(SUM(IMshareC!BW$2:BW$78)-IMshareC!BW$75),0))</f>
        <v>5.231906121502582E-4</v>
      </c>
      <c r="BX3" s="8">
        <f>IF($A3=BX$1,0,IF(SUM(IMshareC!BX$2:BX$78)-IMshareC!BX$76&gt;0,IMshareC!BX3/(SUM(IMshareC!BX$2:BX$78)-IMshareC!BX$76),0))</f>
        <v>1.6844360411519615E-5</v>
      </c>
      <c r="BY3" s="8">
        <f>IF($A3=BY$1,0,IF(SUM(IMshareC!BY$2:BY$78)-IMshareC!BY$77&gt;0,IMshareC!BY3/(SUM(IMshareC!BY$2:BY$78)-IMshareC!BY$77),0))</f>
        <v>9.014549612150629E-3</v>
      </c>
      <c r="BZ3" s="8">
        <f>IF($A3=BZ$1,0,IF(SUM(IMshareC!BZ$2:BZ$78)-IMshareC!BZ$78&gt;0,IMshareC!BZ3/(SUM(IMshareC!BZ$2:BZ$78)-IMshareC!BZ$78),0))</f>
        <v>1.1932068607589702E-3</v>
      </c>
    </row>
    <row r="4" spans="1:78">
      <c r="A4" s="4" t="s">
        <v>74</v>
      </c>
      <c r="B4" s="8">
        <f>IF($A4=B$1,0,IF(SUM(IMshareC!B$2:B$78)-IMshareC!B$2&gt;0,IMshareC!B4/(SUM(IMshareC!B$2:B$78)-IMshareC!B$2),0))</f>
        <v>4.5781669940341587E-4</v>
      </c>
      <c r="C4" s="8">
        <f>IF($A4=C$1,0,IF(SUM(IMshareC!C$2:C$78)-IMshareC!C$3&gt;0,IMshareC!C4/(SUM(IMshareC!C$2:C$78)-IMshareC!C$3),0))</f>
        <v>1.4332840352214146E-2</v>
      </c>
      <c r="D4" s="8">
        <f>IF($A4=D$1,0,IF(SUM(IMshareC!D$2:D$78)-IMshareC!D$4&gt;0,IMshareC!D4/(SUM(IMshareC!D$2:D$78)-IMshareC!D$4),0))</f>
        <v>0</v>
      </c>
      <c r="E4" s="8">
        <f>IF($A4=E$1,0,IF(SUM(IMshareC!E$2:E$78)-IMshareC!E$5&gt;0,IMshareC!E4/(SUM(IMshareC!E$2:E$78)-IMshareC!E$5),0))</f>
        <v>5.3784325565412741E-4</v>
      </c>
      <c r="F4" s="8">
        <f>IF($A4=F$1,0,IF(SUM(IMshareC!F$2:F$78)-IMshareC!F$6&gt;0,IMshareC!F4/(SUM(IMshareC!F$2:F$78)-IMshareC!F$6),0))</f>
        <v>6.3008054735427647E-5</v>
      </c>
      <c r="G4" s="8">
        <f>IF($A4=G$1,0,IF(SUM(IMshareC!G$2:G$78)-IMshareC!G$7&gt;0,IMshareC!G4/(SUM(IMshareC!G$2:G$78)-IMshareC!G$7),0))</f>
        <v>2.7519445759715773E-2</v>
      </c>
      <c r="H4" s="8">
        <f>IF($A4=H$1,0,IF(SUM(IMshareC!H$2:H$78)-IMshareC!H$8&gt;0,IMshareC!H4/(SUM(IMshareC!H$2:H$78)-IMshareC!H$8),0))</f>
        <v>1.7961656372732606E-3</v>
      </c>
      <c r="I4" s="8">
        <f>IF($A4=I$1,0,IF(SUM(IMshareC!I$2:I$78)-IMshareC!I$9&gt;0,IMshareC!I4/(SUM(IMshareC!I$2:I$78)-IMshareC!I$9),0))</f>
        <v>8.7326156751992034E-4</v>
      </c>
      <c r="J4" s="8">
        <f>IF($A4=J$1,0,IF(SUM(IMshareC!J$2:J$78)-IMshareC!J$10&gt;0,IMshareC!J4/(SUM(IMshareC!J$2:J$78)-IMshareC!J$10),0))</f>
        <v>3.1283379411962072E-5</v>
      </c>
      <c r="K4" s="8">
        <f>IF($A4=K$1,0,IF(SUM(IMshareC!K$2:K$78)-IMshareC!K$11&gt;0,IMshareC!K4/(SUM(IMshareC!K$2:K$78)-IMshareC!K$11),0))</f>
        <v>1.5724727365114125E-3</v>
      </c>
      <c r="L4" s="8">
        <f>IF($A4=L$1,0,IF(SUM(IMshareC!L$2:L$78)-IMshareC!L$12&gt;0,IMshareC!L4/(SUM(IMshareC!L$2:L$78)-IMshareC!L$12),0))</f>
        <v>2.3685962701747224E-2</v>
      </c>
      <c r="M4" s="8">
        <f>IF($A4=M$1,0,IF(SUM(IMshareC!M$2:M$78)-IMshareC!M$13&gt;0,IMshareC!M4/(SUM(IMshareC!M$2:M$78)-IMshareC!M$13),0))</f>
        <v>3.3350002031021556E-3</v>
      </c>
      <c r="N4" s="8">
        <f>IF($A4=N$1,0,IF(SUM(IMshareC!N$2:N$78)-IMshareC!N$14&gt;0,IMshareC!N4/(SUM(IMshareC!N$2:N$78)-IMshareC!N$14),0))</f>
        <v>4.7399080235645139E-4</v>
      </c>
      <c r="O4" s="8">
        <f>IF($A4=O$1,0,IF(SUM(IMshareC!O$2:O$78)-IMshareC!O$15&gt;0,IMshareC!O4/(SUM(IMshareC!O$2:O$78)-IMshareC!O$15),0))</f>
        <v>2.1330476506946916E-3</v>
      </c>
      <c r="P4" s="8">
        <f>IF($A4=P$1,0,IF(SUM(IMshareC!P$2:P$78)-IMshareC!P$16&gt;0,IMshareC!P4/(SUM(IMshareC!P$2:P$78)-IMshareC!P$16),0))</f>
        <v>9.5117268397283282E-4</v>
      </c>
      <c r="Q4" s="8">
        <f>IF($A4=Q$1,0,IF(SUM(IMshareC!Q$2:Q$78)-IMshareC!Q$17&gt;0,IMshareC!Q4/(SUM(IMshareC!Q$2:Q$78)-IMshareC!Q$17),0))</f>
        <v>1.8984910574617996E-3</v>
      </c>
      <c r="R4" s="8">
        <f>IF($A4=R$1,0,IF(SUM(IMshareC!R$2:R$78)-IMshareC!R$18&gt;0,IMshareC!R4/(SUM(IMshareC!R$2:R$78)-IMshareC!R$18),0))</f>
        <v>3.8992794556238651E-4</v>
      </c>
      <c r="S4" s="8">
        <f>IF($A4=S$1,0,IF(SUM(IMshareC!S$2:S$78)-IMshareC!S$19&gt;0,IMshareC!S4/(SUM(IMshareC!S$2:S$78)-IMshareC!S$19),0))</f>
        <v>2.3537499072568937E-2</v>
      </c>
      <c r="T4" s="8">
        <f>IF($A4=T$1,0,IF(SUM(IMshareC!T$2:T$78)-IMshareC!T$20&gt;0,IMshareC!T4/(SUM(IMshareC!T$2:T$78)-IMshareC!T$20),0))</f>
        <v>4.1803614343628023E-3</v>
      </c>
      <c r="U4" s="8">
        <f>IF($A4=U$1,0,IF(SUM(IMshareC!U$2:U$78)-IMshareC!U$21&gt;0,IMshareC!U4/(SUM(IMshareC!U$2:U$78)-IMshareC!U$21),0))</f>
        <v>9.6147276594173367E-3</v>
      </c>
      <c r="V4" s="8">
        <f>IF($A4=V$1,0,IF(SUM(IMshareC!V$2:V$78)-IMshareC!V$22&gt;0,IMshareC!V4/(SUM(IMshareC!V$2:V$78)-IMshareC!V$22),0))</f>
        <v>1.2570563145193654E-2</v>
      </c>
      <c r="W4" s="8">
        <f>IF($A4=W$1,0,IF(SUM(IMshareC!W$2:W$78)-IMshareC!W$23&gt;0,IMshareC!W4/(SUM(IMshareC!W$2:W$78)-IMshareC!W$23),0))</f>
        <v>8.3694016765618472E-4</v>
      </c>
      <c r="X4" s="8">
        <f>IF($A4=X$1,0,IF(SUM(IMshareC!X$2:X$78)-IMshareC!X$24&gt;0,IMshareC!X4/(SUM(IMshareC!X$2:X$78)-IMshareC!X$24),0))</f>
        <v>2.6596040002514736E-3</v>
      </c>
      <c r="Y4" s="8">
        <f>IF($A4=Y$1,0,IF(SUM(IMshareC!Y$2:Y$78)-IMshareC!Y$25&gt;0,IMshareC!Y4/(SUM(IMshareC!Y$2:Y$78)-IMshareC!Y$25),0))</f>
        <v>1.1911806588924775E-3</v>
      </c>
      <c r="Z4" s="8">
        <f>IF($A4=Z$1,0,IF(SUM(IMshareC!Z$2:Z$78)-IMshareC!Z$26&gt;0,IMshareC!Z4/(SUM(IMshareC!Z$2:Z$78)-IMshareC!Z$26),0))</f>
        <v>1.3349519215440869E-3</v>
      </c>
      <c r="AA4" s="8">
        <f>IF($A4=AA$1,0,IF(SUM(IMshareC!AA$2:AA$78)-IMshareC!AA$27&gt;0,IMshareC!AA4/(SUM(IMshareC!AA$2:AA$78)-IMshareC!AA$27),0))</f>
        <v>2.6728012138967387E-3</v>
      </c>
      <c r="AB4" s="8">
        <f>IF($A4=AB$1,0,IF(SUM(IMshareC!AB$2:AB$78)-IMshareC!AB$28&gt;0,IMshareC!AB4/(SUM(IMshareC!AB$2:AB$78)-IMshareC!AB$28),0))</f>
        <v>3.1510161870789513E-3</v>
      </c>
      <c r="AC4" s="8">
        <f>IF($A4=AC$1,0,IF(SUM(IMshareC!AC$2:AC$78)-IMshareC!AC$29&gt;0,IMshareC!AC4/(SUM(IMshareC!AC$2:AC$78)-IMshareC!AC$29),0))</f>
        <v>1.5104272359412712E-2</v>
      </c>
      <c r="AD4" s="8">
        <f>IF($A4=AD$1,0,IF(SUM(IMshareC!AD$2:AD$78)-IMshareC!AD$30&gt;0,IMshareC!AD4/(SUM(IMshareC!AD$2:AD$78)-IMshareC!AD$30),0))</f>
        <v>2.2336225023972389E-4</v>
      </c>
      <c r="AE4" s="8">
        <f>IF($A4=AE$1,0,IF(SUM(IMshareC!AE$2:AE$78)-IMshareC!AE$31&gt;0,IMshareC!AE4/(SUM(IMshareC!AE$2:AE$78)-IMshareC!AE$31),0))</f>
        <v>2.0631581414502088E-2</v>
      </c>
      <c r="AF4" s="8">
        <f>IF($A4=AF$1,0,IF(SUM(IMshareC!AF$2:AF$78)-IMshareC!AF$32&gt;0,IMshareC!AF4/(SUM(IMshareC!AF$2:AF$78)-IMshareC!AF$32),0))</f>
        <v>1.1430360674476519E-2</v>
      </c>
      <c r="AG4" s="8">
        <f>IF($A4=AG$1,0,IF(SUM(IMshareC!AG$2:AG$78)-IMshareC!AG$33&gt;0,IMshareC!AG4/(SUM(IMshareC!AG$2:AG$78)-IMshareC!AG$33),0))</f>
        <v>1.3793493223265682E-3</v>
      </c>
      <c r="AH4" s="8">
        <f>IF($A4=AH$1,0,IF(SUM(IMshareC!AH$2:AH$78)-IMshareC!AH$34&gt;0,IMshareC!AH4/(SUM(IMshareC!AH$2:AH$78)-IMshareC!AH$34),0))</f>
        <v>2.0568635451696682E-4</v>
      </c>
      <c r="AI4" s="8">
        <f>IF($A4=AI$1,0,IF(SUM(IMshareC!AI$2:AI$78)-IMshareC!AI$35&gt;0,IMshareC!AI4/(SUM(IMshareC!AI$2:AI$78)-IMshareC!AI$35),0))</f>
        <v>1.2557185909701143E-4</v>
      </c>
      <c r="AJ4" s="8">
        <f>IF($A4=AJ$1,0,IF(SUM(IMshareC!AJ$2:AJ$78)-IMshareC!AJ$36&gt;0,IMshareC!AJ4/(SUM(IMshareC!AJ$2:AJ$78)-IMshareC!AJ$36),0))</f>
        <v>1.2962125623002167E-2</v>
      </c>
      <c r="AK4" s="8">
        <f>IF($A4=AK$1,0,IF(SUM(IMshareC!AK$2:AK$78)-IMshareC!AK$37&gt;0,IMshareC!AK4/(SUM(IMshareC!AK$2:AK$78)-IMshareC!AK$37),0))</f>
        <v>1.3042497261526852E-3</v>
      </c>
      <c r="AL4" s="8">
        <f>IF($A4=AL$1,0,IF(SUM(IMshareC!AL$2:AL$78)-IMshareC!AL$38&gt;0,IMshareC!AL4/(SUM(IMshareC!AL$2:AL$78)-IMshareC!AL$38),0))</f>
        <v>9.2663115404864223E-3</v>
      </c>
      <c r="AM4" s="8">
        <f>IF($A4=AM$1,0,IF(SUM(IMshareC!AM$2:AM$78)-IMshareC!AM$39&gt;0,IMshareC!AM4/(SUM(IMshareC!AM$2:AM$78)-IMshareC!AM$39),0))</f>
        <v>1.3859284034677562E-3</v>
      </c>
      <c r="AN4" s="8">
        <f>IF($A4=AN$1,0,IF(SUM(IMshareC!AN$2:AN$78)-IMshareC!AN$40&gt;0,IMshareC!AN4/(SUM(IMshareC!AN$2:AN$78)-IMshareC!AN$40),0))</f>
        <v>1.6775419753988874E-3</v>
      </c>
      <c r="AO4" s="8">
        <f>IF($A4=AO$1,0,IF(SUM(IMshareC!AO$2:AO$78)-IMshareC!AO$41&gt;0,IMshareC!AO4/(SUM(IMshareC!AO$2:AO$78)-IMshareC!AO$41),0))</f>
        <v>6.3582461306409621E-3</v>
      </c>
      <c r="AP4" s="8">
        <f>IF($A4=AP$1,0,IF(SUM(IMshareC!AP$2:AP$78)-IMshareC!AP$42&gt;0,IMshareC!AP4/(SUM(IMshareC!AP$2:AP$78)-IMshareC!AP$42),0))</f>
        <v>7.4285281204940739E-6</v>
      </c>
      <c r="AQ4" s="8">
        <f>IF($A4=AQ$1,0,IF(SUM(IMshareC!AQ$2:AQ$78)-IMshareC!AQ$43&gt;0,IMshareC!AQ4/(SUM(IMshareC!AQ$2:AQ$78)-IMshareC!AQ$43),0))</f>
        <v>6.0898780538532209E-4</v>
      </c>
      <c r="AR4" s="8">
        <f>IF($A4=AR$1,0,IF(SUM(IMshareC!AR$2:AR$78)-IMshareC!AR$44&gt;0,IMshareC!AR4/(SUM(IMshareC!AR$2:AR$78)-IMshareC!AR$44),0))</f>
        <v>8.669774023536568E-5</v>
      </c>
      <c r="AS4" s="8">
        <f>IF($A4=AS$1,0,IF(SUM(IMshareC!AS$2:AS$78)-IMshareC!AS$45&gt;0,IMshareC!AS4/(SUM(IMshareC!AS$2:AS$78)-IMshareC!AS$45),0))</f>
        <v>1.305161322697836E-2</v>
      </c>
      <c r="AT4" s="8">
        <f>IF($A4=AT$1,0,IF(SUM(IMshareC!AT$2:AT$78)-IMshareC!AT$46&gt;0,IMshareC!AT4/(SUM(IMshareC!AT$2:AT$78)-IMshareC!AT$46),0))</f>
        <v>1.2090907483981515E-3</v>
      </c>
      <c r="AU4" s="8">
        <f>IF($A4=AU$1,0,IF(SUM(IMshareC!AU$2:AU$78)-IMshareC!AU$47&gt;0,IMshareC!AU4/(SUM(IMshareC!AU$2:AU$78)-IMshareC!AU$47),0))</f>
        <v>4.334749941227502E-4</v>
      </c>
      <c r="AV4" s="8">
        <f>IF($A4=AV$1,0,IF(SUM(IMshareC!AV$2:AV$78)-IMshareC!AV$48&gt;0,IMshareC!AV4/(SUM(IMshareC!AV$2:AV$78)-IMshareC!AV$48),0))</f>
        <v>8.5270759431174789E-4</v>
      </c>
      <c r="AW4" s="8">
        <f>IF($A4=AW$1,0,IF(SUM(IMshareC!AW$2:AW$78)-IMshareC!AW$49&gt;0,IMshareC!AW4/(SUM(IMshareC!AW$2:AW$78)-IMshareC!AW$49),0))</f>
        <v>1.6089343373738053E-3</v>
      </c>
      <c r="AX4" s="8">
        <f>IF($A4=AX$1,0,IF(SUM(IMshareC!AX$2:AX$78)-IMshareC!AX$50&gt;0,IMshareC!AX4/(SUM(IMshareC!AX$2:AX$78)-IMshareC!AX$50),0))</f>
        <v>1.5657475519314059E-4</v>
      </c>
      <c r="AY4" s="8">
        <f>IF($A4=AY$1,0,IF(SUM(IMshareC!AY$2:AY$78)-IMshareC!AY$51&gt;0,IMshareC!AY4/(SUM(IMshareC!AY$2:AY$78)-IMshareC!AY$51),0))</f>
        <v>3.718410703165826E-3</v>
      </c>
      <c r="AZ4" s="8">
        <f>IF($A4=AZ$1,0,IF(SUM(IMshareC!AZ$2:AZ$78)-IMshareC!AZ$52&gt;0,IMshareC!AZ4/(SUM(IMshareC!AZ$2:AZ$78)-IMshareC!AZ$52),0))</f>
        <v>3.0602513249324849E-3</v>
      </c>
      <c r="BA4" s="8">
        <f>IF($A4=BA$1,0,IF(SUM(IMshareC!BA$2:BA$78)-IMshareC!BA$53&gt;0,IMshareC!BA4/(SUM(IMshareC!BA$2:BA$78)-IMshareC!BA$53),0))</f>
        <v>1.8133460280539216E-3</v>
      </c>
      <c r="BB4" s="8">
        <f>IF($A4=BB$1,0,IF(SUM(IMshareC!BB$2:BB$78)-IMshareC!BB$54&gt;0,IMshareC!BB4/(SUM(IMshareC!BB$2:BB$78)-IMshareC!BB$54),0))</f>
        <v>3.1446360404761438E-3</v>
      </c>
      <c r="BC4" s="8">
        <f>IF($A4=BC$1,0,IF(SUM(IMshareC!BC$2:BC$78)-IMshareC!BC$55&gt;0,IMshareC!BC4/(SUM(IMshareC!BC$2:BC$78)-IMshareC!BC$55),0))</f>
        <v>2.1120224906536066E-3</v>
      </c>
      <c r="BD4" s="8">
        <f>IF($A4=BD$1,0,IF(SUM(IMshareC!BD$2:BD$78)-IMshareC!BD$56&gt;0,IMshareC!BD4/(SUM(IMshareC!BD$2:BD$78)-IMshareC!BD$56),0))</f>
        <v>2.7514763261325464E-3</v>
      </c>
      <c r="BE4" s="8">
        <f>IF($A4=BE$1,0,IF(SUM(IMshareC!BE$2:BE$78)-IMshareC!BE$57&gt;0,IMshareC!BE4/(SUM(IMshareC!BE$2:BE$78)-IMshareC!BE$57),0))</f>
        <v>1.8933860461925499E-3</v>
      </c>
      <c r="BF4" s="8">
        <f>IF($A4=BF$1,0,IF(SUM(IMshareC!BF$2:BF$78)-IMshareC!BF$58&gt;0,IMshareC!BF4/(SUM(IMshareC!BF$2:BF$78)-IMshareC!BF$58),0))</f>
        <v>1.4334236067314579E-3</v>
      </c>
      <c r="BG4" s="8">
        <f>IF($A4=BG$1,0,IF(SUM(IMshareC!BG$2:BG$78)-IMshareC!BG$59&gt;0,IMshareC!BG4/(SUM(IMshareC!BG$2:BG$78)-IMshareC!BG$59),0))</f>
        <v>2.9402691141620866E-3</v>
      </c>
      <c r="BH4" s="8">
        <f>IF($A4=BH$1,0,IF(SUM(IMshareC!BH$2:BH$78)-IMshareC!BH$60&gt;0,IMshareC!BH4/(SUM(IMshareC!BH$2:BH$78)-IMshareC!BH$60),0))</f>
        <v>4.0231367127590888E-3</v>
      </c>
      <c r="BI4" s="8">
        <f>IF($A4=BI$1,0,IF(SUM(IMshareC!BI$2:BI$78)-IMshareC!BI$61&gt;0,IMshareC!BI4/(SUM(IMshareC!BI$2:BI$78)-IMshareC!BI$61),0))</f>
        <v>4.0137197635889505E-3</v>
      </c>
      <c r="BJ4" s="8">
        <f>IF($A4=BJ$1,0,IF(SUM(IMshareC!BJ$2:BJ$78)-IMshareC!BJ$62&gt;0,IMshareC!BJ4/(SUM(IMshareC!BJ$2:BJ$78)-IMshareC!BJ$62),0))</f>
        <v>2.0890864761338303E-2</v>
      </c>
      <c r="BK4" s="8">
        <f>IF($A4=BK$1,0,IF(SUM(IMshareC!BK$2:BK$78)-IMshareC!BK$63&gt;0,IMshareC!BK4/(SUM(IMshareC!BK$2:BK$78)-IMshareC!BK$63),0))</f>
        <v>1.2318963694335709E-3</v>
      </c>
      <c r="BL4" s="8">
        <f>IF($A4=BL$1,0,IF(SUM(IMshareC!BL$2:BL$78)-IMshareC!BL$64&gt;0,IMshareC!BL4/(SUM(IMshareC!BL$2:BL$78)-IMshareC!BL$64),0))</f>
        <v>7.5567888057456907E-4</v>
      </c>
      <c r="BM4" s="8">
        <f>IF($A4=BM$1,0,IF(SUM(IMshareC!BM$2:BM$78)-IMshareC!BM$65&gt;0,IMshareC!BM4/(SUM(IMshareC!BM$2:BM$78)-IMshareC!BM$65),0))</f>
        <v>7.8612485776908235E-4</v>
      </c>
      <c r="BN4" s="8">
        <f>IF($A4=BN$1,0,IF(SUM(IMshareC!BN$2:BN$78)-IMshareC!BN$66&gt;0,IMshareC!BN4/(SUM(IMshareC!BN$2:BN$78)-IMshareC!BN$66),0))</f>
        <v>1.0750256973151579E-3</v>
      </c>
      <c r="BO4" s="8">
        <f>IF($A4=BO$1,0,IF(SUM(IMshareC!BO$2:BO$78)-IMshareC!BO$67&gt;0,IMshareC!BO4/(SUM(IMshareC!BO$2:BO$78)-IMshareC!BO$67),0))</f>
        <v>1.0907079254950752E-2</v>
      </c>
      <c r="BP4" s="8">
        <f>IF($A4=BP$1,0,IF(SUM(IMshareC!BP$2:BP$78)-IMshareC!BP$68&gt;0,IMshareC!BP4/(SUM(IMshareC!BP$2:BP$78)-IMshareC!BP$68),0))</f>
        <v>1.0305364602592605E-2</v>
      </c>
      <c r="BQ4" s="8">
        <f>IF($A4=BQ$1,0,IF(SUM(IMshareC!BQ$2:BQ$78)-IMshareC!BQ$69&gt;0,IMshareC!BQ4/(SUM(IMshareC!BQ$2:BQ$78)-IMshareC!BQ$69),0))</f>
        <v>6.4229181741408759E-3</v>
      </c>
      <c r="BR4" s="8">
        <f>IF($A4=BR$1,0,IF(SUM(IMshareC!BR$2:BR$78)-IMshareC!BR$70&gt;0,IMshareC!BR4/(SUM(IMshareC!BR$2:BR$78)-IMshareC!BR$70),0))</f>
        <v>2.9586308552842998E-3</v>
      </c>
      <c r="BS4" s="8">
        <f>IF($A4=BS$1,0,IF(SUM(IMshareC!BS$2:BS$78)-IMshareC!BS$71&gt;0,IMshareC!BS4/(SUM(IMshareC!BS$2:BS$78)-IMshareC!BS$71),0))</f>
        <v>4.6200961831482541E-3</v>
      </c>
      <c r="BT4" s="8">
        <f>IF($A4=BT$1,0,IF(SUM(IMshareC!BT$2:BT$78)-IMshareC!BT$72&gt;0,IMshareC!BT4/(SUM(IMshareC!BT$2:BT$78)-IMshareC!BT$72),0))</f>
        <v>1.4791481054114394E-3</v>
      </c>
      <c r="BU4" s="8">
        <f>IF($A4=BU$1,0,IF(SUM(IMshareC!BU$2:BU$78)-IMshareC!BU$73&gt;0,IMshareC!BU4/(SUM(IMshareC!BU$2:BU$78)-IMshareC!BU$73),0))</f>
        <v>2.6435968478557051E-4</v>
      </c>
      <c r="BV4" s="8">
        <f>IF($A4=BV$1,0,IF(SUM(IMshareC!BV$2:BV$78)-IMshareC!BV$74&gt;0,IMshareC!BV4/(SUM(IMshareC!BV$2:BV$78)-IMshareC!BV$74),0))</f>
        <v>5.7011844847945472E-3</v>
      </c>
      <c r="BW4" s="8">
        <f>IF($A4=BW$1,0,IF(SUM(IMshareC!BW$2:BW$78)-IMshareC!BW$75&gt;0,IMshareC!BW4/(SUM(IMshareC!BW$2:BW$78)-IMshareC!BW$75),0))</f>
        <v>2.6950867295122715E-3</v>
      </c>
      <c r="BX4" s="8">
        <f>IF($A4=BX$1,0,IF(SUM(IMshareC!BX$2:BX$78)-IMshareC!BX$76&gt;0,IMshareC!BX4/(SUM(IMshareC!BX$2:BX$78)-IMshareC!BX$76),0))</f>
        <v>1.6633599324660677E-4</v>
      </c>
      <c r="BY4" s="8">
        <f>IF($A4=BY$1,0,IF(SUM(IMshareC!BY$2:BY$78)-IMshareC!BY$77&gt;0,IMshareC!BY4/(SUM(IMshareC!BY$2:BY$78)-IMshareC!BY$77),0))</f>
        <v>9.515182936140041E-3</v>
      </c>
      <c r="BZ4" s="8">
        <f>IF($A4=BZ$1,0,IF(SUM(IMshareC!BZ$2:BZ$78)-IMshareC!BZ$78&gt;0,IMshareC!BZ4/(SUM(IMshareC!BZ$2:BZ$78)-IMshareC!BZ$78),0))</f>
        <v>6.5521606586112667E-3</v>
      </c>
    </row>
    <row r="5" spans="1:78">
      <c r="A5" s="4" t="s">
        <v>77</v>
      </c>
      <c r="B5" s="8">
        <f>IF($A5=B$1,0,IF(SUM(IMshareC!B$2:B$78)-IMshareC!B$2&gt;0,IMshareC!B5/(SUM(IMshareC!B$2:B$78)-IMshareC!B$2),0))</f>
        <v>2.609476858702533E-3</v>
      </c>
      <c r="C5" s="8">
        <f>IF($A5=C$1,0,IF(SUM(IMshareC!C$2:C$78)-IMshareC!C$3&gt;0,IMshareC!C5/(SUM(IMshareC!C$2:C$78)-IMshareC!C$3),0))</f>
        <v>2.1579307822240604E-3</v>
      </c>
      <c r="D5" s="8">
        <f>IF($A5=D$1,0,IF(SUM(IMshareC!D$2:D$78)-IMshareC!D$4&gt;0,IMshareC!D5/(SUM(IMshareC!D$2:D$78)-IMshareC!D$4),0))</f>
        <v>7.2828362498038269E-3</v>
      </c>
      <c r="E5" s="8">
        <f>IF($A5=E$1,0,IF(SUM(IMshareC!E$2:E$78)-IMshareC!E$5&gt;0,IMshareC!E5/(SUM(IMshareC!E$2:E$78)-IMshareC!E$5),0))</f>
        <v>0</v>
      </c>
      <c r="F5" s="8">
        <f>IF($A5=F$1,0,IF(SUM(IMshareC!F$2:F$78)-IMshareC!F$6&gt;0,IMshareC!F5/(SUM(IMshareC!F$2:F$78)-IMshareC!F$6),0))</f>
        <v>4.5948098905540219E-5</v>
      </c>
      <c r="G5" s="8">
        <f>IF($A5=G$1,0,IF(SUM(IMshareC!G$2:G$78)-IMshareC!G$7&gt;0,IMshareC!G5/(SUM(IMshareC!G$2:G$78)-IMshareC!G$7),0))</f>
        <v>3.186538587908281E-2</v>
      </c>
      <c r="H5" s="8">
        <f>IF($A5=H$1,0,IF(SUM(IMshareC!H$2:H$78)-IMshareC!H$8&gt;0,IMshareC!H5/(SUM(IMshareC!H$2:H$78)-IMshareC!H$8),0))</f>
        <v>1.4041051109867674E-3</v>
      </c>
      <c r="I5" s="8">
        <f>IF($A5=I$1,0,IF(SUM(IMshareC!I$2:I$78)-IMshareC!I$9&gt;0,IMshareC!I5/(SUM(IMshareC!I$2:I$78)-IMshareC!I$9),0))</f>
        <v>1.4505662163145812E-3</v>
      </c>
      <c r="J5" s="8">
        <f>IF($A5=J$1,0,IF(SUM(IMshareC!J$2:J$78)-IMshareC!J$10&gt;0,IMshareC!J5/(SUM(IMshareC!J$2:J$78)-IMshareC!J$10),0))</f>
        <v>5.4446560941989698E-4</v>
      </c>
      <c r="K5" s="8">
        <f>IF($A5=K$1,0,IF(SUM(IMshareC!K$2:K$78)-IMshareC!K$11&gt;0,IMshareC!K5/(SUM(IMshareC!K$2:K$78)-IMshareC!K$11),0))</f>
        <v>8.0435371987327248E-4</v>
      </c>
      <c r="L5" s="8">
        <f>IF($A5=L$1,0,IF(SUM(IMshareC!L$2:L$78)-IMshareC!L$12&gt;0,IMshareC!L5/(SUM(IMshareC!L$2:L$78)-IMshareC!L$12),0))</f>
        <v>5.4254219100077538E-3</v>
      </c>
      <c r="M5" s="8">
        <f>IF($A5=M$1,0,IF(SUM(IMshareC!M$2:M$78)-IMshareC!M$13&gt;0,IMshareC!M5/(SUM(IMshareC!M$2:M$78)-IMshareC!M$13),0))</f>
        <v>5.6748118460314637E-3</v>
      </c>
      <c r="N5" s="8">
        <f>IF($A5=N$1,0,IF(SUM(IMshareC!N$2:N$78)-IMshareC!N$14&gt;0,IMshareC!N5/(SUM(IMshareC!N$2:N$78)-IMshareC!N$14),0))</f>
        <v>5.8019351471655661E-5</v>
      </c>
      <c r="O5" s="8">
        <f>IF($A5=O$1,0,IF(SUM(IMshareC!O$2:O$78)-IMshareC!O$15&gt;0,IMshareC!O5/(SUM(IMshareC!O$2:O$78)-IMshareC!O$15),0))</f>
        <v>2.6978244547354534E-3</v>
      </c>
      <c r="P5" s="8">
        <f>IF($A5=P$1,0,IF(SUM(IMshareC!P$2:P$78)-IMshareC!P$16&gt;0,IMshareC!P5/(SUM(IMshareC!P$2:P$78)-IMshareC!P$16),0))</f>
        <v>2.8800307263356233E-2</v>
      </c>
      <c r="Q5" s="8">
        <f>IF($A5=Q$1,0,IF(SUM(IMshareC!Q$2:Q$78)-IMshareC!Q$17&gt;0,IMshareC!Q5/(SUM(IMshareC!Q$2:Q$78)-IMshareC!Q$17),0))</f>
        <v>6.9194562306562971E-4</v>
      </c>
      <c r="R5" s="8">
        <f>IF($A5=R$1,0,IF(SUM(IMshareC!R$2:R$78)-IMshareC!R$18&gt;0,IMshareC!R5/(SUM(IMshareC!R$2:R$78)-IMshareC!R$18),0))</f>
        <v>2.6068787480676339E-4</v>
      </c>
      <c r="S5" s="8">
        <f>IF($A5=S$1,0,IF(SUM(IMshareC!S$2:S$78)-IMshareC!S$19&gt;0,IMshareC!S5/(SUM(IMshareC!S$2:S$78)-IMshareC!S$19),0))</f>
        <v>7.6634792144552617E-3</v>
      </c>
      <c r="T5" s="8">
        <f>IF($A5=T$1,0,IF(SUM(IMshareC!T$2:T$78)-IMshareC!T$20&gt;0,IMshareC!T5/(SUM(IMshareC!T$2:T$78)-IMshareC!T$20),0))</f>
        <v>5.875595509806153E-3</v>
      </c>
      <c r="U5" s="8">
        <f>IF($A5=U$1,0,IF(SUM(IMshareC!U$2:U$78)-IMshareC!U$21&gt;0,IMshareC!U5/(SUM(IMshareC!U$2:U$78)-IMshareC!U$21),0))</f>
        <v>5.9840193601567891E-3</v>
      </c>
      <c r="V5" s="8">
        <f>IF($A5=V$1,0,IF(SUM(IMshareC!V$2:V$78)-IMshareC!V$22&gt;0,IMshareC!V5/(SUM(IMshareC!V$2:V$78)-IMshareC!V$22),0))</f>
        <v>6.2729761061074168E-2</v>
      </c>
      <c r="W5" s="8">
        <f>IF($A5=W$1,0,IF(SUM(IMshareC!W$2:W$78)-IMshareC!W$23&gt;0,IMshareC!W5/(SUM(IMshareC!W$2:W$78)-IMshareC!W$23),0))</f>
        <v>2.2850091767040465E-3</v>
      </c>
      <c r="X5" s="8">
        <f>IF($A5=X$1,0,IF(SUM(IMshareC!X$2:X$78)-IMshareC!X$24&gt;0,IMshareC!X5/(SUM(IMshareC!X$2:X$78)-IMshareC!X$24),0))</f>
        <v>3.6417509086667538E-3</v>
      </c>
      <c r="Y5" s="8">
        <f>IF($A5=Y$1,0,IF(SUM(IMshareC!Y$2:Y$78)-IMshareC!Y$25&gt;0,IMshareC!Y5/(SUM(IMshareC!Y$2:Y$78)-IMshareC!Y$25),0))</f>
        <v>1.1995323015704263E-2</v>
      </c>
      <c r="Z5" s="8">
        <f>IF($A5=Z$1,0,IF(SUM(IMshareC!Z$2:Z$78)-IMshareC!Z$26&gt;0,IMshareC!Z5/(SUM(IMshareC!Z$2:Z$78)-IMshareC!Z$26),0))</f>
        <v>9.8866403074258143E-4</v>
      </c>
      <c r="AA5" s="8">
        <f>IF($A5=AA$1,0,IF(SUM(IMshareC!AA$2:AA$78)-IMshareC!AA$27&gt;0,IMshareC!AA5/(SUM(IMshareC!AA$2:AA$78)-IMshareC!AA$27),0))</f>
        <v>2.3979667206111006E-2</v>
      </c>
      <c r="AB5" s="8">
        <f>IF($A5=AB$1,0,IF(SUM(IMshareC!AB$2:AB$78)-IMshareC!AB$28&gt;0,IMshareC!AB5/(SUM(IMshareC!AB$2:AB$78)-IMshareC!AB$28),0))</f>
        <v>4.051943571019608E-3</v>
      </c>
      <c r="AC5" s="8">
        <f>IF($A5=AC$1,0,IF(SUM(IMshareC!AC$2:AC$78)-IMshareC!AC$29&gt;0,IMshareC!AC5/(SUM(IMshareC!AC$2:AC$78)-IMshareC!AC$29),0))</f>
        <v>8.8596528274084447E-3</v>
      </c>
      <c r="AD5" s="8">
        <f>IF($A5=AD$1,0,IF(SUM(IMshareC!AD$2:AD$78)-IMshareC!AD$30&gt;0,IMshareC!AD5/(SUM(IMshareC!AD$2:AD$78)-IMshareC!AD$30),0))</f>
        <v>2.0233817239164299E-4</v>
      </c>
      <c r="AE5" s="8">
        <f>IF($A5=AE$1,0,IF(SUM(IMshareC!AE$2:AE$78)-IMshareC!AE$31&gt;0,IMshareC!AE5/(SUM(IMshareC!AE$2:AE$78)-IMshareC!AE$31),0))</f>
        <v>4.2867647195532821E-2</v>
      </c>
      <c r="AF5" s="8">
        <f>IF($A5=AF$1,0,IF(SUM(IMshareC!AF$2:AF$78)-IMshareC!AF$32&gt;0,IMshareC!AF5/(SUM(IMshareC!AF$2:AF$78)-IMshareC!AF$32),0))</f>
        <v>2.1117027172390855E-2</v>
      </c>
      <c r="AG5" s="8">
        <f>IF($A5=AG$1,0,IF(SUM(IMshareC!AG$2:AG$78)-IMshareC!AG$33&gt;0,IMshareC!AG5/(SUM(IMshareC!AG$2:AG$78)-IMshareC!AG$33),0))</f>
        <v>1.4088380017206602E-4</v>
      </c>
      <c r="AH5" s="8">
        <f>IF($A5=AH$1,0,IF(SUM(IMshareC!AH$2:AH$78)-IMshareC!AH$34&gt;0,IMshareC!AH5/(SUM(IMshareC!AH$2:AH$78)-IMshareC!AH$34),0))</f>
        <v>4.5784327667813118E-4</v>
      </c>
      <c r="AI5" s="8">
        <f>IF($A5=AI$1,0,IF(SUM(IMshareC!AI$2:AI$78)-IMshareC!AI$35&gt;0,IMshareC!AI5/(SUM(IMshareC!AI$2:AI$78)-IMshareC!AI$35),0))</f>
        <v>9.7358034587322493E-5</v>
      </c>
      <c r="AJ5" s="8">
        <f>IF($A5=AJ$1,0,IF(SUM(IMshareC!AJ$2:AJ$78)-IMshareC!AJ$36&gt;0,IMshareC!AJ5/(SUM(IMshareC!AJ$2:AJ$78)-IMshareC!AJ$36),0))</f>
        <v>5.133657750297122E-3</v>
      </c>
      <c r="AK5" s="8">
        <f>IF($A5=AK$1,0,IF(SUM(IMshareC!AK$2:AK$78)-IMshareC!AK$37&gt;0,IMshareC!AK5/(SUM(IMshareC!AK$2:AK$78)-IMshareC!AK$37),0))</f>
        <v>4.4772625756306479E-2</v>
      </c>
      <c r="AL5" s="8">
        <f>IF($A5=AL$1,0,IF(SUM(IMshareC!AL$2:AL$78)-IMshareC!AL$38&gt;0,IMshareC!AL5/(SUM(IMshareC!AL$2:AL$78)-IMshareC!AL$38),0))</f>
        <v>5.2654235863344168E-2</v>
      </c>
      <c r="AM5" s="8">
        <f>IF($A5=AM$1,0,IF(SUM(IMshareC!AM$2:AM$78)-IMshareC!AM$39&gt;0,IMshareC!AM5/(SUM(IMshareC!AM$2:AM$78)-IMshareC!AM$39),0))</f>
        <v>9.2584088231299311E-4</v>
      </c>
      <c r="AN5" s="8">
        <f>IF($A5=AN$1,0,IF(SUM(IMshareC!AN$2:AN$78)-IMshareC!AN$40&gt;0,IMshareC!AN5/(SUM(IMshareC!AN$2:AN$78)-IMshareC!AN$40),0))</f>
        <v>1.3225670127073803E-3</v>
      </c>
      <c r="AO5" s="8">
        <f>IF($A5=AO$1,0,IF(SUM(IMshareC!AO$2:AO$78)-IMshareC!AO$41&gt;0,IMshareC!AO5/(SUM(IMshareC!AO$2:AO$78)-IMshareC!AO$41),0))</f>
        <v>4.1903251019002521E-3</v>
      </c>
      <c r="AP5" s="8">
        <f>IF($A5=AP$1,0,IF(SUM(IMshareC!AP$2:AP$78)-IMshareC!AP$42&gt;0,IMshareC!AP5/(SUM(IMshareC!AP$2:AP$78)-IMshareC!AP$42),0))</f>
        <v>4.2551873761034479E-5</v>
      </c>
      <c r="AQ5" s="8">
        <f>IF($A5=AQ$1,0,IF(SUM(IMshareC!AQ$2:AQ$78)-IMshareC!AQ$43&gt;0,IMshareC!AQ5/(SUM(IMshareC!AQ$2:AQ$78)-IMshareC!AQ$43),0))</f>
        <v>1.4029665594713915E-4</v>
      </c>
      <c r="AR5" s="8">
        <f>IF($A5=AR$1,0,IF(SUM(IMshareC!AR$2:AR$78)-IMshareC!AR$44&gt;0,IMshareC!AR5/(SUM(IMshareC!AR$2:AR$78)-IMshareC!AR$44),0))</f>
        <v>2.6285825426843036E-6</v>
      </c>
      <c r="AS5" s="8">
        <f>IF($A5=AS$1,0,IF(SUM(IMshareC!AS$2:AS$78)-IMshareC!AS$45&gt;0,IMshareC!AS5/(SUM(IMshareC!AS$2:AS$78)-IMshareC!AS$45),0))</f>
        <v>5.8999651672036253E-2</v>
      </c>
      <c r="AT5" s="8">
        <f>IF($A5=AT$1,0,IF(SUM(IMshareC!AT$2:AT$78)-IMshareC!AT$46&gt;0,IMshareC!AT5/(SUM(IMshareC!AT$2:AT$78)-IMshareC!AT$46),0))</f>
        <v>5.4268450911491857E-2</v>
      </c>
      <c r="AU5" s="8">
        <f>IF($A5=AU$1,0,IF(SUM(IMshareC!AU$2:AU$78)-IMshareC!AU$47&gt;0,IMshareC!AU5/(SUM(IMshareC!AU$2:AU$78)-IMshareC!AU$47),0))</f>
        <v>1.644060114057605E-2</v>
      </c>
      <c r="AV5" s="8">
        <f>IF($A5=AV$1,0,IF(SUM(IMshareC!AV$2:AV$78)-IMshareC!AV$48&gt;0,IMshareC!AV5/(SUM(IMshareC!AV$2:AV$78)-IMshareC!AV$48),0))</f>
        <v>7.2373307438144692E-4</v>
      </c>
      <c r="AW5" s="8">
        <f>IF($A5=AW$1,0,IF(SUM(IMshareC!AW$2:AW$78)-IMshareC!AW$49&gt;0,IMshareC!AW5/(SUM(IMshareC!AW$2:AW$78)-IMshareC!AW$49),0))</f>
        <v>3.0489531891376997E-4</v>
      </c>
      <c r="AX5" s="8">
        <f>IF($A5=AX$1,0,IF(SUM(IMshareC!AX$2:AX$78)-IMshareC!AX$50&gt;0,IMshareC!AX5/(SUM(IMshareC!AX$2:AX$78)-IMshareC!AX$50),0))</f>
        <v>8.1652262615671881E-5</v>
      </c>
      <c r="AY5" s="8">
        <f>IF($A5=AY$1,0,IF(SUM(IMshareC!AY$2:AY$78)-IMshareC!AY$51&gt;0,IMshareC!AY5/(SUM(IMshareC!AY$2:AY$78)-IMshareC!AY$51),0))</f>
        <v>2.5601691217059846E-4</v>
      </c>
      <c r="AZ5" s="8">
        <f>IF($A5=AZ$1,0,IF(SUM(IMshareC!AZ$2:AZ$78)-IMshareC!AZ$52&gt;0,IMshareC!AZ5/(SUM(IMshareC!AZ$2:AZ$78)-IMshareC!AZ$52),0))</f>
        <v>1.499254375922091E-3</v>
      </c>
      <c r="BA5" s="8">
        <f>IF($A5=BA$1,0,IF(SUM(IMshareC!BA$2:BA$78)-IMshareC!BA$53&gt;0,IMshareC!BA5/(SUM(IMshareC!BA$2:BA$78)-IMshareC!BA$53),0))</f>
        <v>2.954772449026834E-3</v>
      </c>
      <c r="BB5" s="8">
        <f>IF($A5=BB$1,0,IF(SUM(IMshareC!BB$2:BB$78)-IMshareC!BB$54&gt;0,IMshareC!BB5/(SUM(IMshareC!BB$2:BB$78)-IMshareC!BB$54),0))</f>
        <v>1.3278200758424053E-2</v>
      </c>
      <c r="BC5" s="8">
        <f>IF($A5=BC$1,0,IF(SUM(IMshareC!BC$2:BC$78)-IMshareC!BC$55&gt;0,IMshareC!BC5/(SUM(IMshareC!BC$2:BC$78)-IMshareC!BC$55),0))</f>
        <v>2.4360152237016676E-3</v>
      </c>
      <c r="BD5" s="8">
        <f>IF($A5=BD$1,0,IF(SUM(IMshareC!BD$2:BD$78)-IMshareC!BD$56&gt;0,IMshareC!BD5/(SUM(IMshareC!BD$2:BD$78)-IMshareC!BD$56),0))</f>
        <v>4.5465523247408251E-4</v>
      </c>
      <c r="BE5" s="8">
        <f>IF($A5=BE$1,0,IF(SUM(IMshareC!BE$2:BE$78)-IMshareC!BE$57&gt;0,IMshareC!BE5/(SUM(IMshareC!BE$2:BE$78)-IMshareC!BE$57),0))</f>
        <v>2.7250521498537491E-3</v>
      </c>
      <c r="BF5" s="8">
        <f>IF($A5=BF$1,0,IF(SUM(IMshareC!BF$2:BF$78)-IMshareC!BF$58&gt;0,IMshareC!BF5/(SUM(IMshareC!BF$2:BF$78)-IMshareC!BF$58),0))</f>
        <v>1.2942517305489099E-3</v>
      </c>
      <c r="BG5" s="8">
        <f>IF($A5=BG$1,0,IF(SUM(IMshareC!BG$2:BG$78)-IMshareC!BG$59&gt;0,IMshareC!BG5/(SUM(IMshareC!BG$2:BG$78)-IMshareC!BG$59),0))</f>
        <v>5.3145197233097421E-3</v>
      </c>
      <c r="BH5" s="8">
        <f>IF($A5=BH$1,0,IF(SUM(IMshareC!BH$2:BH$78)-IMshareC!BH$60&gt;0,IMshareC!BH5/(SUM(IMshareC!BH$2:BH$78)-IMshareC!BH$60),0))</f>
        <v>3.2604340795482981E-3</v>
      </c>
      <c r="BI5" s="8">
        <f>IF($A5=BI$1,0,IF(SUM(IMshareC!BI$2:BI$78)-IMshareC!BI$61&gt;0,IMshareC!BI5/(SUM(IMshareC!BI$2:BI$78)-IMshareC!BI$61),0))</f>
        <v>1.3047936385764923E-2</v>
      </c>
      <c r="BJ5" s="8">
        <f>IF($A5=BJ$1,0,IF(SUM(IMshareC!BJ$2:BJ$78)-IMshareC!BJ$62&gt;0,IMshareC!BJ5/(SUM(IMshareC!BJ$2:BJ$78)-IMshareC!BJ$62),0))</f>
        <v>3.2338806346611494E-2</v>
      </c>
      <c r="BK5" s="8">
        <f>IF($A5=BK$1,0,IF(SUM(IMshareC!BK$2:BK$78)-IMshareC!BK$63&gt;0,IMshareC!BK5/(SUM(IMshareC!BK$2:BK$78)-IMshareC!BK$63),0))</f>
        <v>7.0599392760697342E-3</v>
      </c>
      <c r="BL5" s="8">
        <f>IF($A5=BL$1,0,IF(SUM(IMshareC!BL$2:BL$78)-IMshareC!BL$64&gt;0,IMshareC!BL5/(SUM(IMshareC!BL$2:BL$78)-IMshareC!BL$64),0))</f>
        <v>2.7657442662500282E-3</v>
      </c>
      <c r="BM5" s="8">
        <f>IF($A5=BM$1,0,IF(SUM(IMshareC!BM$2:BM$78)-IMshareC!BM$65&gt;0,IMshareC!BM5/(SUM(IMshareC!BM$2:BM$78)-IMshareC!BM$65),0))</f>
        <v>4.9112232566798876E-3</v>
      </c>
      <c r="BN5" s="8">
        <f>IF($A5=BN$1,0,IF(SUM(IMshareC!BN$2:BN$78)-IMshareC!BN$66&gt;0,IMshareC!BN5/(SUM(IMshareC!BN$2:BN$78)-IMshareC!BN$66),0))</f>
        <v>3.914182994294994E-5</v>
      </c>
      <c r="BO5" s="8">
        <f>IF($A5=BO$1,0,IF(SUM(IMshareC!BO$2:BO$78)-IMshareC!BO$67&gt;0,IMshareC!BO5/(SUM(IMshareC!BO$2:BO$78)-IMshareC!BO$67),0))</f>
        <v>1.3890247130510812E-2</v>
      </c>
      <c r="BP5" s="8">
        <f>IF($A5=BP$1,0,IF(SUM(IMshareC!BP$2:BP$78)-IMshareC!BP$68&gt;0,IMshareC!BP5/(SUM(IMshareC!BP$2:BP$78)-IMshareC!BP$68),0))</f>
        <v>5.888114624329659E-3</v>
      </c>
      <c r="BQ5" s="8">
        <f>IF($A5=BQ$1,0,IF(SUM(IMshareC!BQ$2:BQ$78)-IMshareC!BQ$69&gt;0,IMshareC!BQ5/(SUM(IMshareC!BQ$2:BQ$78)-IMshareC!BQ$69),0))</f>
        <v>5.1493892976365356E-2</v>
      </c>
      <c r="BR5" s="8">
        <f>IF($A5=BR$1,0,IF(SUM(IMshareC!BR$2:BR$78)-IMshareC!BR$70&gt;0,IMshareC!BR5/(SUM(IMshareC!BR$2:BR$78)-IMshareC!BR$70),0))</f>
        <v>2.7385061856219557E-3</v>
      </c>
      <c r="BS5" s="8">
        <f>IF($A5=BS$1,0,IF(SUM(IMshareC!BS$2:BS$78)-IMshareC!BS$71&gt;0,IMshareC!BS5/(SUM(IMshareC!BS$2:BS$78)-IMshareC!BS$71),0))</f>
        <v>7.8653130816227644E-4</v>
      </c>
      <c r="BT5" s="8">
        <f>IF($A5=BT$1,0,IF(SUM(IMshareC!BT$2:BT$78)-IMshareC!BT$72&gt;0,IMshareC!BT5/(SUM(IMshareC!BT$2:BT$78)-IMshareC!BT$72),0))</f>
        <v>6.682257648380302E-4</v>
      </c>
      <c r="BU5" s="8">
        <f>IF($A5=BU$1,0,IF(SUM(IMshareC!BU$2:BU$78)-IMshareC!BU$73&gt;0,IMshareC!BU5/(SUM(IMshareC!BU$2:BU$78)-IMshareC!BU$73),0))</f>
        <v>2.7894759039037329E-4</v>
      </c>
      <c r="BV5" s="8">
        <f>IF($A5=BV$1,0,IF(SUM(IMshareC!BV$2:BV$78)-IMshareC!BV$74&gt;0,IMshareC!BV5/(SUM(IMshareC!BV$2:BV$78)-IMshareC!BV$74),0))</f>
        <v>2.1799568573843171E-4</v>
      </c>
      <c r="BW5" s="8">
        <f>IF($A5=BW$1,0,IF(SUM(IMshareC!BW$2:BW$78)-IMshareC!BW$75&gt;0,IMshareC!BW5/(SUM(IMshareC!BW$2:BW$78)-IMshareC!BW$75),0))</f>
        <v>4.098799807089177E-4</v>
      </c>
      <c r="BX5" s="8">
        <f>IF($A5=BX$1,0,IF(SUM(IMshareC!BX$2:BX$78)-IMshareC!BX$76&gt;0,IMshareC!BX5/(SUM(IMshareC!BX$2:BX$78)-IMshareC!BX$76),0))</f>
        <v>5.6524463771910248E-6</v>
      </c>
      <c r="BY5" s="8">
        <f>IF($A5=BY$1,0,IF(SUM(IMshareC!BY$2:BY$78)-IMshareC!BY$77&gt;0,IMshareC!BY5/(SUM(IMshareC!BY$2:BY$78)-IMshareC!BY$77),0))</f>
        <v>6.4959115206011172E-4</v>
      </c>
      <c r="BZ5" s="8">
        <f>IF($A5=BZ$1,0,IF(SUM(IMshareC!BZ$2:BZ$78)-IMshareC!BZ$78&gt;0,IMshareC!BZ5/(SUM(IMshareC!BZ$2:BZ$78)-IMshareC!BZ$78),0))</f>
        <v>3.1676276265489357E-3</v>
      </c>
    </row>
    <row r="6" spans="1:78">
      <c r="A6" s="4" t="s">
        <v>79</v>
      </c>
      <c r="B6" s="8">
        <f>IF($A6=B$1,0,IF(SUM(IMshareC!B$2:B$78)-IMshareC!B$2&gt;0,IMshareC!B6/(SUM(IMshareC!B$2:B$78)-IMshareC!B$2),0))</f>
        <v>0</v>
      </c>
      <c r="C6" s="8">
        <f>IF($A6=C$1,0,IF(SUM(IMshareC!C$2:C$78)-IMshareC!C$3&gt;0,IMshareC!C6/(SUM(IMshareC!C$2:C$78)-IMshareC!C$3),0))</f>
        <v>0</v>
      </c>
      <c r="D6" s="8">
        <f>IF($A6=D$1,0,IF(SUM(IMshareC!D$2:D$78)-IMshareC!D$4&gt;0,IMshareC!D6/(SUM(IMshareC!D$2:D$78)-IMshareC!D$4),0))</f>
        <v>9.3019708961246891E-8</v>
      </c>
      <c r="E6" s="8">
        <f>IF($A6=E$1,0,IF(SUM(IMshareC!E$2:E$78)-IMshareC!E$5&gt;0,IMshareC!E6/(SUM(IMshareC!E$2:E$78)-IMshareC!E$5),0))</f>
        <v>0</v>
      </c>
      <c r="F6" s="8">
        <f>IF($A6=F$1,0,IF(SUM(IMshareC!F$2:F$78)-IMshareC!F$6&gt;0,IMshareC!F6/(SUM(IMshareC!F$2:F$78)-IMshareC!F$6),0))</f>
        <v>0</v>
      </c>
      <c r="G6" s="8">
        <f>IF($A6=G$1,0,IF(SUM(IMshareC!G$2:G$78)-IMshareC!G$7&gt;0,IMshareC!G6/(SUM(IMshareC!G$2:G$78)-IMshareC!G$7),0))</f>
        <v>0</v>
      </c>
      <c r="H6" s="8">
        <f>IF($A6=H$1,0,IF(SUM(IMshareC!H$2:H$78)-IMshareC!H$8&gt;0,IMshareC!H6/(SUM(IMshareC!H$2:H$78)-IMshareC!H$8),0))</f>
        <v>0</v>
      </c>
      <c r="I6" s="8">
        <f>IF($A6=I$1,0,IF(SUM(IMshareC!I$2:I$78)-IMshareC!I$9&gt;0,IMshareC!I6/(SUM(IMshareC!I$2:I$78)-IMshareC!I$9),0))</f>
        <v>0</v>
      </c>
      <c r="J6" s="8">
        <f>IF($A6=J$1,0,IF(SUM(IMshareC!J$2:J$78)-IMshareC!J$10&gt;0,IMshareC!J6/(SUM(IMshareC!J$2:J$78)-IMshareC!J$10),0))</f>
        <v>0</v>
      </c>
      <c r="K6" s="8">
        <f>IF($A6=K$1,0,IF(SUM(IMshareC!K$2:K$78)-IMshareC!K$11&gt;0,IMshareC!K6/(SUM(IMshareC!K$2:K$78)-IMshareC!K$11),0))</f>
        <v>8.6456472556730637E-8</v>
      </c>
      <c r="L6" s="8">
        <f>IF($A6=L$1,0,IF(SUM(IMshareC!L$2:L$78)-IMshareC!L$12&gt;0,IMshareC!L6/(SUM(IMshareC!L$2:L$78)-IMshareC!L$12),0))</f>
        <v>1.5000974453887756E-6</v>
      </c>
      <c r="M6" s="8">
        <f>IF($A6=M$1,0,IF(SUM(IMshareC!M$2:M$78)-IMshareC!M$13&gt;0,IMshareC!M6/(SUM(IMshareC!M$2:M$78)-IMshareC!M$13),0))</f>
        <v>6.9687933747984065E-6</v>
      </c>
      <c r="N6" s="8">
        <f>IF($A6=N$1,0,IF(SUM(IMshareC!N$2:N$78)-IMshareC!N$14&gt;0,IMshareC!N6/(SUM(IMshareC!N$2:N$78)-IMshareC!N$14),0))</f>
        <v>2.8407383691038629E-8</v>
      </c>
      <c r="O6" s="8">
        <f>IF($A6=O$1,0,IF(SUM(IMshareC!O$2:O$78)-IMshareC!O$15&gt;0,IMshareC!O6/(SUM(IMshareC!O$2:O$78)-IMshareC!O$15),0))</f>
        <v>0</v>
      </c>
      <c r="P6" s="8">
        <f>IF($A6=P$1,0,IF(SUM(IMshareC!P$2:P$78)-IMshareC!P$16&gt;0,IMshareC!P6/(SUM(IMshareC!P$2:P$78)-IMshareC!P$16),0))</f>
        <v>0</v>
      </c>
      <c r="Q6" s="8">
        <f>IF($A6=Q$1,0,IF(SUM(IMshareC!Q$2:Q$78)-IMshareC!Q$17&gt;0,IMshareC!Q6/(SUM(IMshareC!Q$2:Q$78)-IMshareC!Q$17),0))</f>
        <v>0</v>
      </c>
      <c r="R6" s="8">
        <f>IF($A6=R$1,0,IF(SUM(IMshareC!R$2:R$78)-IMshareC!R$18&gt;0,IMshareC!R6/(SUM(IMshareC!R$2:R$78)-IMshareC!R$18),0))</f>
        <v>0</v>
      </c>
      <c r="S6" s="8">
        <f>IF($A6=S$1,0,IF(SUM(IMshareC!S$2:S$78)-IMshareC!S$19&gt;0,IMshareC!S6/(SUM(IMshareC!S$2:S$78)-IMshareC!S$19),0))</f>
        <v>0</v>
      </c>
      <c r="T6" s="8">
        <f>IF($A6=T$1,0,IF(SUM(IMshareC!T$2:T$78)-IMshareC!T$20&gt;0,IMshareC!T6/(SUM(IMshareC!T$2:T$78)-IMshareC!T$20),0))</f>
        <v>3.6291770279553296E-8</v>
      </c>
      <c r="U6" s="8">
        <f>IF($A6=U$1,0,IF(SUM(IMshareC!U$2:U$78)-IMshareC!U$21&gt;0,IMshareC!U6/(SUM(IMshareC!U$2:U$78)-IMshareC!U$21),0))</f>
        <v>1.4421358839264899E-7</v>
      </c>
      <c r="V6" s="8">
        <f>IF($A6=V$1,0,IF(SUM(IMshareC!V$2:V$78)-IMshareC!V$22&gt;0,IMshareC!V6/(SUM(IMshareC!V$2:V$78)-IMshareC!V$22),0))</f>
        <v>2.3889214600444218E-6</v>
      </c>
      <c r="W6" s="8">
        <f>IF($A6=W$1,0,IF(SUM(IMshareC!W$2:W$78)-IMshareC!W$23&gt;0,IMshareC!W6/(SUM(IMshareC!W$2:W$78)-IMshareC!W$23),0))</f>
        <v>0</v>
      </c>
      <c r="X6" s="8">
        <f>IF($A6=X$1,0,IF(SUM(IMshareC!X$2:X$78)-IMshareC!X$24&gt;0,IMshareC!X6/(SUM(IMshareC!X$2:X$78)-IMshareC!X$24),0))</f>
        <v>0</v>
      </c>
      <c r="Y6" s="8">
        <f>IF($A6=Y$1,0,IF(SUM(IMshareC!Y$2:Y$78)-IMshareC!Y$25&gt;0,IMshareC!Y6/(SUM(IMshareC!Y$2:Y$78)-IMshareC!Y$25),0))</f>
        <v>3.4848131427531229E-7</v>
      </c>
      <c r="Z6" s="8">
        <f>IF($A6=Z$1,0,IF(SUM(IMshareC!Z$2:Z$78)-IMshareC!Z$26&gt;0,IMshareC!Z6/(SUM(IMshareC!Z$2:Z$78)-IMshareC!Z$26),0))</f>
        <v>0</v>
      </c>
      <c r="AA6" s="8">
        <f>IF($A6=AA$1,0,IF(SUM(IMshareC!AA$2:AA$78)-IMshareC!AA$27&gt;0,IMshareC!AA6/(SUM(IMshareC!AA$2:AA$78)-IMshareC!AA$27),0))</f>
        <v>1.1905346967555605E-7</v>
      </c>
      <c r="AB6" s="8">
        <f>IF($A6=AB$1,0,IF(SUM(IMshareC!AB$2:AB$78)-IMshareC!AB$28&gt;0,IMshareC!AB6/(SUM(IMshareC!AB$2:AB$78)-IMshareC!AB$28),0))</f>
        <v>2.0632240056885926E-6</v>
      </c>
      <c r="AC6" s="8">
        <f>IF($A6=AC$1,0,IF(SUM(IMshareC!AC$2:AC$78)-IMshareC!AC$29&gt;0,IMshareC!AC6/(SUM(IMshareC!AC$2:AC$78)-IMshareC!AC$29),0))</f>
        <v>7.9158152468902375E-5</v>
      </c>
      <c r="AD6" s="8">
        <f>IF($A6=AD$1,0,IF(SUM(IMshareC!AD$2:AD$78)-IMshareC!AD$30&gt;0,IMshareC!AD6/(SUM(IMshareC!AD$2:AD$78)-IMshareC!AD$30),0))</f>
        <v>1.845875534788975E-7</v>
      </c>
      <c r="AE6" s="8">
        <f>IF($A6=AE$1,0,IF(SUM(IMshareC!AE$2:AE$78)-IMshareC!AE$31&gt;0,IMshareC!AE6/(SUM(IMshareC!AE$2:AE$78)-IMshareC!AE$31),0))</f>
        <v>5.0763054344807586E-5</v>
      </c>
      <c r="AF6" s="8">
        <f>IF($A6=AF$1,0,IF(SUM(IMshareC!AF$2:AF$78)-IMshareC!AF$32&gt;0,IMshareC!AF6/(SUM(IMshareC!AF$2:AF$78)-IMshareC!AF$32),0))</f>
        <v>0</v>
      </c>
      <c r="AG6" s="8">
        <f>IF($A6=AG$1,0,IF(SUM(IMshareC!AG$2:AG$78)-IMshareC!AG$33&gt;0,IMshareC!AG6/(SUM(IMshareC!AG$2:AG$78)-IMshareC!AG$33),0))</f>
        <v>0</v>
      </c>
      <c r="AH6" s="8">
        <f>IF($A6=AH$1,0,IF(SUM(IMshareC!AH$2:AH$78)-IMshareC!AH$34&gt;0,IMshareC!AH6/(SUM(IMshareC!AH$2:AH$78)-IMshareC!AH$34),0))</f>
        <v>1.1198783701200795E-7</v>
      </c>
      <c r="AI6" s="8">
        <f>IF($A6=AI$1,0,IF(SUM(IMshareC!AI$2:AI$78)-IMshareC!AI$35&gt;0,IMshareC!AI6/(SUM(IMshareC!AI$2:AI$78)-IMshareC!AI$35),0))</f>
        <v>4.7877613562339125E-10</v>
      </c>
      <c r="AJ6" s="8">
        <f>IF($A6=AJ$1,0,IF(SUM(IMshareC!AJ$2:AJ$78)-IMshareC!AJ$36&gt;0,IMshareC!AJ6/(SUM(IMshareC!AJ$2:AJ$78)-IMshareC!AJ$36),0))</f>
        <v>0</v>
      </c>
      <c r="AK6" s="8">
        <f>IF($A6=AK$1,0,IF(SUM(IMshareC!AK$2:AK$78)-IMshareC!AK$37&gt;0,IMshareC!AK6/(SUM(IMshareC!AK$2:AK$78)-IMshareC!AK$37),0))</f>
        <v>0</v>
      </c>
      <c r="AL6" s="8">
        <f>IF($A6=AL$1,0,IF(SUM(IMshareC!AL$2:AL$78)-IMshareC!AL$38&gt;0,IMshareC!AL6/(SUM(IMshareC!AL$2:AL$78)-IMshareC!AL$38),0))</f>
        <v>2.8280357390399419E-6</v>
      </c>
      <c r="AM6" s="8">
        <f>IF($A6=AM$1,0,IF(SUM(IMshareC!AM$2:AM$78)-IMshareC!AM$39&gt;0,IMshareC!AM6/(SUM(IMshareC!AM$2:AM$78)-IMshareC!AM$39),0))</f>
        <v>0</v>
      </c>
      <c r="AN6" s="8">
        <f>IF($A6=AN$1,0,IF(SUM(IMshareC!AN$2:AN$78)-IMshareC!AN$40&gt;0,IMshareC!AN6/(SUM(IMshareC!AN$2:AN$78)-IMshareC!AN$40),0))</f>
        <v>5.7062143853602053E-8</v>
      </c>
      <c r="AO6" s="8">
        <f>IF($A6=AO$1,0,IF(SUM(IMshareC!AO$2:AO$78)-IMshareC!AO$41&gt;0,IMshareC!AO6/(SUM(IMshareC!AO$2:AO$78)-IMshareC!AO$41),0))</f>
        <v>0</v>
      </c>
      <c r="AP6" s="8">
        <f>IF($A6=AP$1,0,IF(SUM(IMshareC!AP$2:AP$78)-IMshareC!AP$42&gt;0,IMshareC!AP6/(SUM(IMshareC!AP$2:AP$78)-IMshareC!AP$42),0))</f>
        <v>0</v>
      </c>
      <c r="AQ6" s="8">
        <f>IF($A6=AQ$1,0,IF(SUM(IMshareC!AQ$2:AQ$78)-IMshareC!AQ$43&gt;0,IMshareC!AQ6/(SUM(IMshareC!AQ$2:AQ$78)-IMshareC!AQ$43),0))</f>
        <v>1.4591267802912755E-8</v>
      </c>
      <c r="AR6" s="8">
        <f>IF($A6=AR$1,0,IF(SUM(IMshareC!AR$2:AR$78)-IMshareC!AR$44&gt;0,IMshareC!AR6/(SUM(IMshareC!AR$2:AR$78)-IMshareC!AR$44),0))</f>
        <v>0</v>
      </c>
      <c r="AS6" s="8">
        <f>IF($A6=AS$1,0,IF(SUM(IMshareC!AS$2:AS$78)-IMshareC!AS$45&gt;0,IMshareC!AS6/(SUM(IMshareC!AS$2:AS$78)-IMshareC!AS$45),0))</f>
        <v>0</v>
      </c>
      <c r="AT6" s="8">
        <f>IF($A6=AT$1,0,IF(SUM(IMshareC!AT$2:AT$78)-IMshareC!AT$46&gt;0,IMshareC!AT6/(SUM(IMshareC!AT$2:AT$78)-IMshareC!AT$46),0))</f>
        <v>0</v>
      </c>
      <c r="AU6" s="8">
        <f>IF($A6=AU$1,0,IF(SUM(IMshareC!AU$2:AU$78)-IMshareC!AU$47&gt;0,IMshareC!AU6/(SUM(IMshareC!AU$2:AU$78)-IMshareC!AU$47),0))</f>
        <v>0</v>
      </c>
      <c r="AV6" s="8">
        <f>IF($A6=AV$1,0,IF(SUM(IMshareC!AV$2:AV$78)-IMshareC!AV$48&gt;0,IMshareC!AV6/(SUM(IMshareC!AV$2:AV$78)-IMshareC!AV$48),0))</f>
        <v>0</v>
      </c>
      <c r="AW6" s="8">
        <f>IF($A6=AW$1,0,IF(SUM(IMshareC!AW$2:AW$78)-IMshareC!AW$49&gt;0,IMshareC!AW6/(SUM(IMshareC!AW$2:AW$78)-IMshareC!AW$49),0))</f>
        <v>0</v>
      </c>
      <c r="AX6" s="8">
        <f>IF($A6=AX$1,0,IF(SUM(IMshareC!AX$2:AX$78)-IMshareC!AX$50&gt;0,IMshareC!AX6/(SUM(IMshareC!AX$2:AX$78)-IMshareC!AX$50),0))</f>
        <v>0</v>
      </c>
      <c r="AY6" s="8">
        <f>IF($A6=AY$1,0,IF(SUM(IMshareC!AY$2:AY$78)-IMshareC!AY$51&gt;0,IMshareC!AY6/(SUM(IMshareC!AY$2:AY$78)-IMshareC!AY$51),0))</f>
        <v>0</v>
      </c>
      <c r="AZ6" s="8">
        <f>IF($A6=AZ$1,0,IF(SUM(IMshareC!AZ$2:AZ$78)-IMshareC!AZ$52&gt;0,IMshareC!AZ6/(SUM(IMshareC!AZ$2:AZ$78)-IMshareC!AZ$52),0))</f>
        <v>1.0194729710694129E-6</v>
      </c>
      <c r="BA6" s="8">
        <f>IF($A6=BA$1,0,IF(SUM(IMshareC!BA$2:BA$78)-IMshareC!BA$53&gt;0,IMshareC!BA6/(SUM(IMshareC!BA$2:BA$78)-IMshareC!BA$53),0))</f>
        <v>0</v>
      </c>
      <c r="BB6" s="8">
        <f>IF($A6=BB$1,0,IF(SUM(IMshareC!BB$2:BB$78)-IMshareC!BB$54&gt;0,IMshareC!BB6/(SUM(IMshareC!BB$2:BB$78)-IMshareC!BB$54),0))</f>
        <v>1.6245929333372623E-8</v>
      </c>
      <c r="BC6" s="8">
        <f>IF($A6=BC$1,0,IF(SUM(IMshareC!BC$2:BC$78)-IMshareC!BC$55&gt;0,IMshareC!BC6/(SUM(IMshareC!BC$2:BC$78)-IMshareC!BC$55),0))</f>
        <v>0</v>
      </c>
      <c r="BD6" s="8">
        <f>IF($A6=BD$1,0,IF(SUM(IMshareC!BD$2:BD$78)-IMshareC!BD$56&gt;0,IMshareC!BD6/(SUM(IMshareC!BD$2:BD$78)-IMshareC!BD$56),0))</f>
        <v>0</v>
      </c>
      <c r="BE6" s="8">
        <f>IF($A6=BE$1,0,IF(SUM(IMshareC!BE$2:BE$78)-IMshareC!BE$57&gt;0,IMshareC!BE6/(SUM(IMshareC!BE$2:BE$78)-IMshareC!BE$57),0))</f>
        <v>8.3344772689575444E-7</v>
      </c>
      <c r="BF6" s="8">
        <f>IF($A6=BF$1,0,IF(SUM(IMshareC!BF$2:BF$78)-IMshareC!BF$58&gt;0,IMshareC!BF6/(SUM(IMshareC!BF$2:BF$78)-IMshareC!BF$58),0))</f>
        <v>0</v>
      </c>
      <c r="BG6" s="8">
        <f>IF($A6=BG$1,0,IF(SUM(IMshareC!BG$2:BG$78)-IMshareC!BG$59&gt;0,IMshareC!BG6/(SUM(IMshareC!BG$2:BG$78)-IMshareC!BG$59),0))</f>
        <v>0</v>
      </c>
      <c r="BH6" s="8">
        <f>IF($A6=BH$1,0,IF(SUM(IMshareC!BH$2:BH$78)-IMshareC!BH$60&gt;0,IMshareC!BH6/(SUM(IMshareC!BH$2:BH$78)-IMshareC!BH$60),0))</f>
        <v>0</v>
      </c>
      <c r="BI6" s="8">
        <f>IF($A6=BI$1,0,IF(SUM(IMshareC!BI$2:BI$78)-IMshareC!BI$61&gt;0,IMshareC!BI6/(SUM(IMshareC!BI$2:BI$78)-IMshareC!BI$61),0))</f>
        <v>0</v>
      </c>
      <c r="BJ6" s="8">
        <f>IF($A6=BJ$1,0,IF(SUM(IMshareC!BJ$2:BJ$78)-IMshareC!BJ$62&gt;0,IMshareC!BJ6/(SUM(IMshareC!BJ$2:BJ$78)-IMshareC!BJ$62),0))</f>
        <v>0</v>
      </c>
      <c r="BK6" s="8">
        <f>IF($A6=BK$1,0,IF(SUM(IMshareC!BK$2:BK$78)-IMshareC!BK$63&gt;0,IMshareC!BK6/(SUM(IMshareC!BK$2:BK$78)-IMshareC!BK$63),0))</f>
        <v>0</v>
      </c>
      <c r="BL6" s="8">
        <f>IF($A6=BL$1,0,IF(SUM(IMshareC!BL$2:BL$78)-IMshareC!BL$64&gt;0,IMshareC!BL6/(SUM(IMshareC!BL$2:BL$78)-IMshareC!BL$64),0))</f>
        <v>0</v>
      </c>
      <c r="BM6" s="8">
        <f>IF($A6=BM$1,0,IF(SUM(IMshareC!BM$2:BM$78)-IMshareC!BM$65&gt;0,IMshareC!BM6/(SUM(IMshareC!BM$2:BM$78)-IMshareC!BM$65),0))</f>
        <v>0</v>
      </c>
      <c r="BN6" s="8">
        <f>IF($A6=BN$1,0,IF(SUM(IMshareC!BN$2:BN$78)-IMshareC!BN$66&gt;0,IMshareC!BN6/(SUM(IMshareC!BN$2:BN$78)-IMshareC!BN$66),0))</f>
        <v>4.8996609140284357E-7</v>
      </c>
      <c r="BO6" s="8">
        <f>IF($A6=BO$1,0,IF(SUM(IMshareC!BO$2:BO$78)-IMshareC!BO$67&gt;0,IMshareC!BO6/(SUM(IMshareC!BO$2:BO$78)-IMshareC!BO$67),0))</f>
        <v>1.9015795888962912E-8</v>
      </c>
      <c r="BP6" s="8">
        <f>IF($A6=BP$1,0,IF(SUM(IMshareC!BP$2:BP$78)-IMshareC!BP$68&gt;0,IMshareC!BP6/(SUM(IMshareC!BP$2:BP$78)-IMshareC!BP$68),0))</f>
        <v>0</v>
      </c>
      <c r="BQ6" s="8">
        <f>IF($A6=BQ$1,0,IF(SUM(IMshareC!BQ$2:BQ$78)-IMshareC!BQ$69&gt;0,IMshareC!BQ6/(SUM(IMshareC!BQ$2:BQ$78)-IMshareC!BQ$69),0))</f>
        <v>6.0974708211093979E-8</v>
      </c>
      <c r="BR6" s="8">
        <f>IF($A6=BR$1,0,IF(SUM(IMshareC!BR$2:BR$78)-IMshareC!BR$70&gt;0,IMshareC!BR6/(SUM(IMshareC!BR$2:BR$78)-IMshareC!BR$70),0))</f>
        <v>3.0750051996002538E-8</v>
      </c>
      <c r="BS6" s="8">
        <f>IF($A6=BS$1,0,IF(SUM(IMshareC!BS$2:BS$78)-IMshareC!BS$71&gt;0,IMshareC!BS6/(SUM(IMshareC!BS$2:BS$78)-IMshareC!BS$71),0))</f>
        <v>0</v>
      </c>
      <c r="BT6" s="8">
        <f>IF($A6=BT$1,0,IF(SUM(IMshareC!BT$2:BT$78)-IMshareC!BT$72&gt;0,IMshareC!BT6/(SUM(IMshareC!BT$2:BT$78)-IMshareC!BT$72),0))</f>
        <v>0</v>
      </c>
      <c r="BU6" s="8">
        <f>IF($A6=BU$1,0,IF(SUM(IMshareC!BU$2:BU$78)-IMshareC!BU$73&gt;0,IMshareC!BU6/(SUM(IMshareC!BU$2:BU$78)-IMshareC!BU$73),0))</f>
        <v>9.1034709371582502E-9</v>
      </c>
      <c r="BV6" s="8">
        <f>IF($A6=BV$1,0,IF(SUM(IMshareC!BV$2:BV$78)-IMshareC!BV$74&gt;0,IMshareC!BV6/(SUM(IMshareC!BV$2:BV$78)-IMshareC!BV$74),0))</f>
        <v>0</v>
      </c>
      <c r="BW6" s="8">
        <f>IF($A6=BW$1,0,IF(SUM(IMshareC!BW$2:BW$78)-IMshareC!BW$75&gt;0,IMshareC!BW6/(SUM(IMshareC!BW$2:BW$78)-IMshareC!BW$75),0))</f>
        <v>3.629077333213941E-6</v>
      </c>
      <c r="BX6" s="8">
        <f>IF($A6=BX$1,0,IF(SUM(IMshareC!BX$2:BX$78)-IMshareC!BX$76&gt;0,IMshareC!BX6/(SUM(IMshareC!BX$2:BX$78)-IMshareC!BX$76),0))</f>
        <v>0</v>
      </c>
      <c r="BY6" s="8">
        <f>IF($A6=BY$1,0,IF(SUM(IMshareC!BY$2:BY$78)-IMshareC!BY$77&gt;0,IMshareC!BY6/(SUM(IMshareC!BY$2:BY$78)-IMshareC!BY$77),0))</f>
        <v>0</v>
      </c>
      <c r="BZ6" s="8">
        <f>IF($A6=BZ$1,0,IF(SUM(IMshareC!BZ$2:BZ$78)-IMshareC!BZ$78&gt;0,IMshareC!BZ6/(SUM(IMshareC!BZ$2:BZ$78)-IMshareC!BZ$78),0))</f>
        <v>3.9691370248562532E-6</v>
      </c>
    </row>
    <row r="7" spans="1:78">
      <c r="A7" s="4" t="s">
        <v>81</v>
      </c>
      <c r="B7" s="8">
        <f>IF($A7=B$1,0,IF(SUM(IMshareC!B$2:B$78)-IMshareC!B$2&gt;0,IMshareC!B7/(SUM(IMshareC!B$2:B$78)-IMshareC!B$2),0))</f>
        <v>4.261932196459883E-4</v>
      </c>
      <c r="C7" s="8">
        <f>IF($A7=C$1,0,IF(SUM(IMshareC!C$2:C$78)-IMshareC!C$3&gt;0,IMshareC!C7/(SUM(IMshareC!C$2:C$78)-IMshareC!C$3),0))</f>
        <v>2.5296326347749534E-4</v>
      </c>
      <c r="D7" s="8">
        <f>IF($A7=D$1,0,IF(SUM(IMshareC!D$2:D$78)-IMshareC!D$4&gt;0,IMshareC!D7/(SUM(IMshareC!D$2:D$78)-IMshareC!D$4),0))</f>
        <v>6.3269279311590505E-3</v>
      </c>
      <c r="E7" s="8">
        <f>IF($A7=E$1,0,IF(SUM(IMshareC!E$2:E$78)-IMshareC!E$5&gt;0,IMshareC!E7/(SUM(IMshareC!E$2:E$78)-IMshareC!E$5),0))</f>
        <v>1.9172265612679091E-3</v>
      </c>
      <c r="F7" s="8">
        <f>IF($A7=F$1,0,IF(SUM(IMshareC!F$2:F$78)-IMshareC!F$6&gt;0,IMshareC!F7/(SUM(IMshareC!F$2:F$78)-IMshareC!F$6),0))</f>
        <v>1.0466093960145502E-6</v>
      </c>
      <c r="G7" s="8">
        <f>IF($A7=G$1,0,IF(SUM(IMshareC!G$2:G$78)-IMshareC!G$7&gt;0,IMshareC!G7/(SUM(IMshareC!G$2:G$78)-IMshareC!G$7),0))</f>
        <v>0</v>
      </c>
      <c r="H7" s="8">
        <f>IF($A7=H$1,0,IF(SUM(IMshareC!H$2:H$78)-IMshareC!H$8&gt;0,IMshareC!H7/(SUM(IMshareC!H$2:H$78)-IMshareC!H$8),0))</f>
        <v>3.2654584273925292E-4</v>
      </c>
      <c r="I7" s="8">
        <f>IF($A7=I$1,0,IF(SUM(IMshareC!I$2:I$78)-IMshareC!I$9&gt;0,IMshareC!I7/(SUM(IMshareC!I$2:I$78)-IMshareC!I$9),0))</f>
        <v>2.2368197692242174E-4</v>
      </c>
      <c r="J7" s="8">
        <f>IF($A7=J$1,0,IF(SUM(IMshareC!J$2:J$78)-IMshareC!J$10&gt;0,IMshareC!J7/(SUM(IMshareC!J$2:J$78)-IMshareC!J$10),0))</f>
        <v>2.7067438612824561E-5</v>
      </c>
      <c r="K7" s="8">
        <f>IF($A7=K$1,0,IF(SUM(IMshareC!K$2:K$78)-IMshareC!K$11&gt;0,IMshareC!K7/(SUM(IMshareC!K$2:K$78)-IMshareC!K$11),0))</f>
        <v>4.179919978631254E-4</v>
      </c>
      <c r="L7" s="8">
        <f>IF($A7=L$1,0,IF(SUM(IMshareC!L$2:L$78)-IMshareC!L$12&gt;0,IMshareC!L7/(SUM(IMshareC!L$2:L$78)-IMshareC!L$12),0))</f>
        <v>6.1469470932857774E-3</v>
      </c>
      <c r="M7" s="8">
        <f>IF($A7=M$1,0,IF(SUM(IMshareC!M$2:M$78)-IMshareC!M$13&gt;0,IMshareC!M7/(SUM(IMshareC!M$2:M$78)-IMshareC!M$13),0))</f>
        <v>2.3626911073638114E-4</v>
      </c>
      <c r="N7" s="8">
        <f>IF($A7=N$1,0,IF(SUM(IMshareC!N$2:N$78)-IMshareC!N$14&gt;0,IMshareC!N7/(SUM(IMshareC!N$2:N$78)-IMshareC!N$14),0))</f>
        <v>5.7191260877349591E-5</v>
      </c>
      <c r="O7" s="8">
        <f>IF($A7=O$1,0,IF(SUM(IMshareC!O$2:O$78)-IMshareC!O$15&gt;0,IMshareC!O7/(SUM(IMshareC!O$2:O$78)-IMshareC!O$15),0))</f>
        <v>3.2360620283222507E-4</v>
      </c>
      <c r="P7" s="8">
        <f>IF($A7=P$1,0,IF(SUM(IMshareC!P$2:P$78)-IMshareC!P$16&gt;0,IMshareC!P7/(SUM(IMshareC!P$2:P$78)-IMshareC!P$16),0))</f>
        <v>0</v>
      </c>
      <c r="Q7" s="8">
        <f>IF($A7=Q$1,0,IF(SUM(IMshareC!Q$2:Q$78)-IMshareC!Q$17&gt;0,IMshareC!Q7/(SUM(IMshareC!Q$2:Q$78)-IMshareC!Q$17),0))</f>
        <v>1.6459128555744936E-4</v>
      </c>
      <c r="R7" s="8">
        <f>IF($A7=R$1,0,IF(SUM(IMshareC!R$2:R$78)-IMshareC!R$18&gt;0,IMshareC!R7/(SUM(IMshareC!R$2:R$78)-IMshareC!R$18),0))</f>
        <v>6.7474551351996961E-5</v>
      </c>
      <c r="S7" s="8">
        <f>IF($A7=S$1,0,IF(SUM(IMshareC!S$2:S$78)-IMshareC!S$19&gt;0,IMshareC!S7/(SUM(IMshareC!S$2:S$78)-IMshareC!S$19),0))</f>
        <v>4.3941116686877959E-5</v>
      </c>
      <c r="T7" s="8">
        <f>IF($A7=T$1,0,IF(SUM(IMshareC!T$2:T$78)-IMshareC!T$20&gt;0,IMshareC!T7/(SUM(IMshareC!T$2:T$78)-IMshareC!T$20),0))</f>
        <v>7.6901051496697432E-4</v>
      </c>
      <c r="U7" s="8">
        <f>IF($A7=U$1,0,IF(SUM(IMshareC!U$2:U$78)-IMshareC!U$21&gt;0,IMshareC!U7/(SUM(IMshareC!U$2:U$78)-IMshareC!U$21),0))</f>
        <v>1.3407171027106531E-3</v>
      </c>
      <c r="V7" s="8">
        <f>IF($A7=V$1,0,IF(SUM(IMshareC!V$2:V$78)-IMshareC!V$22&gt;0,IMshareC!V7/(SUM(IMshareC!V$2:V$78)-IMshareC!V$22),0))</f>
        <v>7.9007630117210771E-3</v>
      </c>
      <c r="W7" s="8">
        <f>IF($A7=W$1,0,IF(SUM(IMshareC!W$2:W$78)-IMshareC!W$23&gt;0,IMshareC!W7/(SUM(IMshareC!W$2:W$78)-IMshareC!W$23),0))</f>
        <v>1.3810011708928363E-3</v>
      </c>
      <c r="X7" s="8">
        <f>IF($A7=X$1,0,IF(SUM(IMshareC!X$2:X$78)-IMshareC!X$24&gt;0,IMshareC!X7/(SUM(IMshareC!X$2:X$78)-IMshareC!X$24),0))</f>
        <v>6.364750967411863E-4</v>
      </c>
      <c r="Y7" s="8">
        <f>IF($A7=Y$1,0,IF(SUM(IMshareC!Y$2:Y$78)-IMshareC!Y$25&gt;0,IMshareC!Y7/(SUM(IMshareC!Y$2:Y$78)-IMshareC!Y$25),0))</f>
        <v>5.5212981001395006E-4</v>
      </c>
      <c r="Z7" s="8">
        <f>IF($A7=Z$1,0,IF(SUM(IMshareC!Z$2:Z$78)-IMshareC!Z$26&gt;0,IMshareC!Z7/(SUM(IMshareC!Z$2:Z$78)-IMshareC!Z$26),0))</f>
        <v>5.0153541646380181E-4</v>
      </c>
      <c r="AA7" s="8">
        <f>IF($A7=AA$1,0,IF(SUM(IMshareC!AA$2:AA$78)-IMshareC!AA$27&gt;0,IMshareC!AA7/(SUM(IMshareC!AA$2:AA$78)-IMshareC!AA$27),0))</f>
        <v>8.4726667962080858E-4</v>
      </c>
      <c r="AB7" s="8">
        <f>IF($A7=AB$1,0,IF(SUM(IMshareC!AB$2:AB$78)-IMshareC!AB$28&gt;0,IMshareC!AB7/(SUM(IMshareC!AB$2:AB$78)-IMshareC!AB$28),0))</f>
        <v>3.2880759026451241E-3</v>
      </c>
      <c r="AC7" s="8">
        <f>IF($A7=AC$1,0,IF(SUM(IMshareC!AC$2:AC$78)-IMshareC!AC$29&gt;0,IMshareC!AC7/(SUM(IMshareC!AC$2:AC$78)-IMshareC!AC$29),0))</f>
        <v>2.2657052535460985E-2</v>
      </c>
      <c r="AD7" s="8">
        <f>IF($A7=AD$1,0,IF(SUM(IMshareC!AD$2:AD$78)-IMshareC!AD$30&gt;0,IMshareC!AD7/(SUM(IMshareC!AD$2:AD$78)-IMshareC!AD$30),0))</f>
        <v>2.0929790556785949E-4</v>
      </c>
      <c r="AE7" s="8">
        <f>IF($A7=AE$1,0,IF(SUM(IMshareC!AE$2:AE$78)-IMshareC!AE$31&gt;0,IMshareC!AE7/(SUM(IMshareC!AE$2:AE$78)-IMshareC!AE$31),0))</f>
        <v>8.4735425608772159E-4</v>
      </c>
      <c r="AF7" s="8">
        <f>IF($A7=AF$1,0,IF(SUM(IMshareC!AF$2:AF$78)-IMshareC!AF$32&gt;0,IMshareC!AF7/(SUM(IMshareC!AF$2:AF$78)-IMshareC!AF$32),0))</f>
        <v>3.6753232179246258E-4</v>
      </c>
      <c r="AG7" s="8">
        <f>IF($A7=AG$1,0,IF(SUM(IMshareC!AG$2:AG$78)-IMshareC!AG$33&gt;0,IMshareC!AG7/(SUM(IMshareC!AG$2:AG$78)-IMshareC!AG$33),0))</f>
        <v>2.2191888662559966E-6</v>
      </c>
      <c r="AH7" s="8">
        <f>IF($A7=AH$1,0,IF(SUM(IMshareC!AH$2:AH$78)-IMshareC!AH$34&gt;0,IMshareC!AH7/(SUM(IMshareC!AH$2:AH$78)-IMshareC!AH$34),0))</f>
        <v>2.3315213891299258E-4</v>
      </c>
      <c r="AI7" s="8">
        <f>IF($A7=AI$1,0,IF(SUM(IMshareC!AI$2:AI$78)-IMshareC!AI$35&gt;0,IMshareC!AI7/(SUM(IMshareC!AI$2:AI$78)-IMshareC!AI$35),0))</f>
        <v>3.6476924078601888E-5</v>
      </c>
      <c r="AJ7" s="8">
        <f>IF($A7=AJ$1,0,IF(SUM(IMshareC!AJ$2:AJ$78)-IMshareC!AJ$36&gt;0,IMshareC!AJ7/(SUM(IMshareC!AJ$2:AJ$78)-IMshareC!AJ$36),0))</f>
        <v>1.3734904724865127E-2</v>
      </c>
      <c r="AK7" s="8">
        <f>IF($A7=AK$1,0,IF(SUM(IMshareC!AK$2:AK$78)-IMshareC!AK$37&gt;0,IMshareC!AK7/(SUM(IMshareC!AK$2:AK$78)-IMshareC!AK$37),0))</f>
        <v>5.7844678693077972E-5</v>
      </c>
      <c r="AL7" s="8">
        <f>IF($A7=AL$1,0,IF(SUM(IMshareC!AL$2:AL$78)-IMshareC!AL$38&gt;0,IMshareC!AL7/(SUM(IMshareC!AL$2:AL$78)-IMshareC!AL$38),0))</f>
        <v>4.7114010198272141E-3</v>
      </c>
      <c r="AM7" s="8">
        <f>IF($A7=AM$1,0,IF(SUM(IMshareC!AM$2:AM$78)-IMshareC!AM$39&gt;0,IMshareC!AM7/(SUM(IMshareC!AM$2:AM$78)-IMshareC!AM$39),0))</f>
        <v>5.3064622545450102E-6</v>
      </c>
      <c r="AN7" s="8">
        <f>IF($A7=AN$1,0,IF(SUM(IMshareC!AN$2:AN$78)-IMshareC!AN$40&gt;0,IMshareC!AN7/(SUM(IMshareC!AN$2:AN$78)-IMshareC!AN$40),0))</f>
        <v>3.9471828955263457E-5</v>
      </c>
      <c r="AO7" s="8">
        <f>IF($A7=AO$1,0,IF(SUM(IMshareC!AO$2:AO$78)-IMshareC!AO$41&gt;0,IMshareC!AO7/(SUM(IMshareC!AO$2:AO$78)-IMshareC!AO$41),0))</f>
        <v>4.1014670716545071E-3</v>
      </c>
      <c r="AP7" s="8">
        <f>IF($A7=AP$1,0,IF(SUM(IMshareC!AP$2:AP$78)-IMshareC!AP$42&gt;0,IMshareC!AP7/(SUM(IMshareC!AP$2:AP$78)-IMshareC!AP$42),0))</f>
        <v>0</v>
      </c>
      <c r="AQ7" s="8">
        <f>IF($A7=AQ$1,0,IF(SUM(IMshareC!AQ$2:AQ$78)-IMshareC!AQ$43&gt;0,IMshareC!AQ7/(SUM(IMshareC!AQ$2:AQ$78)-IMshareC!AQ$43),0))</f>
        <v>5.1151838749442918E-5</v>
      </c>
      <c r="AR7" s="8">
        <f>IF($A7=AR$1,0,IF(SUM(IMshareC!AR$2:AR$78)-IMshareC!AR$44&gt;0,IMshareC!AR7/(SUM(IMshareC!AR$2:AR$78)-IMshareC!AR$44),0))</f>
        <v>0</v>
      </c>
      <c r="AS7" s="8">
        <f>IF($A7=AS$1,0,IF(SUM(IMshareC!AS$2:AS$78)-IMshareC!AS$45&gt;0,IMshareC!AS7/(SUM(IMshareC!AS$2:AS$78)-IMshareC!AS$45),0))</f>
        <v>5.6437005645121286E-4</v>
      </c>
      <c r="AT7" s="8">
        <f>IF($A7=AT$1,0,IF(SUM(IMshareC!AT$2:AT$78)-IMshareC!AT$46&gt;0,IMshareC!AT7/(SUM(IMshareC!AT$2:AT$78)-IMshareC!AT$46),0))</f>
        <v>1.5267833672033342E-4</v>
      </c>
      <c r="AU7" s="8">
        <f>IF($A7=AU$1,0,IF(SUM(IMshareC!AU$2:AU$78)-IMshareC!AU$47&gt;0,IMshareC!AU7/(SUM(IMshareC!AU$2:AU$78)-IMshareC!AU$47),0))</f>
        <v>3.0508041466050461E-4</v>
      </c>
      <c r="AV7" s="8">
        <f>IF($A7=AV$1,0,IF(SUM(IMshareC!AV$2:AV$78)-IMshareC!AV$48&gt;0,IMshareC!AV7/(SUM(IMshareC!AV$2:AV$78)-IMshareC!AV$48),0))</f>
        <v>6.22354824141676E-4</v>
      </c>
      <c r="AW7" s="8">
        <f>IF($A7=AW$1,0,IF(SUM(IMshareC!AW$2:AW$78)-IMshareC!AW$49&gt;0,IMshareC!AW7/(SUM(IMshareC!AW$2:AW$78)-IMshareC!AW$49),0))</f>
        <v>3.4408873748627656E-5</v>
      </c>
      <c r="AX7" s="8">
        <f>IF($A7=AX$1,0,IF(SUM(IMshareC!AX$2:AX$78)-IMshareC!AX$50&gt;0,IMshareC!AX7/(SUM(IMshareC!AX$2:AX$78)-IMshareC!AX$50),0))</f>
        <v>5.2890238746704178E-6</v>
      </c>
      <c r="AY7" s="8">
        <f>IF($A7=AY$1,0,IF(SUM(IMshareC!AY$2:AY$78)-IMshareC!AY$51&gt;0,IMshareC!AY7/(SUM(IMshareC!AY$2:AY$78)-IMshareC!AY$51),0))</f>
        <v>2.0214882446488835E-4</v>
      </c>
      <c r="AZ7" s="8">
        <f>IF($A7=AZ$1,0,IF(SUM(IMshareC!AZ$2:AZ$78)-IMshareC!AZ$52&gt;0,IMshareC!AZ7/(SUM(IMshareC!AZ$2:AZ$78)-IMshareC!AZ$52),0))</f>
        <v>1.123972738965359E-5</v>
      </c>
      <c r="BA7" s="8">
        <f>IF($A7=BA$1,0,IF(SUM(IMshareC!BA$2:BA$78)-IMshareC!BA$53&gt;0,IMshareC!BA7/(SUM(IMshareC!BA$2:BA$78)-IMshareC!BA$53),0))</f>
        <v>9.4054728316252435E-6</v>
      </c>
      <c r="BB7" s="8">
        <f>IF($A7=BB$1,0,IF(SUM(IMshareC!BB$2:BB$78)-IMshareC!BB$54&gt;0,IMshareC!BB7/(SUM(IMshareC!BB$2:BB$78)-IMshareC!BB$54),0))</f>
        <v>2.8464846436401488E-4</v>
      </c>
      <c r="BC7" s="8">
        <f>IF($A7=BC$1,0,IF(SUM(IMshareC!BC$2:BC$78)-IMshareC!BC$55&gt;0,IMshareC!BC7/(SUM(IMshareC!BC$2:BC$78)-IMshareC!BC$55),0))</f>
        <v>4.0213911138600679E-4</v>
      </c>
      <c r="BD7" s="8">
        <f>IF($A7=BD$1,0,IF(SUM(IMshareC!BD$2:BD$78)-IMshareC!BD$56&gt;0,IMshareC!BD7/(SUM(IMshareC!BD$2:BD$78)-IMshareC!BD$56),0))</f>
        <v>3.8434686321006239E-4</v>
      </c>
      <c r="BE7" s="8">
        <f>IF($A7=BE$1,0,IF(SUM(IMshareC!BE$2:BE$78)-IMshareC!BE$57&gt;0,IMshareC!BE7/(SUM(IMshareC!BE$2:BE$78)-IMshareC!BE$57),0))</f>
        <v>1.989523667311938E-4</v>
      </c>
      <c r="BF7" s="8">
        <f>IF($A7=BF$1,0,IF(SUM(IMshareC!BF$2:BF$78)-IMshareC!BF$58&gt;0,IMshareC!BF7/(SUM(IMshareC!BF$2:BF$78)-IMshareC!BF$58),0))</f>
        <v>4.7938635794262752E-5</v>
      </c>
      <c r="BG7" s="8">
        <f>IF($A7=BG$1,0,IF(SUM(IMshareC!BG$2:BG$78)-IMshareC!BG$59&gt;0,IMshareC!BG7/(SUM(IMshareC!BG$2:BG$78)-IMshareC!BG$59),0))</f>
        <v>1.4668508861750001E-3</v>
      </c>
      <c r="BH7" s="8">
        <f>IF($A7=BH$1,0,IF(SUM(IMshareC!BH$2:BH$78)-IMshareC!BH$60&gt;0,IMshareC!BH7/(SUM(IMshareC!BH$2:BH$78)-IMshareC!BH$60),0))</f>
        <v>5.9655613677145184E-4</v>
      </c>
      <c r="BI7" s="8">
        <f>IF($A7=BI$1,0,IF(SUM(IMshareC!BI$2:BI$78)-IMshareC!BI$61&gt;0,IMshareC!BI7/(SUM(IMshareC!BI$2:BI$78)-IMshareC!BI$61),0))</f>
        <v>3.2210450216033857E-4</v>
      </c>
      <c r="BJ7" s="8">
        <f>IF($A7=BJ$1,0,IF(SUM(IMshareC!BJ$2:BJ$78)-IMshareC!BJ$62&gt;0,IMshareC!BJ7/(SUM(IMshareC!BJ$2:BJ$78)-IMshareC!BJ$62),0))</f>
        <v>3.2756025511743213E-3</v>
      </c>
      <c r="BK7" s="8">
        <f>IF($A7=BK$1,0,IF(SUM(IMshareC!BK$2:BK$78)-IMshareC!BK$63&gt;0,IMshareC!BK7/(SUM(IMshareC!BK$2:BK$78)-IMshareC!BK$63),0))</f>
        <v>1.3094839678514349E-4</v>
      </c>
      <c r="BL7" s="8">
        <f>IF($A7=BL$1,0,IF(SUM(IMshareC!BL$2:BL$78)-IMshareC!BL$64&gt;0,IMshareC!BL7/(SUM(IMshareC!BL$2:BL$78)-IMshareC!BL$64),0))</f>
        <v>6.0131544689073584E-4</v>
      </c>
      <c r="BM7" s="8">
        <f>IF($A7=BM$1,0,IF(SUM(IMshareC!BM$2:BM$78)-IMshareC!BM$65&gt;0,IMshareC!BM7/(SUM(IMshareC!BM$2:BM$78)-IMshareC!BM$65),0))</f>
        <v>0</v>
      </c>
      <c r="BN7" s="8">
        <f>IF($A7=BN$1,0,IF(SUM(IMshareC!BN$2:BN$78)-IMshareC!BN$66&gt;0,IMshareC!BN7/(SUM(IMshareC!BN$2:BN$78)-IMshareC!BN$66),0))</f>
        <v>1.17200622972699E-5</v>
      </c>
      <c r="BO7" s="8">
        <f>IF($A7=BO$1,0,IF(SUM(IMshareC!BO$2:BO$78)-IMshareC!BO$67&gt;0,IMshareC!BO7/(SUM(IMshareC!BO$2:BO$78)-IMshareC!BO$67),0))</f>
        <v>9.9208980577407266E-5</v>
      </c>
      <c r="BP7" s="8">
        <f>IF($A7=BP$1,0,IF(SUM(IMshareC!BP$2:BP$78)-IMshareC!BP$68&gt;0,IMshareC!BP7/(SUM(IMshareC!BP$2:BP$78)-IMshareC!BP$68),0))</f>
        <v>4.9130754909815742E-4</v>
      </c>
      <c r="BQ7" s="8">
        <f>IF($A7=BQ$1,0,IF(SUM(IMshareC!BQ$2:BQ$78)-IMshareC!BQ$69&gt;0,IMshareC!BQ7/(SUM(IMshareC!BQ$2:BQ$78)-IMshareC!BQ$69),0))</f>
        <v>2.8828955764630582E-4</v>
      </c>
      <c r="BR7" s="8">
        <f>IF($A7=BR$1,0,IF(SUM(IMshareC!BR$2:BR$78)-IMshareC!BR$70&gt;0,IMshareC!BR7/(SUM(IMshareC!BR$2:BR$78)-IMshareC!BR$70),0))</f>
        <v>1.7521335870177764E-5</v>
      </c>
      <c r="BS7" s="8">
        <f>IF($A7=BS$1,0,IF(SUM(IMshareC!BS$2:BS$78)-IMshareC!BS$71&gt;0,IMshareC!BS7/(SUM(IMshareC!BS$2:BS$78)-IMshareC!BS$71),0))</f>
        <v>1.180522121610628E-5</v>
      </c>
      <c r="BT7" s="8">
        <f>IF($A7=BT$1,0,IF(SUM(IMshareC!BT$2:BT$78)-IMshareC!BT$72&gt;0,IMshareC!BT7/(SUM(IMshareC!BT$2:BT$78)-IMshareC!BT$72),0))</f>
        <v>2.2449683747031218E-3</v>
      </c>
      <c r="BU7" s="8">
        <f>IF($A7=BU$1,0,IF(SUM(IMshareC!BU$2:BU$78)-IMshareC!BU$73&gt;0,IMshareC!BU7/(SUM(IMshareC!BU$2:BU$78)-IMshareC!BU$73),0))</f>
        <v>2.2013623929960541E-5</v>
      </c>
      <c r="BV7" s="8">
        <f>IF($A7=BV$1,0,IF(SUM(IMshareC!BV$2:BV$78)-IMshareC!BV$74&gt;0,IMshareC!BV7/(SUM(IMshareC!BV$2:BV$78)-IMshareC!BV$74),0))</f>
        <v>3.2694032601076782E-4</v>
      </c>
      <c r="BW7" s="8">
        <f>IF($A7=BW$1,0,IF(SUM(IMshareC!BW$2:BW$78)-IMshareC!BW$75&gt;0,IMshareC!BW7/(SUM(IMshareC!BW$2:BW$78)-IMshareC!BW$75),0))</f>
        <v>5.8069628443614669E-5</v>
      </c>
      <c r="BX7" s="8">
        <f>IF($A7=BX$1,0,IF(SUM(IMshareC!BX$2:BX$78)-IMshareC!BX$76&gt;0,IMshareC!BX7/(SUM(IMshareC!BX$2:BX$78)-IMshareC!BX$76),0))</f>
        <v>1.6303329385345605E-6</v>
      </c>
      <c r="BY7" s="8">
        <f>IF($A7=BY$1,0,IF(SUM(IMshareC!BY$2:BY$78)-IMshareC!BY$77&gt;0,IMshareC!BY7/(SUM(IMshareC!BY$2:BY$78)-IMshareC!BY$77),0))</f>
        <v>3.6441162897333531E-4</v>
      </c>
      <c r="BZ7" s="8">
        <f>IF($A7=BZ$1,0,IF(SUM(IMshareC!BZ$2:BZ$78)-IMshareC!BZ$78&gt;0,IMshareC!BZ7/(SUM(IMshareC!BZ$2:BZ$78)-IMshareC!BZ$78),0))</f>
        <v>7.3506860882920977E-4</v>
      </c>
    </row>
    <row r="8" spans="1:78">
      <c r="A8" s="4" t="s">
        <v>83</v>
      </c>
      <c r="B8" s="8">
        <f>IF($A8=B$1,0,IF(SUM(IMshareC!B$2:B$78)-IMshareC!B$2&gt;0,IMshareC!B8/(SUM(IMshareC!B$2:B$78)-IMshareC!B$2),0))</f>
        <v>1.223677068582045E-5</v>
      </c>
      <c r="C8" s="8">
        <f>IF($A8=C$1,0,IF(SUM(IMshareC!C$2:C$78)-IMshareC!C$3&gt;0,IMshareC!C8/(SUM(IMshareC!C$2:C$78)-IMshareC!C$3),0))</f>
        <v>2.3726593607048954E-6</v>
      </c>
      <c r="D8" s="8">
        <f>IF($A8=D$1,0,IF(SUM(IMshareC!D$2:D$78)-IMshareC!D$4&gt;0,IMshareC!D8/(SUM(IMshareC!D$2:D$78)-IMshareC!D$4),0))</f>
        <v>4.5935685673184779E-8</v>
      </c>
      <c r="E8" s="8">
        <f>IF($A8=E$1,0,IF(SUM(IMshareC!E$2:E$78)-IMshareC!E$5&gt;0,IMshareC!E8/(SUM(IMshareC!E$2:E$78)-IMshareC!E$5),0))</f>
        <v>3.4657566512365173E-6</v>
      </c>
      <c r="F8" s="8">
        <f>IF($A8=F$1,0,IF(SUM(IMshareC!F$2:F$78)-IMshareC!F$6&gt;0,IMshareC!F8/(SUM(IMshareC!F$2:F$78)-IMshareC!F$6),0))</f>
        <v>0</v>
      </c>
      <c r="G8" s="8">
        <f>IF($A8=G$1,0,IF(SUM(IMshareC!G$2:G$78)-IMshareC!G$7&gt;0,IMshareC!G8/(SUM(IMshareC!G$2:G$78)-IMshareC!G$7),0))</f>
        <v>2.8018251578542654E-5</v>
      </c>
      <c r="H8" s="8">
        <f>IF($A8=H$1,0,IF(SUM(IMshareC!H$2:H$78)-IMshareC!H$8&gt;0,IMshareC!H8/(SUM(IMshareC!H$2:H$78)-IMshareC!H$8),0))</f>
        <v>0</v>
      </c>
      <c r="I8" s="8">
        <f>IF($A8=I$1,0,IF(SUM(IMshareC!I$2:I$78)-IMshareC!I$9&gt;0,IMshareC!I8/(SUM(IMshareC!I$2:I$78)-IMshareC!I$9),0))</f>
        <v>3.951194966927139E-7</v>
      </c>
      <c r="J8" s="8">
        <f>IF($A8=J$1,0,IF(SUM(IMshareC!J$2:J$78)-IMshareC!J$10&gt;0,IMshareC!J8/(SUM(IMshareC!J$2:J$78)-IMshareC!J$10),0))</f>
        <v>0</v>
      </c>
      <c r="K8" s="8">
        <f>IF($A8=K$1,0,IF(SUM(IMshareC!K$2:K$78)-IMshareC!K$11&gt;0,IMshareC!K8/(SUM(IMshareC!K$2:K$78)-IMshareC!K$11),0))</f>
        <v>1.4057600304799649E-6</v>
      </c>
      <c r="L8" s="8">
        <f>IF($A8=L$1,0,IF(SUM(IMshareC!L$2:L$78)-IMshareC!L$12&gt;0,IMshareC!L8/(SUM(IMshareC!L$2:L$78)-IMshareC!L$12),0))</f>
        <v>0</v>
      </c>
      <c r="M8" s="8">
        <f>IF($A8=M$1,0,IF(SUM(IMshareC!M$2:M$78)-IMshareC!M$13&gt;0,IMshareC!M8/(SUM(IMshareC!M$2:M$78)-IMshareC!M$13),0))</f>
        <v>0</v>
      </c>
      <c r="N8" s="8">
        <f>IF($A8=N$1,0,IF(SUM(IMshareC!N$2:N$78)-IMshareC!N$14&gt;0,IMshareC!N8/(SUM(IMshareC!N$2:N$78)-IMshareC!N$14),0))</f>
        <v>2.677571606431582E-5</v>
      </c>
      <c r="O8" s="8">
        <f>IF($A8=O$1,0,IF(SUM(IMshareC!O$2:O$78)-IMshareC!O$15&gt;0,IMshareC!O8/(SUM(IMshareC!O$2:O$78)-IMshareC!O$15),0))</f>
        <v>1.1893488809941002E-4</v>
      </c>
      <c r="P8" s="8">
        <f>IF($A8=P$1,0,IF(SUM(IMshareC!P$2:P$78)-IMshareC!P$16&gt;0,IMshareC!P8/(SUM(IMshareC!P$2:P$78)-IMshareC!P$16),0))</f>
        <v>0</v>
      </c>
      <c r="Q8" s="8">
        <f>IF($A8=Q$1,0,IF(SUM(IMshareC!Q$2:Q$78)-IMshareC!Q$17&gt;0,IMshareC!Q8/(SUM(IMshareC!Q$2:Q$78)-IMshareC!Q$17),0))</f>
        <v>0</v>
      </c>
      <c r="R8" s="8">
        <f>IF($A8=R$1,0,IF(SUM(IMshareC!R$2:R$78)-IMshareC!R$18&gt;0,IMshareC!R8/(SUM(IMshareC!R$2:R$78)-IMshareC!R$18),0))</f>
        <v>0</v>
      </c>
      <c r="S8" s="8">
        <f>IF($A8=S$1,0,IF(SUM(IMshareC!S$2:S$78)-IMshareC!S$19&gt;0,IMshareC!S8/(SUM(IMshareC!S$2:S$78)-IMshareC!S$19),0))</f>
        <v>0</v>
      </c>
      <c r="T8" s="8">
        <f>IF($A8=T$1,0,IF(SUM(IMshareC!T$2:T$78)-IMshareC!T$20&gt;0,IMshareC!T8/(SUM(IMshareC!T$2:T$78)-IMshareC!T$20),0))</f>
        <v>3.1985146873046303E-7</v>
      </c>
      <c r="U8" s="8">
        <f>IF($A8=U$1,0,IF(SUM(IMshareC!U$2:U$78)-IMshareC!U$21&gt;0,IMshareC!U8/(SUM(IMshareC!U$2:U$78)-IMshareC!U$21),0))</f>
        <v>3.7722822624725941E-6</v>
      </c>
      <c r="V8" s="8">
        <f>IF($A8=V$1,0,IF(SUM(IMshareC!V$2:V$78)-IMshareC!V$22&gt;0,IMshareC!V8/(SUM(IMshareC!V$2:V$78)-IMshareC!V$22),0))</f>
        <v>0</v>
      </c>
      <c r="W8" s="8">
        <f>IF($A8=W$1,0,IF(SUM(IMshareC!W$2:W$78)-IMshareC!W$23&gt;0,IMshareC!W8/(SUM(IMshareC!W$2:W$78)-IMshareC!W$23),0))</f>
        <v>3.2284465175194498E-5</v>
      </c>
      <c r="X8" s="8">
        <f>IF($A8=X$1,0,IF(SUM(IMshareC!X$2:X$78)-IMshareC!X$24&gt;0,IMshareC!X8/(SUM(IMshareC!X$2:X$78)-IMshareC!X$24),0))</f>
        <v>5.1574330277678181E-8</v>
      </c>
      <c r="Y8" s="8">
        <f>IF($A8=Y$1,0,IF(SUM(IMshareC!Y$2:Y$78)-IMshareC!Y$25&gt;0,IMshareC!Y8/(SUM(IMshareC!Y$2:Y$78)-IMshareC!Y$25),0))</f>
        <v>5.381263083829909E-6</v>
      </c>
      <c r="Z8" s="8">
        <f>IF($A8=Z$1,0,IF(SUM(IMshareC!Z$2:Z$78)-IMshareC!Z$26&gt;0,IMshareC!Z8/(SUM(IMshareC!Z$2:Z$78)-IMshareC!Z$26),0))</f>
        <v>2.2574540047998571E-7</v>
      </c>
      <c r="AA8" s="8">
        <f>IF($A8=AA$1,0,IF(SUM(IMshareC!AA$2:AA$78)-IMshareC!AA$27&gt;0,IMshareC!AA8/(SUM(IMshareC!AA$2:AA$78)-IMshareC!AA$27),0))</f>
        <v>9.5432984957308839E-7</v>
      </c>
      <c r="AB8" s="8">
        <f>IF($A8=AB$1,0,IF(SUM(IMshareC!AB$2:AB$78)-IMshareC!AB$28&gt;0,IMshareC!AB8/(SUM(IMshareC!AB$2:AB$78)-IMshareC!AB$28),0))</f>
        <v>2.3407716033514793E-5</v>
      </c>
      <c r="AC8" s="8">
        <f>IF($A8=AC$1,0,IF(SUM(IMshareC!AC$2:AC$78)-IMshareC!AC$29&gt;0,IMshareC!AC8/(SUM(IMshareC!AC$2:AC$78)-IMshareC!AC$29),0))</f>
        <v>0</v>
      </c>
      <c r="AD8" s="8">
        <f>IF($A8=AD$1,0,IF(SUM(IMshareC!AD$2:AD$78)-IMshareC!AD$30&gt;0,IMshareC!AD8/(SUM(IMshareC!AD$2:AD$78)-IMshareC!AD$30),0))</f>
        <v>3.9427096874696836E-6</v>
      </c>
      <c r="AE8" s="8">
        <f>IF($A8=AE$1,0,IF(SUM(IMshareC!AE$2:AE$78)-IMshareC!AE$31&gt;0,IMshareC!AE8/(SUM(IMshareC!AE$2:AE$78)-IMshareC!AE$31),0))</f>
        <v>0</v>
      </c>
      <c r="AF8" s="8">
        <f>IF($A8=AF$1,0,IF(SUM(IMshareC!AF$2:AF$78)-IMshareC!AF$32&gt;0,IMshareC!AF8/(SUM(IMshareC!AF$2:AF$78)-IMshareC!AF$32),0))</f>
        <v>1.9315237153789488E-6</v>
      </c>
      <c r="AG8" s="8">
        <f>IF($A8=AG$1,0,IF(SUM(IMshareC!AG$2:AG$78)-IMshareC!AG$33&gt;0,IMshareC!AG8/(SUM(IMshareC!AG$2:AG$78)-IMshareC!AG$33),0))</f>
        <v>5.0022227482866027E-8</v>
      </c>
      <c r="AH8" s="8">
        <f>IF($A8=AH$1,0,IF(SUM(IMshareC!AH$2:AH$78)-IMshareC!AH$34&gt;0,IMshareC!AH8/(SUM(IMshareC!AH$2:AH$78)-IMshareC!AH$34),0))</f>
        <v>2.8328947125737177E-5</v>
      </c>
      <c r="AI8" s="8">
        <f>IF($A8=AI$1,0,IF(SUM(IMshareC!AI$2:AI$78)-IMshareC!AI$35&gt;0,IMshareC!AI8/(SUM(IMshareC!AI$2:AI$78)-IMshareC!AI$35),0))</f>
        <v>0</v>
      </c>
      <c r="AJ8" s="8">
        <f>IF($A8=AJ$1,0,IF(SUM(IMshareC!AJ$2:AJ$78)-IMshareC!AJ$36&gt;0,IMshareC!AJ8/(SUM(IMshareC!AJ$2:AJ$78)-IMshareC!AJ$36),0))</f>
        <v>0</v>
      </c>
      <c r="AK8" s="8">
        <f>IF($A8=AK$1,0,IF(SUM(IMshareC!AK$2:AK$78)-IMshareC!AK$37&gt;0,IMshareC!AK8/(SUM(IMshareC!AK$2:AK$78)-IMshareC!AK$37),0))</f>
        <v>4.2222393206626259E-5</v>
      </c>
      <c r="AL8" s="8">
        <f>IF($A8=AL$1,0,IF(SUM(IMshareC!AL$2:AL$78)-IMshareC!AL$38&gt;0,IMshareC!AL8/(SUM(IMshareC!AL$2:AL$78)-IMshareC!AL$38),0))</f>
        <v>7.8011334243790191E-7</v>
      </c>
      <c r="AM8" s="8">
        <f>IF($A8=AM$1,0,IF(SUM(IMshareC!AM$2:AM$78)-IMshareC!AM$39&gt;0,IMshareC!AM8/(SUM(IMshareC!AM$2:AM$78)-IMshareC!AM$39),0))</f>
        <v>0</v>
      </c>
      <c r="AN8" s="8">
        <f>IF($A8=AN$1,0,IF(SUM(IMshareC!AN$2:AN$78)-IMshareC!AN$40&gt;0,IMshareC!AN8/(SUM(IMshareC!AN$2:AN$78)-IMshareC!AN$40),0))</f>
        <v>3.1791764159803803E-7</v>
      </c>
      <c r="AO8" s="8">
        <f>IF($A8=AO$1,0,IF(SUM(IMshareC!AO$2:AO$78)-IMshareC!AO$41&gt;0,IMshareC!AO8/(SUM(IMshareC!AO$2:AO$78)-IMshareC!AO$41),0))</f>
        <v>7.6557390832458716E-2</v>
      </c>
      <c r="AP8" s="8">
        <f>IF($A8=AP$1,0,IF(SUM(IMshareC!AP$2:AP$78)-IMshareC!AP$42&gt;0,IMshareC!AP8/(SUM(IMshareC!AP$2:AP$78)-IMshareC!AP$42),0))</f>
        <v>0</v>
      </c>
      <c r="AQ8" s="8">
        <f>IF($A8=AQ$1,0,IF(SUM(IMshareC!AQ$2:AQ$78)-IMshareC!AQ$43&gt;0,IMshareC!AQ8/(SUM(IMshareC!AQ$2:AQ$78)-IMshareC!AQ$43),0))</f>
        <v>7.0040015266819683E-5</v>
      </c>
      <c r="AR8" s="8">
        <f>IF($A8=AR$1,0,IF(SUM(IMshareC!AR$2:AR$78)-IMshareC!AR$44&gt;0,IMshareC!AR8/(SUM(IMshareC!AR$2:AR$78)-IMshareC!AR$44),0))</f>
        <v>0</v>
      </c>
      <c r="AS8" s="8">
        <f>IF($A8=AS$1,0,IF(SUM(IMshareC!AS$2:AS$78)-IMshareC!AS$45&gt;0,IMshareC!AS8/(SUM(IMshareC!AS$2:AS$78)-IMshareC!AS$45),0))</f>
        <v>4.2522389455761813E-5</v>
      </c>
      <c r="AT8" s="8">
        <f>IF($A8=AT$1,0,IF(SUM(IMshareC!AT$2:AT$78)-IMshareC!AT$46&gt;0,IMshareC!AT8/(SUM(IMshareC!AT$2:AT$78)-IMshareC!AT$46),0))</f>
        <v>0</v>
      </c>
      <c r="AU8" s="8">
        <f>IF($A8=AU$1,0,IF(SUM(IMshareC!AU$2:AU$78)-IMshareC!AU$47&gt;0,IMshareC!AU8/(SUM(IMshareC!AU$2:AU$78)-IMshareC!AU$47),0))</f>
        <v>7.6420876208745201E-4</v>
      </c>
      <c r="AV8" s="8">
        <f>IF($A8=AV$1,0,IF(SUM(IMshareC!AV$2:AV$78)-IMshareC!AV$48&gt;0,IMshareC!AV8/(SUM(IMshareC!AV$2:AV$78)-IMshareC!AV$48),0))</f>
        <v>9.0135858837089368E-7</v>
      </c>
      <c r="AW8" s="8">
        <f>IF($A8=AW$1,0,IF(SUM(IMshareC!AW$2:AW$78)-IMshareC!AW$49&gt;0,IMshareC!AW8/(SUM(IMshareC!AW$2:AW$78)-IMshareC!AW$49),0))</f>
        <v>0</v>
      </c>
      <c r="AX8" s="8">
        <f>IF($A8=AX$1,0,IF(SUM(IMshareC!AX$2:AX$78)-IMshareC!AX$50&gt;0,IMshareC!AX8/(SUM(IMshareC!AX$2:AX$78)-IMshareC!AX$50),0))</f>
        <v>0</v>
      </c>
      <c r="AY8" s="8">
        <f>IF($A8=AY$1,0,IF(SUM(IMshareC!AY$2:AY$78)-IMshareC!AY$51&gt;0,IMshareC!AY8/(SUM(IMshareC!AY$2:AY$78)-IMshareC!AY$51),0))</f>
        <v>0</v>
      </c>
      <c r="AZ8" s="8">
        <f>IF($A8=AZ$1,0,IF(SUM(IMshareC!AZ$2:AZ$78)-IMshareC!AZ$52&gt;0,IMshareC!AZ8/(SUM(IMshareC!AZ$2:AZ$78)-IMshareC!AZ$52),0))</f>
        <v>7.048307532716535E-7</v>
      </c>
      <c r="BA8" s="8">
        <f>IF($A8=BA$1,0,IF(SUM(IMshareC!BA$2:BA$78)-IMshareC!BA$53&gt;0,IMshareC!BA8/(SUM(IMshareC!BA$2:BA$78)-IMshareC!BA$53),0))</f>
        <v>0</v>
      </c>
      <c r="BB8" s="8">
        <f>IF($A8=BB$1,0,IF(SUM(IMshareC!BB$2:BB$78)-IMshareC!BB$54&gt;0,IMshareC!BB8/(SUM(IMshareC!BB$2:BB$78)-IMshareC!BB$54),0))</f>
        <v>8.2707271840137601E-8</v>
      </c>
      <c r="BC8" s="8">
        <f>IF($A8=BC$1,0,IF(SUM(IMshareC!BC$2:BC$78)-IMshareC!BC$55&gt;0,IMshareC!BC8/(SUM(IMshareC!BC$2:BC$78)-IMshareC!BC$55),0))</f>
        <v>0</v>
      </c>
      <c r="BD8" s="8">
        <f>IF($A8=BD$1,0,IF(SUM(IMshareC!BD$2:BD$78)-IMshareC!BD$56&gt;0,IMshareC!BD8/(SUM(IMshareC!BD$2:BD$78)-IMshareC!BD$56),0))</f>
        <v>1.9297040802535904E-4</v>
      </c>
      <c r="BE8" s="8">
        <f>IF($A8=BE$1,0,IF(SUM(IMshareC!BE$2:BE$78)-IMshareC!BE$57&gt;0,IMshareC!BE8/(SUM(IMshareC!BE$2:BE$78)-IMshareC!BE$57),0))</f>
        <v>0</v>
      </c>
      <c r="BF8" s="8">
        <f>IF($A8=BF$1,0,IF(SUM(IMshareC!BF$2:BF$78)-IMshareC!BF$58&gt;0,IMshareC!BF8/(SUM(IMshareC!BF$2:BF$78)-IMshareC!BF$58),0))</f>
        <v>0</v>
      </c>
      <c r="BG8" s="8">
        <f>IF($A8=BG$1,0,IF(SUM(IMshareC!BG$2:BG$78)-IMshareC!BG$59&gt;0,IMshareC!BG8/(SUM(IMshareC!BG$2:BG$78)-IMshareC!BG$59),0))</f>
        <v>0</v>
      </c>
      <c r="BH8" s="8">
        <f>IF($A8=BH$1,0,IF(SUM(IMshareC!BH$2:BH$78)-IMshareC!BH$60&gt;0,IMshareC!BH8/(SUM(IMshareC!BH$2:BH$78)-IMshareC!BH$60),0))</f>
        <v>4.5283589331096354E-6</v>
      </c>
      <c r="BI8" s="8">
        <f>IF($A8=BI$1,0,IF(SUM(IMshareC!BI$2:BI$78)-IMshareC!BI$61&gt;0,IMshareC!BI8/(SUM(IMshareC!BI$2:BI$78)-IMshareC!BI$61),0))</f>
        <v>2.4204298623491043E-9</v>
      </c>
      <c r="BJ8" s="8">
        <f>IF($A8=BJ$1,0,IF(SUM(IMshareC!BJ$2:BJ$78)-IMshareC!BJ$62&gt;0,IMshareC!BJ8/(SUM(IMshareC!BJ$2:BJ$78)-IMshareC!BJ$62),0))</f>
        <v>7.417120955504285E-8</v>
      </c>
      <c r="BK8" s="8">
        <f>IF($A8=BK$1,0,IF(SUM(IMshareC!BK$2:BK$78)-IMshareC!BK$63&gt;0,IMshareC!BK8/(SUM(IMshareC!BK$2:BK$78)-IMshareC!BK$63),0))</f>
        <v>0</v>
      </c>
      <c r="BL8" s="8">
        <f>IF($A8=BL$1,0,IF(SUM(IMshareC!BL$2:BL$78)-IMshareC!BL$64&gt;0,IMshareC!BL8/(SUM(IMshareC!BL$2:BL$78)-IMshareC!BL$64),0))</f>
        <v>0</v>
      </c>
      <c r="BM8" s="8">
        <f>IF($A8=BM$1,0,IF(SUM(IMshareC!BM$2:BM$78)-IMshareC!BM$65&gt;0,IMshareC!BM8/(SUM(IMshareC!BM$2:BM$78)-IMshareC!BM$65),0))</f>
        <v>0</v>
      </c>
      <c r="BN8" s="8">
        <f>IF($A8=BN$1,0,IF(SUM(IMshareC!BN$2:BN$78)-IMshareC!BN$66&gt;0,IMshareC!BN8/(SUM(IMshareC!BN$2:BN$78)-IMshareC!BN$66),0))</f>
        <v>1.9807651569445229E-7</v>
      </c>
      <c r="BO8" s="8">
        <f>IF($A8=BO$1,0,IF(SUM(IMshareC!BO$2:BO$78)-IMshareC!BO$67&gt;0,IMshareC!BO8/(SUM(IMshareC!BO$2:BO$78)-IMshareC!BO$67),0))</f>
        <v>1.6142188605382693E-6</v>
      </c>
      <c r="BP8" s="8">
        <f>IF($A8=BP$1,0,IF(SUM(IMshareC!BP$2:BP$78)-IMshareC!BP$68&gt;0,IMshareC!BP8/(SUM(IMshareC!BP$2:BP$78)-IMshareC!BP$68),0))</f>
        <v>3.0156711278522775E-6</v>
      </c>
      <c r="BQ8" s="8">
        <f>IF($A8=BQ$1,0,IF(SUM(IMshareC!BQ$2:BQ$78)-IMshareC!BQ$69&gt;0,IMshareC!BQ8/(SUM(IMshareC!BQ$2:BQ$78)-IMshareC!BQ$69),0))</f>
        <v>6.8901691633564134E-6</v>
      </c>
      <c r="BR8" s="8">
        <f>IF($A8=BR$1,0,IF(SUM(IMshareC!BR$2:BR$78)-IMshareC!BR$70&gt;0,IMshareC!BR8/(SUM(IMshareC!BR$2:BR$78)-IMshareC!BR$70),0))</f>
        <v>9.9751626284721198E-7</v>
      </c>
      <c r="BS8" s="8">
        <f>IF($A8=BS$1,0,IF(SUM(IMshareC!BS$2:BS$78)-IMshareC!BS$71&gt;0,IMshareC!BS8/(SUM(IMshareC!BS$2:BS$78)-IMshareC!BS$71),0))</f>
        <v>0</v>
      </c>
      <c r="BT8" s="8">
        <f>IF($A8=BT$1,0,IF(SUM(IMshareC!BT$2:BT$78)-IMshareC!BT$72&gt;0,IMshareC!BT8/(SUM(IMshareC!BT$2:BT$78)-IMshareC!BT$72),0))</f>
        <v>2.1565590251982139E-7</v>
      </c>
      <c r="BU8" s="8">
        <f>IF($A8=BU$1,0,IF(SUM(IMshareC!BU$2:BU$78)-IMshareC!BU$73&gt;0,IMshareC!BU8/(SUM(IMshareC!BU$2:BU$78)-IMshareC!BU$73),0))</f>
        <v>3.5635636626858749E-6</v>
      </c>
      <c r="BV8" s="8">
        <f>IF($A8=BV$1,0,IF(SUM(IMshareC!BV$2:BV$78)-IMshareC!BV$74&gt;0,IMshareC!BV8/(SUM(IMshareC!BV$2:BV$78)-IMshareC!BV$74),0))</f>
        <v>1.10191273407122E-4</v>
      </c>
      <c r="BW8" s="8">
        <f>IF($A8=BW$1,0,IF(SUM(IMshareC!BW$2:BW$78)-IMshareC!BW$75&gt;0,IMshareC!BW8/(SUM(IMshareC!BW$2:BW$78)-IMshareC!BW$75),0))</f>
        <v>3.1853252703630853E-7</v>
      </c>
      <c r="BX8" s="8">
        <f>IF($A8=BX$1,0,IF(SUM(IMshareC!BX$2:BX$78)-IMshareC!BX$76&gt;0,IMshareC!BX8/(SUM(IMshareC!BX$2:BX$78)-IMshareC!BX$76),0))</f>
        <v>0</v>
      </c>
      <c r="BY8" s="8">
        <f>IF($A8=BY$1,0,IF(SUM(IMshareC!BY$2:BY$78)-IMshareC!BY$77&gt;0,IMshareC!BY8/(SUM(IMshareC!BY$2:BY$78)-IMshareC!BY$77),0))</f>
        <v>0</v>
      </c>
      <c r="BZ8" s="8">
        <f>IF($A8=BZ$1,0,IF(SUM(IMshareC!BZ$2:BZ$78)-IMshareC!BZ$78&gt;0,IMshareC!BZ8/(SUM(IMshareC!BZ$2:BZ$78)-IMshareC!BZ$78),0))</f>
        <v>4.0078194747666918E-4</v>
      </c>
    </row>
    <row r="9" spans="1:78">
      <c r="A9" s="4" t="s">
        <v>85</v>
      </c>
      <c r="B9" s="8">
        <f>IF($A9=B$1,0,IF(SUM(IMshareC!B$2:B$78)-IMshareC!B$2&gt;0,IMshareC!B9/(SUM(IMshareC!B$2:B$78)-IMshareC!B$2),0))</f>
        <v>0.12833879676572521</v>
      </c>
      <c r="C9" s="8">
        <f>IF($A9=C$1,0,IF(SUM(IMshareC!C$2:C$78)-IMshareC!C$3&gt;0,IMshareC!C9/(SUM(IMshareC!C$2:C$78)-IMshareC!C$3),0))</f>
        <v>9.1137512682917506E-4</v>
      </c>
      <c r="D9" s="8">
        <f>IF($A9=D$1,0,IF(SUM(IMshareC!D$2:D$78)-IMshareC!D$4&gt;0,IMshareC!D9/(SUM(IMshareC!D$2:D$78)-IMshareC!D$4),0))</f>
        <v>6.4873735912794055E-5</v>
      </c>
      <c r="E9" s="8">
        <f>IF($A9=E$1,0,IF(SUM(IMshareC!E$2:E$78)-IMshareC!E$5&gt;0,IMshareC!E9/(SUM(IMshareC!E$2:E$78)-IMshareC!E$5),0))</f>
        <v>7.5126523355413205E-5</v>
      </c>
      <c r="F9" s="8">
        <f>IF($A9=F$1,0,IF(SUM(IMshareC!F$2:F$78)-IMshareC!F$6&gt;0,IMshareC!F9/(SUM(IMshareC!F$2:F$78)-IMshareC!F$6),0))</f>
        <v>1.7016034991227273E-5</v>
      </c>
      <c r="G9" s="8">
        <f>IF($A9=G$1,0,IF(SUM(IMshareC!G$2:G$78)-IMshareC!G$7&gt;0,IMshareC!G9/(SUM(IMshareC!G$2:G$78)-IMshareC!G$7),0))</f>
        <v>1.8698126936151412E-5</v>
      </c>
      <c r="H9" s="8">
        <f>IF($A9=H$1,0,IF(SUM(IMshareC!H$2:H$78)-IMshareC!H$8&gt;0,IMshareC!H9/(SUM(IMshareC!H$2:H$78)-IMshareC!H$8),0))</f>
        <v>1.5316366029891705E-6</v>
      </c>
      <c r="I9" s="8">
        <f>IF($A9=I$1,0,IF(SUM(IMshareC!I$2:I$78)-IMshareC!I$9&gt;0,IMshareC!I9/(SUM(IMshareC!I$2:I$78)-IMshareC!I$9),0))</f>
        <v>0</v>
      </c>
      <c r="J9" s="8">
        <f>IF($A9=J$1,0,IF(SUM(IMshareC!J$2:J$78)-IMshareC!J$10&gt;0,IMshareC!J9/(SUM(IMshareC!J$2:J$78)-IMshareC!J$10),0))</f>
        <v>4.4603302208165868E-5</v>
      </c>
      <c r="K9" s="8">
        <f>IF($A9=K$1,0,IF(SUM(IMshareC!K$2:K$78)-IMshareC!K$11&gt;0,IMshareC!K9/(SUM(IMshareC!K$2:K$78)-IMshareC!K$11),0))</f>
        <v>8.1809805663637318E-4</v>
      </c>
      <c r="L9" s="8">
        <f>IF($A9=L$1,0,IF(SUM(IMshareC!L$2:L$78)-IMshareC!L$12&gt;0,IMshareC!L9/(SUM(IMshareC!L$2:L$78)-IMshareC!L$12),0))</f>
        <v>1.3097947675170336E-4</v>
      </c>
      <c r="M9" s="8">
        <f>IF($A9=M$1,0,IF(SUM(IMshareC!M$2:M$78)-IMshareC!M$13&gt;0,IMshareC!M9/(SUM(IMshareC!M$2:M$78)-IMshareC!M$13),0))</f>
        <v>2.5439010475151534E-2</v>
      </c>
      <c r="N9" s="8">
        <f>IF($A9=N$1,0,IF(SUM(IMshareC!N$2:N$78)-IMshareC!N$14&gt;0,IMshareC!N9/(SUM(IMshareC!N$2:N$78)-IMshareC!N$14),0))</f>
        <v>9.1623189912160098E-6</v>
      </c>
      <c r="O9" s="8">
        <f>IF($A9=O$1,0,IF(SUM(IMshareC!O$2:O$78)-IMshareC!O$15&gt;0,IMshareC!O9/(SUM(IMshareC!O$2:O$78)-IMshareC!O$15),0))</f>
        <v>1.0074926867121273E-3</v>
      </c>
      <c r="P9" s="8">
        <f>IF($A9=P$1,0,IF(SUM(IMshareC!P$2:P$78)-IMshareC!P$16&gt;0,IMshareC!P9/(SUM(IMshareC!P$2:P$78)-IMshareC!P$16),0))</f>
        <v>5.1357402305375426E-4</v>
      </c>
      <c r="Q9" s="8">
        <f>IF($A9=Q$1,0,IF(SUM(IMshareC!Q$2:Q$78)-IMshareC!Q$17&gt;0,IMshareC!Q9/(SUM(IMshareC!Q$2:Q$78)-IMshareC!Q$17),0))</f>
        <v>6.7951031515084262E-2</v>
      </c>
      <c r="R9" s="8">
        <f>IF($A9=R$1,0,IF(SUM(IMshareC!R$2:R$78)-IMshareC!R$18&gt;0,IMshareC!R9/(SUM(IMshareC!R$2:R$78)-IMshareC!R$18),0))</f>
        <v>4.4580287042865251E-3</v>
      </c>
      <c r="S9" s="8">
        <f>IF($A9=S$1,0,IF(SUM(IMshareC!S$2:S$78)-IMshareC!S$19&gt;0,IMshareC!S9/(SUM(IMshareC!S$2:S$78)-IMshareC!S$19),0))</f>
        <v>7.5395197160887597E-5</v>
      </c>
      <c r="T9" s="8">
        <f>IF($A9=T$1,0,IF(SUM(IMshareC!T$2:T$78)-IMshareC!T$20&gt;0,IMshareC!T9/(SUM(IMshareC!T$2:T$78)-IMshareC!T$20),0))</f>
        <v>2.7613924115441703E-5</v>
      </c>
      <c r="U9" s="8">
        <f>IF($A9=U$1,0,IF(SUM(IMshareC!U$2:U$78)-IMshareC!U$21&gt;0,IMshareC!U9/(SUM(IMshareC!U$2:U$78)-IMshareC!U$21),0))</f>
        <v>5.8039714643857442E-5</v>
      </c>
      <c r="V9" s="8">
        <f>IF($A9=V$1,0,IF(SUM(IMshareC!V$2:V$78)-IMshareC!V$22&gt;0,IMshareC!V9/(SUM(IMshareC!V$2:V$78)-IMshareC!V$22),0))</f>
        <v>6.3628614518670713E-5</v>
      </c>
      <c r="W9" s="8">
        <f>IF($A9=W$1,0,IF(SUM(IMshareC!W$2:W$78)-IMshareC!W$23&gt;0,IMshareC!W9/(SUM(IMshareC!W$2:W$78)-IMshareC!W$23),0))</f>
        <v>2.9850275976911543E-3</v>
      </c>
      <c r="X9" s="8">
        <f>IF($A9=X$1,0,IF(SUM(IMshareC!X$2:X$78)-IMshareC!X$24&gt;0,IMshareC!X9/(SUM(IMshareC!X$2:X$78)-IMshareC!X$24),0))</f>
        <v>4.657923199245585E-4</v>
      </c>
      <c r="Y9" s="8">
        <f>IF($A9=Y$1,0,IF(SUM(IMshareC!Y$2:Y$78)-IMshareC!Y$25&gt;0,IMshareC!Y9/(SUM(IMshareC!Y$2:Y$78)-IMshareC!Y$25),0))</f>
        <v>3.2823624435622764E-5</v>
      </c>
      <c r="Z9" s="8">
        <f>IF($A9=Z$1,0,IF(SUM(IMshareC!Z$2:Z$78)-IMshareC!Z$26&gt;0,IMshareC!Z9/(SUM(IMshareC!Z$2:Z$78)-IMshareC!Z$26),0))</f>
        <v>5.2171091762106528E-4</v>
      </c>
      <c r="AA9" s="8">
        <f>IF($A9=AA$1,0,IF(SUM(IMshareC!AA$2:AA$78)-IMshareC!AA$27&gt;0,IMshareC!AA9/(SUM(IMshareC!AA$2:AA$78)-IMshareC!AA$27),0))</f>
        <v>6.1403843348700814E-4</v>
      </c>
      <c r="AB9" s="8">
        <f>IF($A9=AB$1,0,IF(SUM(IMshareC!AB$2:AB$78)-IMshareC!AB$28&gt;0,IMshareC!AB9/(SUM(IMshareC!AB$2:AB$78)-IMshareC!AB$28),0))</f>
        <v>3.1785113301333496E-4</v>
      </c>
      <c r="AC9" s="8">
        <f>IF($A9=AC$1,0,IF(SUM(IMshareC!AC$2:AC$78)-IMshareC!AC$29&gt;0,IMshareC!AC9/(SUM(IMshareC!AC$2:AC$78)-IMshareC!AC$29),0))</f>
        <v>1.2657541890498492E-4</v>
      </c>
      <c r="AD9" s="8">
        <f>IF($A9=AD$1,0,IF(SUM(IMshareC!AD$2:AD$78)-IMshareC!AD$30&gt;0,IMshareC!AD9/(SUM(IMshareC!AD$2:AD$78)-IMshareC!AD$30),0))</f>
        <v>3.8509390569355869E-5</v>
      </c>
      <c r="AE9" s="8">
        <f>IF($A9=AE$1,0,IF(SUM(IMshareC!AE$2:AE$78)-IMshareC!AE$31&gt;0,IMshareC!AE9/(SUM(IMshareC!AE$2:AE$78)-IMshareC!AE$31),0))</f>
        <v>3.9564758360818733E-4</v>
      </c>
      <c r="AF9" s="8">
        <f>IF($A9=AF$1,0,IF(SUM(IMshareC!AF$2:AF$78)-IMshareC!AF$32&gt;0,IMshareC!AF9/(SUM(IMshareC!AF$2:AF$78)-IMshareC!AF$32),0))</f>
        <v>4.7860197279758787E-4</v>
      </c>
      <c r="AG9" s="8">
        <f>IF($A9=AG$1,0,IF(SUM(IMshareC!AG$2:AG$78)-IMshareC!AG$33&gt;0,IMshareC!AG9/(SUM(IMshareC!AG$2:AG$78)-IMshareC!AG$33),0))</f>
        <v>2.2555045423742023E-4</v>
      </c>
      <c r="AH9" s="8">
        <f>IF($A9=AH$1,0,IF(SUM(IMshareC!AH$2:AH$78)-IMshareC!AH$34&gt;0,IMshareC!AH9/(SUM(IMshareC!AH$2:AH$78)-IMshareC!AH$34),0))</f>
        <v>3.8198153685773214E-4</v>
      </c>
      <c r="AI9" s="8">
        <f>IF($A9=AI$1,0,IF(SUM(IMshareC!AI$2:AI$78)-IMshareC!AI$35&gt;0,IMshareC!AI9/(SUM(IMshareC!AI$2:AI$78)-IMshareC!AI$35),0))</f>
        <v>1.8981317541924094E-5</v>
      </c>
      <c r="AJ9" s="8">
        <f>IF($A9=AJ$1,0,IF(SUM(IMshareC!AJ$2:AJ$78)-IMshareC!AJ$36&gt;0,IMshareC!AJ9/(SUM(IMshareC!AJ$2:AJ$78)-IMshareC!AJ$36),0))</f>
        <v>5.9483786028625859E-6</v>
      </c>
      <c r="AK9" s="8">
        <f>IF($A9=AK$1,0,IF(SUM(IMshareC!AK$2:AK$78)-IMshareC!AK$37&gt;0,IMshareC!AK9/(SUM(IMshareC!AK$2:AK$78)-IMshareC!AK$37),0))</f>
        <v>2.6473440540554667E-4</v>
      </c>
      <c r="AL9" s="8">
        <f>IF($A9=AL$1,0,IF(SUM(IMshareC!AL$2:AL$78)-IMshareC!AL$38&gt;0,IMshareC!AL9/(SUM(IMshareC!AL$2:AL$78)-IMshareC!AL$38),0))</f>
        <v>6.2209557384818558E-4</v>
      </c>
      <c r="AM9" s="8">
        <f>IF($A9=AM$1,0,IF(SUM(IMshareC!AM$2:AM$78)-IMshareC!AM$39&gt;0,IMshareC!AM9/(SUM(IMshareC!AM$2:AM$78)-IMshareC!AM$39),0))</f>
        <v>5.612146369138672E-3</v>
      </c>
      <c r="AN9" s="8">
        <f>IF($A9=AN$1,0,IF(SUM(IMshareC!AN$2:AN$78)-IMshareC!AN$40&gt;0,IMshareC!AN9/(SUM(IMshareC!AN$2:AN$78)-IMshareC!AN$40),0))</f>
        <v>1.4008755169681254E-5</v>
      </c>
      <c r="AO9" s="8">
        <f>IF($A9=AO$1,0,IF(SUM(IMshareC!AO$2:AO$78)-IMshareC!AO$41&gt;0,IMshareC!AO9/(SUM(IMshareC!AO$2:AO$78)-IMshareC!AO$41),0))</f>
        <v>5.1491030308754772E-4</v>
      </c>
      <c r="AP9" s="8">
        <f>IF($A9=AP$1,0,IF(SUM(IMshareC!AP$2:AP$78)-IMshareC!AP$42&gt;0,IMshareC!AP9/(SUM(IMshareC!AP$2:AP$78)-IMshareC!AP$42),0))</f>
        <v>7.9320549699889739E-7</v>
      </c>
      <c r="AQ9" s="8">
        <f>IF($A9=AQ$1,0,IF(SUM(IMshareC!AQ$2:AQ$78)-IMshareC!AQ$43&gt;0,IMshareC!AQ9/(SUM(IMshareC!AQ$2:AQ$78)-IMshareC!AQ$43),0))</f>
        <v>9.9601876766915106E-6</v>
      </c>
      <c r="AR9" s="8">
        <f>IF($A9=AR$1,0,IF(SUM(IMshareC!AR$2:AR$78)-IMshareC!AR$44&gt;0,IMshareC!AR9/(SUM(IMshareC!AR$2:AR$78)-IMshareC!AR$44),0))</f>
        <v>1.7930820646079143E-5</v>
      </c>
      <c r="AS9" s="8">
        <f>IF($A9=AS$1,0,IF(SUM(IMshareC!AS$2:AS$78)-IMshareC!AS$45&gt;0,IMshareC!AS9/(SUM(IMshareC!AS$2:AS$78)-IMshareC!AS$45),0))</f>
        <v>3.6470075070414621E-5</v>
      </c>
      <c r="AT9" s="8">
        <f>IF($A9=AT$1,0,IF(SUM(IMshareC!AT$2:AT$78)-IMshareC!AT$46&gt;0,IMshareC!AT9/(SUM(IMshareC!AT$2:AT$78)-IMshareC!AT$46),0))</f>
        <v>2.4108958230489551E-3</v>
      </c>
      <c r="AU9" s="8">
        <f>IF($A9=AU$1,0,IF(SUM(IMshareC!AU$2:AU$78)-IMshareC!AU$47&gt;0,IMshareC!AU9/(SUM(IMshareC!AU$2:AU$78)-IMshareC!AU$47),0))</f>
        <v>7.0573687314282664E-6</v>
      </c>
      <c r="AV9" s="8">
        <f>IF($A9=AV$1,0,IF(SUM(IMshareC!AV$2:AV$78)-IMshareC!AV$48&gt;0,IMshareC!AV9/(SUM(IMshareC!AV$2:AV$78)-IMshareC!AV$48),0))</f>
        <v>8.6942200255018807E-5</v>
      </c>
      <c r="AW9" s="8">
        <f>IF($A9=AW$1,0,IF(SUM(IMshareC!AW$2:AW$78)-IMshareC!AW$49&gt;0,IMshareC!AW9/(SUM(IMshareC!AW$2:AW$78)-IMshareC!AW$49),0))</f>
        <v>3.5172448656359918E-4</v>
      </c>
      <c r="AX9" s="8">
        <f>IF($A9=AX$1,0,IF(SUM(IMshareC!AX$2:AX$78)-IMshareC!AX$50&gt;0,IMshareC!AX9/(SUM(IMshareC!AX$2:AX$78)-IMshareC!AX$50),0))</f>
        <v>6.7562044973635977E-6</v>
      </c>
      <c r="AY9" s="8">
        <f>IF($A9=AY$1,0,IF(SUM(IMshareC!AY$2:AY$78)-IMshareC!AY$51&gt;0,IMshareC!AY9/(SUM(IMshareC!AY$2:AY$78)-IMshareC!AY$51),0))</f>
        <v>0</v>
      </c>
      <c r="AZ9" s="8">
        <f>IF($A9=AZ$1,0,IF(SUM(IMshareC!AZ$2:AZ$78)-IMshareC!AZ$52&gt;0,IMshareC!AZ9/(SUM(IMshareC!AZ$2:AZ$78)-IMshareC!AZ$52),0))</f>
        <v>9.5215363262077671E-6</v>
      </c>
      <c r="BA9" s="8">
        <f>IF($A9=BA$1,0,IF(SUM(IMshareC!BA$2:BA$78)-IMshareC!BA$53&gt;0,IMshareC!BA9/(SUM(IMshareC!BA$2:BA$78)-IMshareC!BA$53),0))</f>
        <v>1.7588700729892345E-7</v>
      </c>
      <c r="BB9" s="8">
        <f>IF($A9=BB$1,0,IF(SUM(IMshareC!BB$2:BB$78)-IMshareC!BB$54&gt;0,IMshareC!BB9/(SUM(IMshareC!BB$2:BB$78)-IMshareC!BB$54),0))</f>
        <v>9.1345010293077656E-5</v>
      </c>
      <c r="BC9" s="8">
        <f>IF($A9=BC$1,0,IF(SUM(IMshareC!BC$2:BC$78)-IMshareC!BC$55&gt;0,IMshareC!BC9/(SUM(IMshareC!BC$2:BC$78)-IMshareC!BC$55),0))</f>
        <v>2.4298502512522567E-3</v>
      </c>
      <c r="BD9" s="8">
        <f>IF($A9=BD$1,0,IF(SUM(IMshareC!BD$2:BD$78)-IMshareC!BD$56&gt;0,IMshareC!BD9/(SUM(IMshareC!BD$2:BD$78)-IMshareC!BD$56),0))</f>
        <v>4.9567667408527839E-4</v>
      </c>
      <c r="BE9" s="8">
        <f>IF($A9=BE$1,0,IF(SUM(IMshareC!BE$2:BE$78)-IMshareC!BE$57&gt;0,IMshareC!BE9/(SUM(IMshareC!BE$2:BE$78)-IMshareC!BE$57),0))</f>
        <v>3.9087048640428091E-5</v>
      </c>
      <c r="BF9" s="8">
        <f>IF($A9=BF$1,0,IF(SUM(IMshareC!BF$2:BF$78)-IMshareC!BF$58&gt;0,IMshareC!BF9/(SUM(IMshareC!BF$2:BF$78)-IMshareC!BF$58),0))</f>
        <v>3.7289313293653703E-2</v>
      </c>
      <c r="BG9" s="8">
        <f>IF($A9=BG$1,0,IF(SUM(IMshareC!BG$2:BG$78)-IMshareC!BG$59&gt;0,IMshareC!BG9/(SUM(IMshareC!BG$2:BG$78)-IMshareC!BG$59),0))</f>
        <v>1.9374686568752512E-4</v>
      </c>
      <c r="BH9" s="8">
        <f>IF($A9=BH$1,0,IF(SUM(IMshareC!BH$2:BH$78)-IMshareC!BH$60&gt;0,IMshareC!BH9/(SUM(IMshareC!BH$2:BH$78)-IMshareC!BH$60),0))</f>
        <v>5.1279967870642107E-5</v>
      </c>
      <c r="BI9" s="8">
        <f>IF($A9=BI$1,0,IF(SUM(IMshareC!BI$2:BI$78)-IMshareC!BI$61&gt;0,IMshareC!BI9/(SUM(IMshareC!BI$2:BI$78)-IMshareC!BI$61),0))</f>
        <v>4.4790549722041172E-4</v>
      </c>
      <c r="BJ9" s="8">
        <f>IF($A9=BJ$1,0,IF(SUM(IMshareC!BJ$2:BJ$78)-IMshareC!BJ$62&gt;0,IMshareC!BJ9/(SUM(IMshareC!BJ$2:BJ$78)-IMshareC!BJ$62),0))</f>
        <v>7.7532113400940767E-5</v>
      </c>
      <c r="BK9" s="8">
        <f>IF($A9=BK$1,0,IF(SUM(IMshareC!BK$2:BK$78)-IMshareC!BK$63&gt;0,IMshareC!BK9/(SUM(IMshareC!BK$2:BK$78)-IMshareC!BK$63),0))</f>
        <v>5.5762912765642453E-5</v>
      </c>
      <c r="BL9" s="8">
        <f>IF($A9=BL$1,0,IF(SUM(IMshareC!BL$2:BL$78)-IMshareC!BL$64&gt;0,IMshareC!BL9/(SUM(IMshareC!BL$2:BL$78)-IMshareC!BL$64),0))</f>
        <v>3.5896938941611719E-4</v>
      </c>
      <c r="BM9" s="8">
        <f>IF($A9=BM$1,0,IF(SUM(IMshareC!BM$2:BM$78)-IMshareC!BM$65&gt;0,IMshareC!BM9/(SUM(IMshareC!BM$2:BM$78)-IMshareC!BM$65),0))</f>
        <v>1.3218796897569877E-5</v>
      </c>
      <c r="BN9" s="8">
        <f>IF($A9=BN$1,0,IF(SUM(IMshareC!BN$2:BN$78)-IMshareC!BN$66&gt;0,IMshareC!BN9/(SUM(IMshareC!BN$2:BN$78)-IMshareC!BN$66),0))</f>
        <v>3.5714871987985161E-6</v>
      </c>
      <c r="BO9" s="8">
        <f>IF($A9=BO$1,0,IF(SUM(IMshareC!BO$2:BO$78)-IMshareC!BO$67&gt;0,IMshareC!BO9/(SUM(IMshareC!BO$2:BO$78)-IMshareC!BO$67),0))</f>
        <v>2.0144990365598162E-4</v>
      </c>
      <c r="BP9" s="8">
        <f>IF($A9=BP$1,0,IF(SUM(IMshareC!BP$2:BP$78)-IMshareC!BP$68&gt;0,IMshareC!BP9/(SUM(IMshareC!BP$2:BP$78)-IMshareC!BP$68),0))</f>
        <v>4.9914249357897717E-5</v>
      </c>
      <c r="BQ9" s="8">
        <f>IF($A9=BQ$1,0,IF(SUM(IMshareC!BQ$2:BQ$78)-IMshareC!BQ$69&gt;0,IMshareC!BQ9/(SUM(IMshareC!BQ$2:BQ$78)-IMshareC!BQ$69),0))</f>
        <v>2.7828966541314823E-4</v>
      </c>
      <c r="BR9" s="8">
        <f>IF($A9=BR$1,0,IF(SUM(IMshareC!BR$2:BR$78)-IMshareC!BR$70&gt;0,IMshareC!BR9/(SUM(IMshareC!BR$2:BR$78)-IMshareC!BR$70),0))</f>
        <v>4.4326003669599688E-5</v>
      </c>
      <c r="BS9" s="8">
        <f>IF($A9=BS$1,0,IF(SUM(IMshareC!BS$2:BS$78)-IMshareC!BS$71&gt;0,IMshareC!BS9/(SUM(IMshareC!BS$2:BS$78)-IMshareC!BS$71),0))</f>
        <v>3.8544142707989682E-4</v>
      </c>
      <c r="BT9" s="8">
        <f>IF($A9=BT$1,0,IF(SUM(IMshareC!BT$2:BT$78)-IMshareC!BT$72&gt;0,IMshareC!BT9/(SUM(IMshareC!BT$2:BT$78)-IMshareC!BT$72),0))</f>
        <v>1.0043758936971214E-3</v>
      </c>
      <c r="BU9" s="8">
        <f>IF($A9=BU$1,0,IF(SUM(IMshareC!BU$2:BU$78)-IMshareC!BU$73&gt;0,IMshareC!BU9/(SUM(IMshareC!BU$2:BU$78)-IMshareC!BU$73),0))</f>
        <v>6.0679348892499202E-6</v>
      </c>
      <c r="BV9" s="8">
        <f>IF($A9=BV$1,0,IF(SUM(IMshareC!BV$2:BV$78)-IMshareC!BV$74&gt;0,IMshareC!BV9/(SUM(IMshareC!BV$2:BV$78)-IMshareC!BV$74),0))</f>
        <v>2.7946660810597879E-4</v>
      </c>
      <c r="BW9" s="8">
        <f>IF($A9=BW$1,0,IF(SUM(IMshareC!BW$2:BW$78)-IMshareC!BW$75&gt;0,IMshareC!BW9/(SUM(IMshareC!BW$2:BW$78)-IMshareC!BW$75),0))</f>
        <v>7.8288009229039886E-4</v>
      </c>
      <c r="BX9" s="8">
        <f>IF($A9=BX$1,0,IF(SUM(IMshareC!BX$2:BX$78)-IMshareC!BX$76&gt;0,IMshareC!BX9/(SUM(IMshareC!BX$2:BX$78)-IMshareC!BX$76),0))</f>
        <v>2.5099976559262804E-4</v>
      </c>
      <c r="BY9" s="8">
        <f>IF($A9=BY$1,0,IF(SUM(IMshareC!BY$2:BY$78)-IMshareC!BY$77&gt;0,IMshareC!BY9/(SUM(IMshareC!BY$2:BY$78)-IMshareC!BY$77),0))</f>
        <v>7.9251873847960494E-3</v>
      </c>
      <c r="BZ9" s="8">
        <f>IF($A9=BZ$1,0,IF(SUM(IMshareC!BZ$2:BZ$78)-IMshareC!BZ$78&gt;0,IMshareC!BZ9/(SUM(IMshareC!BZ$2:BZ$78)-IMshareC!BZ$78),0))</f>
        <v>7.1696248559848189E-3</v>
      </c>
    </row>
    <row r="10" spans="1:78">
      <c r="A10" s="4" t="s">
        <v>87</v>
      </c>
      <c r="B10" s="8">
        <f>IF($A10=B$1,0,IF(SUM(IMshareC!B$2:B$78)-IMshareC!B$2&gt;0,IMshareC!B10/(SUM(IMshareC!B$2:B$78)-IMshareC!B$2),0))</f>
        <v>0</v>
      </c>
      <c r="C10" s="8">
        <f>IF($A10=C$1,0,IF(SUM(IMshareC!C$2:C$78)-IMshareC!C$3&gt;0,IMshareC!C10/(SUM(IMshareC!C$2:C$78)-IMshareC!C$3),0))</f>
        <v>1.0307680036216589E-6</v>
      </c>
      <c r="D10" s="8">
        <f>IF($A10=D$1,0,IF(SUM(IMshareC!D$2:D$78)-IMshareC!D$4&gt;0,IMshareC!D10/(SUM(IMshareC!D$2:D$78)-IMshareC!D$4),0))</f>
        <v>0</v>
      </c>
      <c r="E10" s="8">
        <f>IF($A10=E$1,0,IF(SUM(IMshareC!E$2:E$78)-IMshareC!E$5&gt;0,IMshareC!E10/(SUM(IMshareC!E$2:E$78)-IMshareC!E$5),0))</f>
        <v>0</v>
      </c>
      <c r="F10" s="8">
        <f>IF($A10=F$1,0,IF(SUM(IMshareC!F$2:F$78)-IMshareC!F$6&gt;0,IMshareC!F10/(SUM(IMshareC!F$2:F$78)-IMshareC!F$6),0))</f>
        <v>0</v>
      </c>
      <c r="G10" s="8">
        <f>IF($A10=G$1,0,IF(SUM(IMshareC!G$2:G$78)-IMshareC!G$7&gt;0,IMshareC!G10/(SUM(IMshareC!G$2:G$78)-IMshareC!G$7),0))</f>
        <v>0</v>
      </c>
      <c r="H10" s="8">
        <f>IF($A10=H$1,0,IF(SUM(IMshareC!H$2:H$78)-IMshareC!H$8&gt;0,IMshareC!H10/(SUM(IMshareC!H$2:H$78)-IMshareC!H$8),0))</f>
        <v>0</v>
      </c>
      <c r="I10" s="8">
        <f>IF($A10=I$1,0,IF(SUM(IMshareC!I$2:I$78)-IMshareC!I$9&gt;0,IMshareC!I10/(SUM(IMshareC!I$2:I$78)-IMshareC!I$9),0))</f>
        <v>0</v>
      </c>
      <c r="J10" s="8">
        <f>IF($A10=J$1,0,IF(SUM(IMshareC!J$2:J$78)-IMshareC!J$10&gt;0,IMshareC!J10/(SUM(IMshareC!J$2:J$78)-IMshareC!J$10),0))</f>
        <v>0</v>
      </c>
      <c r="K10" s="8">
        <f>IF($A10=K$1,0,IF(SUM(IMshareC!K$2:K$78)-IMshareC!K$11&gt;0,IMshareC!K10/(SUM(IMshareC!K$2:K$78)-IMshareC!K$11),0))</f>
        <v>1.4372000231776737E-8</v>
      </c>
      <c r="L10" s="8">
        <f>IF($A10=L$1,0,IF(SUM(IMshareC!L$2:L$78)-IMshareC!L$12&gt;0,IMshareC!L10/(SUM(IMshareC!L$2:L$78)-IMshareC!L$12),0))</f>
        <v>0</v>
      </c>
      <c r="M10" s="8">
        <f>IF($A10=M$1,0,IF(SUM(IMshareC!M$2:M$78)-IMshareC!M$13&gt;0,IMshareC!M10/(SUM(IMshareC!M$2:M$78)-IMshareC!M$13),0))</f>
        <v>0</v>
      </c>
      <c r="N10" s="8">
        <f>IF($A10=N$1,0,IF(SUM(IMshareC!N$2:N$78)-IMshareC!N$14&gt;0,IMshareC!N10/(SUM(IMshareC!N$2:N$78)-IMshareC!N$14),0))</f>
        <v>1.9541596071812091E-10</v>
      </c>
      <c r="O10" s="8">
        <f>IF($A10=O$1,0,IF(SUM(IMshareC!O$2:O$78)-IMshareC!O$15&gt;0,IMshareC!O10/(SUM(IMshareC!O$2:O$78)-IMshareC!O$15),0))</f>
        <v>0</v>
      </c>
      <c r="P10" s="8">
        <f>IF($A10=P$1,0,IF(SUM(IMshareC!P$2:P$78)-IMshareC!P$16&gt;0,IMshareC!P10/(SUM(IMshareC!P$2:P$78)-IMshareC!P$16),0))</f>
        <v>0</v>
      </c>
      <c r="Q10" s="8">
        <f>IF($A10=Q$1,0,IF(SUM(IMshareC!Q$2:Q$78)-IMshareC!Q$17&gt;0,IMshareC!Q10/(SUM(IMshareC!Q$2:Q$78)-IMshareC!Q$17),0))</f>
        <v>0</v>
      </c>
      <c r="R10" s="8">
        <f>IF($A10=R$1,0,IF(SUM(IMshareC!R$2:R$78)-IMshareC!R$18&gt;0,IMshareC!R10/(SUM(IMshareC!R$2:R$78)-IMshareC!R$18),0))</f>
        <v>0</v>
      </c>
      <c r="S10" s="8">
        <f>IF($A10=S$1,0,IF(SUM(IMshareC!S$2:S$78)-IMshareC!S$19&gt;0,IMshareC!S10/(SUM(IMshareC!S$2:S$78)-IMshareC!S$19),0))</f>
        <v>0</v>
      </c>
      <c r="T10" s="8">
        <f>IF($A10=T$1,0,IF(SUM(IMshareC!T$2:T$78)-IMshareC!T$20&gt;0,IMshareC!T10/(SUM(IMshareC!T$2:T$78)-IMshareC!T$20),0))</f>
        <v>0</v>
      </c>
      <c r="U10" s="8">
        <f>IF($A10=U$1,0,IF(SUM(IMshareC!U$2:U$78)-IMshareC!U$21&gt;0,IMshareC!U10/(SUM(IMshareC!U$2:U$78)-IMshareC!U$21),0))</f>
        <v>1.8214772632524522E-8</v>
      </c>
      <c r="V10" s="8">
        <f>IF($A10=V$1,0,IF(SUM(IMshareC!V$2:V$78)-IMshareC!V$22&gt;0,IMshareC!V10/(SUM(IMshareC!V$2:V$78)-IMshareC!V$22),0))</f>
        <v>9.9790266433895007E-9</v>
      </c>
      <c r="W10" s="8">
        <f>IF($A10=W$1,0,IF(SUM(IMshareC!W$2:W$78)-IMshareC!W$23&gt;0,IMshareC!W10/(SUM(IMshareC!W$2:W$78)-IMshareC!W$23),0))</f>
        <v>0</v>
      </c>
      <c r="X10" s="8">
        <f>IF($A10=X$1,0,IF(SUM(IMshareC!X$2:X$78)-IMshareC!X$24&gt;0,IMshareC!X10/(SUM(IMshareC!X$2:X$78)-IMshareC!X$24),0))</f>
        <v>0</v>
      </c>
      <c r="Y10" s="8">
        <f>IF($A10=Y$1,0,IF(SUM(IMshareC!Y$2:Y$78)-IMshareC!Y$25&gt;0,IMshareC!Y10/(SUM(IMshareC!Y$2:Y$78)-IMshareC!Y$25),0))</f>
        <v>0</v>
      </c>
      <c r="Z10" s="8">
        <f>IF($A10=Z$1,0,IF(SUM(IMshareC!Z$2:Z$78)-IMshareC!Z$26&gt;0,IMshareC!Z10/(SUM(IMshareC!Z$2:Z$78)-IMshareC!Z$26),0))</f>
        <v>0</v>
      </c>
      <c r="AA10" s="8">
        <f>IF($A10=AA$1,0,IF(SUM(IMshareC!AA$2:AA$78)-IMshareC!AA$27&gt;0,IMshareC!AA10/(SUM(IMshareC!AA$2:AA$78)-IMshareC!AA$27),0))</f>
        <v>1.3680920492954774E-6</v>
      </c>
      <c r="AB10" s="8">
        <f>IF($A10=AB$1,0,IF(SUM(IMshareC!AB$2:AB$78)-IMshareC!AB$28&gt;0,IMshareC!AB10/(SUM(IMshareC!AB$2:AB$78)-IMshareC!AB$28),0))</f>
        <v>0</v>
      </c>
      <c r="AC10" s="8">
        <f>IF($A10=AC$1,0,IF(SUM(IMshareC!AC$2:AC$78)-IMshareC!AC$29&gt;0,IMshareC!AC10/(SUM(IMshareC!AC$2:AC$78)-IMshareC!AC$29),0))</f>
        <v>0</v>
      </c>
      <c r="AD10" s="8">
        <f>IF($A10=AD$1,0,IF(SUM(IMshareC!AD$2:AD$78)-IMshareC!AD$30&gt;0,IMshareC!AD10/(SUM(IMshareC!AD$2:AD$78)-IMshareC!AD$30),0))</f>
        <v>3.529568668509515E-7</v>
      </c>
      <c r="AE10" s="8">
        <f>IF($A10=AE$1,0,IF(SUM(IMshareC!AE$2:AE$78)-IMshareC!AE$31&gt;0,IMshareC!AE10/(SUM(IMshareC!AE$2:AE$78)-IMshareC!AE$31),0))</f>
        <v>0</v>
      </c>
      <c r="AF10" s="8">
        <f>IF($A10=AF$1,0,IF(SUM(IMshareC!AF$2:AF$78)-IMshareC!AF$32&gt;0,IMshareC!AF10/(SUM(IMshareC!AF$2:AF$78)-IMshareC!AF$32),0))</f>
        <v>0</v>
      </c>
      <c r="AG10" s="8">
        <f>IF($A10=AG$1,0,IF(SUM(IMshareC!AG$2:AG$78)-IMshareC!AG$33&gt;0,IMshareC!AG10/(SUM(IMshareC!AG$2:AG$78)-IMshareC!AG$33),0))</f>
        <v>5.7629294335099112E-9</v>
      </c>
      <c r="AH10" s="8">
        <f>IF($A10=AH$1,0,IF(SUM(IMshareC!AH$2:AH$78)-IMshareC!AH$34&gt;0,IMshareC!AH10/(SUM(IMshareC!AH$2:AH$78)-IMshareC!AH$34),0))</f>
        <v>0</v>
      </c>
      <c r="AI10" s="8">
        <f>IF($A10=AI$1,0,IF(SUM(IMshareC!AI$2:AI$78)-IMshareC!AI$35&gt;0,IMshareC!AI10/(SUM(IMshareC!AI$2:AI$78)-IMshareC!AI$35),0))</f>
        <v>0</v>
      </c>
      <c r="AJ10" s="8">
        <f>IF($A10=AJ$1,0,IF(SUM(IMshareC!AJ$2:AJ$78)-IMshareC!AJ$36&gt;0,IMshareC!AJ10/(SUM(IMshareC!AJ$2:AJ$78)-IMshareC!AJ$36),0))</f>
        <v>0</v>
      </c>
      <c r="AK10" s="8">
        <f>IF($A10=AK$1,0,IF(SUM(IMshareC!AK$2:AK$78)-IMshareC!AK$37&gt;0,IMshareC!AK10/(SUM(IMshareC!AK$2:AK$78)-IMshareC!AK$37),0))</f>
        <v>0</v>
      </c>
      <c r="AL10" s="8">
        <f>IF($A10=AL$1,0,IF(SUM(IMshareC!AL$2:AL$78)-IMshareC!AL$38&gt;0,IMshareC!AL10/(SUM(IMshareC!AL$2:AL$78)-IMshareC!AL$38),0))</f>
        <v>0</v>
      </c>
      <c r="AM10" s="8">
        <f>IF($A10=AM$1,0,IF(SUM(IMshareC!AM$2:AM$78)-IMshareC!AM$39&gt;0,IMshareC!AM10/(SUM(IMshareC!AM$2:AM$78)-IMshareC!AM$39),0))</f>
        <v>0</v>
      </c>
      <c r="AN10" s="8">
        <f>IF($A10=AN$1,0,IF(SUM(IMshareC!AN$2:AN$78)-IMshareC!AN$40&gt;0,IMshareC!AN10/(SUM(IMshareC!AN$2:AN$78)-IMshareC!AN$40),0))</f>
        <v>0</v>
      </c>
      <c r="AO10" s="8">
        <f>IF($A10=AO$1,0,IF(SUM(IMshareC!AO$2:AO$78)-IMshareC!AO$41&gt;0,IMshareC!AO10/(SUM(IMshareC!AO$2:AO$78)-IMshareC!AO$41),0))</f>
        <v>0</v>
      </c>
      <c r="AP10" s="8">
        <f>IF($A10=AP$1,0,IF(SUM(IMshareC!AP$2:AP$78)-IMshareC!AP$42&gt;0,IMshareC!AP10/(SUM(IMshareC!AP$2:AP$78)-IMshareC!AP$42),0))</f>
        <v>0</v>
      </c>
      <c r="AQ10" s="8">
        <f>IF($A10=AQ$1,0,IF(SUM(IMshareC!AQ$2:AQ$78)-IMshareC!AQ$43&gt;0,IMshareC!AQ10/(SUM(IMshareC!AQ$2:AQ$78)-IMshareC!AQ$43),0))</f>
        <v>0</v>
      </c>
      <c r="AR10" s="8">
        <f>IF($A10=AR$1,0,IF(SUM(IMshareC!AR$2:AR$78)-IMshareC!AR$44&gt;0,IMshareC!AR10/(SUM(IMshareC!AR$2:AR$78)-IMshareC!AR$44),0))</f>
        <v>0</v>
      </c>
      <c r="AS10" s="8">
        <f>IF($A10=AS$1,0,IF(SUM(IMshareC!AS$2:AS$78)-IMshareC!AS$45&gt;0,IMshareC!AS10/(SUM(IMshareC!AS$2:AS$78)-IMshareC!AS$45),0))</f>
        <v>0</v>
      </c>
      <c r="AT10" s="8">
        <f>IF($A10=AT$1,0,IF(SUM(IMshareC!AT$2:AT$78)-IMshareC!AT$46&gt;0,IMshareC!AT10/(SUM(IMshareC!AT$2:AT$78)-IMshareC!AT$46),0))</f>
        <v>0</v>
      </c>
      <c r="AU10" s="8">
        <f>IF($A10=AU$1,0,IF(SUM(IMshareC!AU$2:AU$78)-IMshareC!AU$47&gt;0,IMshareC!AU10/(SUM(IMshareC!AU$2:AU$78)-IMshareC!AU$47),0))</f>
        <v>0</v>
      </c>
      <c r="AV10" s="8">
        <f>IF($A10=AV$1,0,IF(SUM(IMshareC!AV$2:AV$78)-IMshareC!AV$48&gt;0,IMshareC!AV10/(SUM(IMshareC!AV$2:AV$78)-IMshareC!AV$48),0))</f>
        <v>5.0279413265384388E-8</v>
      </c>
      <c r="AW10" s="8">
        <f>IF($A10=AW$1,0,IF(SUM(IMshareC!AW$2:AW$78)-IMshareC!AW$49&gt;0,IMshareC!AW10/(SUM(IMshareC!AW$2:AW$78)-IMshareC!AW$49),0))</f>
        <v>0</v>
      </c>
      <c r="AX10" s="8">
        <f>IF($A10=AX$1,0,IF(SUM(IMshareC!AX$2:AX$78)-IMshareC!AX$50&gt;0,IMshareC!AX10/(SUM(IMshareC!AX$2:AX$78)-IMshareC!AX$50),0))</f>
        <v>0</v>
      </c>
      <c r="AY10" s="8">
        <f>IF($A10=AY$1,0,IF(SUM(IMshareC!AY$2:AY$78)-IMshareC!AY$51&gt;0,IMshareC!AY10/(SUM(IMshareC!AY$2:AY$78)-IMshareC!AY$51),0))</f>
        <v>0</v>
      </c>
      <c r="AZ10" s="8">
        <f>IF($A10=AZ$1,0,IF(SUM(IMshareC!AZ$2:AZ$78)-IMshareC!AZ$52&gt;0,IMshareC!AZ10/(SUM(IMshareC!AZ$2:AZ$78)-IMshareC!AZ$52),0))</f>
        <v>1.8394326982125839E-7</v>
      </c>
      <c r="BA10" s="8">
        <f>IF($A10=BA$1,0,IF(SUM(IMshareC!BA$2:BA$78)-IMshareC!BA$53&gt;0,IMshareC!BA10/(SUM(IMshareC!BA$2:BA$78)-IMshareC!BA$53),0))</f>
        <v>0</v>
      </c>
      <c r="BB10" s="8">
        <f>IF($A10=BB$1,0,IF(SUM(IMshareC!BB$2:BB$78)-IMshareC!BB$54&gt;0,IMshareC!BB10/(SUM(IMshareC!BB$2:BB$78)-IMshareC!BB$54),0))</f>
        <v>0</v>
      </c>
      <c r="BC10" s="8">
        <f>IF($A10=BC$1,0,IF(SUM(IMshareC!BC$2:BC$78)-IMshareC!BC$55&gt;0,IMshareC!BC10/(SUM(IMshareC!BC$2:BC$78)-IMshareC!BC$55),0))</f>
        <v>0</v>
      </c>
      <c r="BD10" s="8">
        <f>IF($A10=BD$1,0,IF(SUM(IMshareC!BD$2:BD$78)-IMshareC!BD$56&gt;0,IMshareC!BD10/(SUM(IMshareC!BD$2:BD$78)-IMshareC!BD$56),0))</f>
        <v>0</v>
      </c>
      <c r="BE10" s="8">
        <f>IF($A10=BE$1,0,IF(SUM(IMshareC!BE$2:BE$78)-IMshareC!BE$57&gt;0,IMshareC!BE10/(SUM(IMshareC!BE$2:BE$78)-IMshareC!BE$57),0))</f>
        <v>0</v>
      </c>
      <c r="BF10" s="8">
        <f>IF($A10=BF$1,0,IF(SUM(IMshareC!BF$2:BF$78)-IMshareC!BF$58&gt;0,IMshareC!BF10/(SUM(IMshareC!BF$2:BF$78)-IMshareC!BF$58),0))</f>
        <v>0</v>
      </c>
      <c r="BG10" s="8">
        <f>IF($A10=BG$1,0,IF(SUM(IMshareC!BG$2:BG$78)-IMshareC!BG$59&gt;0,IMshareC!BG10/(SUM(IMshareC!BG$2:BG$78)-IMshareC!BG$59),0))</f>
        <v>2.4261443935930432E-8</v>
      </c>
      <c r="BH10" s="8">
        <f>IF($A10=BH$1,0,IF(SUM(IMshareC!BH$2:BH$78)-IMshareC!BH$60&gt;0,IMshareC!BH10/(SUM(IMshareC!BH$2:BH$78)-IMshareC!BH$60),0))</f>
        <v>0</v>
      </c>
      <c r="BI10" s="8">
        <f>IF($A10=BI$1,0,IF(SUM(IMshareC!BI$2:BI$78)-IMshareC!BI$61&gt;0,IMshareC!BI10/(SUM(IMshareC!BI$2:BI$78)-IMshareC!BI$61),0))</f>
        <v>0</v>
      </c>
      <c r="BJ10" s="8">
        <f>IF($A10=BJ$1,0,IF(SUM(IMshareC!BJ$2:BJ$78)-IMshareC!BJ$62&gt;0,IMshareC!BJ10/(SUM(IMshareC!BJ$2:BJ$78)-IMshareC!BJ$62),0))</f>
        <v>0</v>
      </c>
      <c r="BK10" s="8">
        <f>IF($A10=BK$1,0,IF(SUM(IMshareC!BK$2:BK$78)-IMshareC!BK$63&gt;0,IMshareC!BK10/(SUM(IMshareC!BK$2:BK$78)-IMshareC!BK$63),0))</f>
        <v>0</v>
      </c>
      <c r="BL10" s="8">
        <f>IF($A10=BL$1,0,IF(SUM(IMshareC!BL$2:BL$78)-IMshareC!BL$64&gt;0,IMshareC!BL10/(SUM(IMshareC!BL$2:BL$78)-IMshareC!BL$64),0))</f>
        <v>0</v>
      </c>
      <c r="BM10" s="8">
        <f>IF($A10=BM$1,0,IF(SUM(IMshareC!BM$2:BM$78)-IMshareC!BM$65&gt;0,IMshareC!BM10/(SUM(IMshareC!BM$2:BM$78)-IMshareC!BM$65),0))</f>
        <v>0</v>
      </c>
      <c r="BN10" s="8">
        <f>IF($A10=BN$1,0,IF(SUM(IMshareC!BN$2:BN$78)-IMshareC!BN$66&gt;0,IMshareC!BN10/(SUM(IMshareC!BN$2:BN$78)-IMshareC!BN$66),0))</f>
        <v>8.1265921815905267E-8</v>
      </c>
      <c r="BO10" s="8">
        <f>IF($A10=BO$1,0,IF(SUM(IMshareC!BO$2:BO$78)-IMshareC!BO$67&gt;0,IMshareC!BO10/(SUM(IMshareC!BO$2:BO$78)-IMshareC!BO$67),0))</f>
        <v>0</v>
      </c>
      <c r="BP10" s="8">
        <f>IF($A10=BP$1,0,IF(SUM(IMshareC!BP$2:BP$78)-IMshareC!BP$68&gt;0,IMshareC!BP10/(SUM(IMshareC!BP$2:BP$78)-IMshareC!BP$68),0))</f>
        <v>0</v>
      </c>
      <c r="BQ10" s="8">
        <f>IF($A10=BQ$1,0,IF(SUM(IMshareC!BQ$2:BQ$78)-IMshareC!BQ$69&gt;0,IMshareC!BQ10/(SUM(IMshareC!BQ$2:BQ$78)-IMshareC!BQ$69),0))</f>
        <v>0</v>
      </c>
      <c r="BR10" s="8">
        <f>IF($A10=BR$1,0,IF(SUM(IMshareC!BR$2:BR$78)-IMshareC!BR$70&gt;0,IMshareC!BR10/(SUM(IMshareC!BR$2:BR$78)-IMshareC!BR$70),0))</f>
        <v>2.2820192132276599E-8</v>
      </c>
      <c r="BS10" s="8">
        <f>IF($A10=BS$1,0,IF(SUM(IMshareC!BS$2:BS$78)-IMshareC!BS$71&gt;0,IMshareC!BS10/(SUM(IMshareC!BS$2:BS$78)-IMshareC!BS$71),0))</f>
        <v>0</v>
      </c>
      <c r="BT10" s="8">
        <f>IF($A10=BT$1,0,IF(SUM(IMshareC!BT$2:BT$78)-IMshareC!BT$72&gt;0,IMshareC!BT10/(SUM(IMshareC!BT$2:BT$78)-IMshareC!BT$72),0))</f>
        <v>0</v>
      </c>
      <c r="BU10" s="8">
        <f>IF($A10=BU$1,0,IF(SUM(IMshareC!BU$2:BU$78)-IMshareC!BU$73&gt;0,IMshareC!BU10/(SUM(IMshareC!BU$2:BU$78)-IMshareC!BU$73),0))</f>
        <v>0</v>
      </c>
      <c r="BV10" s="8">
        <f>IF($A10=BV$1,0,IF(SUM(IMshareC!BV$2:BV$78)-IMshareC!BV$74&gt;0,IMshareC!BV10/(SUM(IMshareC!BV$2:BV$78)-IMshareC!BV$74),0))</f>
        <v>0</v>
      </c>
      <c r="BW10" s="8">
        <f>IF($A10=BW$1,0,IF(SUM(IMshareC!BW$2:BW$78)-IMshareC!BW$75&gt;0,IMshareC!BW10/(SUM(IMshareC!BW$2:BW$78)-IMshareC!BW$75),0))</f>
        <v>1.2375236325763807E-9</v>
      </c>
      <c r="BX10" s="8">
        <f>IF($A10=BX$1,0,IF(SUM(IMshareC!BX$2:BX$78)-IMshareC!BX$76&gt;0,IMshareC!BX10/(SUM(IMshareC!BX$2:BX$78)-IMshareC!BX$76),0))</f>
        <v>5.546994139174051E-9</v>
      </c>
      <c r="BY10" s="8">
        <f>IF($A10=BY$1,0,IF(SUM(IMshareC!BY$2:BY$78)-IMshareC!BY$77&gt;0,IMshareC!BY10/(SUM(IMshareC!BY$2:BY$78)-IMshareC!BY$77),0))</f>
        <v>0</v>
      </c>
      <c r="BZ10" s="8">
        <f>IF($A10=BZ$1,0,IF(SUM(IMshareC!BZ$2:BZ$78)-IMshareC!BZ$78&gt;0,IMshareC!BZ10/(SUM(IMshareC!BZ$2:BZ$78)-IMshareC!BZ$78),0))</f>
        <v>7.5120995411611101E-5</v>
      </c>
    </row>
    <row r="11" spans="1:78">
      <c r="A11" s="4" t="s">
        <v>89</v>
      </c>
      <c r="B11" s="8">
        <f>IF($A11=B$1,0,IF(SUM(IMshareC!B$2:B$78)-IMshareC!B$2&gt;0,IMshareC!B11/(SUM(IMshareC!B$2:B$78)-IMshareC!B$2),0))</f>
        <v>2.3897572495879009E-3</v>
      </c>
      <c r="C11" s="8">
        <f>IF($A11=C$1,0,IF(SUM(IMshareC!C$2:C$78)-IMshareC!C$3&gt;0,IMshareC!C11/(SUM(IMshareC!C$2:C$78)-IMshareC!C$3),0))</f>
        <v>2.1898499540472186E-2</v>
      </c>
      <c r="D11" s="8">
        <f>IF($A11=D$1,0,IF(SUM(IMshareC!D$2:D$78)-IMshareC!D$4&gt;0,IMshareC!D11/(SUM(IMshareC!D$2:D$78)-IMshareC!D$4),0))</f>
        <v>4.5465876708552507E-4</v>
      </c>
      <c r="E11" s="8">
        <f>IF($A11=E$1,0,IF(SUM(IMshareC!E$2:E$78)-IMshareC!E$5&gt;0,IMshareC!E11/(SUM(IMshareC!E$2:E$78)-IMshareC!E$5),0))</f>
        <v>5.5604395051245151E-4</v>
      </c>
      <c r="F11" s="8">
        <f>IF($A11=F$1,0,IF(SUM(IMshareC!F$2:F$78)-IMshareC!F$6&gt;0,IMshareC!F11/(SUM(IMshareC!F$2:F$78)-IMshareC!F$6),0))</f>
        <v>1.6628504298716413E-4</v>
      </c>
      <c r="G11" s="8">
        <f>IF($A11=G$1,0,IF(SUM(IMshareC!G$2:G$78)-IMshareC!G$7&gt;0,IMshareC!G11/(SUM(IMshareC!G$2:G$78)-IMshareC!G$7),0))</f>
        <v>2.9302710744194153E-4</v>
      </c>
      <c r="H11" s="8">
        <f>IF($A11=H$1,0,IF(SUM(IMshareC!H$2:H$78)-IMshareC!H$8&gt;0,IMshareC!H11/(SUM(IMshareC!H$2:H$78)-IMshareC!H$8),0))</f>
        <v>5.0444403017622572E-4</v>
      </c>
      <c r="I11" s="8">
        <f>IF($A11=I$1,0,IF(SUM(IMshareC!I$2:I$78)-IMshareC!I$9&gt;0,IMshareC!I11/(SUM(IMshareC!I$2:I$78)-IMshareC!I$9),0))</f>
        <v>2.6346791794986243E-3</v>
      </c>
      <c r="J11" s="8">
        <f>IF($A11=J$1,0,IF(SUM(IMshareC!J$2:J$78)-IMshareC!J$10&gt;0,IMshareC!J11/(SUM(IMshareC!J$2:J$78)-IMshareC!J$10),0))</f>
        <v>1.005162586585778E-3</v>
      </c>
      <c r="K11" s="8">
        <f>IF($A11=K$1,0,IF(SUM(IMshareC!K$2:K$78)-IMshareC!K$11&gt;0,IMshareC!K11/(SUM(IMshareC!K$2:K$78)-IMshareC!K$11),0))</f>
        <v>0</v>
      </c>
      <c r="L11" s="8">
        <f>IF($A11=L$1,0,IF(SUM(IMshareC!L$2:L$78)-IMshareC!L$12&gt;0,IMshareC!L11/(SUM(IMshareC!L$2:L$78)-IMshareC!L$12),0))</f>
        <v>1.2805526554581987E-3</v>
      </c>
      <c r="M11" s="8">
        <f>IF($A11=M$1,0,IF(SUM(IMshareC!M$2:M$78)-IMshareC!M$13&gt;0,IMshareC!M11/(SUM(IMshareC!M$2:M$78)-IMshareC!M$13),0))</f>
        <v>1.5661881997086305E-2</v>
      </c>
      <c r="N11" s="8">
        <f>IF($A11=N$1,0,IF(SUM(IMshareC!N$2:N$78)-IMshareC!N$14&gt;0,IMshareC!N11/(SUM(IMshareC!N$2:N$78)-IMshareC!N$14),0))</f>
        <v>6.7580405360487868E-4</v>
      </c>
      <c r="O11" s="8">
        <f>IF($A11=O$1,0,IF(SUM(IMshareC!O$2:O$78)-IMshareC!O$15&gt;0,IMshareC!O11/(SUM(IMshareC!O$2:O$78)-IMshareC!O$15),0))</f>
        <v>1.8512715589112363E-3</v>
      </c>
      <c r="P11" s="8">
        <f>IF($A11=P$1,0,IF(SUM(IMshareC!P$2:P$78)-IMshareC!P$16&gt;0,IMshareC!P11/(SUM(IMshareC!P$2:P$78)-IMshareC!P$16),0))</f>
        <v>4.8832746581999411E-4</v>
      </c>
      <c r="Q11" s="8">
        <f>IF($A11=Q$1,0,IF(SUM(IMshareC!Q$2:Q$78)-IMshareC!Q$17&gt;0,IMshareC!Q11/(SUM(IMshareC!Q$2:Q$78)-IMshareC!Q$17),0))</f>
        <v>4.94004840343416E-3</v>
      </c>
      <c r="R11" s="8">
        <f>IF($A11=R$1,0,IF(SUM(IMshareC!R$2:R$78)-IMshareC!R$18&gt;0,IMshareC!R11/(SUM(IMshareC!R$2:R$78)-IMshareC!R$18),0))</f>
        <v>5.0308509860325847E-2</v>
      </c>
      <c r="S11" s="8">
        <f>IF($A11=S$1,0,IF(SUM(IMshareC!S$2:S$78)-IMshareC!S$19&gt;0,IMshareC!S11/(SUM(IMshareC!S$2:S$78)-IMshareC!S$19),0))</f>
        <v>1.1334448715052752E-4</v>
      </c>
      <c r="T11" s="8">
        <f>IF($A11=T$1,0,IF(SUM(IMshareC!T$2:T$78)-IMshareC!T$20&gt;0,IMshareC!T11/(SUM(IMshareC!T$2:T$78)-IMshareC!T$20),0))</f>
        <v>1.9456550326165954E-4</v>
      </c>
      <c r="U11" s="8">
        <f>IF($A11=U$1,0,IF(SUM(IMshareC!U$2:U$78)-IMshareC!U$21&gt;0,IMshareC!U11/(SUM(IMshareC!U$2:U$78)-IMshareC!U$21),0))</f>
        <v>1.7022980384064879E-3</v>
      </c>
      <c r="V11" s="8">
        <f>IF($A11=V$1,0,IF(SUM(IMshareC!V$2:V$78)-IMshareC!V$22&gt;0,IMshareC!V11/(SUM(IMshareC!V$2:V$78)-IMshareC!V$22),0))</f>
        <v>1.9785267486237489E-3</v>
      </c>
      <c r="W11" s="8">
        <f>IF($A11=W$1,0,IF(SUM(IMshareC!W$2:W$78)-IMshareC!W$23&gt;0,IMshareC!W11/(SUM(IMshareC!W$2:W$78)-IMshareC!W$23),0))</f>
        <v>1.5517343967285152E-3</v>
      </c>
      <c r="X11" s="8">
        <f>IF($A11=X$1,0,IF(SUM(IMshareC!X$2:X$78)-IMshareC!X$24&gt;0,IMshareC!X11/(SUM(IMshareC!X$2:X$78)-IMshareC!X$24),0))</f>
        <v>7.5586741878599624E-4</v>
      </c>
      <c r="Y11" s="8">
        <f>IF($A11=Y$1,0,IF(SUM(IMshareC!Y$2:Y$78)-IMshareC!Y$25&gt;0,IMshareC!Y11/(SUM(IMshareC!Y$2:Y$78)-IMshareC!Y$25),0))</f>
        <v>1.6567041695729266E-3</v>
      </c>
      <c r="Z11" s="8">
        <f>IF($A11=Z$1,0,IF(SUM(IMshareC!Z$2:Z$78)-IMshareC!Z$26&gt;0,IMshareC!Z11/(SUM(IMshareC!Z$2:Z$78)-IMshareC!Z$26),0))</f>
        <v>1.1409540604791651E-3</v>
      </c>
      <c r="AA11" s="8">
        <f>IF($A11=AA$1,0,IF(SUM(IMshareC!AA$2:AA$78)-IMshareC!AA$27&gt;0,IMshareC!AA11/(SUM(IMshareC!AA$2:AA$78)-IMshareC!AA$27),0))</f>
        <v>1.9345489746808407E-3</v>
      </c>
      <c r="AB11" s="8">
        <f>IF($A11=AB$1,0,IF(SUM(IMshareC!AB$2:AB$78)-IMshareC!AB$28&gt;0,IMshareC!AB11/(SUM(IMshareC!AB$2:AB$78)-IMshareC!AB$28),0))</f>
        <v>5.4057888150279669E-3</v>
      </c>
      <c r="AC11" s="8">
        <f>IF($A11=AC$1,0,IF(SUM(IMshareC!AC$2:AC$78)-IMshareC!AC$29&gt;0,IMshareC!AC11/(SUM(IMshareC!AC$2:AC$78)-IMshareC!AC$29),0))</f>
        <v>2.3514549661378582E-4</v>
      </c>
      <c r="AD11" s="8">
        <f>IF($A11=AD$1,0,IF(SUM(IMshareC!AD$2:AD$78)-IMshareC!AD$30&gt;0,IMshareC!AD11/(SUM(IMshareC!AD$2:AD$78)-IMshareC!AD$30),0))</f>
        <v>4.0742411526926699E-4</v>
      </c>
      <c r="AE11" s="8">
        <f>IF($A11=AE$1,0,IF(SUM(IMshareC!AE$2:AE$78)-IMshareC!AE$31&gt;0,IMshareC!AE11/(SUM(IMshareC!AE$2:AE$78)-IMshareC!AE$31),0))</f>
        <v>1.6939422773928796E-3</v>
      </c>
      <c r="AF11" s="8">
        <f>IF($A11=AF$1,0,IF(SUM(IMshareC!AF$2:AF$78)-IMshareC!AF$32&gt;0,IMshareC!AF11/(SUM(IMshareC!AF$2:AF$78)-IMshareC!AF$32),0))</f>
        <v>3.2576458756631692E-4</v>
      </c>
      <c r="AG11" s="8">
        <f>IF($A11=AG$1,0,IF(SUM(IMshareC!AG$2:AG$78)-IMshareC!AG$33&gt;0,IMshareC!AG11/(SUM(IMshareC!AG$2:AG$78)-IMshareC!AG$33),0))</f>
        <v>1.9653548764276193E-4</v>
      </c>
      <c r="AH11" s="8">
        <f>IF($A11=AH$1,0,IF(SUM(IMshareC!AH$2:AH$78)-IMshareC!AH$34&gt;0,IMshareC!AH11/(SUM(IMshareC!AH$2:AH$78)-IMshareC!AH$34),0))</f>
        <v>5.3798844732474939E-4</v>
      </c>
      <c r="AI11" s="8">
        <f>IF($A11=AI$1,0,IF(SUM(IMshareC!AI$2:AI$78)-IMshareC!AI$35&gt;0,IMshareC!AI11/(SUM(IMshareC!AI$2:AI$78)-IMshareC!AI$35),0))</f>
        <v>3.0342401630087477E-4</v>
      </c>
      <c r="AJ11" s="8">
        <f>IF($A11=AJ$1,0,IF(SUM(IMshareC!AJ$2:AJ$78)-IMshareC!AJ$36&gt;0,IMshareC!AJ11/(SUM(IMshareC!AJ$2:AJ$78)-IMshareC!AJ$36),0))</f>
        <v>9.8586143207579184E-3</v>
      </c>
      <c r="AK11" s="8">
        <f>IF($A11=AK$1,0,IF(SUM(IMshareC!AK$2:AK$78)-IMshareC!AK$37&gt;0,IMshareC!AK11/(SUM(IMshareC!AK$2:AK$78)-IMshareC!AK$37),0))</f>
        <v>7.7815870679812191E-4</v>
      </c>
      <c r="AL11" s="8">
        <f>IF($A11=AL$1,0,IF(SUM(IMshareC!AL$2:AL$78)-IMshareC!AL$38&gt;0,IMshareC!AL11/(SUM(IMshareC!AL$2:AL$78)-IMshareC!AL$38),0))</f>
        <v>1.557609113753373E-3</v>
      </c>
      <c r="AM11" s="8">
        <f>IF($A11=AM$1,0,IF(SUM(IMshareC!AM$2:AM$78)-IMshareC!AM$39&gt;0,IMshareC!AM11/(SUM(IMshareC!AM$2:AM$78)-IMshareC!AM$39),0))</f>
        <v>5.1913801925845202E-3</v>
      </c>
      <c r="AN11" s="8">
        <f>IF($A11=AN$1,0,IF(SUM(IMshareC!AN$2:AN$78)-IMshareC!AN$40&gt;0,IMshareC!AN11/(SUM(IMshareC!AN$2:AN$78)-IMshareC!AN$40),0))</f>
        <v>5.1684530644644639E-4</v>
      </c>
      <c r="AO11" s="8">
        <f>IF($A11=AO$1,0,IF(SUM(IMshareC!AO$2:AO$78)-IMshareC!AO$41&gt;0,IMshareC!AO11/(SUM(IMshareC!AO$2:AO$78)-IMshareC!AO$41),0))</f>
        <v>4.3556361728172635E-3</v>
      </c>
      <c r="AP11" s="8">
        <f>IF($A11=AP$1,0,IF(SUM(IMshareC!AP$2:AP$78)-IMshareC!AP$42&gt;0,IMshareC!AP11/(SUM(IMshareC!AP$2:AP$78)-IMshareC!AP$42),0))</f>
        <v>2.8848757012970385E-3</v>
      </c>
      <c r="AQ11" s="8">
        <f>IF($A11=AQ$1,0,IF(SUM(IMshareC!AQ$2:AQ$78)-IMshareC!AQ$43&gt;0,IMshareC!AQ11/(SUM(IMshareC!AQ$2:AQ$78)-IMshareC!AQ$43),0))</f>
        <v>5.2825556010509234E-4</v>
      </c>
      <c r="AR11" s="8">
        <f>IF($A11=AR$1,0,IF(SUM(IMshareC!AR$2:AR$78)-IMshareC!AR$44&gt;0,IMshareC!AR11/(SUM(IMshareC!AR$2:AR$78)-IMshareC!AR$44),0))</f>
        <v>1.3077932429587203E-5</v>
      </c>
      <c r="AS11" s="8">
        <f>IF($A11=AS$1,0,IF(SUM(IMshareC!AS$2:AS$78)-IMshareC!AS$45&gt;0,IMshareC!AS11/(SUM(IMshareC!AS$2:AS$78)-IMshareC!AS$45),0))</f>
        <v>1.091284847202535E-3</v>
      </c>
      <c r="AT11" s="8">
        <f>IF($A11=AT$1,0,IF(SUM(IMshareC!AT$2:AT$78)-IMshareC!AT$46&gt;0,IMshareC!AT11/(SUM(IMshareC!AT$2:AT$78)-IMshareC!AT$46),0))</f>
        <v>1.3856265845643004E-3</v>
      </c>
      <c r="AU11" s="8">
        <f>IF($A11=AU$1,0,IF(SUM(IMshareC!AU$2:AU$78)-IMshareC!AU$47&gt;0,IMshareC!AU11/(SUM(IMshareC!AU$2:AU$78)-IMshareC!AU$47),0))</f>
        <v>1.484036379557837E-3</v>
      </c>
      <c r="AV11" s="8">
        <f>IF($A11=AV$1,0,IF(SUM(IMshareC!AV$2:AV$78)-IMshareC!AV$48&gt;0,IMshareC!AV11/(SUM(IMshareC!AV$2:AV$78)-IMshareC!AV$48),0))</f>
        <v>6.9395090317250611E-4</v>
      </c>
      <c r="AW11" s="8">
        <f>IF($A11=AW$1,0,IF(SUM(IMshareC!AW$2:AW$78)-IMshareC!AW$49&gt;0,IMshareC!AW11/(SUM(IMshareC!AW$2:AW$78)-IMshareC!AW$49),0))</f>
        <v>4.6163553730087488E-3</v>
      </c>
      <c r="AX11" s="8">
        <f>IF($A11=AX$1,0,IF(SUM(IMshareC!AX$2:AX$78)-IMshareC!AX$50&gt;0,IMshareC!AX11/(SUM(IMshareC!AX$2:AX$78)-IMshareC!AX$50),0))</f>
        <v>4.3980285434051533E-3</v>
      </c>
      <c r="AY11" s="8">
        <f>IF($A11=AY$1,0,IF(SUM(IMshareC!AY$2:AY$78)-IMshareC!AY$51&gt;0,IMshareC!AY11/(SUM(IMshareC!AY$2:AY$78)-IMshareC!AY$51),0))</f>
        <v>4.7027345403825768E-4</v>
      </c>
      <c r="AZ11" s="8">
        <f>IF($A11=AZ$1,0,IF(SUM(IMshareC!AZ$2:AZ$78)-IMshareC!AZ$52&gt;0,IMshareC!AZ11/(SUM(IMshareC!AZ$2:AZ$78)-IMshareC!AZ$52),0))</f>
        <v>3.6844202589831688E-4</v>
      </c>
      <c r="BA11" s="8">
        <f>IF($A11=BA$1,0,IF(SUM(IMshareC!BA$2:BA$78)-IMshareC!BA$53&gt;0,IMshareC!BA11/(SUM(IMshareC!BA$2:BA$78)-IMshareC!BA$53),0))</f>
        <v>5.1084914459869333E-4</v>
      </c>
      <c r="BB11" s="8">
        <f>IF($A11=BB$1,0,IF(SUM(IMshareC!BB$2:BB$78)-IMshareC!BB$54&gt;0,IMshareC!BB11/(SUM(IMshareC!BB$2:BB$78)-IMshareC!BB$54),0))</f>
        <v>5.2432485810340688E-3</v>
      </c>
      <c r="BC11" s="8">
        <f>IF($A11=BC$1,0,IF(SUM(IMshareC!BC$2:BC$78)-IMshareC!BC$55&gt;0,IMshareC!BC11/(SUM(IMshareC!BC$2:BC$78)-IMshareC!BC$55),0))</f>
        <v>7.3117372303283489E-3</v>
      </c>
      <c r="BD11" s="8">
        <f>IF($A11=BD$1,0,IF(SUM(IMshareC!BD$2:BD$78)-IMshareC!BD$56&gt;0,IMshareC!BD11/(SUM(IMshareC!BD$2:BD$78)-IMshareC!BD$56),0))</f>
        <v>9.5496005731271223E-3</v>
      </c>
      <c r="BE11" s="8">
        <f>IF($A11=BE$1,0,IF(SUM(IMshareC!BE$2:BE$78)-IMshareC!BE$57&gt;0,IMshareC!BE11/(SUM(IMshareC!BE$2:BE$78)-IMshareC!BE$57),0))</f>
        <v>7.0351409158327088E-3</v>
      </c>
      <c r="BF11" s="8">
        <f>IF($A11=BF$1,0,IF(SUM(IMshareC!BF$2:BF$78)-IMshareC!BF$58&gt;0,IMshareC!BF11/(SUM(IMshareC!BF$2:BF$78)-IMshareC!BF$58),0))</f>
        <v>1.525517596133062E-2</v>
      </c>
      <c r="BG11" s="8">
        <f>IF($A11=BG$1,0,IF(SUM(IMshareC!BG$2:BG$78)-IMshareC!BG$59&gt;0,IMshareC!BG11/(SUM(IMshareC!BG$2:BG$78)-IMshareC!BG$59),0))</f>
        <v>2.8953376131768556E-4</v>
      </c>
      <c r="BH11" s="8">
        <f>IF($A11=BH$1,0,IF(SUM(IMshareC!BH$2:BH$78)-IMshareC!BH$60&gt;0,IMshareC!BH11/(SUM(IMshareC!BH$2:BH$78)-IMshareC!BH$60),0))</f>
        <v>2.4275931236127108E-3</v>
      </c>
      <c r="BI11" s="8">
        <f>IF($A11=BI$1,0,IF(SUM(IMshareC!BI$2:BI$78)-IMshareC!BI$61&gt;0,IMshareC!BI11/(SUM(IMshareC!BI$2:BI$78)-IMshareC!BI$61),0))</f>
        <v>3.8798982989329042E-4</v>
      </c>
      <c r="BJ11" s="8">
        <f>IF($A11=BJ$1,0,IF(SUM(IMshareC!BJ$2:BJ$78)-IMshareC!BJ$62&gt;0,IMshareC!BJ11/(SUM(IMshareC!BJ$2:BJ$78)-IMshareC!BJ$62),0))</f>
        <v>3.0098196464915084E-4</v>
      </c>
      <c r="BK11" s="8">
        <f>IF($A11=BK$1,0,IF(SUM(IMshareC!BK$2:BK$78)-IMshareC!BK$63&gt;0,IMshareC!BK11/(SUM(IMshareC!BK$2:BK$78)-IMshareC!BK$63),0))</f>
        <v>1.1215390450335207E-3</v>
      </c>
      <c r="BL11" s="8">
        <f>IF($A11=BL$1,0,IF(SUM(IMshareC!BL$2:BL$78)-IMshareC!BL$64&gt;0,IMshareC!BL11/(SUM(IMshareC!BL$2:BL$78)-IMshareC!BL$64),0))</f>
        <v>1.0273616201433151E-2</v>
      </c>
      <c r="BM11" s="8">
        <f>IF($A11=BM$1,0,IF(SUM(IMshareC!BM$2:BM$78)-IMshareC!BM$65&gt;0,IMshareC!BM11/(SUM(IMshareC!BM$2:BM$78)-IMshareC!BM$65),0))</f>
        <v>2.3989145124446204E-4</v>
      </c>
      <c r="BN11" s="8">
        <f>IF($A11=BN$1,0,IF(SUM(IMshareC!BN$2:BN$78)-IMshareC!BN$66&gt;0,IMshareC!BN11/(SUM(IMshareC!BN$2:BN$78)-IMshareC!BN$66),0))</f>
        <v>1.1858079147363909E-3</v>
      </c>
      <c r="BO11" s="8">
        <f>IF($A11=BO$1,0,IF(SUM(IMshareC!BO$2:BO$78)-IMshareC!BO$67&gt;0,IMshareC!BO11/(SUM(IMshareC!BO$2:BO$78)-IMshareC!BO$67),0))</f>
        <v>2.6615811895145097E-4</v>
      </c>
      <c r="BP11" s="8">
        <f>IF($A11=BP$1,0,IF(SUM(IMshareC!BP$2:BP$78)-IMshareC!BP$68&gt;0,IMshareC!BP11/(SUM(IMshareC!BP$2:BP$78)-IMshareC!BP$68),0))</f>
        <v>4.926390660530129E-4</v>
      </c>
      <c r="BQ11" s="8">
        <f>IF($A11=BQ$1,0,IF(SUM(IMshareC!BQ$2:BQ$78)-IMshareC!BQ$69&gt;0,IMshareC!BQ11/(SUM(IMshareC!BQ$2:BQ$78)-IMshareC!BQ$69),0))</f>
        <v>8.8593551751247699E-3</v>
      </c>
      <c r="BR11" s="8">
        <f>IF($A11=BR$1,0,IF(SUM(IMshareC!BR$2:BR$78)-IMshareC!BR$70&gt;0,IMshareC!BR11/(SUM(IMshareC!BR$2:BR$78)-IMshareC!BR$70),0))</f>
        <v>4.5177766732424612E-3</v>
      </c>
      <c r="BS11" s="8">
        <f>IF($A11=BS$1,0,IF(SUM(IMshareC!BS$2:BS$78)-IMshareC!BS$71&gt;0,IMshareC!BS11/(SUM(IMshareC!BS$2:BS$78)-IMshareC!BS$71),0))</f>
        <v>7.8247348271594369E-5</v>
      </c>
      <c r="BT11" s="8">
        <f>IF($A11=BT$1,0,IF(SUM(IMshareC!BT$2:BT$78)-IMshareC!BT$72&gt;0,IMshareC!BT11/(SUM(IMshareC!BT$2:BT$78)-IMshareC!BT$72),0))</f>
        <v>3.0790603260579057E-3</v>
      </c>
      <c r="BU11" s="8">
        <f>IF($A11=BU$1,0,IF(SUM(IMshareC!BU$2:BU$78)-IMshareC!BU$73&gt;0,IMshareC!BU11/(SUM(IMshareC!BU$2:BU$78)-IMshareC!BU$73),0))</f>
        <v>9.1661036767145491E-4</v>
      </c>
      <c r="BV11" s="8">
        <f>IF($A11=BV$1,0,IF(SUM(IMshareC!BV$2:BV$78)-IMshareC!BV$74&gt;0,IMshareC!BV11/(SUM(IMshareC!BV$2:BV$78)-IMshareC!BV$74),0))</f>
        <v>3.0644053870158079E-4</v>
      </c>
      <c r="BW11" s="8">
        <f>IF($A11=BW$1,0,IF(SUM(IMshareC!BW$2:BW$78)-IMshareC!BW$75&gt;0,IMshareC!BW11/(SUM(IMshareC!BW$2:BW$78)-IMshareC!BW$75),0))</f>
        <v>1.9260245099847646E-2</v>
      </c>
      <c r="BX11" s="8">
        <f>IF($A11=BX$1,0,IF(SUM(IMshareC!BX$2:BX$78)-IMshareC!BX$76&gt;0,IMshareC!BX11/(SUM(IMshareC!BX$2:BX$78)-IMshareC!BX$76),0))</f>
        <v>1.5610609038970948E-4</v>
      </c>
      <c r="BY11" s="8">
        <f>IF($A11=BY$1,0,IF(SUM(IMshareC!BY$2:BY$78)-IMshareC!BY$77&gt;0,IMshareC!BY11/(SUM(IMshareC!BY$2:BY$78)-IMshareC!BY$77),0))</f>
        <v>3.7565370574657998E-3</v>
      </c>
      <c r="BZ11" s="8">
        <f>IF($A11=BZ$1,0,IF(SUM(IMshareC!BZ$2:BZ$78)-IMshareC!BZ$78&gt;0,IMshareC!BZ11/(SUM(IMshareC!BZ$2:BZ$78)-IMshareC!BZ$78),0))</f>
        <v>8.7253354698280036E-3</v>
      </c>
    </row>
    <row r="12" spans="1:78">
      <c r="A12" s="4" t="s">
        <v>91</v>
      </c>
      <c r="B12" s="8">
        <f>IF($A12=B$1,0,IF(SUM(IMshareC!B$2:B$78)-IMshareC!B$2&gt;0,IMshareC!B12/(SUM(IMshareC!B$2:B$78)-IMshareC!B$2),0))</f>
        <v>1.632017447971295E-3</v>
      </c>
      <c r="C12" s="8">
        <f>IF($A12=C$1,0,IF(SUM(IMshareC!C$2:C$78)-IMshareC!C$3&gt;0,IMshareC!C12/(SUM(IMshareC!C$2:C$78)-IMshareC!C$3),0))</f>
        <v>4.8166691949813288E-3</v>
      </c>
      <c r="D12" s="8">
        <f>IF($A12=D$1,0,IF(SUM(IMshareC!D$2:D$78)-IMshareC!D$4&gt;0,IMshareC!D12/(SUM(IMshareC!D$2:D$78)-IMshareC!D$4),0))</f>
        <v>1.2212540247224932E-2</v>
      </c>
      <c r="E12" s="8">
        <f>IF($A12=E$1,0,IF(SUM(IMshareC!E$2:E$78)-IMshareC!E$5&gt;0,IMshareC!E12/(SUM(IMshareC!E$2:E$78)-IMshareC!E$5),0))</f>
        <v>8.2690607404630227E-4</v>
      </c>
      <c r="F12" s="8">
        <f>IF($A12=F$1,0,IF(SUM(IMshareC!F$2:F$78)-IMshareC!F$6&gt;0,IMshareC!F12/(SUM(IMshareC!F$2:F$78)-IMshareC!F$6),0))</f>
        <v>3.2273177215904567E-4</v>
      </c>
      <c r="G12" s="8">
        <f>IF($A12=G$1,0,IF(SUM(IMshareC!G$2:G$78)-IMshareC!G$7&gt;0,IMshareC!G12/(SUM(IMshareC!G$2:G$78)-IMshareC!G$7),0))</f>
        <v>2.8911445254579424E-3</v>
      </c>
      <c r="H12" s="8">
        <f>IF($A12=H$1,0,IF(SUM(IMshareC!H$2:H$78)-IMshareC!H$8&gt;0,IMshareC!H12/(SUM(IMshareC!H$2:H$78)-IMshareC!H$8),0))</f>
        <v>9.7063199001044007E-4</v>
      </c>
      <c r="I12" s="8">
        <f>IF($A12=I$1,0,IF(SUM(IMshareC!I$2:I$78)-IMshareC!I$9&gt;0,IMshareC!I12/(SUM(IMshareC!I$2:I$78)-IMshareC!I$9),0))</f>
        <v>9.262479652186711E-4</v>
      </c>
      <c r="J12" s="8">
        <f>IF($A12=J$1,0,IF(SUM(IMshareC!J$2:J$78)-IMshareC!J$10&gt;0,IMshareC!J12/(SUM(IMshareC!J$2:J$78)-IMshareC!J$10),0))</f>
        <v>1.9065095562145709E-2</v>
      </c>
      <c r="K12" s="8">
        <f>IF($A12=K$1,0,IF(SUM(IMshareC!K$2:K$78)-IMshareC!K$11&gt;0,IMshareC!K12/(SUM(IMshareC!K$2:K$78)-IMshareC!K$11),0))</f>
        <v>3.4679698396991592E-3</v>
      </c>
      <c r="L12" s="8">
        <f>IF($A12=L$1,0,IF(SUM(IMshareC!L$2:L$78)-IMshareC!L$12&gt;0,IMshareC!L12/(SUM(IMshareC!L$2:L$78)-IMshareC!L$12),0))</f>
        <v>0</v>
      </c>
      <c r="M12" s="8">
        <f>IF($A12=M$1,0,IF(SUM(IMshareC!M$2:M$78)-IMshareC!M$13&gt;0,IMshareC!M12/(SUM(IMshareC!M$2:M$78)-IMshareC!M$13),0))</f>
        <v>2.9536848634410862E-3</v>
      </c>
      <c r="N12" s="8">
        <f>IF($A12=N$1,0,IF(SUM(IMshareC!N$2:N$78)-IMshareC!N$14&gt;0,IMshareC!N12/(SUM(IMshareC!N$2:N$78)-IMshareC!N$14),0))</f>
        <v>3.9094355151372102E-4</v>
      </c>
      <c r="O12" s="8">
        <f>IF($A12=O$1,0,IF(SUM(IMshareC!O$2:O$78)-IMshareC!O$15&gt;0,IMshareC!O12/(SUM(IMshareC!O$2:O$78)-IMshareC!O$15),0))</f>
        <v>1.1204018910710562E-2</v>
      </c>
      <c r="P12" s="8">
        <f>IF($A12=P$1,0,IF(SUM(IMshareC!P$2:P$78)-IMshareC!P$16&gt;0,IMshareC!P12/(SUM(IMshareC!P$2:P$78)-IMshareC!P$16),0))</f>
        <v>2.5381927391349133E-3</v>
      </c>
      <c r="Q12" s="8">
        <f>IF($A12=Q$1,0,IF(SUM(IMshareC!Q$2:Q$78)-IMshareC!Q$17&gt;0,IMshareC!Q12/(SUM(IMshareC!Q$2:Q$78)-IMshareC!Q$17),0))</f>
        <v>6.6733022269473878E-3</v>
      </c>
      <c r="R12" s="8">
        <f>IF($A12=R$1,0,IF(SUM(IMshareC!R$2:R$78)-IMshareC!R$18&gt;0,IMshareC!R12/(SUM(IMshareC!R$2:R$78)-IMshareC!R$18),0))</f>
        <v>1.1212796750679193E-2</v>
      </c>
      <c r="S12" s="8">
        <f>IF($A12=S$1,0,IF(SUM(IMshareC!S$2:S$78)-IMshareC!S$19&gt;0,IMshareC!S12/(SUM(IMshareC!S$2:S$78)-IMshareC!S$19),0))</f>
        <v>2.1797581968637353E-3</v>
      </c>
      <c r="T12" s="8">
        <f>IF($A12=T$1,0,IF(SUM(IMshareC!T$2:T$78)-IMshareC!T$20&gt;0,IMshareC!T12/(SUM(IMshareC!T$2:T$78)-IMshareC!T$20),0))</f>
        <v>1.4594280561068189E-3</v>
      </c>
      <c r="U12" s="8">
        <f>IF($A12=U$1,0,IF(SUM(IMshareC!U$2:U$78)-IMshareC!U$21&gt;0,IMshareC!U12/(SUM(IMshareC!U$2:U$78)-IMshareC!U$21),0))</f>
        <v>6.0644712608840072E-3</v>
      </c>
      <c r="V12" s="8">
        <f>IF($A12=V$1,0,IF(SUM(IMshareC!V$2:V$78)-IMshareC!V$22&gt;0,IMshareC!V12/(SUM(IMshareC!V$2:V$78)-IMshareC!V$22),0))</f>
        <v>2.8395962194150688E-3</v>
      </c>
      <c r="W12" s="8">
        <f>IF($A12=W$1,0,IF(SUM(IMshareC!W$2:W$78)-IMshareC!W$23&gt;0,IMshareC!W12/(SUM(IMshareC!W$2:W$78)-IMshareC!W$23),0))</f>
        <v>3.5886065644226894E-3</v>
      </c>
      <c r="X12" s="8">
        <f>IF($A12=X$1,0,IF(SUM(IMshareC!X$2:X$78)-IMshareC!X$24&gt;0,IMshareC!X12/(SUM(IMshareC!X$2:X$78)-IMshareC!X$24),0))</f>
        <v>1.8667121678792675E-3</v>
      </c>
      <c r="Y12" s="8">
        <f>IF($A12=Y$1,0,IF(SUM(IMshareC!Y$2:Y$78)-IMshareC!Y$25&gt;0,IMshareC!Y12/(SUM(IMshareC!Y$2:Y$78)-IMshareC!Y$25),0))</f>
        <v>1.4039108033614654E-3</v>
      </c>
      <c r="Z12" s="8">
        <f>IF($A12=Z$1,0,IF(SUM(IMshareC!Z$2:Z$78)-IMshareC!Z$26&gt;0,IMshareC!Z12/(SUM(IMshareC!Z$2:Z$78)-IMshareC!Z$26),0))</f>
        <v>2.7824383020611122E-3</v>
      </c>
      <c r="AA12" s="8">
        <f>IF($A12=AA$1,0,IF(SUM(IMshareC!AA$2:AA$78)-IMshareC!AA$27&gt;0,IMshareC!AA12/(SUM(IMshareC!AA$2:AA$78)-IMshareC!AA$27),0))</f>
        <v>8.6091666674785426E-3</v>
      </c>
      <c r="AB12" s="8">
        <f>IF($A12=AB$1,0,IF(SUM(IMshareC!AB$2:AB$78)-IMshareC!AB$28&gt;0,IMshareC!AB12/(SUM(IMshareC!AB$2:AB$78)-IMshareC!AB$28),0))</f>
        <v>3.8183424468979633E-3</v>
      </c>
      <c r="AC12" s="8">
        <f>IF($A12=AC$1,0,IF(SUM(IMshareC!AC$2:AC$78)-IMshareC!AC$29&gt;0,IMshareC!AC12/(SUM(IMshareC!AC$2:AC$78)-IMshareC!AC$29),0))</f>
        <v>7.6508170143030673E-3</v>
      </c>
      <c r="AD12" s="8">
        <f>IF($A12=AD$1,0,IF(SUM(IMshareC!AD$2:AD$78)-IMshareC!AD$30&gt;0,IMshareC!AD12/(SUM(IMshareC!AD$2:AD$78)-IMshareC!AD$30),0))</f>
        <v>2.179403535841646E-4</v>
      </c>
      <c r="AE12" s="8">
        <f>IF($A12=AE$1,0,IF(SUM(IMshareC!AE$2:AE$78)-IMshareC!AE$31&gt;0,IMshareC!AE12/(SUM(IMshareC!AE$2:AE$78)-IMshareC!AE$31),0))</f>
        <v>1.9017609258459957E-3</v>
      </c>
      <c r="AF12" s="8">
        <f>IF($A12=AF$1,0,IF(SUM(IMshareC!AF$2:AF$78)-IMshareC!AF$32&gt;0,IMshareC!AF12/(SUM(IMshareC!AF$2:AF$78)-IMshareC!AF$32),0))</f>
        <v>2.4607532377058346E-3</v>
      </c>
      <c r="AG12" s="8">
        <f>IF($A12=AG$1,0,IF(SUM(IMshareC!AG$2:AG$78)-IMshareC!AG$33&gt;0,IMshareC!AG12/(SUM(IMshareC!AG$2:AG$78)-IMshareC!AG$33),0))</f>
        <v>4.9801230664949794E-4</v>
      </c>
      <c r="AH12" s="8">
        <f>IF($A12=AH$1,0,IF(SUM(IMshareC!AH$2:AH$78)-IMshareC!AH$34&gt;0,IMshareC!AH12/(SUM(IMshareC!AH$2:AH$78)-IMshareC!AH$34),0))</f>
        <v>3.8392362501419816E-4</v>
      </c>
      <c r="AI12" s="8">
        <f>IF($A12=AI$1,0,IF(SUM(IMshareC!AI$2:AI$78)-IMshareC!AI$35&gt;0,IMshareC!AI12/(SUM(IMshareC!AI$2:AI$78)-IMshareC!AI$35),0))</f>
        <v>2.6937443964023276E-4</v>
      </c>
      <c r="AJ12" s="8">
        <f>IF($A12=AJ$1,0,IF(SUM(IMshareC!AJ$2:AJ$78)-IMshareC!AJ$36&gt;0,IMshareC!AJ12/(SUM(IMshareC!AJ$2:AJ$78)-IMshareC!AJ$36),0))</f>
        <v>4.5763574464499218E-3</v>
      </c>
      <c r="AK12" s="8">
        <f>IF($A12=AK$1,0,IF(SUM(IMshareC!AK$2:AK$78)-IMshareC!AK$37&gt;0,IMshareC!AK12/(SUM(IMshareC!AK$2:AK$78)-IMshareC!AK$37),0))</f>
        <v>3.2038351965187999E-3</v>
      </c>
      <c r="AL12" s="8">
        <f>IF($A12=AL$1,0,IF(SUM(IMshareC!AL$2:AL$78)-IMshareC!AL$38&gt;0,IMshareC!AL12/(SUM(IMshareC!AL$2:AL$78)-IMshareC!AL$38),0))</f>
        <v>3.9635715753083512E-3</v>
      </c>
      <c r="AM12" s="8">
        <f>IF($A12=AM$1,0,IF(SUM(IMshareC!AM$2:AM$78)-IMshareC!AM$39&gt;0,IMshareC!AM12/(SUM(IMshareC!AM$2:AM$78)-IMshareC!AM$39),0))</f>
        <v>2.0685471995549706E-3</v>
      </c>
      <c r="AN12" s="8">
        <f>IF($A12=AN$1,0,IF(SUM(IMshareC!AN$2:AN$78)-IMshareC!AN$40&gt;0,IMshareC!AN12/(SUM(IMshareC!AN$2:AN$78)-IMshareC!AN$40),0))</f>
        <v>4.8888100883253218E-4</v>
      </c>
      <c r="AO12" s="8">
        <f>IF($A12=AO$1,0,IF(SUM(IMshareC!AO$2:AO$78)-IMshareC!AO$41&gt;0,IMshareC!AO12/(SUM(IMshareC!AO$2:AO$78)-IMshareC!AO$41),0))</f>
        <v>9.3171106840319769E-3</v>
      </c>
      <c r="AP12" s="8">
        <f>IF($A12=AP$1,0,IF(SUM(IMshareC!AP$2:AP$78)-IMshareC!AP$42&gt;0,IMshareC!AP12/(SUM(IMshareC!AP$2:AP$78)-IMshareC!AP$42),0))</f>
        <v>1.2997941197122133E-4</v>
      </c>
      <c r="AQ12" s="8">
        <f>IF($A12=AQ$1,0,IF(SUM(IMshareC!AQ$2:AQ$78)-IMshareC!AQ$43&gt;0,IMshareC!AQ12/(SUM(IMshareC!AQ$2:AQ$78)-IMshareC!AQ$43),0))</f>
        <v>3.8206880158429899E-4</v>
      </c>
      <c r="AR12" s="8">
        <f>IF($A12=AR$1,0,IF(SUM(IMshareC!AR$2:AR$78)-IMshareC!AR$44&gt;0,IMshareC!AR12/(SUM(IMshareC!AR$2:AR$78)-IMshareC!AR$44),0))</f>
        <v>9.4598590160244449E-5</v>
      </c>
      <c r="AS12" s="8">
        <f>IF($A12=AS$1,0,IF(SUM(IMshareC!AS$2:AS$78)-IMshareC!AS$45&gt;0,IMshareC!AS12/(SUM(IMshareC!AS$2:AS$78)-IMshareC!AS$45),0))</f>
        <v>9.1155964444241907E-4</v>
      </c>
      <c r="AT12" s="8">
        <f>IF($A12=AT$1,0,IF(SUM(IMshareC!AT$2:AT$78)-IMshareC!AT$46&gt;0,IMshareC!AT12/(SUM(IMshareC!AT$2:AT$78)-IMshareC!AT$46),0))</f>
        <v>1.1586178899360445E-2</v>
      </c>
      <c r="AU12" s="8">
        <f>IF($A12=AU$1,0,IF(SUM(IMshareC!AU$2:AU$78)-IMshareC!AU$47&gt;0,IMshareC!AU12/(SUM(IMshareC!AU$2:AU$78)-IMshareC!AU$47),0))</f>
        <v>1.7023954423898909E-4</v>
      </c>
      <c r="AV12" s="8">
        <f>IF($A12=AV$1,0,IF(SUM(IMshareC!AV$2:AV$78)-IMshareC!AV$48&gt;0,IMshareC!AV12/(SUM(IMshareC!AV$2:AV$78)-IMshareC!AV$48),0))</f>
        <v>2.7037736204123734E-3</v>
      </c>
      <c r="AW12" s="8">
        <f>IF($A12=AW$1,0,IF(SUM(IMshareC!AW$2:AW$78)-IMshareC!AW$49&gt;0,IMshareC!AW12/(SUM(IMshareC!AW$2:AW$78)-IMshareC!AW$49),0))</f>
        <v>6.8995003870442415E-4</v>
      </c>
      <c r="AX12" s="8">
        <f>IF($A12=AX$1,0,IF(SUM(IMshareC!AX$2:AX$78)-IMshareC!AX$50&gt;0,IMshareC!AX12/(SUM(IMshareC!AX$2:AX$78)-IMshareC!AX$50),0))</f>
        <v>7.4644916411170539E-5</v>
      </c>
      <c r="AY12" s="8">
        <f>IF($A12=AY$1,0,IF(SUM(IMshareC!AY$2:AY$78)-IMshareC!AY$51&gt;0,IMshareC!AY12/(SUM(IMshareC!AY$2:AY$78)-IMshareC!AY$51),0))</f>
        <v>8.6454407130816128E-4</v>
      </c>
      <c r="AZ12" s="8">
        <f>IF($A12=AZ$1,0,IF(SUM(IMshareC!AZ$2:AZ$78)-IMshareC!AZ$52&gt;0,IMshareC!AZ12/(SUM(IMshareC!AZ$2:AZ$78)-IMshareC!AZ$52),0))</f>
        <v>3.480811033334769E-4</v>
      </c>
      <c r="BA12" s="8">
        <f>IF($A12=BA$1,0,IF(SUM(IMshareC!BA$2:BA$78)-IMshareC!BA$53&gt;0,IMshareC!BA12/(SUM(IMshareC!BA$2:BA$78)-IMshareC!BA$53),0))</f>
        <v>1.4293257182430314E-3</v>
      </c>
      <c r="BB12" s="8">
        <f>IF($A12=BB$1,0,IF(SUM(IMshareC!BB$2:BB$78)-IMshareC!BB$54&gt;0,IMshareC!BB12/(SUM(IMshareC!BB$2:BB$78)-IMshareC!BB$54),0))</f>
        <v>2.1637807230784002E-3</v>
      </c>
      <c r="BC12" s="8">
        <f>IF($A12=BC$1,0,IF(SUM(IMshareC!BC$2:BC$78)-IMshareC!BC$55&gt;0,IMshareC!BC12/(SUM(IMshareC!BC$2:BC$78)-IMshareC!BC$55),0))</f>
        <v>5.6336149436359622E-3</v>
      </c>
      <c r="BD12" s="8">
        <f>IF($A12=BD$1,0,IF(SUM(IMshareC!BD$2:BD$78)-IMshareC!BD$56&gt;0,IMshareC!BD12/(SUM(IMshareC!BD$2:BD$78)-IMshareC!BD$56),0))</f>
        <v>3.3604031466346368E-3</v>
      </c>
      <c r="BE12" s="8">
        <f>IF($A12=BE$1,0,IF(SUM(IMshareC!BE$2:BE$78)-IMshareC!BE$57&gt;0,IMshareC!BE12/(SUM(IMshareC!BE$2:BE$78)-IMshareC!BE$57),0))</f>
        <v>3.2697112906920249E-3</v>
      </c>
      <c r="BF12" s="8">
        <f>IF($A12=BF$1,0,IF(SUM(IMshareC!BF$2:BF$78)-IMshareC!BF$58&gt;0,IMshareC!BF12/(SUM(IMshareC!BF$2:BF$78)-IMshareC!BF$58),0))</f>
        <v>4.6843063999279103E-3</v>
      </c>
      <c r="BG12" s="8">
        <f>IF($A12=BG$1,0,IF(SUM(IMshareC!BG$2:BG$78)-IMshareC!BG$59&gt;0,IMshareC!BG12/(SUM(IMshareC!BG$2:BG$78)-IMshareC!BG$59),0))</f>
        <v>8.1170594507493435E-4</v>
      </c>
      <c r="BH12" s="8">
        <f>IF($A12=BH$1,0,IF(SUM(IMshareC!BH$2:BH$78)-IMshareC!BH$60&gt;0,IMshareC!BH12/(SUM(IMshareC!BH$2:BH$78)-IMshareC!BH$60),0))</f>
        <v>1.4690655786703569E-3</v>
      </c>
      <c r="BI12" s="8">
        <f>IF($A12=BI$1,0,IF(SUM(IMshareC!BI$2:BI$78)-IMshareC!BI$61&gt;0,IMshareC!BI12/(SUM(IMshareC!BI$2:BI$78)-IMshareC!BI$61),0))</f>
        <v>6.9644247781252297E-4</v>
      </c>
      <c r="BJ12" s="8">
        <f>IF($A12=BJ$1,0,IF(SUM(IMshareC!BJ$2:BJ$78)-IMshareC!BJ$62&gt;0,IMshareC!BJ12/(SUM(IMshareC!BJ$2:BJ$78)-IMshareC!BJ$62),0))</f>
        <v>3.4247059934322355E-3</v>
      </c>
      <c r="BK12" s="8">
        <f>IF($A12=BK$1,0,IF(SUM(IMshareC!BK$2:BK$78)-IMshareC!BK$63&gt;0,IMshareC!BK12/(SUM(IMshareC!BK$2:BK$78)-IMshareC!BK$63),0))</f>
        <v>1.2587736608198597E-3</v>
      </c>
      <c r="BL12" s="8">
        <f>IF($A12=BL$1,0,IF(SUM(IMshareC!BL$2:BL$78)-IMshareC!BL$64&gt;0,IMshareC!BL12/(SUM(IMshareC!BL$2:BL$78)-IMshareC!BL$64),0))</f>
        <v>5.4547088707395386E-3</v>
      </c>
      <c r="BM12" s="8">
        <f>IF($A12=BM$1,0,IF(SUM(IMshareC!BM$2:BM$78)-IMshareC!BM$65&gt;0,IMshareC!BM12/(SUM(IMshareC!BM$2:BM$78)-IMshareC!BM$65),0))</f>
        <v>4.541763778187171E-2</v>
      </c>
      <c r="BN12" s="8">
        <f>IF($A12=BN$1,0,IF(SUM(IMshareC!BN$2:BN$78)-IMshareC!BN$66&gt;0,IMshareC!BN12/(SUM(IMshareC!BN$2:BN$78)-IMshareC!BN$66),0))</f>
        <v>2.9011417300232471E-4</v>
      </c>
      <c r="BO12" s="8">
        <f>IF($A12=BO$1,0,IF(SUM(IMshareC!BO$2:BO$78)-IMshareC!BO$67&gt;0,IMshareC!BO12/(SUM(IMshareC!BO$2:BO$78)-IMshareC!BO$67),0))</f>
        <v>3.0150085592268094E-3</v>
      </c>
      <c r="BP12" s="8">
        <f>IF($A12=BP$1,0,IF(SUM(IMshareC!BP$2:BP$78)-IMshareC!BP$68&gt;0,IMshareC!BP12/(SUM(IMshareC!BP$2:BP$78)-IMshareC!BP$68),0))</f>
        <v>6.3752449612123601E-3</v>
      </c>
      <c r="BQ12" s="8">
        <f>IF($A12=BQ$1,0,IF(SUM(IMshareC!BQ$2:BQ$78)-IMshareC!BQ$69&gt;0,IMshareC!BQ12/(SUM(IMshareC!BQ$2:BQ$78)-IMshareC!BQ$69),0))</f>
        <v>8.0877781745449795E-3</v>
      </c>
      <c r="BR12" s="8">
        <f>IF($A12=BR$1,0,IF(SUM(IMshareC!BR$2:BR$78)-IMshareC!BR$70&gt;0,IMshareC!BR12/(SUM(IMshareC!BR$2:BR$78)-IMshareC!BR$70),0))</f>
        <v>2.0517866043773701E-3</v>
      </c>
      <c r="BS12" s="8">
        <f>IF($A12=BS$1,0,IF(SUM(IMshareC!BS$2:BS$78)-IMshareC!BS$71&gt;0,IMshareC!BS12/(SUM(IMshareC!BS$2:BS$78)-IMshareC!BS$71),0))</f>
        <v>1.3156729638984269E-3</v>
      </c>
      <c r="BT12" s="8">
        <f>IF($A12=BT$1,0,IF(SUM(IMshareC!BT$2:BT$78)-IMshareC!BT$72&gt;0,IMshareC!BT12/(SUM(IMshareC!BT$2:BT$78)-IMshareC!BT$72),0))</f>
        <v>1.2723704629021605E-3</v>
      </c>
      <c r="BU12" s="8">
        <f>IF($A12=BU$1,0,IF(SUM(IMshareC!BU$2:BU$78)-IMshareC!BU$73&gt;0,IMshareC!BU12/(SUM(IMshareC!BU$2:BU$78)-IMshareC!BU$73),0))</f>
        <v>2.0673544704709359E-4</v>
      </c>
      <c r="BV12" s="8">
        <f>IF($A12=BV$1,0,IF(SUM(IMshareC!BV$2:BV$78)-IMshareC!BV$74&gt;0,IMshareC!BV12/(SUM(IMshareC!BV$2:BV$78)-IMshareC!BV$74),0))</f>
        <v>1.1283184570416451E-3</v>
      </c>
      <c r="BW12" s="8">
        <f>IF($A12=BW$1,0,IF(SUM(IMshareC!BW$2:BW$78)-IMshareC!BW$75&gt;0,IMshareC!BW12/(SUM(IMshareC!BW$2:BW$78)-IMshareC!BW$75),0))</f>
        <v>1.7574814704714565E-3</v>
      </c>
      <c r="BX12" s="8">
        <f>IF($A12=BX$1,0,IF(SUM(IMshareC!BX$2:BX$78)-IMshareC!BX$76&gt;0,IMshareC!BX12/(SUM(IMshareC!BX$2:BX$78)-IMshareC!BX$76),0))</f>
        <v>1.5634481353087005E-3</v>
      </c>
      <c r="BY12" s="8">
        <f>IF($A12=BY$1,0,IF(SUM(IMshareC!BY$2:BY$78)-IMshareC!BY$77&gt;0,IMshareC!BY12/(SUM(IMshareC!BY$2:BY$78)-IMshareC!BY$77),0))</f>
        <v>5.7067214283663724E-3</v>
      </c>
      <c r="BZ12" s="8">
        <f>IF($A12=BZ$1,0,IF(SUM(IMshareC!BZ$2:BZ$78)-IMshareC!BZ$78&gt;0,IMshareC!BZ12/(SUM(IMshareC!BZ$2:BZ$78)-IMshareC!BZ$78),0))</f>
        <v>1.9412520449273246E-2</v>
      </c>
    </row>
    <row r="13" spans="1:78">
      <c r="A13" s="4" t="s">
        <v>93</v>
      </c>
      <c r="B13" s="8">
        <f>IF($A13=B$1,0,IF(SUM(IMshareC!B$2:B$78)-IMshareC!B$2&gt;0,IMshareC!B13/(SUM(IMshareC!B$2:B$78)-IMshareC!B$2),0))</f>
        <v>2.8237759651004191E-5</v>
      </c>
      <c r="C13" s="8">
        <f>IF($A13=C$1,0,IF(SUM(IMshareC!C$2:C$78)-IMshareC!C$3&gt;0,IMshareC!C13/(SUM(IMshareC!C$2:C$78)-IMshareC!C$3),0))</f>
        <v>1.7134336350570567E-4</v>
      </c>
      <c r="D13" s="8">
        <f>IF($A13=D$1,0,IF(SUM(IMshareC!D$2:D$78)-IMshareC!D$4&gt;0,IMshareC!D13/(SUM(IMshareC!D$2:D$78)-IMshareC!D$4),0))</f>
        <v>4.0986067012911596E-6</v>
      </c>
      <c r="E13" s="8">
        <f>IF($A13=E$1,0,IF(SUM(IMshareC!E$2:E$78)-IMshareC!E$5&gt;0,IMshareC!E13/(SUM(IMshareC!E$2:E$78)-IMshareC!E$5),0))</f>
        <v>3.4261674438873784E-9</v>
      </c>
      <c r="F13" s="8">
        <f>IF($A13=F$1,0,IF(SUM(IMshareC!F$2:F$78)-IMshareC!F$6&gt;0,IMshareC!F13/(SUM(IMshareC!F$2:F$78)-IMshareC!F$6),0))</f>
        <v>0</v>
      </c>
      <c r="G13" s="8">
        <f>IF($A13=G$1,0,IF(SUM(IMshareC!G$2:G$78)-IMshareC!G$7&gt;0,IMshareC!G13/(SUM(IMshareC!G$2:G$78)-IMshareC!G$7),0))</f>
        <v>0</v>
      </c>
      <c r="H13" s="8">
        <f>IF($A13=H$1,0,IF(SUM(IMshareC!H$2:H$78)-IMshareC!H$8&gt;0,IMshareC!H13/(SUM(IMshareC!H$2:H$78)-IMshareC!H$8),0))</f>
        <v>0</v>
      </c>
      <c r="I13" s="8">
        <f>IF($A13=I$1,0,IF(SUM(IMshareC!I$2:I$78)-IMshareC!I$9&gt;0,IMshareC!I13/(SUM(IMshareC!I$2:I$78)-IMshareC!I$9),0))</f>
        <v>7.3387716186479261E-6</v>
      </c>
      <c r="J13" s="8">
        <f>IF($A13=J$1,0,IF(SUM(IMshareC!J$2:J$78)-IMshareC!J$10&gt;0,IMshareC!J13/(SUM(IMshareC!J$2:J$78)-IMshareC!J$10),0))</f>
        <v>0</v>
      </c>
      <c r="K13" s="8">
        <f>IF($A13=K$1,0,IF(SUM(IMshareC!K$2:K$78)-IMshareC!K$11&gt;0,IMshareC!K13/(SUM(IMshareC!K$2:K$78)-IMshareC!K$11),0))</f>
        <v>3.96011163108983E-5</v>
      </c>
      <c r="L13" s="8">
        <f>IF($A13=L$1,0,IF(SUM(IMshareC!L$2:L$78)-IMshareC!L$12&gt;0,IMshareC!L13/(SUM(IMshareC!L$2:L$78)-IMshareC!L$12),0))</f>
        <v>2.3233626669786686E-6</v>
      </c>
      <c r="M13" s="8">
        <f>IF($A13=M$1,0,IF(SUM(IMshareC!M$2:M$78)-IMshareC!M$13&gt;0,IMshareC!M13/(SUM(IMshareC!M$2:M$78)-IMshareC!M$13),0))</f>
        <v>0</v>
      </c>
      <c r="N13" s="8">
        <f>IF($A13=N$1,0,IF(SUM(IMshareC!N$2:N$78)-IMshareC!N$14&gt;0,IMshareC!N13/(SUM(IMshareC!N$2:N$78)-IMshareC!N$14),0))</f>
        <v>1.5944998176495331E-7</v>
      </c>
      <c r="O13" s="8">
        <f>IF($A13=O$1,0,IF(SUM(IMshareC!O$2:O$78)-IMshareC!O$15&gt;0,IMshareC!O13/(SUM(IMshareC!O$2:O$78)-IMshareC!O$15),0))</f>
        <v>6.7013384607542392E-5</v>
      </c>
      <c r="P13" s="8">
        <f>IF($A13=P$1,0,IF(SUM(IMshareC!P$2:P$78)-IMshareC!P$16&gt;0,IMshareC!P13/(SUM(IMshareC!P$2:P$78)-IMshareC!P$16),0))</f>
        <v>0</v>
      </c>
      <c r="Q13" s="8">
        <f>IF($A13=Q$1,0,IF(SUM(IMshareC!Q$2:Q$78)-IMshareC!Q$17&gt;0,IMshareC!Q13/(SUM(IMshareC!Q$2:Q$78)-IMshareC!Q$17),0))</f>
        <v>9.7348328171734921E-5</v>
      </c>
      <c r="R13" s="8">
        <f>IF($A13=R$1,0,IF(SUM(IMshareC!R$2:R$78)-IMshareC!R$18&gt;0,IMshareC!R13/(SUM(IMshareC!R$2:R$78)-IMshareC!R$18),0))</f>
        <v>2.1669696885810797E-4</v>
      </c>
      <c r="S13" s="8">
        <f>IF($A13=S$1,0,IF(SUM(IMshareC!S$2:S$78)-IMshareC!S$19&gt;0,IMshareC!S13/(SUM(IMshareC!S$2:S$78)-IMshareC!S$19),0))</f>
        <v>0</v>
      </c>
      <c r="T13" s="8">
        <f>IF($A13=T$1,0,IF(SUM(IMshareC!T$2:T$78)-IMshareC!T$20&gt;0,IMshareC!T13/(SUM(IMshareC!T$2:T$78)-IMshareC!T$20),0))</f>
        <v>1.6089351490601958E-7</v>
      </c>
      <c r="U13" s="8">
        <f>IF($A13=U$1,0,IF(SUM(IMshareC!U$2:U$78)-IMshareC!U$21&gt;0,IMshareC!U13/(SUM(IMshareC!U$2:U$78)-IMshareC!U$21),0))</f>
        <v>9.6933946457653741E-6</v>
      </c>
      <c r="V13" s="8">
        <f>IF($A13=V$1,0,IF(SUM(IMshareC!V$2:V$78)-IMshareC!V$22&gt;0,IMshareC!V13/(SUM(IMshareC!V$2:V$78)-IMshareC!V$22),0))</f>
        <v>1.2085351756199744E-4</v>
      </c>
      <c r="W13" s="8">
        <f>IF($A13=W$1,0,IF(SUM(IMshareC!W$2:W$78)-IMshareC!W$23&gt;0,IMshareC!W13/(SUM(IMshareC!W$2:W$78)-IMshareC!W$23),0))</f>
        <v>1.6664635677874231E-6</v>
      </c>
      <c r="X13" s="8">
        <f>IF($A13=X$1,0,IF(SUM(IMshareC!X$2:X$78)-IMshareC!X$24&gt;0,IMshareC!X13/(SUM(IMshareC!X$2:X$78)-IMshareC!X$24),0))</f>
        <v>3.8746428967921214E-5</v>
      </c>
      <c r="Y13" s="8">
        <f>IF($A13=Y$1,0,IF(SUM(IMshareC!Y$2:Y$78)-IMshareC!Y$25&gt;0,IMshareC!Y13/(SUM(IMshareC!Y$2:Y$78)-IMshareC!Y$25),0))</f>
        <v>0</v>
      </c>
      <c r="Z13" s="8">
        <f>IF($A13=Z$1,0,IF(SUM(IMshareC!Z$2:Z$78)-IMshareC!Z$26&gt;0,IMshareC!Z13/(SUM(IMshareC!Z$2:Z$78)-IMshareC!Z$26),0))</f>
        <v>2.9748048781987101E-6</v>
      </c>
      <c r="AA13" s="8">
        <f>IF($A13=AA$1,0,IF(SUM(IMshareC!AA$2:AA$78)-IMshareC!AA$27&gt;0,IMshareC!AA13/(SUM(IMshareC!AA$2:AA$78)-IMshareC!AA$27),0))</f>
        <v>1.3460802803831235E-5</v>
      </c>
      <c r="AB13" s="8">
        <f>IF($A13=AB$1,0,IF(SUM(IMshareC!AB$2:AB$78)-IMshareC!AB$28&gt;0,IMshareC!AB13/(SUM(IMshareC!AB$2:AB$78)-IMshareC!AB$28),0))</f>
        <v>6.3358443362496827E-6</v>
      </c>
      <c r="AC13" s="8">
        <f>IF($A13=AC$1,0,IF(SUM(IMshareC!AC$2:AC$78)-IMshareC!AC$29&gt;0,IMshareC!AC13/(SUM(IMshareC!AC$2:AC$78)-IMshareC!AC$29),0))</f>
        <v>3.0973398347049157E-5</v>
      </c>
      <c r="AD13" s="8">
        <f>IF($A13=AD$1,0,IF(SUM(IMshareC!AD$2:AD$78)-IMshareC!AD$30&gt;0,IMshareC!AD13/(SUM(IMshareC!AD$2:AD$78)-IMshareC!AD$30),0))</f>
        <v>0</v>
      </c>
      <c r="AE13" s="8">
        <f>IF($A13=AE$1,0,IF(SUM(IMshareC!AE$2:AE$78)-IMshareC!AE$31&gt;0,IMshareC!AE13/(SUM(IMshareC!AE$2:AE$78)-IMshareC!AE$31),0))</f>
        <v>3.7410286442788271E-6</v>
      </c>
      <c r="AF13" s="8">
        <f>IF($A13=AF$1,0,IF(SUM(IMshareC!AF$2:AF$78)-IMshareC!AF$32&gt;0,IMshareC!AF13/(SUM(IMshareC!AF$2:AF$78)-IMshareC!AF$32),0))</f>
        <v>2.9650789121192513E-7</v>
      </c>
      <c r="AG13" s="8">
        <f>IF($A13=AG$1,0,IF(SUM(IMshareC!AG$2:AG$78)-IMshareC!AG$33&gt;0,IMshareC!AG13/(SUM(IMshareC!AG$2:AG$78)-IMshareC!AG$33),0))</f>
        <v>0</v>
      </c>
      <c r="AH13" s="8">
        <f>IF($A13=AH$1,0,IF(SUM(IMshareC!AH$2:AH$78)-IMshareC!AH$34&gt;0,IMshareC!AH13/(SUM(IMshareC!AH$2:AH$78)-IMshareC!AH$34),0))</f>
        <v>5.882668423892137E-7</v>
      </c>
      <c r="AI13" s="8">
        <f>IF($A13=AI$1,0,IF(SUM(IMshareC!AI$2:AI$78)-IMshareC!AI$35&gt;0,IMshareC!AI13/(SUM(IMshareC!AI$2:AI$78)-IMshareC!AI$35),0))</f>
        <v>1.2597182116336512E-6</v>
      </c>
      <c r="AJ13" s="8">
        <f>IF($A13=AJ$1,0,IF(SUM(IMshareC!AJ$2:AJ$78)-IMshareC!AJ$36&gt;0,IMshareC!AJ13/(SUM(IMshareC!AJ$2:AJ$78)-IMshareC!AJ$36),0))</f>
        <v>9.6819134881692955E-5</v>
      </c>
      <c r="AK13" s="8">
        <f>IF($A13=AK$1,0,IF(SUM(IMshareC!AK$2:AK$78)-IMshareC!AK$37&gt;0,IMshareC!AK13/(SUM(IMshareC!AK$2:AK$78)-IMshareC!AK$37),0))</f>
        <v>0</v>
      </c>
      <c r="AL13" s="8">
        <f>IF($A13=AL$1,0,IF(SUM(IMshareC!AL$2:AL$78)-IMshareC!AL$38&gt;0,IMshareC!AL13/(SUM(IMshareC!AL$2:AL$78)-IMshareC!AL$38),0))</f>
        <v>5.1388678705488826E-7</v>
      </c>
      <c r="AM13" s="8">
        <f>IF($A13=AM$1,0,IF(SUM(IMshareC!AM$2:AM$78)-IMshareC!AM$39&gt;0,IMshareC!AM13/(SUM(IMshareC!AM$2:AM$78)-IMshareC!AM$39),0))</f>
        <v>0</v>
      </c>
      <c r="AN13" s="8">
        <f>IF($A13=AN$1,0,IF(SUM(IMshareC!AN$2:AN$78)-IMshareC!AN$40&gt;0,IMshareC!AN13/(SUM(IMshareC!AN$2:AN$78)-IMshareC!AN$40),0))</f>
        <v>3.3897627893618103E-7</v>
      </c>
      <c r="AO13" s="8">
        <f>IF($A13=AO$1,0,IF(SUM(IMshareC!AO$2:AO$78)-IMshareC!AO$41&gt;0,IMshareC!AO13/(SUM(IMshareC!AO$2:AO$78)-IMshareC!AO$41),0))</f>
        <v>0</v>
      </c>
      <c r="AP13" s="8">
        <f>IF($A13=AP$1,0,IF(SUM(IMshareC!AP$2:AP$78)-IMshareC!AP$42&gt;0,IMshareC!AP13/(SUM(IMshareC!AP$2:AP$78)-IMshareC!AP$42),0))</f>
        <v>0</v>
      </c>
      <c r="AQ13" s="8">
        <f>IF($A13=AQ$1,0,IF(SUM(IMshareC!AQ$2:AQ$78)-IMshareC!AQ$43&gt;0,IMshareC!AQ13/(SUM(IMshareC!AQ$2:AQ$78)-IMshareC!AQ$43),0))</f>
        <v>4.8370837243419383E-8</v>
      </c>
      <c r="AR13" s="8">
        <f>IF($A13=AR$1,0,IF(SUM(IMshareC!AR$2:AR$78)-IMshareC!AR$44&gt;0,IMshareC!AR13/(SUM(IMshareC!AR$2:AR$78)-IMshareC!AR$44),0))</f>
        <v>0</v>
      </c>
      <c r="AS13" s="8">
        <f>IF($A13=AS$1,0,IF(SUM(IMshareC!AS$2:AS$78)-IMshareC!AS$45&gt;0,IMshareC!AS13/(SUM(IMshareC!AS$2:AS$78)-IMshareC!AS$45),0))</f>
        <v>0</v>
      </c>
      <c r="AT13" s="8">
        <f>IF($A13=AT$1,0,IF(SUM(IMshareC!AT$2:AT$78)-IMshareC!AT$46&gt;0,IMshareC!AT13/(SUM(IMshareC!AT$2:AT$78)-IMshareC!AT$46),0))</f>
        <v>0</v>
      </c>
      <c r="AU13" s="8">
        <f>IF($A13=AU$1,0,IF(SUM(IMshareC!AU$2:AU$78)-IMshareC!AU$47&gt;0,IMshareC!AU13/(SUM(IMshareC!AU$2:AU$78)-IMshareC!AU$47),0))</f>
        <v>0</v>
      </c>
      <c r="AV13" s="8">
        <f>IF($A13=AV$1,0,IF(SUM(IMshareC!AV$2:AV$78)-IMshareC!AV$48&gt;0,IMshareC!AV13/(SUM(IMshareC!AV$2:AV$78)-IMshareC!AV$48),0))</f>
        <v>7.8829227552302414E-6</v>
      </c>
      <c r="AW13" s="8">
        <f>IF($A13=AW$1,0,IF(SUM(IMshareC!AW$2:AW$78)-IMshareC!AW$49&gt;0,IMshareC!AW13/(SUM(IMshareC!AW$2:AW$78)-IMshareC!AW$49),0))</f>
        <v>1.9876366733083945E-5</v>
      </c>
      <c r="AX13" s="8">
        <f>IF($A13=AX$1,0,IF(SUM(IMshareC!AX$2:AX$78)-IMshareC!AX$50&gt;0,IMshareC!AX13/(SUM(IMshareC!AX$2:AX$78)-IMshareC!AX$50),0))</f>
        <v>0</v>
      </c>
      <c r="AY13" s="8">
        <f>IF($A13=AY$1,0,IF(SUM(IMshareC!AY$2:AY$78)-IMshareC!AY$51&gt;0,IMshareC!AY13/(SUM(IMshareC!AY$2:AY$78)-IMshareC!AY$51),0))</f>
        <v>0</v>
      </c>
      <c r="AZ13" s="8">
        <f>IF($A13=AZ$1,0,IF(SUM(IMshareC!AZ$2:AZ$78)-IMshareC!AZ$52&gt;0,IMshareC!AZ13/(SUM(IMshareC!AZ$2:AZ$78)-IMshareC!AZ$52),0))</f>
        <v>7.9422004323572432E-8</v>
      </c>
      <c r="BA13" s="8">
        <f>IF($A13=BA$1,0,IF(SUM(IMshareC!BA$2:BA$78)-IMshareC!BA$53&gt;0,IMshareC!BA13/(SUM(IMshareC!BA$2:BA$78)-IMshareC!BA$53),0))</f>
        <v>0</v>
      </c>
      <c r="BB13" s="8">
        <f>IF($A13=BB$1,0,IF(SUM(IMshareC!BB$2:BB$78)-IMshareC!BB$54&gt;0,IMshareC!BB13/(SUM(IMshareC!BB$2:BB$78)-IMshareC!BB$54),0))</f>
        <v>6.3031403904540883E-7</v>
      </c>
      <c r="BC13" s="8">
        <f>IF($A13=BC$1,0,IF(SUM(IMshareC!BC$2:BC$78)-IMshareC!BC$55&gt;0,IMshareC!BC13/(SUM(IMshareC!BC$2:BC$78)-IMshareC!BC$55),0))</f>
        <v>3.4273796223405766E-5</v>
      </c>
      <c r="BD13" s="8">
        <f>IF($A13=BD$1,0,IF(SUM(IMshareC!BD$2:BD$78)-IMshareC!BD$56&gt;0,IMshareC!BD13/(SUM(IMshareC!BD$2:BD$78)-IMshareC!BD$56),0))</f>
        <v>0</v>
      </c>
      <c r="BE13" s="8">
        <f>IF($A13=BE$1,0,IF(SUM(IMshareC!BE$2:BE$78)-IMshareC!BE$57&gt;0,IMshareC!BE13/(SUM(IMshareC!BE$2:BE$78)-IMshareC!BE$57),0))</f>
        <v>5.2145506978469602E-4</v>
      </c>
      <c r="BF13" s="8">
        <f>IF($A13=BF$1,0,IF(SUM(IMshareC!BF$2:BF$78)-IMshareC!BF$58&gt;0,IMshareC!BF13/(SUM(IMshareC!BF$2:BF$78)-IMshareC!BF$58),0))</f>
        <v>6.6052947184758806E-3</v>
      </c>
      <c r="BG13" s="8">
        <f>IF($A13=BG$1,0,IF(SUM(IMshareC!BG$2:BG$78)-IMshareC!BG$59&gt;0,IMshareC!BG13/(SUM(IMshareC!BG$2:BG$78)-IMshareC!BG$59),0))</f>
        <v>0</v>
      </c>
      <c r="BH13" s="8">
        <f>IF($A13=BH$1,0,IF(SUM(IMshareC!BH$2:BH$78)-IMshareC!BH$60&gt;0,IMshareC!BH13/(SUM(IMshareC!BH$2:BH$78)-IMshareC!BH$60),0))</f>
        <v>5.6508065919565406E-7</v>
      </c>
      <c r="BI13" s="8">
        <f>IF($A13=BI$1,0,IF(SUM(IMshareC!BI$2:BI$78)-IMshareC!BI$61&gt;0,IMshareC!BI13/(SUM(IMshareC!BI$2:BI$78)-IMshareC!BI$61),0))</f>
        <v>4.599046598849086E-8</v>
      </c>
      <c r="BJ13" s="8">
        <f>IF($A13=BJ$1,0,IF(SUM(IMshareC!BJ$2:BJ$78)-IMshareC!BJ$62&gt;0,IMshareC!BJ13/(SUM(IMshareC!BJ$2:BJ$78)-IMshareC!BJ$62),0))</f>
        <v>0</v>
      </c>
      <c r="BK13" s="8">
        <f>IF($A13=BK$1,0,IF(SUM(IMshareC!BK$2:BK$78)-IMshareC!BK$63&gt;0,IMshareC!BK13/(SUM(IMshareC!BK$2:BK$78)-IMshareC!BK$63),0))</f>
        <v>0</v>
      </c>
      <c r="BL13" s="8">
        <f>IF($A13=BL$1,0,IF(SUM(IMshareC!BL$2:BL$78)-IMshareC!BL$64&gt;0,IMshareC!BL13/(SUM(IMshareC!BL$2:BL$78)-IMshareC!BL$64),0))</f>
        <v>2.798145705826859E-7</v>
      </c>
      <c r="BM13" s="8">
        <f>IF($A13=BM$1,0,IF(SUM(IMshareC!BM$2:BM$78)-IMshareC!BM$65&gt;0,IMshareC!BM13/(SUM(IMshareC!BM$2:BM$78)-IMshareC!BM$65),0))</f>
        <v>0</v>
      </c>
      <c r="BN13" s="8">
        <f>IF($A13=BN$1,0,IF(SUM(IMshareC!BN$2:BN$78)-IMshareC!BN$66&gt;0,IMshareC!BN13/(SUM(IMshareC!BN$2:BN$78)-IMshareC!BN$66),0))</f>
        <v>1.2061012094647581E-7</v>
      </c>
      <c r="BO13" s="8">
        <f>IF($A13=BO$1,0,IF(SUM(IMshareC!BO$2:BO$78)-IMshareC!BO$67&gt;0,IMshareC!BO13/(SUM(IMshareC!BO$2:BO$78)-IMshareC!BO$67),0))</f>
        <v>7.0780293492476371E-8</v>
      </c>
      <c r="BP13" s="8">
        <f>IF($A13=BP$1,0,IF(SUM(IMshareC!BP$2:BP$78)-IMshareC!BP$68&gt;0,IMshareC!BP13/(SUM(IMshareC!BP$2:BP$78)-IMshareC!BP$68),0))</f>
        <v>0</v>
      </c>
      <c r="BQ13" s="8">
        <f>IF($A13=BQ$1,0,IF(SUM(IMshareC!BQ$2:BQ$78)-IMshareC!BQ$69&gt;0,IMshareC!BQ13/(SUM(IMshareC!BQ$2:BQ$78)-IMshareC!BQ$69),0))</f>
        <v>2.3170481627611599E-6</v>
      </c>
      <c r="BR13" s="8">
        <f>IF($A13=BR$1,0,IF(SUM(IMshareC!BR$2:BR$78)-IMshareC!BR$70&gt;0,IMshareC!BR13/(SUM(IMshareC!BR$2:BR$78)-IMshareC!BR$70),0))</f>
        <v>2.5253302525413847E-6</v>
      </c>
      <c r="BS13" s="8">
        <f>IF($A13=BS$1,0,IF(SUM(IMshareC!BS$2:BS$78)-IMshareC!BS$71&gt;0,IMshareC!BS13/(SUM(IMshareC!BS$2:BS$78)-IMshareC!BS$71),0))</f>
        <v>0</v>
      </c>
      <c r="BT13" s="8">
        <f>IF($A13=BT$1,0,IF(SUM(IMshareC!BT$2:BT$78)-IMshareC!BT$72&gt;0,IMshareC!BT13/(SUM(IMshareC!BT$2:BT$78)-IMshareC!BT$72),0))</f>
        <v>0</v>
      </c>
      <c r="BU13" s="8">
        <f>IF($A13=BU$1,0,IF(SUM(IMshareC!BU$2:BU$78)-IMshareC!BU$73&gt;0,IMshareC!BU13/(SUM(IMshareC!BU$2:BU$78)-IMshareC!BU$73),0))</f>
        <v>4.3651271934401888E-7</v>
      </c>
      <c r="BV13" s="8">
        <f>IF($A13=BV$1,0,IF(SUM(IMshareC!BV$2:BV$78)-IMshareC!BV$74&gt;0,IMshareC!BV13/(SUM(IMshareC!BV$2:BV$78)-IMshareC!BV$74),0))</f>
        <v>9.5472886832216959E-8</v>
      </c>
      <c r="BW13" s="8">
        <f>IF($A13=BW$1,0,IF(SUM(IMshareC!BW$2:BW$78)-IMshareC!BW$75&gt;0,IMshareC!BW13/(SUM(IMshareC!BW$2:BW$78)-IMshareC!BW$75),0))</f>
        <v>3.3240386315095514E-5</v>
      </c>
      <c r="BX13" s="8">
        <f>IF($A13=BX$1,0,IF(SUM(IMshareC!BX$2:BX$78)-IMshareC!BX$76&gt;0,IMshareC!BX13/(SUM(IMshareC!BX$2:BX$78)-IMshareC!BX$76),0))</f>
        <v>0</v>
      </c>
      <c r="BY13" s="8">
        <f>IF($A13=BY$1,0,IF(SUM(IMshareC!BY$2:BY$78)-IMshareC!BY$77&gt;0,IMshareC!BY13/(SUM(IMshareC!BY$2:BY$78)-IMshareC!BY$77),0))</f>
        <v>8.7532085731784412E-5</v>
      </c>
      <c r="BZ13" s="8">
        <f>IF($A13=BZ$1,0,IF(SUM(IMshareC!BZ$2:BZ$78)-IMshareC!BZ$78&gt;0,IMshareC!BZ13/(SUM(IMshareC!BZ$2:BZ$78)-IMshareC!BZ$78),0))</f>
        <v>8.4100036032524591E-5</v>
      </c>
    </row>
    <row r="14" spans="1:78">
      <c r="A14" s="4" t="s">
        <v>95</v>
      </c>
      <c r="B14" s="8">
        <f>IF($A14=B$1,0,IF(SUM(IMshareC!B$2:B$78)-IMshareC!B$2&gt;0,IMshareC!B14/(SUM(IMshareC!B$2:B$78)-IMshareC!B$2),0))</f>
        <v>0.22985682805676999</v>
      </c>
      <c r="C14" s="8">
        <f>IF($A14=C$1,0,IF(SUM(IMshareC!C$2:C$78)-IMshareC!C$3&gt;0,IMshareC!C14/(SUM(IMshareC!C$2:C$78)-IMshareC!C$3),0))</f>
        <v>0.20359995609375944</v>
      </c>
      <c r="D14" s="8">
        <f>IF($A14=D$1,0,IF(SUM(IMshareC!D$2:D$78)-IMshareC!D$4&gt;0,IMshareC!D14/(SUM(IMshareC!D$2:D$78)-IMshareC!D$4),0))</f>
        <v>0.16552246377250904</v>
      </c>
      <c r="E14" s="8">
        <f>IF($A14=E$1,0,IF(SUM(IMshareC!E$2:E$78)-IMshareC!E$5&gt;0,IMshareC!E14/(SUM(IMshareC!E$2:E$78)-IMshareC!E$5),0))</f>
        <v>5.444193327255345E-2</v>
      </c>
      <c r="F14" s="8">
        <f>IF($A14=F$1,0,IF(SUM(IMshareC!F$2:F$78)-IMshareC!F$6&gt;0,IMshareC!F14/(SUM(IMshareC!F$2:F$78)-IMshareC!F$6),0))</f>
        <v>0.62203371328677015</v>
      </c>
      <c r="G14" s="8">
        <f>IF($A14=G$1,0,IF(SUM(IMshareC!G$2:G$78)-IMshareC!G$7&gt;0,IMshareC!G14/(SUM(IMshareC!G$2:G$78)-IMshareC!G$7),0))</f>
        <v>3.4092363762585044E-2</v>
      </c>
      <c r="H14" s="8">
        <f>IF($A14=H$1,0,IF(SUM(IMshareC!H$2:H$78)-IMshareC!H$8&gt;0,IMshareC!H14/(SUM(IMshareC!H$2:H$78)-IMshareC!H$8),0))</f>
        <v>0.41965847358111324</v>
      </c>
      <c r="I14" s="8">
        <f>IF($A14=I$1,0,IF(SUM(IMshareC!I$2:I$78)-IMshareC!I$9&gt;0,IMshareC!I14/(SUM(IMshareC!I$2:I$78)-IMshareC!I$9),0))</f>
        <v>0.24203713307734637</v>
      </c>
      <c r="J14" s="8">
        <f>IF($A14=J$1,0,IF(SUM(IMshareC!J$2:J$78)-IMshareC!J$10&gt;0,IMshareC!J14/(SUM(IMshareC!J$2:J$78)-IMshareC!J$10),0))</f>
        <v>2.7673102599148271E-2</v>
      </c>
      <c r="K14" s="8">
        <f>IF($A14=K$1,0,IF(SUM(IMshareC!K$2:K$78)-IMshareC!K$11&gt;0,IMshareC!K14/(SUM(IMshareC!K$2:K$78)-IMshareC!K$11),0))</f>
        <v>0.13827477931626547</v>
      </c>
      <c r="L14" s="8">
        <f>IF($A14=L$1,0,IF(SUM(IMshareC!L$2:L$78)-IMshareC!L$12&gt;0,IMshareC!L14/(SUM(IMshareC!L$2:L$78)-IMshareC!L$12),0))</f>
        <v>0.11460556760369917</v>
      </c>
      <c r="M14" s="8">
        <f>IF($A14=M$1,0,IF(SUM(IMshareC!M$2:M$78)-IMshareC!M$13&gt;0,IMshareC!M14/(SUM(IMshareC!M$2:M$78)-IMshareC!M$13),0))</f>
        <v>0.26589488029904396</v>
      </c>
      <c r="N14" s="8">
        <f>IF($A14=N$1,0,IF(SUM(IMshareC!N$2:N$78)-IMshareC!N$14&gt;0,IMshareC!N14/(SUM(IMshareC!N$2:N$78)-IMshareC!N$14),0))</f>
        <v>0</v>
      </c>
      <c r="O14" s="8">
        <f>IF($A14=O$1,0,IF(SUM(IMshareC!O$2:O$78)-IMshareC!O$15&gt;0,IMshareC!O14/(SUM(IMshareC!O$2:O$78)-IMshareC!O$15),0))</f>
        <v>0.41709774295334784</v>
      </c>
      <c r="P14" s="8">
        <f>IF($A14=P$1,0,IF(SUM(IMshareC!P$2:P$78)-IMshareC!P$16&gt;0,IMshareC!P14/(SUM(IMshareC!P$2:P$78)-IMshareC!P$16),0))</f>
        <v>0.2368640481302032</v>
      </c>
      <c r="Q14" s="8">
        <f>IF($A14=Q$1,0,IF(SUM(IMshareC!Q$2:Q$78)-IMshareC!Q$17&gt;0,IMshareC!Q14/(SUM(IMshareC!Q$2:Q$78)-IMshareC!Q$17),0))</f>
        <v>0.34709206709886625</v>
      </c>
      <c r="R14" s="8">
        <f>IF($A14=R$1,0,IF(SUM(IMshareC!R$2:R$78)-IMshareC!R$18&gt;0,IMshareC!R14/(SUM(IMshareC!R$2:R$78)-IMshareC!R$18),0))</f>
        <v>0.22379673435620329</v>
      </c>
      <c r="S14" s="8">
        <f>IF($A14=S$1,0,IF(SUM(IMshareC!S$2:S$78)-IMshareC!S$19&gt;0,IMshareC!S14/(SUM(IMshareC!S$2:S$78)-IMshareC!S$19),0))</f>
        <v>8.963684672580742E-2</v>
      </c>
      <c r="T14" s="8">
        <f>IF($A14=T$1,0,IF(SUM(IMshareC!T$2:T$78)-IMshareC!T$20&gt;0,IMshareC!T14/(SUM(IMshareC!T$2:T$78)-IMshareC!T$20),0))</f>
        <v>0.23053559296726026</v>
      </c>
      <c r="U14" s="8">
        <f>IF($A14=U$1,0,IF(SUM(IMshareC!U$2:U$78)-IMshareC!U$21&gt;0,IMshareC!U14/(SUM(IMshareC!U$2:U$78)-IMshareC!U$21),0))</f>
        <v>0.13023708280710289</v>
      </c>
      <c r="V14" s="8">
        <f>IF($A14=V$1,0,IF(SUM(IMshareC!V$2:V$78)-IMshareC!V$22&gt;0,IMshareC!V14/(SUM(IMshareC!V$2:V$78)-IMshareC!V$22),0))</f>
        <v>0.10900461041663294</v>
      </c>
      <c r="W14" s="8">
        <f>IF($A14=W$1,0,IF(SUM(IMshareC!W$2:W$78)-IMshareC!W$23&gt;0,IMshareC!W14/(SUM(IMshareC!W$2:W$78)-IMshareC!W$23),0))</f>
        <v>0.19571937574474324</v>
      </c>
      <c r="X14" s="8">
        <f>IF($A14=X$1,0,IF(SUM(IMshareC!X$2:X$78)-IMshareC!X$24&gt;0,IMshareC!X14/(SUM(IMshareC!X$2:X$78)-IMshareC!X$24),0))</f>
        <v>0.12780565049584644</v>
      </c>
      <c r="Y14" s="8">
        <f>IF($A14=Y$1,0,IF(SUM(IMshareC!Y$2:Y$78)-IMshareC!Y$25&gt;0,IMshareC!Y14/(SUM(IMshareC!Y$2:Y$78)-IMshareC!Y$25),0))</f>
        <v>0.13524624269268196</v>
      </c>
      <c r="Z14" s="8">
        <f>IF($A14=Z$1,0,IF(SUM(IMshareC!Z$2:Z$78)-IMshareC!Z$26&gt;0,IMshareC!Z14/(SUM(IMshareC!Z$2:Z$78)-IMshareC!Z$26),0))</f>
        <v>8.6479744614763987E-2</v>
      </c>
      <c r="AA14" s="8">
        <f>IF($A14=AA$1,0,IF(SUM(IMshareC!AA$2:AA$78)-IMshareC!AA$27&gt;0,IMshareC!AA14/(SUM(IMshareC!AA$2:AA$78)-IMshareC!AA$27),0))</f>
        <v>7.7132444979062798E-2</v>
      </c>
      <c r="AB14" s="8">
        <f>IF($A14=AB$1,0,IF(SUM(IMshareC!AB$2:AB$78)-IMshareC!AB$28&gt;0,IMshareC!AB14/(SUM(IMshareC!AB$2:AB$78)-IMshareC!AB$28),0))</f>
        <v>0.16022180213756998</v>
      </c>
      <c r="AC14" s="8">
        <f>IF($A14=AC$1,0,IF(SUM(IMshareC!AC$2:AC$78)-IMshareC!AC$29&gt;0,IMshareC!AC14/(SUM(IMshareC!AC$2:AC$78)-IMshareC!AC$29),0))</f>
        <v>5.150314714811758E-2</v>
      </c>
      <c r="AD14" s="8">
        <f>IF($A14=AD$1,0,IF(SUM(IMshareC!AD$2:AD$78)-IMshareC!AD$30&gt;0,IMshareC!AD14/(SUM(IMshareC!AD$2:AD$78)-IMshareC!AD$30),0))</f>
        <v>0.27742695588428362</v>
      </c>
      <c r="AE14" s="8">
        <f>IF($A14=AE$1,0,IF(SUM(IMshareC!AE$2:AE$78)-IMshareC!AE$31&gt;0,IMshareC!AE14/(SUM(IMshareC!AE$2:AE$78)-IMshareC!AE$31),0))</f>
        <v>0.11697123841964305</v>
      </c>
      <c r="AF14" s="8">
        <f>IF($A14=AF$1,0,IF(SUM(IMshareC!AF$2:AF$78)-IMshareC!AF$32&gt;0,IMshareC!AF14/(SUM(IMshareC!AF$2:AF$78)-IMshareC!AF$32),0))</f>
        <v>6.2840268325164719E-2</v>
      </c>
      <c r="AG14" s="8">
        <f>IF($A14=AG$1,0,IF(SUM(IMshareC!AG$2:AG$78)-IMshareC!AG$33&gt;0,IMshareC!AG14/(SUM(IMshareC!AG$2:AG$78)-IMshareC!AG$33),0))</f>
        <v>0.25633591031781333</v>
      </c>
      <c r="AH14" s="8">
        <f>IF($A14=AH$1,0,IF(SUM(IMshareC!AH$2:AH$78)-IMshareC!AH$34&gt;0,IMshareC!AH14/(SUM(IMshareC!AH$2:AH$78)-IMshareC!AH$34),0))</f>
        <v>0.30605448409606939</v>
      </c>
      <c r="AI14" s="8">
        <f>IF($A14=AI$1,0,IF(SUM(IMshareC!AI$2:AI$78)-IMshareC!AI$35&gt;0,IMshareC!AI14/(SUM(IMshareC!AI$2:AI$78)-IMshareC!AI$35),0))</f>
        <v>9.152594823078921E-3</v>
      </c>
      <c r="AJ14" s="8">
        <f>IF($A14=AJ$1,0,IF(SUM(IMshareC!AJ$2:AJ$78)-IMshareC!AJ$36&gt;0,IMshareC!AJ14/(SUM(IMshareC!AJ$2:AJ$78)-IMshareC!AJ$36),0))</f>
        <v>9.2779434428218094E-2</v>
      </c>
      <c r="AK14" s="8">
        <f>IF($A14=AK$1,0,IF(SUM(IMshareC!AK$2:AK$78)-IMshareC!AK$37&gt;0,IMshareC!AK14/(SUM(IMshareC!AK$2:AK$78)-IMshareC!AK$37),0))</f>
        <v>5.4227908490998365E-2</v>
      </c>
      <c r="AL14" s="8">
        <f>IF($A14=AL$1,0,IF(SUM(IMshareC!AL$2:AL$78)-IMshareC!AL$38&gt;0,IMshareC!AL14/(SUM(IMshareC!AL$2:AL$78)-IMshareC!AL$38),0))</f>
        <v>0.10330181397769141</v>
      </c>
      <c r="AM14" s="8">
        <f>IF($A14=AM$1,0,IF(SUM(IMshareC!AM$2:AM$78)-IMshareC!AM$39&gt;0,IMshareC!AM14/(SUM(IMshareC!AM$2:AM$78)-IMshareC!AM$39),0))</f>
        <v>0.29214230756174397</v>
      </c>
      <c r="AN14" s="8">
        <f>IF($A14=AN$1,0,IF(SUM(IMshareC!AN$2:AN$78)-IMshareC!AN$40&gt;0,IMshareC!AN14/(SUM(IMshareC!AN$2:AN$78)-IMshareC!AN$40),0))</f>
        <v>9.8012090762402429E-2</v>
      </c>
      <c r="AO14" s="8">
        <f>IF($A14=AO$1,0,IF(SUM(IMshareC!AO$2:AO$78)-IMshareC!AO$41&gt;0,IMshareC!AO14/(SUM(IMshareC!AO$2:AO$78)-IMshareC!AO$41),0))</f>
        <v>9.6373686374159565E-2</v>
      </c>
      <c r="AP14" s="8">
        <f>IF($A14=AP$1,0,IF(SUM(IMshareC!AP$2:AP$78)-IMshareC!AP$42&gt;0,IMshareC!AP14/(SUM(IMshareC!AP$2:AP$78)-IMshareC!AP$42),0))</f>
        <v>0.16067509039723452</v>
      </c>
      <c r="AQ14" s="8">
        <f>IF($A14=AQ$1,0,IF(SUM(IMshareC!AQ$2:AQ$78)-IMshareC!AQ$43&gt;0,IMshareC!AQ14/(SUM(IMshareC!AQ$2:AQ$78)-IMshareC!AQ$43),0))</f>
        <v>0.37301841194814672</v>
      </c>
      <c r="AR14" s="8">
        <f>IF($A14=AR$1,0,IF(SUM(IMshareC!AR$2:AR$78)-IMshareC!AR$44&gt;0,IMshareC!AR14/(SUM(IMshareC!AR$2:AR$78)-IMshareC!AR$44),0))</f>
        <v>3.891308814596646E-2</v>
      </c>
      <c r="AS14" s="8">
        <f>IF($A14=AS$1,0,IF(SUM(IMshareC!AS$2:AS$78)-IMshareC!AS$45&gt;0,IMshareC!AS14/(SUM(IMshareC!AS$2:AS$78)-IMshareC!AS$45),0))</f>
        <v>0.13671237159230329</v>
      </c>
      <c r="AT14" s="8">
        <f>IF($A14=AT$1,0,IF(SUM(IMshareC!AT$2:AT$78)-IMshareC!AT$46&gt;0,IMshareC!AT14/(SUM(IMshareC!AT$2:AT$78)-IMshareC!AT$46),0))</f>
        <v>0.16045278049330711</v>
      </c>
      <c r="AU14" s="8">
        <f>IF($A14=AU$1,0,IF(SUM(IMshareC!AU$2:AU$78)-IMshareC!AU$47&gt;0,IMshareC!AU14/(SUM(IMshareC!AU$2:AU$78)-IMshareC!AU$47),0))</f>
        <v>6.1023012192054131E-2</v>
      </c>
      <c r="AV14" s="8">
        <f>IF($A14=AV$1,0,IF(SUM(IMshareC!AV$2:AV$78)-IMshareC!AV$48&gt;0,IMshareC!AV14/(SUM(IMshareC!AV$2:AV$78)-IMshareC!AV$48),0))</f>
        <v>0.10480476293944431</v>
      </c>
      <c r="AW14" s="8">
        <f>IF($A14=AW$1,0,IF(SUM(IMshareC!AW$2:AW$78)-IMshareC!AW$49&gt;0,IMshareC!AW14/(SUM(IMshareC!AW$2:AW$78)-IMshareC!AW$49),0))</f>
        <v>0.18733293295186662</v>
      </c>
      <c r="AX14" s="8">
        <f>IF($A14=AX$1,0,IF(SUM(IMshareC!AX$2:AX$78)-IMshareC!AX$50&gt;0,IMshareC!AX14/(SUM(IMshareC!AX$2:AX$78)-IMshareC!AX$50),0))</f>
        <v>1.4307288341996771E-2</v>
      </c>
      <c r="AY14" s="8">
        <f>IF($A14=AY$1,0,IF(SUM(IMshareC!AY$2:AY$78)-IMshareC!AY$51&gt;0,IMshareC!AY14/(SUM(IMshareC!AY$2:AY$78)-IMshareC!AY$51),0))</f>
        <v>0.16174595012099277</v>
      </c>
      <c r="AZ14" s="8">
        <f>IF($A14=AZ$1,0,IF(SUM(IMshareC!AZ$2:AZ$78)-IMshareC!AZ$52&gt;0,IMshareC!AZ14/(SUM(IMshareC!AZ$2:AZ$78)-IMshareC!AZ$52),0))</f>
        <v>0.17129942532330261</v>
      </c>
      <c r="BA14" s="8">
        <f>IF($A14=BA$1,0,IF(SUM(IMshareC!BA$2:BA$78)-IMshareC!BA$53&gt;0,IMshareC!BA14/(SUM(IMshareC!BA$2:BA$78)-IMshareC!BA$53),0))</f>
        <v>0.64429730753369419</v>
      </c>
      <c r="BB14" s="8">
        <f>IF($A14=BB$1,0,IF(SUM(IMshareC!BB$2:BB$78)-IMshareC!BB$54&gt;0,IMshareC!BB14/(SUM(IMshareC!BB$2:BB$78)-IMshareC!BB$54),0))</f>
        <v>8.6094313682205492E-2</v>
      </c>
      <c r="BC14" s="8">
        <f>IF($A14=BC$1,0,IF(SUM(IMshareC!BC$2:BC$78)-IMshareC!BC$55&gt;0,IMshareC!BC14/(SUM(IMshareC!BC$2:BC$78)-IMshareC!BC$55),0))</f>
        <v>0.13970744600550017</v>
      </c>
      <c r="BD14" s="8">
        <f>IF($A14=BD$1,0,IF(SUM(IMshareC!BD$2:BD$78)-IMshareC!BD$56&gt;0,IMshareC!BD14/(SUM(IMshareC!BD$2:BD$78)-IMshareC!BD$56),0))</f>
        <v>0.18952166096820386</v>
      </c>
      <c r="BE14" s="8">
        <f>IF($A14=BE$1,0,IF(SUM(IMshareC!BE$2:BE$78)-IMshareC!BE$57&gt;0,IMshareC!BE14/(SUM(IMshareC!BE$2:BE$78)-IMshareC!BE$57),0))</f>
        <v>0.61110146542026744</v>
      </c>
      <c r="BF14" s="8">
        <f>IF($A14=BF$1,0,IF(SUM(IMshareC!BF$2:BF$78)-IMshareC!BF$58&gt;0,IMshareC!BF14/(SUM(IMshareC!BF$2:BF$78)-IMshareC!BF$58),0))</f>
        <v>0.22376794946667561</v>
      </c>
      <c r="BG14" s="8">
        <f>IF($A14=BG$1,0,IF(SUM(IMshareC!BG$2:BG$78)-IMshareC!BG$59&gt;0,IMshareC!BG14/(SUM(IMshareC!BG$2:BG$78)-IMshareC!BG$59),0))</f>
        <v>9.032959748258379E-2</v>
      </c>
      <c r="BH14" s="8">
        <f>IF($A14=BH$1,0,IF(SUM(IMshareC!BH$2:BH$78)-IMshareC!BH$60&gt;0,IMshareC!BH14/(SUM(IMshareC!BH$2:BH$78)-IMshareC!BH$60),0))</f>
        <v>0.1430509514812382</v>
      </c>
      <c r="BI14" s="8">
        <f>IF($A14=BI$1,0,IF(SUM(IMshareC!BI$2:BI$78)-IMshareC!BI$61&gt;0,IMshareC!BI14/(SUM(IMshareC!BI$2:BI$78)-IMshareC!BI$61),0))</f>
        <v>2.9130105229407278E-2</v>
      </c>
      <c r="BJ14" s="8">
        <f>IF($A14=BJ$1,0,IF(SUM(IMshareC!BJ$2:BJ$78)-IMshareC!BJ$62&gt;0,IMshareC!BJ14/(SUM(IMshareC!BJ$2:BJ$78)-IMshareC!BJ$62),0))</f>
        <v>5.1529055400345747E-2</v>
      </c>
      <c r="BK14" s="8">
        <f>IF($A14=BK$1,0,IF(SUM(IMshareC!BK$2:BK$78)-IMshareC!BK$63&gt;0,IMshareC!BK14/(SUM(IMshareC!BK$2:BK$78)-IMshareC!BK$63),0))</f>
        <v>0.42171496678374987</v>
      </c>
      <c r="BL14" s="8">
        <f>IF($A14=BL$1,0,IF(SUM(IMshareC!BL$2:BL$78)-IMshareC!BL$64&gt;0,IMshareC!BL14/(SUM(IMshareC!BL$2:BL$78)-IMshareC!BL$64),0))</f>
        <v>0.1451643591472162</v>
      </c>
      <c r="BM14" s="8">
        <f>IF($A14=BM$1,0,IF(SUM(IMshareC!BM$2:BM$78)-IMshareC!BM$65&gt;0,IMshareC!BM14/(SUM(IMshareC!BM$2:BM$78)-IMshareC!BM$65),0))</f>
        <v>0.21909978313371983</v>
      </c>
      <c r="BN14" s="8">
        <f>IF($A14=BN$1,0,IF(SUM(IMshareC!BN$2:BN$78)-IMshareC!BN$66&gt;0,IMshareC!BN14/(SUM(IMshareC!BN$2:BN$78)-IMshareC!BN$66),0))</f>
        <v>7.7646920686809548E-2</v>
      </c>
      <c r="BO14" s="8">
        <f>IF($A14=BO$1,0,IF(SUM(IMshareC!BO$2:BO$78)-IMshareC!BO$67&gt;0,IMshareC!BO14/(SUM(IMshareC!BO$2:BO$78)-IMshareC!BO$67),0))</f>
        <v>0.16084389324318124</v>
      </c>
      <c r="BP14" s="8">
        <f>IF($A14=BP$1,0,IF(SUM(IMshareC!BP$2:BP$78)-IMshareC!BP$68&gt;0,IMshareC!BP14/(SUM(IMshareC!BP$2:BP$78)-IMshareC!BP$68),0))</f>
        <v>0.24287229337708438</v>
      </c>
      <c r="BQ14" s="8">
        <f>IF($A14=BQ$1,0,IF(SUM(IMshareC!BQ$2:BQ$78)-IMshareC!BQ$69&gt;0,IMshareC!BQ14/(SUM(IMshareC!BQ$2:BQ$78)-IMshareC!BQ$69),0))</f>
        <v>7.9923096973320965E-2</v>
      </c>
      <c r="BR14" s="8">
        <f>IF($A14=BR$1,0,IF(SUM(IMshareC!BR$2:BR$78)-IMshareC!BR$70&gt;0,IMshareC!BR14/(SUM(IMshareC!BR$2:BR$78)-IMshareC!BR$70),0))</f>
        <v>0.13761432383151295</v>
      </c>
      <c r="BS14" s="8">
        <f>IF($A14=BS$1,0,IF(SUM(IMshareC!BS$2:BS$78)-IMshareC!BS$71&gt;0,IMshareC!BS14/(SUM(IMshareC!BS$2:BS$78)-IMshareC!BS$71),0))</f>
        <v>0.21209107754170081</v>
      </c>
      <c r="BT14" s="8">
        <f>IF($A14=BT$1,0,IF(SUM(IMshareC!BT$2:BT$78)-IMshareC!BT$72&gt;0,IMshareC!BT14/(SUM(IMshareC!BT$2:BT$78)-IMshareC!BT$72),0))</f>
        <v>0.22947614722928258</v>
      </c>
      <c r="BU14" s="8">
        <f>IF($A14=BU$1,0,IF(SUM(IMshareC!BU$2:BU$78)-IMshareC!BU$73&gt;0,IMshareC!BU14/(SUM(IMshareC!BU$2:BU$78)-IMshareC!BU$73),0))</f>
        <v>0.29103045811540268</v>
      </c>
      <c r="BV14" s="8">
        <f>IF($A14=BV$1,0,IF(SUM(IMshareC!BV$2:BV$78)-IMshareC!BV$74&gt;0,IMshareC!BV14/(SUM(IMshareC!BV$2:BV$78)-IMshareC!BV$74),0))</f>
        <v>0.39604034775748781</v>
      </c>
      <c r="BW14" s="8">
        <f>IF($A14=BW$1,0,IF(SUM(IMshareC!BW$2:BW$78)-IMshareC!BW$75&gt;0,IMshareC!BW14/(SUM(IMshareC!BW$2:BW$78)-IMshareC!BW$75),0))</f>
        <v>6.1515380235015418E-2</v>
      </c>
      <c r="BX14" s="8">
        <f>IF($A14=BX$1,0,IF(SUM(IMshareC!BX$2:BX$78)-IMshareC!BX$76&gt;0,IMshareC!BX14/(SUM(IMshareC!BX$2:BX$78)-IMshareC!BX$76),0))</f>
        <v>0.18104148966744668</v>
      </c>
      <c r="BY14" s="8">
        <f>IF($A14=BY$1,0,IF(SUM(IMshareC!BY$2:BY$78)-IMshareC!BY$77&gt;0,IMshareC!BY14/(SUM(IMshareC!BY$2:BY$78)-IMshareC!BY$77),0))</f>
        <v>0.30007889877543081</v>
      </c>
      <c r="BZ14" s="8">
        <f>IF($A14=BZ$1,0,IF(SUM(IMshareC!BZ$2:BZ$78)-IMshareC!BZ$78&gt;0,IMshareC!BZ14/(SUM(IMshareC!BZ$2:BZ$78)-IMshareC!BZ$78),0))</f>
        <v>0.24965687370639708</v>
      </c>
    </row>
    <row r="15" spans="1:78">
      <c r="A15" s="4" t="s">
        <v>97</v>
      </c>
      <c r="B15" s="8">
        <f>IF($A15=B$1,0,IF(SUM(IMshareC!B$2:B$78)-IMshareC!B$2&gt;0,IMshareC!B15/(SUM(IMshareC!B$2:B$78)-IMshareC!B$2),0))</f>
        <v>0</v>
      </c>
      <c r="C15" s="8">
        <f>IF($A15=C$1,0,IF(SUM(IMshareC!C$2:C$78)-IMshareC!C$3&gt;0,IMshareC!C15/(SUM(IMshareC!C$2:C$78)-IMshareC!C$3),0))</f>
        <v>0</v>
      </c>
      <c r="D15" s="8">
        <f>IF($A15=D$1,0,IF(SUM(IMshareC!D$2:D$78)-IMshareC!D$4&gt;0,IMshareC!D15/(SUM(IMshareC!D$2:D$78)-IMshareC!D$4),0))</f>
        <v>0</v>
      </c>
      <c r="E15" s="8">
        <f>IF($A15=E$1,0,IF(SUM(IMshareC!E$2:E$78)-IMshareC!E$5&gt;0,IMshareC!E15/(SUM(IMshareC!E$2:E$78)-IMshareC!E$5),0))</f>
        <v>1.2278597373624695E-8</v>
      </c>
      <c r="F15" s="8">
        <f>IF($A15=F$1,0,IF(SUM(IMshareC!F$2:F$78)-IMshareC!F$6&gt;0,IMshareC!F15/(SUM(IMshareC!F$2:F$78)-IMshareC!F$6),0))</f>
        <v>0</v>
      </c>
      <c r="G15" s="8">
        <f>IF($A15=G$1,0,IF(SUM(IMshareC!G$2:G$78)-IMshareC!G$7&gt;0,IMshareC!G15/(SUM(IMshareC!G$2:G$78)-IMshareC!G$7),0))</f>
        <v>0</v>
      </c>
      <c r="H15" s="8">
        <f>IF($A15=H$1,0,IF(SUM(IMshareC!H$2:H$78)-IMshareC!H$8&gt;0,IMshareC!H15/(SUM(IMshareC!H$2:H$78)-IMshareC!H$8),0))</f>
        <v>0</v>
      </c>
      <c r="I15" s="8">
        <f>IF($A15=I$1,0,IF(SUM(IMshareC!I$2:I$78)-IMshareC!I$9&gt;0,IMshareC!I15/(SUM(IMshareC!I$2:I$78)-IMshareC!I$9),0))</f>
        <v>0</v>
      </c>
      <c r="J15" s="8">
        <f>IF($A15=J$1,0,IF(SUM(IMshareC!J$2:J$78)-IMshareC!J$10&gt;0,IMshareC!J15/(SUM(IMshareC!J$2:J$78)-IMshareC!J$10),0))</f>
        <v>0</v>
      </c>
      <c r="K15" s="8">
        <f>IF($A15=K$1,0,IF(SUM(IMshareC!K$2:K$78)-IMshareC!K$11&gt;0,IMshareC!K15/(SUM(IMshareC!K$2:K$78)-IMshareC!K$11),0))</f>
        <v>0</v>
      </c>
      <c r="L15" s="8">
        <f>IF($A15=L$1,0,IF(SUM(IMshareC!L$2:L$78)-IMshareC!L$12&gt;0,IMshareC!L15/(SUM(IMshareC!L$2:L$78)-IMshareC!L$12),0))</f>
        <v>1.3226197937241818E-7</v>
      </c>
      <c r="M15" s="8">
        <f>IF($A15=M$1,0,IF(SUM(IMshareC!M$2:M$78)-IMshareC!M$13&gt;0,IMshareC!M15/(SUM(IMshareC!M$2:M$78)-IMshareC!M$13),0))</f>
        <v>0</v>
      </c>
      <c r="N15" s="8">
        <f>IF($A15=N$1,0,IF(SUM(IMshareC!N$2:N$78)-IMshareC!N$14&gt;0,IMshareC!N15/(SUM(IMshareC!N$2:N$78)-IMshareC!N$14),0))</f>
        <v>2.8348100590943501E-9</v>
      </c>
      <c r="O15" s="8">
        <f>IF($A15=O$1,0,IF(SUM(IMshareC!O$2:O$78)-IMshareC!O$15&gt;0,IMshareC!O15/(SUM(IMshareC!O$2:O$78)-IMshareC!O$15),0))</f>
        <v>0</v>
      </c>
      <c r="P15" s="8">
        <f>IF($A15=P$1,0,IF(SUM(IMshareC!P$2:P$78)-IMshareC!P$16&gt;0,IMshareC!P15/(SUM(IMshareC!P$2:P$78)-IMshareC!P$16),0))</f>
        <v>3.2613159821895472E-5</v>
      </c>
      <c r="Q15" s="8">
        <f>IF($A15=Q$1,0,IF(SUM(IMshareC!Q$2:Q$78)-IMshareC!Q$17&gt;0,IMshareC!Q15/(SUM(IMshareC!Q$2:Q$78)-IMshareC!Q$17),0))</f>
        <v>0</v>
      </c>
      <c r="R15" s="8">
        <f>IF($A15=R$1,0,IF(SUM(IMshareC!R$2:R$78)-IMshareC!R$18&gt;0,IMshareC!R15/(SUM(IMshareC!R$2:R$78)-IMshareC!R$18),0))</f>
        <v>0</v>
      </c>
      <c r="S15" s="8">
        <f>IF($A15=S$1,0,IF(SUM(IMshareC!S$2:S$78)-IMshareC!S$19&gt;0,IMshareC!S15/(SUM(IMshareC!S$2:S$78)-IMshareC!S$19),0))</f>
        <v>0</v>
      </c>
      <c r="T15" s="8">
        <f>IF($A15=T$1,0,IF(SUM(IMshareC!T$2:T$78)-IMshareC!T$20&gt;0,IMshareC!T15/(SUM(IMshareC!T$2:T$78)-IMshareC!T$20),0))</f>
        <v>4.1647637153869199E-7</v>
      </c>
      <c r="U15" s="8">
        <f>IF($A15=U$1,0,IF(SUM(IMshareC!U$2:U$78)-IMshareC!U$21&gt;0,IMshareC!U15/(SUM(IMshareC!U$2:U$78)-IMshareC!U$21),0))</f>
        <v>3.1677930843687601E-9</v>
      </c>
      <c r="V15" s="8">
        <f>IF($A15=V$1,0,IF(SUM(IMshareC!V$2:V$78)-IMshareC!V$22&gt;0,IMshareC!V15/(SUM(IMshareC!V$2:V$78)-IMshareC!V$22),0))</f>
        <v>3.3230136705881091E-5</v>
      </c>
      <c r="W15" s="8">
        <f>IF($A15=W$1,0,IF(SUM(IMshareC!W$2:W$78)-IMshareC!W$23&gt;0,IMshareC!W15/(SUM(IMshareC!W$2:W$78)-IMshareC!W$23),0))</f>
        <v>2.0920521210915114E-6</v>
      </c>
      <c r="X15" s="8">
        <f>IF($A15=X$1,0,IF(SUM(IMshareC!X$2:X$78)-IMshareC!X$24&gt;0,IMshareC!X15/(SUM(IMshareC!X$2:X$78)-IMshareC!X$24),0))</f>
        <v>0</v>
      </c>
      <c r="Y15" s="8">
        <f>IF($A15=Y$1,0,IF(SUM(IMshareC!Y$2:Y$78)-IMshareC!Y$25&gt;0,IMshareC!Y15/(SUM(IMshareC!Y$2:Y$78)-IMshareC!Y$25),0))</f>
        <v>0</v>
      </c>
      <c r="Z15" s="8">
        <f>IF($A15=Z$1,0,IF(SUM(IMshareC!Z$2:Z$78)-IMshareC!Z$26&gt;0,IMshareC!Z15/(SUM(IMshareC!Z$2:Z$78)-IMshareC!Z$26),0))</f>
        <v>0</v>
      </c>
      <c r="AA15" s="8">
        <f>IF($A15=AA$1,0,IF(SUM(IMshareC!AA$2:AA$78)-IMshareC!AA$27&gt;0,IMshareC!AA15/(SUM(IMshareC!AA$2:AA$78)-IMshareC!AA$27),0))</f>
        <v>1.1669880596025614E-6</v>
      </c>
      <c r="AB15" s="8">
        <f>IF($A15=AB$1,0,IF(SUM(IMshareC!AB$2:AB$78)-IMshareC!AB$28&gt;0,IMshareC!AB15/(SUM(IMshareC!AB$2:AB$78)-IMshareC!AB$28),0))</f>
        <v>1.2350896063277918E-7</v>
      </c>
      <c r="AC15" s="8">
        <f>IF($A15=AC$1,0,IF(SUM(IMshareC!AC$2:AC$78)-IMshareC!AC$29&gt;0,IMshareC!AC15/(SUM(IMshareC!AC$2:AC$78)-IMshareC!AC$29),0))</f>
        <v>0</v>
      </c>
      <c r="AD15" s="8">
        <f>IF($A15=AD$1,0,IF(SUM(IMshareC!AD$2:AD$78)-IMshareC!AD$30&gt;0,IMshareC!AD15/(SUM(IMshareC!AD$2:AD$78)-IMshareC!AD$30),0))</f>
        <v>0</v>
      </c>
      <c r="AE15" s="8">
        <f>IF($A15=AE$1,0,IF(SUM(IMshareC!AE$2:AE$78)-IMshareC!AE$31&gt;0,IMshareC!AE15/(SUM(IMshareC!AE$2:AE$78)-IMshareC!AE$31),0))</f>
        <v>0</v>
      </c>
      <c r="AF15" s="8">
        <f>IF($A15=AF$1,0,IF(SUM(IMshareC!AF$2:AF$78)-IMshareC!AF$32&gt;0,IMshareC!AF15/(SUM(IMshareC!AF$2:AF$78)-IMshareC!AF$32),0))</f>
        <v>1.3873003707494657E-8</v>
      </c>
      <c r="AG15" s="8">
        <f>IF($A15=AG$1,0,IF(SUM(IMshareC!AG$2:AG$78)-IMshareC!AG$33&gt;0,IMshareC!AG15/(SUM(IMshareC!AG$2:AG$78)-IMshareC!AG$33),0))</f>
        <v>0</v>
      </c>
      <c r="AH15" s="8">
        <f>IF($A15=AH$1,0,IF(SUM(IMshareC!AH$2:AH$78)-IMshareC!AH$34&gt;0,IMshareC!AH15/(SUM(IMshareC!AH$2:AH$78)-IMshareC!AH$34),0))</f>
        <v>0</v>
      </c>
      <c r="AI15" s="8">
        <f>IF($A15=AI$1,0,IF(SUM(IMshareC!AI$2:AI$78)-IMshareC!AI$35&gt;0,IMshareC!AI15/(SUM(IMshareC!AI$2:AI$78)-IMshareC!AI$35),0))</f>
        <v>0</v>
      </c>
      <c r="AJ15" s="8">
        <f>IF($A15=AJ$1,0,IF(SUM(IMshareC!AJ$2:AJ$78)-IMshareC!AJ$36&gt;0,IMshareC!AJ15/(SUM(IMshareC!AJ$2:AJ$78)-IMshareC!AJ$36),0))</f>
        <v>0</v>
      </c>
      <c r="AK15" s="8">
        <f>IF($A15=AK$1,0,IF(SUM(IMshareC!AK$2:AK$78)-IMshareC!AK$37&gt;0,IMshareC!AK15/(SUM(IMshareC!AK$2:AK$78)-IMshareC!AK$37),0))</f>
        <v>0</v>
      </c>
      <c r="AL15" s="8">
        <f>IF($A15=AL$1,0,IF(SUM(IMshareC!AL$2:AL$78)-IMshareC!AL$38&gt;0,IMshareC!AL15/(SUM(IMshareC!AL$2:AL$78)-IMshareC!AL$38),0))</f>
        <v>1.662660553806531E-9</v>
      </c>
      <c r="AM15" s="8">
        <f>IF($A15=AM$1,0,IF(SUM(IMshareC!AM$2:AM$78)-IMshareC!AM$39&gt;0,IMshareC!AM15/(SUM(IMshareC!AM$2:AM$78)-IMshareC!AM$39),0))</f>
        <v>0</v>
      </c>
      <c r="AN15" s="8">
        <f>IF($A15=AN$1,0,IF(SUM(IMshareC!AN$2:AN$78)-IMshareC!AN$40&gt;0,IMshareC!AN15/(SUM(IMshareC!AN$2:AN$78)-IMshareC!AN$40),0))</f>
        <v>0</v>
      </c>
      <c r="AO15" s="8">
        <f>IF($A15=AO$1,0,IF(SUM(IMshareC!AO$2:AO$78)-IMshareC!AO$41&gt;0,IMshareC!AO15/(SUM(IMshareC!AO$2:AO$78)-IMshareC!AO$41),0))</f>
        <v>0</v>
      </c>
      <c r="AP15" s="8">
        <f>IF($A15=AP$1,0,IF(SUM(IMshareC!AP$2:AP$78)-IMshareC!AP$42&gt;0,IMshareC!AP15/(SUM(IMshareC!AP$2:AP$78)-IMshareC!AP$42),0))</f>
        <v>0</v>
      </c>
      <c r="AQ15" s="8">
        <f>IF($A15=AQ$1,0,IF(SUM(IMshareC!AQ$2:AQ$78)-IMshareC!AQ$43&gt;0,IMshareC!AQ15/(SUM(IMshareC!AQ$2:AQ$78)-IMshareC!AQ$43),0))</f>
        <v>0</v>
      </c>
      <c r="AR15" s="8">
        <f>IF($A15=AR$1,0,IF(SUM(IMshareC!AR$2:AR$78)-IMshareC!AR$44&gt;0,IMshareC!AR15/(SUM(IMshareC!AR$2:AR$78)-IMshareC!AR$44),0))</f>
        <v>0</v>
      </c>
      <c r="AS15" s="8">
        <f>IF($A15=AS$1,0,IF(SUM(IMshareC!AS$2:AS$78)-IMshareC!AS$45&gt;0,IMshareC!AS15/(SUM(IMshareC!AS$2:AS$78)-IMshareC!AS$45),0))</f>
        <v>0</v>
      </c>
      <c r="AT15" s="8">
        <f>IF($A15=AT$1,0,IF(SUM(IMshareC!AT$2:AT$78)-IMshareC!AT$46&gt;0,IMshareC!AT15/(SUM(IMshareC!AT$2:AT$78)-IMshareC!AT$46),0))</f>
        <v>5.5568283985606956E-5</v>
      </c>
      <c r="AU15" s="8">
        <f>IF($A15=AU$1,0,IF(SUM(IMshareC!AU$2:AU$78)-IMshareC!AU$47&gt;0,IMshareC!AU15/(SUM(IMshareC!AU$2:AU$78)-IMshareC!AU$47),0))</f>
        <v>0</v>
      </c>
      <c r="AV15" s="8">
        <f>IF($A15=AV$1,0,IF(SUM(IMshareC!AV$2:AV$78)-IMshareC!AV$48&gt;0,IMshareC!AV15/(SUM(IMshareC!AV$2:AV$78)-IMshareC!AV$48),0))</f>
        <v>0</v>
      </c>
      <c r="AW15" s="8">
        <f>IF($A15=AW$1,0,IF(SUM(IMshareC!AW$2:AW$78)-IMshareC!AW$49&gt;0,IMshareC!AW15/(SUM(IMshareC!AW$2:AW$78)-IMshareC!AW$49),0))</f>
        <v>0</v>
      </c>
      <c r="AX15" s="8">
        <f>IF($A15=AX$1,0,IF(SUM(IMshareC!AX$2:AX$78)-IMshareC!AX$50&gt;0,IMshareC!AX15/(SUM(IMshareC!AX$2:AX$78)-IMshareC!AX$50),0))</f>
        <v>0</v>
      </c>
      <c r="AY15" s="8">
        <f>IF($A15=AY$1,0,IF(SUM(IMshareC!AY$2:AY$78)-IMshareC!AY$51&gt;0,IMshareC!AY15/(SUM(IMshareC!AY$2:AY$78)-IMshareC!AY$51),0))</f>
        <v>0</v>
      </c>
      <c r="AZ15" s="8">
        <f>IF($A15=AZ$1,0,IF(SUM(IMshareC!AZ$2:AZ$78)-IMshareC!AZ$52&gt;0,IMshareC!AZ15/(SUM(IMshareC!AZ$2:AZ$78)-IMshareC!AZ$52),0))</f>
        <v>0</v>
      </c>
      <c r="BA15" s="8">
        <f>IF($A15=BA$1,0,IF(SUM(IMshareC!BA$2:BA$78)-IMshareC!BA$53&gt;0,IMshareC!BA15/(SUM(IMshareC!BA$2:BA$78)-IMshareC!BA$53),0))</f>
        <v>8.0623976006727657E-7</v>
      </c>
      <c r="BB15" s="8">
        <f>IF($A15=BB$1,0,IF(SUM(IMshareC!BB$2:BB$78)-IMshareC!BB$54&gt;0,IMshareC!BB15/(SUM(IMshareC!BB$2:BB$78)-IMshareC!BB$54),0))</f>
        <v>5.1232676915283057E-5</v>
      </c>
      <c r="BC15" s="8">
        <f>IF($A15=BC$1,0,IF(SUM(IMshareC!BC$2:BC$78)-IMshareC!BC$55&gt;0,IMshareC!BC15/(SUM(IMshareC!BC$2:BC$78)-IMshareC!BC$55),0))</f>
        <v>0</v>
      </c>
      <c r="BD15" s="8">
        <f>IF($A15=BD$1,0,IF(SUM(IMshareC!BD$2:BD$78)-IMshareC!BD$56&gt;0,IMshareC!BD15/(SUM(IMshareC!BD$2:BD$78)-IMshareC!BD$56),0))</f>
        <v>0</v>
      </c>
      <c r="BE15" s="8">
        <f>IF($A15=BE$1,0,IF(SUM(IMshareC!BE$2:BE$78)-IMshareC!BE$57&gt;0,IMshareC!BE15/(SUM(IMshareC!BE$2:BE$78)-IMshareC!BE$57),0))</f>
        <v>0</v>
      </c>
      <c r="BF15" s="8">
        <f>IF($A15=BF$1,0,IF(SUM(IMshareC!BF$2:BF$78)-IMshareC!BF$58&gt;0,IMshareC!BF15/(SUM(IMshareC!BF$2:BF$78)-IMshareC!BF$58),0))</f>
        <v>0</v>
      </c>
      <c r="BG15" s="8">
        <f>IF($A15=BG$1,0,IF(SUM(IMshareC!BG$2:BG$78)-IMshareC!BG$59&gt;0,IMshareC!BG15/(SUM(IMshareC!BG$2:BG$78)-IMshareC!BG$59),0))</f>
        <v>0</v>
      </c>
      <c r="BH15" s="8">
        <f>IF($A15=BH$1,0,IF(SUM(IMshareC!BH$2:BH$78)-IMshareC!BH$60&gt;0,IMshareC!BH15/(SUM(IMshareC!BH$2:BH$78)-IMshareC!BH$60),0))</f>
        <v>0</v>
      </c>
      <c r="BI15" s="8">
        <f>IF($A15=BI$1,0,IF(SUM(IMshareC!BI$2:BI$78)-IMshareC!BI$61&gt;0,IMshareC!BI15/(SUM(IMshareC!BI$2:BI$78)-IMshareC!BI$61),0))</f>
        <v>0</v>
      </c>
      <c r="BJ15" s="8">
        <f>IF($A15=BJ$1,0,IF(SUM(IMshareC!BJ$2:BJ$78)-IMshareC!BJ$62&gt;0,IMshareC!BJ15/(SUM(IMshareC!BJ$2:BJ$78)-IMshareC!BJ$62),0))</f>
        <v>0</v>
      </c>
      <c r="BK15" s="8">
        <f>IF($A15=BK$1,0,IF(SUM(IMshareC!BK$2:BK$78)-IMshareC!BK$63&gt;0,IMshareC!BK15/(SUM(IMshareC!BK$2:BK$78)-IMshareC!BK$63),0))</f>
        <v>0</v>
      </c>
      <c r="BL15" s="8">
        <f>IF($A15=BL$1,0,IF(SUM(IMshareC!BL$2:BL$78)-IMshareC!BL$64&gt;0,IMshareC!BL15/(SUM(IMshareC!BL$2:BL$78)-IMshareC!BL$64),0))</f>
        <v>0</v>
      </c>
      <c r="BM15" s="8">
        <f>IF($A15=BM$1,0,IF(SUM(IMshareC!BM$2:BM$78)-IMshareC!BM$65&gt;0,IMshareC!BM15/(SUM(IMshareC!BM$2:BM$78)-IMshareC!BM$65),0))</f>
        <v>6.7187241546150559E-6</v>
      </c>
      <c r="BN15" s="8">
        <f>IF($A15=BN$1,0,IF(SUM(IMshareC!BN$2:BN$78)-IMshareC!BN$66&gt;0,IMshareC!BN15/(SUM(IMshareC!BN$2:BN$78)-IMshareC!BN$66),0))</f>
        <v>0</v>
      </c>
      <c r="BO15" s="8">
        <f>IF($A15=BO$1,0,IF(SUM(IMshareC!BO$2:BO$78)-IMshareC!BO$67&gt;0,IMshareC!BO15/(SUM(IMshareC!BO$2:BO$78)-IMshareC!BO$67),0))</f>
        <v>0</v>
      </c>
      <c r="BP15" s="8">
        <f>IF($A15=BP$1,0,IF(SUM(IMshareC!BP$2:BP$78)-IMshareC!BP$68&gt;0,IMshareC!BP15/(SUM(IMshareC!BP$2:BP$78)-IMshareC!BP$68),0))</f>
        <v>0</v>
      </c>
      <c r="BQ15" s="8">
        <f>IF($A15=BQ$1,0,IF(SUM(IMshareC!BQ$2:BQ$78)-IMshareC!BQ$69&gt;0,IMshareC!BQ15/(SUM(IMshareC!BQ$2:BQ$78)-IMshareC!BQ$69),0))</f>
        <v>0</v>
      </c>
      <c r="BR15" s="8">
        <f>IF($A15=BR$1,0,IF(SUM(IMshareC!BR$2:BR$78)-IMshareC!BR$70&gt;0,IMshareC!BR15/(SUM(IMshareC!BR$2:BR$78)-IMshareC!BR$70),0))</f>
        <v>0</v>
      </c>
      <c r="BS15" s="8">
        <f>IF($A15=BS$1,0,IF(SUM(IMshareC!BS$2:BS$78)-IMshareC!BS$71&gt;0,IMshareC!BS15/(SUM(IMshareC!BS$2:BS$78)-IMshareC!BS$71),0))</f>
        <v>0</v>
      </c>
      <c r="BT15" s="8">
        <f>IF($A15=BT$1,0,IF(SUM(IMshareC!BT$2:BT$78)-IMshareC!BT$72&gt;0,IMshareC!BT15/(SUM(IMshareC!BT$2:BT$78)-IMshareC!BT$72),0))</f>
        <v>1.3462543027124946E-7</v>
      </c>
      <c r="BU15" s="8">
        <f>IF($A15=BU$1,0,IF(SUM(IMshareC!BU$2:BU$78)-IMshareC!BU$73&gt;0,IMshareC!BU15/(SUM(IMshareC!BU$2:BU$78)-IMshareC!BU$73),0))</f>
        <v>0</v>
      </c>
      <c r="BV15" s="8">
        <f>IF($A15=BV$1,0,IF(SUM(IMshareC!BV$2:BV$78)-IMshareC!BV$74&gt;0,IMshareC!BV15/(SUM(IMshareC!BV$2:BV$78)-IMshareC!BV$74),0))</f>
        <v>0</v>
      </c>
      <c r="BW15" s="8">
        <f>IF($A15=BW$1,0,IF(SUM(IMshareC!BW$2:BW$78)-IMshareC!BW$75&gt;0,IMshareC!BW15/(SUM(IMshareC!BW$2:BW$78)-IMshareC!BW$75),0))</f>
        <v>0</v>
      </c>
      <c r="BX15" s="8">
        <f>IF($A15=BX$1,0,IF(SUM(IMshareC!BX$2:BX$78)-IMshareC!BX$76&gt;0,IMshareC!BX15/(SUM(IMshareC!BX$2:BX$78)-IMshareC!BX$76),0))</f>
        <v>0</v>
      </c>
      <c r="BY15" s="8">
        <f>IF($A15=BY$1,0,IF(SUM(IMshareC!BY$2:BY$78)-IMshareC!BY$77&gt;0,IMshareC!BY15/(SUM(IMshareC!BY$2:BY$78)-IMshareC!BY$77),0))</f>
        <v>8.3240079917969529E-7</v>
      </c>
      <c r="BZ15" s="8">
        <f>IF($A15=BZ$1,0,IF(SUM(IMshareC!BZ$2:BZ$78)-IMshareC!BZ$78&gt;0,IMshareC!BZ15/(SUM(IMshareC!BZ$2:BZ$78)-IMshareC!BZ$78),0))</f>
        <v>1.4261448877555469E-5</v>
      </c>
    </row>
    <row r="16" spans="1:78">
      <c r="A16" s="4" t="s">
        <v>99</v>
      </c>
      <c r="B16" s="8">
        <f>IF($A16=B$1,0,IF(SUM(IMshareC!B$2:B$78)-IMshareC!B$2&gt;0,IMshareC!B16/(SUM(IMshareC!B$2:B$78)-IMshareC!B$2),0))</f>
        <v>0</v>
      </c>
      <c r="C16" s="8">
        <f>IF($A16=C$1,0,IF(SUM(IMshareC!C$2:C$78)-IMshareC!C$3&gt;0,IMshareC!C16/(SUM(IMshareC!C$2:C$78)-IMshareC!C$3),0))</f>
        <v>0</v>
      </c>
      <c r="D16" s="8">
        <f>IF($A16=D$1,0,IF(SUM(IMshareC!D$2:D$78)-IMshareC!D$4&gt;0,IMshareC!D16/(SUM(IMshareC!D$2:D$78)-IMshareC!D$4),0))</f>
        <v>3.4450128446320374E-9</v>
      </c>
      <c r="E16" s="8">
        <f>IF($A16=E$1,0,IF(SUM(IMshareC!E$2:E$78)-IMshareC!E$5&gt;0,IMshareC!E16/(SUM(IMshareC!E$2:E$78)-IMshareC!E$5),0))</f>
        <v>1.3840465254652404E-5</v>
      </c>
      <c r="F16" s="8">
        <f>IF($A16=F$1,0,IF(SUM(IMshareC!F$2:F$78)-IMshareC!F$6&gt;0,IMshareC!F16/(SUM(IMshareC!F$2:F$78)-IMshareC!F$6),0))</f>
        <v>0</v>
      </c>
      <c r="G16" s="8">
        <f>IF($A16=G$1,0,IF(SUM(IMshareC!G$2:G$78)-IMshareC!G$7&gt;0,IMshareC!G16/(SUM(IMshareC!G$2:G$78)-IMshareC!G$7),0))</f>
        <v>0</v>
      </c>
      <c r="H16" s="8">
        <f>IF($A16=H$1,0,IF(SUM(IMshareC!H$2:H$78)-IMshareC!H$8&gt;0,IMshareC!H16/(SUM(IMshareC!H$2:H$78)-IMshareC!H$8),0))</f>
        <v>0</v>
      </c>
      <c r="I16" s="8">
        <f>IF($A16=I$1,0,IF(SUM(IMshareC!I$2:I$78)-IMshareC!I$9&gt;0,IMshareC!I16/(SUM(IMshareC!I$2:I$78)-IMshareC!I$9),0))</f>
        <v>9.3554364254901224E-7</v>
      </c>
      <c r="J16" s="8">
        <f>IF($A16=J$1,0,IF(SUM(IMshareC!J$2:J$78)-IMshareC!J$10&gt;0,IMshareC!J16/(SUM(IMshareC!J$2:J$78)-IMshareC!J$10),0))</f>
        <v>6.7210039879131518E-7</v>
      </c>
      <c r="K16" s="8">
        <f>IF($A16=K$1,0,IF(SUM(IMshareC!K$2:K$78)-IMshareC!K$11&gt;0,IMshareC!K16/(SUM(IMshareC!K$2:K$78)-IMshareC!K$11),0))</f>
        <v>7.6508366433554842E-7</v>
      </c>
      <c r="L16" s="8">
        <f>IF($A16=L$1,0,IF(SUM(IMshareC!L$2:L$78)-IMshareC!L$12&gt;0,IMshareC!L16/(SUM(IMshareC!L$2:L$78)-IMshareC!L$12),0))</f>
        <v>4.7101511290038628E-7</v>
      </c>
      <c r="M16" s="8">
        <f>IF($A16=M$1,0,IF(SUM(IMshareC!M$2:M$78)-IMshareC!M$13&gt;0,IMshareC!M16/(SUM(IMshareC!M$2:M$78)-IMshareC!M$13),0))</f>
        <v>0</v>
      </c>
      <c r="N16" s="8">
        <f>IF($A16=N$1,0,IF(SUM(IMshareC!N$2:N$78)-IMshareC!N$14&gt;0,IMshareC!N16/(SUM(IMshareC!N$2:N$78)-IMshareC!N$14),0))</f>
        <v>3.7684380450015931E-7</v>
      </c>
      <c r="O16" s="8">
        <f>IF($A16=O$1,0,IF(SUM(IMshareC!O$2:O$78)-IMshareC!O$15&gt;0,IMshareC!O16/(SUM(IMshareC!O$2:O$78)-IMshareC!O$15),0))</f>
        <v>0</v>
      </c>
      <c r="P16" s="8">
        <f>IF($A16=P$1,0,IF(SUM(IMshareC!P$2:P$78)-IMshareC!P$16&gt;0,IMshareC!P16/(SUM(IMshareC!P$2:P$78)-IMshareC!P$16),0))</f>
        <v>0</v>
      </c>
      <c r="Q16" s="8">
        <f>IF($A16=Q$1,0,IF(SUM(IMshareC!Q$2:Q$78)-IMshareC!Q$17&gt;0,IMshareC!Q16/(SUM(IMshareC!Q$2:Q$78)-IMshareC!Q$17),0))</f>
        <v>0</v>
      </c>
      <c r="R16" s="8">
        <f>IF($A16=R$1,0,IF(SUM(IMshareC!R$2:R$78)-IMshareC!R$18&gt;0,IMshareC!R16/(SUM(IMshareC!R$2:R$78)-IMshareC!R$18),0))</f>
        <v>0</v>
      </c>
      <c r="S16" s="8">
        <f>IF($A16=S$1,0,IF(SUM(IMshareC!S$2:S$78)-IMshareC!S$19&gt;0,IMshareC!S16/(SUM(IMshareC!S$2:S$78)-IMshareC!S$19),0))</f>
        <v>0</v>
      </c>
      <c r="T16" s="8">
        <f>IF($A16=T$1,0,IF(SUM(IMshareC!T$2:T$78)-IMshareC!T$20&gt;0,IMshareC!T16/(SUM(IMshareC!T$2:T$78)-IMshareC!T$20),0))</f>
        <v>1.4516708111821316E-9</v>
      </c>
      <c r="U16" s="8">
        <f>IF($A16=U$1,0,IF(SUM(IMshareC!U$2:U$78)-IMshareC!U$21&gt;0,IMshareC!U16/(SUM(IMshareC!U$2:U$78)-IMshareC!U$21),0))</f>
        <v>2.3251967112524271E-6</v>
      </c>
      <c r="V16" s="8">
        <f>IF($A16=V$1,0,IF(SUM(IMshareC!V$2:V$78)-IMshareC!V$22&gt;0,IMshareC!V16/(SUM(IMshareC!V$2:V$78)-IMshareC!V$22),0))</f>
        <v>9.8992164468483259E-8</v>
      </c>
      <c r="W16" s="8">
        <f>IF($A16=W$1,0,IF(SUM(IMshareC!W$2:W$78)-IMshareC!W$23&gt;0,IMshareC!W16/(SUM(IMshareC!W$2:W$78)-IMshareC!W$23),0))</f>
        <v>0</v>
      </c>
      <c r="X16" s="8">
        <f>IF($A16=X$1,0,IF(SUM(IMshareC!X$2:X$78)-IMshareC!X$24&gt;0,IMshareC!X16/(SUM(IMshareC!X$2:X$78)-IMshareC!X$24),0))</f>
        <v>0</v>
      </c>
      <c r="Y16" s="8">
        <f>IF($A16=Y$1,0,IF(SUM(IMshareC!Y$2:Y$78)-IMshareC!Y$25&gt;0,IMshareC!Y16/(SUM(IMshareC!Y$2:Y$78)-IMshareC!Y$25),0))</f>
        <v>0</v>
      </c>
      <c r="Z16" s="8">
        <f>IF($A16=Z$1,0,IF(SUM(IMshareC!Z$2:Z$78)-IMshareC!Z$26&gt;0,IMshareC!Z16/(SUM(IMshareC!Z$2:Z$78)-IMshareC!Z$26),0))</f>
        <v>1.135019265626476E-6</v>
      </c>
      <c r="AA16" s="8">
        <f>IF($A16=AA$1,0,IF(SUM(IMshareC!AA$2:AA$78)-IMshareC!AA$27&gt;0,IMshareC!AA16/(SUM(IMshareC!AA$2:AA$78)-IMshareC!AA$27),0))</f>
        <v>9.3253738723497865E-7</v>
      </c>
      <c r="AB16" s="8">
        <f>IF($A16=AB$1,0,IF(SUM(IMshareC!AB$2:AB$78)-IMshareC!AB$28&gt;0,IMshareC!AB16/(SUM(IMshareC!AB$2:AB$78)-IMshareC!AB$28),0))</f>
        <v>1.3886391020936586E-5</v>
      </c>
      <c r="AC16" s="8">
        <f>IF($A16=AC$1,0,IF(SUM(IMshareC!AC$2:AC$78)-IMshareC!AC$29&gt;0,IMshareC!AC16/(SUM(IMshareC!AC$2:AC$78)-IMshareC!AC$29),0))</f>
        <v>0</v>
      </c>
      <c r="AD16" s="8">
        <f>IF($A16=AD$1,0,IF(SUM(IMshareC!AD$2:AD$78)-IMshareC!AD$30&gt;0,IMshareC!AD16/(SUM(IMshareC!AD$2:AD$78)-IMshareC!AD$30),0))</f>
        <v>0</v>
      </c>
      <c r="AE16" s="8">
        <f>IF($A16=AE$1,0,IF(SUM(IMshareC!AE$2:AE$78)-IMshareC!AE$31&gt;0,IMshareC!AE16/(SUM(IMshareC!AE$2:AE$78)-IMshareC!AE$31),0))</f>
        <v>0</v>
      </c>
      <c r="AF16" s="8">
        <f>IF($A16=AF$1,0,IF(SUM(IMshareC!AF$2:AF$78)-IMshareC!AF$32&gt;0,IMshareC!AF16/(SUM(IMshareC!AF$2:AF$78)-IMshareC!AF$32),0))</f>
        <v>0</v>
      </c>
      <c r="AG16" s="8">
        <f>IF($A16=AG$1,0,IF(SUM(IMshareC!AG$2:AG$78)-IMshareC!AG$33&gt;0,IMshareC!AG16/(SUM(IMshareC!AG$2:AG$78)-IMshareC!AG$33),0))</f>
        <v>9.8084597923984011E-5</v>
      </c>
      <c r="AH16" s="8">
        <f>IF($A16=AH$1,0,IF(SUM(IMshareC!AH$2:AH$78)-IMshareC!AH$34&gt;0,IMshareC!AH16/(SUM(IMshareC!AH$2:AH$78)-IMshareC!AH$34),0))</f>
        <v>1.7981802507720821E-6</v>
      </c>
      <c r="AI16" s="8">
        <f>IF($A16=AI$1,0,IF(SUM(IMshareC!AI$2:AI$78)-IMshareC!AI$35&gt;0,IMshareC!AI16/(SUM(IMshareC!AI$2:AI$78)-IMshareC!AI$35),0))</f>
        <v>1.5337507873635944E-7</v>
      </c>
      <c r="AJ16" s="8">
        <f>IF($A16=AJ$1,0,IF(SUM(IMshareC!AJ$2:AJ$78)-IMshareC!AJ$36&gt;0,IMshareC!AJ16/(SUM(IMshareC!AJ$2:AJ$78)-IMshareC!AJ$36),0))</f>
        <v>0</v>
      </c>
      <c r="AK16" s="8">
        <f>IF($A16=AK$1,0,IF(SUM(IMshareC!AK$2:AK$78)-IMshareC!AK$37&gt;0,IMshareC!AK16/(SUM(IMshareC!AK$2:AK$78)-IMshareC!AK$37),0))</f>
        <v>0</v>
      </c>
      <c r="AL16" s="8">
        <f>IF($A16=AL$1,0,IF(SUM(IMshareC!AL$2:AL$78)-IMshareC!AL$38&gt;0,IMshareC!AL16/(SUM(IMshareC!AL$2:AL$78)-IMshareC!AL$38),0))</f>
        <v>0</v>
      </c>
      <c r="AM16" s="8">
        <f>IF($A16=AM$1,0,IF(SUM(IMshareC!AM$2:AM$78)-IMshareC!AM$39&gt;0,IMshareC!AM16/(SUM(IMshareC!AM$2:AM$78)-IMshareC!AM$39),0))</f>
        <v>0</v>
      </c>
      <c r="AN16" s="8">
        <f>IF($A16=AN$1,0,IF(SUM(IMshareC!AN$2:AN$78)-IMshareC!AN$40&gt;0,IMshareC!AN16/(SUM(IMshareC!AN$2:AN$78)-IMshareC!AN$40),0))</f>
        <v>5.1174763026644785E-8</v>
      </c>
      <c r="AO16" s="8">
        <f>IF($A16=AO$1,0,IF(SUM(IMshareC!AO$2:AO$78)-IMshareC!AO$41&gt;0,IMshareC!AO16/(SUM(IMshareC!AO$2:AO$78)-IMshareC!AO$41),0))</f>
        <v>0</v>
      </c>
      <c r="AP16" s="8">
        <f>IF($A16=AP$1,0,IF(SUM(IMshareC!AP$2:AP$78)-IMshareC!AP$42&gt;0,IMshareC!AP16/(SUM(IMshareC!AP$2:AP$78)-IMshareC!AP$42),0))</f>
        <v>0</v>
      </c>
      <c r="AQ16" s="8">
        <f>IF($A16=AQ$1,0,IF(SUM(IMshareC!AQ$2:AQ$78)-IMshareC!AQ$43&gt;0,IMshareC!AQ16/(SUM(IMshareC!AQ$2:AQ$78)-IMshareC!AQ$43),0))</f>
        <v>7.8824225206272786E-8</v>
      </c>
      <c r="AR16" s="8">
        <f>IF($A16=AR$1,0,IF(SUM(IMshareC!AR$2:AR$78)-IMshareC!AR$44&gt;0,IMshareC!AR16/(SUM(IMshareC!AR$2:AR$78)-IMshareC!AR$44),0))</f>
        <v>0</v>
      </c>
      <c r="AS16" s="8">
        <f>IF($A16=AS$1,0,IF(SUM(IMshareC!AS$2:AS$78)-IMshareC!AS$45&gt;0,IMshareC!AS16/(SUM(IMshareC!AS$2:AS$78)-IMshareC!AS$45),0))</f>
        <v>0</v>
      </c>
      <c r="AT16" s="8">
        <f>IF($A16=AT$1,0,IF(SUM(IMshareC!AT$2:AT$78)-IMshareC!AT$46&gt;0,IMshareC!AT16/(SUM(IMshareC!AT$2:AT$78)-IMshareC!AT$46),0))</f>
        <v>0</v>
      </c>
      <c r="AU16" s="8">
        <f>IF($A16=AU$1,0,IF(SUM(IMshareC!AU$2:AU$78)-IMshareC!AU$47&gt;0,IMshareC!AU16/(SUM(IMshareC!AU$2:AU$78)-IMshareC!AU$47),0))</f>
        <v>0</v>
      </c>
      <c r="AV16" s="8">
        <f>IF($A16=AV$1,0,IF(SUM(IMshareC!AV$2:AV$78)-IMshareC!AV$48&gt;0,IMshareC!AV16/(SUM(IMshareC!AV$2:AV$78)-IMshareC!AV$48),0))</f>
        <v>0</v>
      </c>
      <c r="AW16" s="8">
        <f>IF($A16=AW$1,0,IF(SUM(IMshareC!AW$2:AW$78)-IMshareC!AW$49&gt;0,IMshareC!AW16/(SUM(IMshareC!AW$2:AW$78)-IMshareC!AW$49),0))</f>
        <v>0</v>
      </c>
      <c r="AX16" s="8">
        <f>IF($A16=AX$1,0,IF(SUM(IMshareC!AX$2:AX$78)-IMshareC!AX$50&gt;0,IMshareC!AX16/(SUM(IMshareC!AX$2:AX$78)-IMshareC!AX$50),0))</f>
        <v>0</v>
      </c>
      <c r="AY16" s="8">
        <f>IF($A16=AY$1,0,IF(SUM(IMshareC!AY$2:AY$78)-IMshareC!AY$51&gt;0,IMshareC!AY16/(SUM(IMshareC!AY$2:AY$78)-IMshareC!AY$51),0))</f>
        <v>1.5641388714029635E-3</v>
      </c>
      <c r="AZ16" s="8">
        <f>IF($A16=AZ$1,0,IF(SUM(IMshareC!AZ$2:AZ$78)-IMshareC!AZ$52&gt;0,IMshareC!AZ16/(SUM(IMshareC!AZ$2:AZ$78)-IMshareC!AZ$52),0))</f>
        <v>2.0403361760058929E-7</v>
      </c>
      <c r="BA16" s="8">
        <f>IF($A16=BA$1,0,IF(SUM(IMshareC!BA$2:BA$78)-IMshareC!BA$53&gt;0,IMshareC!BA16/(SUM(IMshareC!BA$2:BA$78)-IMshareC!BA$53),0))</f>
        <v>0</v>
      </c>
      <c r="BB16" s="8">
        <f>IF($A16=BB$1,0,IF(SUM(IMshareC!BB$2:BB$78)-IMshareC!BB$54&gt;0,IMshareC!BB16/(SUM(IMshareC!BB$2:BB$78)-IMshareC!BB$54),0))</f>
        <v>2.2168482286637335E-6</v>
      </c>
      <c r="BC16" s="8">
        <f>IF($A16=BC$1,0,IF(SUM(IMshareC!BC$2:BC$78)-IMshareC!BC$55&gt;0,IMshareC!BC16/(SUM(IMshareC!BC$2:BC$78)-IMshareC!BC$55),0))</f>
        <v>0</v>
      </c>
      <c r="BD16" s="8">
        <f>IF($A16=BD$1,0,IF(SUM(IMshareC!BD$2:BD$78)-IMshareC!BD$56&gt;0,IMshareC!BD16/(SUM(IMshareC!BD$2:BD$78)-IMshareC!BD$56),0))</f>
        <v>0</v>
      </c>
      <c r="BE16" s="8">
        <f>IF($A16=BE$1,0,IF(SUM(IMshareC!BE$2:BE$78)-IMshareC!BE$57&gt;0,IMshareC!BE16/(SUM(IMshareC!BE$2:BE$78)-IMshareC!BE$57),0))</f>
        <v>0</v>
      </c>
      <c r="BF16" s="8">
        <f>IF($A16=BF$1,0,IF(SUM(IMshareC!BF$2:BF$78)-IMshareC!BF$58&gt;0,IMshareC!BF16/(SUM(IMshareC!BF$2:BF$78)-IMshareC!BF$58),0))</f>
        <v>0</v>
      </c>
      <c r="BG16" s="8">
        <f>IF($A16=BG$1,0,IF(SUM(IMshareC!BG$2:BG$78)-IMshareC!BG$59&gt;0,IMshareC!BG16/(SUM(IMshareC!BG$2:BG$78)-IMshareC!BG$59),0))</f>
        <v>1.9409155148744344E-8</v>
      </c>
      <c r="BH16" s="8">
        <f>IF($A16=BH$1,0,IF(SUM(IMshareC!BH$2:BH$78)-IMshareC!BH$60&gt;0,IMshareC!BH16/(SUM(IMshareC!BH$2:BH$78)-IMshareC!BH$60),0))</f>
        <v>3.1659062672954638E-5</v>
      </c>
      <c r="BI16" s="8">
        <f>IF($A16=BI$1,0,IF(SUM(IMshareC!BI$2:BI$78)-IMshareC!BI$61&gt;0,IMshareC!BI16/(SUM(IMshareC!BI$2:BI$78)-IMshareC!BI$61),0))</f>
        <v>0</v>
      </c>
      <c r="BJ16" s="8">
        <f>IF($A16=BJ$1,0,IF(SUM(IMshareC!BJ$2:BJ$78)-IMshareC!BJ$62&gt;0,IMshareC!BJ16/(SUM(IMshareC!BJ$2:BJ$78)-IMshareC!BJ$62),0))</f>
        <v>1.0875187739799343E-6</v>
      </c>
      <c r="BK16" s="8">
        <f>IF($A16=BK$1,0,IF(SUM(IMshareC!BK$2:BK$78)-IMshareC!BK$63&gt;0,IMshareC!BK16/(SUM(IMshareC!BK$2:BK$78)-IMshareC!BK$63),0))</f>
        <v>0</v>
      </c>
      <c r="BL16" s="8">
        <f>IF($A16=BL$1,0,IF(SUM(IMshareC!BL$2:BL$78)-IMshareC!BL$64&gt;0,IMshareC!BL16/(SUM(IMshareC!BL$2:BL$78)-IMshareC!BL$64),0))</f>
        <v>0</v>
      </c>
      <c r="BM16" s="8">
        <f>IF($A16=BM$1,0,IF(SUM(IMshareC!BM$2:BM$78)-IMshareC!BM$65&gt;0,IMshareC!BM16/(SUM(IMshareC!BM$2:BM$78)-IMshareC!BM$65),0))</f>
        <v>0</v>
      </c>
      <c r="BN16" s="8">
        <f>IF($A16=BN$1,0,IF(SUM(IMshareC!BN$2:BN$78)-IMshareC!BN$66&gt;0,IMshareC!BN16/(SUM(IMshareC!BN$2:BN$78)-IMshareC!BN$66),0))</f>
        <v>3.088492478264258E-6</v>
      </c>
      <c r="BO16" s="8">
        <f>IF($A16=BO$1,0,IF(SUM(IMshareC!BO$2:BO$78)-IMshareC!BO$67&gt;0,IMshareC!BO16/(SUM(IMshareC!BO$2:BO$78)-IMshareC!BO$67),0))</f>
        <v>0</v>
      </c>
      <c r="BP16" s="8">
        <f>IF($A16=BP$1,0,IF(SUM(IMshareC!BP$2:BP$78)-IMshareC!BP$68&gt;0,IMshareC!BP16/(SUM(IMshareC!BP$2:BP$78)-IMshareC!BP$68),0))</f>
        <v>0</v>
      </c>
      <c r="BQ16" s="8">
        <f>IF($A16=BQ$1,0,IF(SUM(IMshareC!BQ$2:BQ$78)-IMshareC!BQ$69&gt;0,IMshareC!BQ16/(SUM(IMshareC!BQ$2:BQ$78)-IMshareC!BQ$69),0))</f>
        <v>0</v>
      </c>
      <c r="BR16" s="8">
        <f>IF($A16=BR$1,0,IF(SUM(IMshareC!BR$2:BR$78)-IMshareC!BR$70&gt;0,IMshareC!BR16/(SUM(IMshareC!BR$2:BR$78)-IMshareC!BR$70),0))</f>
        <v>4.6377577053019688E-7</v>
      </c>
      <c r="BS16" s="8">
        <f>IF($A16=BS$1,0,IF(SUM(IMshareC!BS$2:BS$78)-IMshareC!BS$71&gt;0,IMshareC!BS16/(SUM(IMshareC!BS$2:BS$78)-IMshareC!BS$71),0))</f>
        <v>0</v>
      </c>
      <c r="BT16" s="8">
        <f>IF($A16=BT$1,0,IF(SUM(IMshareC!BT$2:BT$78)-IMshareC!BT$72&gt;0,IMshareC!BT16/(SUM(IMshareC!BT$2:BT$78)-IMshareC!BT$72),0))</f>
        <v>0</v>
      </c>
      <c r="BU16" s="8">
        <f>IF($A16=BU$1,0,IF(SUM(IMshareC!BU$2:BU$78)-IMshareC!BU$73&gt;0,IMshareC!BU16/(SUM(IMshareC!BU$2:BU$78)-IMshareC!BU$73),0))</f>
        <v>5.5258190600819284E-7</v>
      </c>
      <c r="BV16" s="8">
        <f>IF($A16=BV$1,0,IF(SUM(IMshareC!BV$2:BV$78)-IMshareC!BV$74&gt;0,IMshareC!BV16/(SUM(IMshareC!BV$2:BV$78)-IMshareC!BV$74),0))</f>
        <v>0</v>
      </c>
      <c r="BW16" s="8">
        <f>IF($A16=BW$1,0,IF(SUM(IMshareC!BW$2:BW$78)-IMshareC!BW$75&gt;0,IMshareC!BW16/(SUM(IMshareC!BW$2:BW$78)-IMshareC!BW$75),0))</f>
        <v>5.8310223931989602E-7</v>
      </c>
      <c r="BX16" s="8">
        <f>IF($A16=BX$1,0,IF(SUM(IMshareC!BX$2:BX$78)-IMshareC!BX$76&gt;0,IMshareC!BX16/(SUM(IMshareC!BX$2:BX$78)-IMshareC!BX$76),0))</f>
        <v>0</v>
      </c>
      <c r="BY16" s="8">
        <f>IF($A16=BY$1,0,IF(SUM(IMshareC!BY$2:BY$78)-IMshareC!BY$77&gt;0,IMshareC!BY16/(SUM(IMshareC!BY$2:BY$78)-IMshareC!BY$77),0))</f>
        <v>1.3491854940283979E-7</v>
      </c>
      <c r="BZ16" s="8">
        <f>IF($A16=BZ$1,0,IF(SUM(IMshareC!BZ$2:BZ$78)-IMshareC!BZ$78&gt;0,IMshareC!BZ16/(SUM(IMshareC!BZ$2:BZ$78)-IMshareC!BZ$78),0))</f>
        <v>4.4630207149364041E-6</v>
      </c>
    </row>
    <row r="17" spans="1:78">
      <c r="A17" s="4" t="s">
        <v>101</v>
      </c>
      <c r="B17" s="8">
        <f>IF($A17=B$1,0,IF(SUM(IMshareC!B$2:B$78)-IMshareC!B$2&gt;0,IMshareC!B17/(SUM(IMshareC!B$2:B$78)-IMshareC!B$2),0))</f>
        <v>1.207865435182562E-4</v>
      </c>
      <c r="C17" s="8">
        <f>IF($A17=C$1,0,IF(SUM(IMshareC!C$2:C$78)-IMshareC!C$3&gt;0,IMshareC!C17/(SUM(IMshareC!C$2:C$78)-IMshareC!C$3),0))</f>
        <v>1.9076748137863697E-5</v>
      </c>
      <c r="D17" s="8">
        <f>IF($A17=D$1,0,IF(SUM(IMshareC!D$2:D$78)-IMshareC!D$4&gt;0,IMshareC!D17/(SUM(IMshareC!D$2:D$78)-IMshareC!D$4),0))</f>
        <v>5.8395639537174449E-7</v>
      </c>
      <c r="E17" s="8">
        <f>IF($A17=E$1,0,IF(SUM(IMshareC!E$2:E$78)-IMshareC!E$5&gt;0,IMshareC!E17/(SUM(IMshareC!E$2:E$78)-IMshareC!E$5),0))</f>
        <v>2.6622265828876948E-7</v>
      </c>
      <c r="F17" s="8">
        <f>IF($A17=F$1,0,IF(SUM(IMshareC!F$2:F$78)-IMshareC!F$6&gt;0,IMshareC!F17/(SUM(IMshareC!F$2:F$78)-IMshareC!F$6),0))</f>
        <v>0</v>
      </c>
      <c r="G17" s="8">
        <f>IF($A17=G$1,0,IF(SUM(IMshareC!G$2:G$78)-IMshareC!G$7&gt;0,IMshareC!G17/(SUM(IMshareC!G$2:G$78)-IMshareC!G$7),0))</f>
        <v>0</v>
      </c>
      <c r="H17" s="8">
        <f>IF($A17=H$1,0,IF(SUM(IMshareC!H$2:H$78)-IMshareC!H$8&gt;0,IMshareC!H17/(SUM(IMshareC!H$2:H$78)-IMshareC!H$8),0))</f>
        <v>0</v>
      </c>
      <c r="I17" s="8">
        <f>IF($A17=I$1,0,IF(SUM(IMshareC!I$2:I$78)-IMshareC!I$9&gt;0,IMshareC!I17/(SUM(IMshareC!I$2:I$78)-IMshareC!I$9),0))</f>
        <v>1.9664835392719004E-5</v>
      </c>
      <c r="J17" s="8">
        <f>IF($A17=J$1,0,IF(SUM(IMshareC!J$2:J$78)-IMshareC!J$10&gt;0,IMshareC!J17/(SUM(IMshareC!J$2:J$78)-IMshareC!J$10),0))</f>
        <v>0</v>
      </c>
      <c r="K17" s="8">
        <f>IF($A17=K$1,0,IF(SUM(IMshareC!K$2:K$78)-IMshareC!K$11&gt;0,IMshareC!K17/(SUM(IMshareC!K$2:K$78)-IMshareC!K$11),0))</f>
        <v>4.67156998146368E-6</v>
      </c>
      <c r="L17" s="8">
        <f>IF($A17=L$1,0,IF(SUM(IMshareC!L$2:L$78)-IMshareC!L$12&gt;0,IMshareC!L17/(SUM(IMshareC!L$2:L$78)-IMshareC!L$12),0))</f>
        <v>8.7927460760638178E-7</v>
      </c>
      <c r="M17" s="8">
        <f>IF($A17=M$1,0,IF(SUM(IMshareC!M$2:M$78)-IMshareC!M$13&gt;0,IMshareC!M17/(SUM(IMshareC!M$2:M$78)-IMshareC!M$13),0))</f>
        <v>2.6220603967558765E-4</v>
      </c>
      <c r="N17" s="8">
        <f>IF($A17=N$1,0,IF(SUM(IMshareC!N$2:N$78)-IMshareC!N$14&gt;0,IMshareC!N17/(SUM(IMshareC!N$2:N$78)-IMshareC!N$14),0))</f>
        <v>2.5149507872174498E-8</v>
      </c>
      <c r="O17" s="8">
        <f>IF($A17=O$1,0,IF(SUM(IMshareC!O$2:O$78)-IMshareC!O$15&gt;0,IMshareC!O17/(SUM(IMshareC!O$2:O$78)-IMshareC!O$15),0))</f>
        <v>0</v>
      </c>
      <c r="P17" s="8">
        <f>IF($A17=P$1,0,IF(SUM(IMshareC!P$2:P$78)-IMshareC!P$16&gt;0,IMshareC!P17/(SUM(IMshareC!P$2:P$78)-IMshareC!P$16),0))</f>
        <v>0</v>
      </c>
      <c r="Q17" s="8">
        <f>IF($A17=Q$1,0,IF(SUM(IMshareC!Q$2:Q$78)-IMshareC!Q$17&gt;0,IMshareC!Q17/(SUM(IMshareC!Q$2:Q$78)-IMshareC!Q$17),0))</f>
        <v>0</v>
      </c>
      <c r="R17" s="8">
        <f>IF($A17=R$1,0,IF(SUM(IMshareC!R$2:R$78)-IMshareC!R$18&gt;0,IMshareC!R17/(SUM(IMshareC!R$2:R$78)-IMshareC!R$18),0))</f>
        <v>5.4605240449487975E-4</v>
      </c>
      <c r="S17" s="8">
        <f>IF($A17=S$1,0,IF(SUM(IMshareC!S$2:S$78)-IMshareC!S$19&gt;0,IMshareC!S17/(SUM(IMshareC!S$2:S$78)-IMshareC!S$19),0))</f>
        <v>0</v>
      </c>
      <c r="T17" s="8">
        <f>IF($A17=T$1,0,IF(SUM(IMshareC!T$2:T$78)-IMshareC!T$20&gt;0,IMshareC!T17/(SUM(IMshareC!T$2:T$78)-IMshareC!T$20),0))</f>
        <v>2.9009221710122935E-7</v>
      </c>
      <c r="U17" s="8">
        <f>IF($A17=U$1,0,IF(SUM(IMshareC!U$2:U$78)-IMshareC!U$21&gt;0,IMshareC!U17/(SUM(IMshareC!U$2:U$78)-IMshareC!U$21),0))</f>
        <v>6.830544625534157E-7</v>
      </c>
      <c r="V17" s="8">
        <f>IF($A17=V$1,0,IF(SUM(IMshareC!V$2:V$78)-IMshareC!V$22&gt;0,IMshareC!V17/(SUM(IMshareC!V$2:V$78)-IMshareC!V$22),0))</f>
        <v>3.5559178501913693E-5</v>
      </c>
      <c r="W17" s="8">
        <f>IF($A17=W$1,0,IF(SUM(IMshareC!W$2:W$78)-IMshareC!W$23&gt;0,IMshareC!W17/(SUM(IMshareC!W$2:W$78)-IMshareC!W$23),0))</f>
        <v>0</v>
      </c>
      <c r="X17" s="8">
        <f>IF($A17=X$1,0,IF(SUM(IMshareC!X$2:X$78)-IMshareC!X$24&gt;0,IMshareC!X17/(SUM(IMshareC!X$2:X$78)-IMshareC!X$24),0))</f>
        <v>1.6018844037356934E-6</v>
      </c>
      <c r="Y17" s="8">
        <f>IF($A17=Y$1,0,IF(SUM(IMshareC!Y$2:Y$78)-IMshareC!Y$25&gt;0,IMshareC!Y17/(SUM(IMshareC!Y$2:Y$78)-IMshareC!Y$25),0))</f>
        <v>0</v>
      </c>
      <c r="Z17" s="8">
        <f>IF($A17=Z$1,0,IF(SUM(IMshareC!Z$2:Z$78)-IMshareC!Z$26&gt;0,IMshareC!Z17/(SUM(IMshareC!Z$2:Z$78)-IMshareC!Z$26),0))</f>
        <v>2.2810201141063118E-8</v>
      </c>
      <c r="AA17" s="8">
        <f>IF($A17=AA$1,0,IF(SUM(IMshareC!AA$2:AA$78)-IMshareC!AA$27&gt;0,IMshareC!AA17/(SUM(IMshareC!AA$2:AA$78)-IMshareC!AA$27),0))</f>
        <v>1.1711710234770664E-5</v>
      </c>
      <c r="AB17" s="8">
        <f>IF($A17=AB$1,0,IF(SUM(IMshareC!AB$2:AB$78)-IMshareC!AB$28&gt;0,IMshareC!AB17/(SUM(IMshareC!AB$2:AB$78)-IMshareC!AB$28),0))</f>
        <v>2.7486740207977083E-5</v>
      </c>
      <c r="AC17" s="8">
        <f>IF($A17=AC$1,0,IF(SUM(IMshareC!AC$2:AC$78)-IMshareC!AC$29&gt;0,IMshareC!AC17/(SUM(IMshareC!AC$2:AC$78)-IMshareC!AC$29),0))</f>
        <v>0</v>
      </c>
      <c r="AD17" s="8">
        <f>IF($A17=AD$1,0,IF(SUM(IMshareC!AD$2:AD$78)-IMshareC!AD$30&gt;0,IMshareC!AD17/(SUM(IMshareC!AD$2:AD$78)-IMshareC!AD$30),0))</f>
        <v>1.538495033870955E-9</v>
      </c>
      <c r="AE17" s="8">
        <f>IF($A17=AE$1,0,IF(SUM(IMshareC!AE$2:AE$78)-IMshareC!AE$31&gt;0,IMshareC!AE17/(SUM(IMshareC!AE$2:AE$78)-IMshareC!AE$31),0))</f>
        <v>0</v>
      </c>
      <c r="AF17" s="8">
        <f>IF($A17=AF$1,0,IF(SUM(IMshareC!AF$2:AF$78)-IMshareC!AF$32&gt;0,IMshareC!AF17/(SUM(IMshareC!AF$2:AF$78)-IMshareC!AF$32),0))</f>
        <v>3.9641509917644966E-8</v>
      </c>
      <c r="AG17" s="8">
        <f>IF($A17=AG$1,0,IF(SUM(IMshareC!AG$2:AG$78)-IMshareC!AG$33&gt;0,IMshareC!AG17/(SUM(IMshareC!AG$2:AG$78)-IMshareC!AG$33),0))</f>
        <v>0</v>
      </c>
      <c r="AH17" s="8">
        <f>IF($A17=AH$1,0,IF(SUM(IMshareC!AH$2:AH$78)-IMshareC!AH$34&gt;0,IMshareC!AH17/(SUM(IMshareC!AH$2:AH$78)-IMshareC!AH$34),0))</f>
        <v>4.7199472909320256E-6</v>
      </c>
      <c r="AI17" s="8">
        <f>IF($A17=AI$1,0,IF(SUM(IMshareC!AI$2:AI$78)-IMshareC!AI$35&gt;0,IMshareC!AI17/(SUM(IMshareC!AI$2:AI$78)-IMshareC!AI$35),0))</f>
        <v>1.5481186182142115E-8</v>
      </c>
      <c r="AJ17" s="8">
        <f>IF($A17=AJ$1,0,IF(SUM(IMshareC!AJ$2:AJ$78)-IMshareC!AJ$36&gt;0,IMshareC!AJ17/(SUM(IMshareC!AJ$2:AJ$78)-IMshareC!AJ$36),0))</f>
        <v>0</v>
      </c>
      <c r="AK17" s="8">
        <f>IF($A17=AK$1,0,IF(SUM(IMshareC!AK$2:AK$78)-IMshareC!AK$37&gt;0,IMshareC!AK17/(SUM(IMshareC!AK$2:AK$78)-IMshareC!AK$37),0))</f>
        <v>5.0666871847951507E-6</v>
      </c>
      <c r="AL17" s="8">
        <f>IF($A17=AL$1,0,IF(SUM(IMshareC!AL$2:AL$78)-IMshareC!AL$38&gt;0,IMshareC!AL17/(SUM(IMshareC!AL$2:AL$78)-IMshareC!AL$38),0))</f>
        <v>3.7331404780281752E-7</v>
      </c>
      <c r="AM17" s="8">
        <f>IF($A17=AM$1,0,IF(SUM(IMshareC!AM$2:AM$78)-IMshareC!AM$39&gt;0,IMshareC!AM17/(SUM(IMshareC!AM$2:AM$78)-IMshareC!AM$39),0))</f>
        <v>0</v>
      </c>
      <c r="AN17" s="8">
        <f>IF($A17=AN$1,0,IF(SUM(IMshareC!AN$2:AN$78)-IMshareC!AN$40&gt;0,IMshareC!AN17/(SUM(IMshareC!AN$2:AN$78)-IMshareC!AN$40),0))</f>
        <v>0</v>
      </c>
      <c r="AO17" s="8">
        <f>IF($A17=AO$1,0,IF(SUM(IMshareC!AO$2:AO$78)-IMshareC!AO$41&gt;0,IMshareC!AO17/(SUM(IMshareC!AO$2:AO$78)-IMshareC!AO$41),0))</f>
        <v>0</v>
      </c>
      <c r="AP17" s="8">
        <f>IF($A17=AP$1,0,IF(SUM(IMshareC!AP$2:AP$78)-IMshareC!AP$42&gt;0,IMshareC!AP17/(SUM(IMshareC!AP$2:AP$78)-IMshareC!AP$42),0))</f>
        <v>0</v>
      </c>
      <c r="AQ17" s="8">
        <f>IF($A17=AQ$1,0,IF(SUM(IMshareC!AQ$2:AQ$78)-IMshareC!AQ$43&gt;0,IMshareC!AQ17/(SUM(IMshareC!AQ$2:AQ$78)-IMshareC!AQ$43),0))</f>
        <v>8.6684682377519325E-8</v>
      </c>
      <c r="AR17" s="8">
        <f>IF($A17=AR$1,0,IF(SUM(IMshareC!AR$2:AR$78)-IMshareC!AR$44&gt;0,IMshareC!AR17/(SUM(IMshareC!AR$2:AR$78)-IMshareC!AR$44),0))</f>
        <v>0</v>
      </c>
      <c r="AS17" s="8">
        <f>IF($A17=AS$1,0,IF(SUM(IMshareC!AS$2:AS$78)-IMshareC!AS$45&gt;0,IMshareC!AS17/(SUM(IMshareC!AS$2:AS$78)-IMshareC!AS$45),0))</f>
        <v>0</v>
      </c>
      <c r="AT17" s="8">
        <f>IF($A17=AT$1,0,IF(SUM(IMshareC!AT$2:AT$78)-IMshareC!AT$46&gt;0,IMshareC!AT17/(SUM(IMshareC!AT$2:AT$78)-IMshareC!AT$46),0))</f>
        <v>0</v>
      </c>
      <c r="AU17" s="8">
        <f>IF($A17=AU$1,0,IF(SUM(IMshareC!AU$2:AU$78)-IMshareC!AU$47&gt;0,IMshareC!AU17/(SUM(IMshareC!AU$2:AU$78)-IMshareC!AU$47),0))</f>
        <v>0</v>
      </c>
      <c r="AV17" s="8">
        <f>IF($A17=AV$1,0,IF(SUM(IMshareC!AV$2:AV$78)-IMshareC!AV$48&gt;0,IMshareC!AV17/(SUM(IMshareC!AV$2:AV$78)-IMshareC!AV$48),0))</f>
        <v>0</v>
      </c>
      <c r="AW17" s="8">
        <f>IF($A17=AW$1,0,IF(SUM(IMshareC!AW$2:AW$78)-IMshareC!AW$49&gt;0,IMshareC!AW17/(SUM(IMshareC!AW$2:AW$78)-IMshareC!AW$49),0))</f>
        <v>6.8121986732996433E-6</v>
      </c>
      <c r="AX17" s="8">
        <f>IF($A17=AX$1,0,IF(SUM(IMshareC!AX$2:AX$78)-IMshareC!AX$50&gt;0,IMshareC!AX17/(SUM(IMshareC!AX$2:AX$78)-IMshareC!AX$50),0))</f>
        <v>0</v>
      </c>
      <c r="AY17" s="8">
        <f>IF($A17=AY$1,0,IF(SUM(IMshareC!AY$2:AY$78)-IMshareC!AY$51&gt;0,IMshareC!AY17/(SUM(IMshareC!AY$2:AY$78)-IMshareC!AY$51),0))</f>
        <v>0</v>
      </c>
      <c r="AZ17" s="8">
        <f>IF($A17=AZ$1,0,IF(SUM(IMshareC!AZ$2:AZ$78)-IMshareC!AZ$52&gt;0,IMshareC!AZ17/(SUM(IMshareC!AZ$2:AZ$78)-IMshareC!AZ$52),0))</f>
        <v>3.7615185301521189E-8</v>
      </c>
      <c r="BA17" s="8">
        <f>IF($A17=BA$1,0,IF(SUM(IMshareC!BA$2:BA$78)-IMshareC!BA$53&gt;0,IMshareC!BA17/(SUM(IMshareC!BA$2:BA$78)-IMshareC!BA$53),0))</f>
        <v>1.8820049000243475E-4</v>
      </c>
      <c r="BB17" s="8">
        <f>IF($A17=BB$1,0,IF(SUM(IMshareC!BB$2:BB$78)-IMshareC!BB$54&gt;0,IMshareC!BB17/(SUM(IMshareC!BB$2:BB$78)-IMshareC!BB$54),0))</f>
        <v>2.3409418305561226E-5</v>
      </c>
      <c r="BC17" s="8">
        <f>IF($A17=BC$1,0,IF(SUM(IMshareC!BC$2:BC$78)-IMshareC!BC$55&gt;0,IMshareC!BC17/(SUM(IMshareC!BC$2:BC$78)-IMshareC!BC$55),0))</f>
        <v>3.3801833935959991E-6</v>
      </c>
      <c r="BD17" s="8">
        <f>IF($A17=BD$1,0,IF(SUM(IMshareC!BD$2:BD$78)-IMshareC!BD$56&gt;0,IMshareC!BD17/(SUM(IMshareC!BD$2:BD$78)-IMshareC!BD$56),0))</f>
        <v>0</v>
      </c>
      <c r="BE17" s="8">
        <f>IF($A17=BE$1,0,IF(SUM(IMshareC!BE$2:BE$78)-IMshareC!BE$57&gt;0,IMshareC!BE17/(SUM(IMshareC!BE$2:BE$78)-IMshareC!BE$57),0))</f>
        <v>0</v>
      </c>
      <c r="BF17" s="8">
        <f>IF($A17=BF$1,0,IF(SUM(IMshareC!BF$2:BF$78)-IMshareC!BF$58&gt;0,IMshareC!BF17/(SUM(IMshareC!BF$2:BF$78)-IMshareC!BF$58),0))</f>
        <v>4.6767679448494429E-4</v>
      </c>
      <c r="BG17" s="8">
        <f>IF($A17=BG$1,0,IF(SUM(IMshareC!BG$2:BG$78)-IMshareC!BG$59&gt;0,IMshareC!BG17/(SUM(IMshareC!BG$2:BG$78)-IMshareC!BG$59),0))</f>
        <v>0</v>
      </c>
      <c r="BH17" s="8">
        <f>IF($A17=BH$1,0,IF(SUM(IMshareC!BH$2:BH$78)-IMshareC!BH$60&gt;0,IMshareC!BH17/(SUM(IMshareC!BH$2:BH$78)-IMshareC!BH$60),0))</f>
        <v>8.595220635191305E-9</v>
      </c>
      <c r="BI17" s="8">
        <f>IF($A17=BI$1,0,IF(SUM(IMshareC!BI$2:BI$78)-IMshareC!BI$61&gt;0,IMshareC!BI17/(SUM(IMshareC!BI$2:BI$78)-IMshareC!BI$61),0))</f>
        <v>5.7064277399316702E-7</v>
      </c>
      <c r="BJ17" s="8">
        <f>IF($A17=BJ$1,0,IF(SUM(IMshareC!BJ$2:BJ$78)-IMshareC!BJ$62&gt;0,IMshareC!BJ17/(SUM(IMshareC!BJ$2:BJ$78)-IMshareC!BJ$62),0))</f>
        <v>8.8300238451583557E-5</v>
      </c>
      <c r="BK17" s="8">
        <f>IF($A17=BK$1,0,IF(SUM(IMshareC!BK$2:BK$78)-IMshareC!BK$63&gt;0,IMshareC!BK17/(SUM(IMshareC!BK$2:BK$78)-IMshareC!BK$63),0))</f>
        <v>0</v>
      </c>
      <c r="BL17" s="8">
        <f>IF($A17=BL$1,0,IF(SUM(IMshareC!BL$2:BL$78)-IMshareC!BL$64&gt;0,IMshareC!BL17/(SUM(IMshareC!BL$2:BL$78)-IMshareC!BL$64),0))</f>
        <v>6.1882306738102096E-5</v>
      </c>
      <c r="BM17" s="8">
        <f>IF($A17=BM$1,0,IF(SUM(IMshareC!BM$2:BM$78)-IMshareC!BM$65&gt;0,IMshareC!BM17/(SUM(IMshareC!BM$2:BM$78)-IMshareC!BM$65),0))</f>
        <v>0</v>
      </c>
      <c r="BN17" s="8">
        <f>IF($A17=BN$1,0,IF(SUM(IMshareC!BN$2:BN$78)-IMshareC!BN$66&gt;0,IMshareC!BN17/(SUM(IMshareC!BN$2:BN$78)-IMshareC!BN$66),0))</f>
        <v>1.5099969986893061E-7</v>
      </c>
      <c r="BO17" s="8">
        <f>IF($A17=BO$1,0,IF(SUM(IMshareC!BO$2:BO$78)-IMshareC!BO$67&gt;0,IMshareC!BO17/(SUM(IMshareC!BO$2:BO$78)-IMshareC!BO$67),0))</f>
        <v>1.5318174127552234E-7</v>
      </c>
      <c r="BP17" s="8">
        <f>IF($A17=BP$1,0,IF(SUM(IMshareC!BP$2:BP$78)-IMshareC!BP$68&gt;0,IMshareC!BP17/(SUM(IMshareC!BP$2:BP$78)-IMshareC!BP$68),0))</f>
        <v>0</v>
      </c>
      <c r="BQ17" s="8">
        <f>IF($A17=BQ$1,0,IF(SUM(IMshareC!BQ$2:BQ$78)-IMshareC!BQ$69&gt;0,IMshareC!BQ17/(SUM(IMshareC!BQ$2:BQ$78)-IMshareC!BQ$69),0))</f>
        <v>2.8048476785978288E-6</v>
      </c>
      <c r="BR17" s="8">
        <f>IF($A17=BR$1,0,IF(SUM(IMshareC!BR$2:BR$78)-IMshareC!BR$70&gt;0,IMshareC!BR17/(SUM(IMshareC!BR$2:BR$78)-IMshareC!BR$70),0))</f>
        <v>2.7601467903770526E-6</v>
      </c>
      <c r="BS17" s="8">
        <f>IF($A17=BS$1,0,IF(SUM(IMshareC!BS$2:BS$78)-IMshareC!BS$71&gt;0,IMshareC!BS17/(SUM(IMshareC!BS$2:BS$78)-IMshareC!BS$71),0))</f>
        <v>0</v>
      </c>
      <c r="BT17" s="8">
        <f>IF($A17=BT$1,0,IF(SUM(IMshareC!BT$2:BT$78)-IMshareC!BT$72&gt;0,IMshareC!BT17/(SUM(IMshareC!BT$2:BT$78)-IMshareC!BT$72),0))</f>
        <v>7.6564225746682125E-7</v>
      </c>
      <c r="BU17" s="8">
        <f>IF($A17=BU$1,0,IF(SUM(IMshareC!BU$2:BU$78)-IMshareC!BU$73&gt;0,IMshareC!BU17/(SUM(IMshareC!BU$2:BU$78)-IMshareC!BU$73),0))</f>
        <v>4.5517354685791251E-9</v>
      </c>
      <c r="BV17" s="8">
        <f>IF($A17=BV$1,0,IF(SUM(IMshareC!BV$2:BV$78)-IMshareC!BV$74&gt;0,IMshareC!BV17/(SUM(IMshareC!BV$2:BV$78)-IMshareC!BV$74),0))</f>
        <v>0</v>
      </c>
      <c r="BW17" s="8">
        <f>IF($A17=BW$1,0,IF(SUM(IMshareC!BW$2:BW$78)-IMshareC!BW$75&gt;0,IMshareC!BW17/(SUM(IMshareC!BW$2:BW$78)-IMshareC!BW$75),0))</f>
        <v>1.6630182417509695E-5</v>
      </c>
      <c r="BX17" s="8">
        <f>IF($A17=BX$1,0,IF(SUM(IMshareC!BX$2:BX$78)-IMshareC!BX$76&gt;0,IMshareC!BX17/(SUM(IMshareC!BX$2:BX$78)-IMshareC!BX$76),0))</f>
        <v>7.5859677400241767E-8</v>
      </c>
      <c r="BY17" s="8">
        <f>IF($A17=BY$1,0,IF(SUM(IMshareC!BY$2:BY$78)-IMshareC!BY$77&gt;0,IMshareC!BY17/(SUM(IMshareC!BY$2:BY$78)-IMshareC!BY$77),0))</f>
        <v>0</v>
      </c>
      <c r="BZ17" s="8">
        <f>IF($A17=BZ$1,0,IF(SUM(IMshareC!BZ$2:BZ$78)-IMshareC!BZ$78&gt;0,IMshareC!BZ17/(SUM(IMshareC!BZ$2:BZ$78)-IMshareC!BZ$78),0))</f>
        <v>1.0797618027569861E-3</v>
      </c>
    </row>
    <row r="18" spans="1:78">
      <c r="A18" s="4" t="s">
        <v>103</v>
      </c>
      <c r="B18" s="8">
        <f>IF($A18=B$1,0,IF(SUM(IMshareC!B$2:B$78)-IMshareC!B$2&gt;0,IMshareC!B18/(SUM(IMshareC!B$2:B$78)-IMshareC!B$2),0))</f>
        <v>1.095555224083462E-4</v>
      </c>
      <c r="C18" s="8">
        <f>IF($A18=C$1,0,IF(SUM(IMshareC!C$2:C$78)-IMshareC!C$3&gt;0,IMshareC!C18/(SUM(IMshareC!C$2:C$78)-IMshareC!C$3),0))</f>
        <v>2.3505943062059113E-4</v>
      </c>
      <c r="D18" s="8">
        <f>IF($A18=D$1,0,IF(SUM(IMshareC!D$2:D$78)-IMshareC!D$4&gt;0,IMshareC!D18/(SUM(IMshareC!D$2:D$78)-IMshareC!D$4),0))</f>
        <v>1.5456878773535332E-4</v>
      </c>
      <c r="E18" s="8">
        <f>IF($A18=E$1,0,IF(SUM(IMshareC!E$2:E$78)-IMshareC!E$5&gt;0,IMshareC!E18/(SUM(IMshareC!E$2:E$78)-IMshareC!E$5),0))</f>
        <v>5.6157869477609175E-6</v>
      </c>
      <c r="F18" s="8">
        <f>IF($A18=F$1,0,IF(SUM(IMshareC!F$2:F$78)-IMshareC!F$6&gt;0,IMshareC!F18/(SUM(IMshareC!F$2:F$78)-IMshareC!F$6),0))</f>
        <v>0</v>
      </c>
      <c r="G18" s="8">
        <f>IF($A18=G$1,0,IF(SUM(IMshareC!G$2:G$78)-IMshareC!G$7&gt;0,IMshareC!G18/(SUM(IMshareC!G$2:G$78)-IMshareC!G$7),0))</f>
        <v>0</v>
      </c>
      <c r="H18" s="8">
        <f>IF($A18=H$1,0,IF(SUM(IMshareC!H$2:H$78)-IMshareC!H$8&gt;0,IMshareC!H18/(SUM(IMshareC!H$2:H$78)-IMshareC!H$8),0))</f>
        <v>0</v>
      </c>
      <c r="I18" s="8">
        <f>IF($A18=I$1,0,IF(SUM(IMshareC!I$2:I$78)-IMshareC!I$9&gt;0,IMshareC!I18/(SUM(IMshareC!I$2:I$78)-IMshareC!I$9),0))</f>
        <v>3.0569414482188059E-3</v>
      </c>
      <c r="J18" s="8">
        <f>IF($A18=J$1,0,IF(SUM(IMshareC!J$2:J$78)-IMshareC!J$10&gt;0,IMshareC!J18/(SUM(IMshareC!J$2:J$78)-IMshareC!J$10),0))</f>
        <v>0</v>
      </c>
      <c r="K18" s="8">
        <f>IF($A18=K$1,0,IF(SUM(IMshareC!K$2:K$78)-IMshareC!K$11&gt;0,IMshareC!K18/(SUM(IMshareC!K$2:K$78)-IMshareC!K$11),0))</f>
        <v>1.7613732145760257E-3</v>
      </c>
      <c r="L18" s="8">
        <f>IF($A18=L$1,0,IF(SUM(IMshareC!L$2:L$78)-IMshareC!L$12&gt;0,IMshareC!L18/(SUM(IMshareC!L$2:L$78)-IMshareC!L$12),0))</f>
        <v>3.0933766592062951E-3</v>
      </c>
      <c r="M18" s="8">
        <f>IF($A18=M$1,0,IF(SUM(IMshareC!M$2:M$78)-IMshareC!M$13&gt;0,IMshareC!M18/(SUM(IMshareC!M$2:M$78)-IMshareC!M$13),0))</f>
        <v>1.0567323790456491E-3</v>
      </c>
      <c r="N18" s="8">
        <f>IF($A18=N$1,0,IF(SUM(IMshareC!N$2:N$78)-IMshareC!N$14&gt;0,IMshareC!N18/(SUM(IMshareC!N$2:N$78)-IMshareC!N$14),0))</f>
        <v>3.1344129935925152E-3</v>
      </c>
      <c r="O18" s="8">
        <f>IF($A18=O$1,0,IF(SUM(IMshareC!O$2:O$78)-IMshareC!O$15&gt;0,IMshareC!O18/(SUM(IMshareC!O$2:O$78)-IMshareC!O$15),0))</f>
        <v>0</v>
      </c>
      <c r="P18" s="8">
        <f>IF($A18=P$1,0,IF(SUM(IMshareC!P$2:P$78)-IMshareC!P$16&gt;0,IMshareC!P18/(SUM(IMshareC!P$2:P$78)-IMshareC!P$16),0))</f>
        <v>0</v>
      </c>
      <c r="Q18" s="8">
        <f>IF($A18=Q$1,0,IF(SUM(IMshareC!Q$2:Q$78)-IMshareC!Q$17&gt;0,IMshareC!Q18/(SUM(IMshareC!Q$2:Q$78)-IMshareC!Q$17),0))</f>
        <v>2.7833346649307856E-4</v>
      </c>
      <c r="R18" s="8">
        <f>IF($A18=R$1,0,IF(SUM(IMshareC!R$2:R$78)-IMshareC!R$18&gt;0,IMshareC!R18/(SUM(IMshareC!R$2:R$78)-IMshareC!R$18),0))</f>
        <v>0</v>
      </c>
      <c r="S18" s="8">
        <f>IF($A18=S$1,0,IF(SUM(IMshareC!S$2:S$78)-IMshareC!S$19&gt;0,IMshareC!S18/(SUM(IMshareC!S$2:S$78)-IMshareC!S$19),0))</f>
        <v>0</v>
      </c>
      <c r="T18" s="8">
        <f>IF($A18=T$1,0,IF(SUM(IMshareC!T$2:T$78)-IMshareC!T$20&gt;0,IMshareC!T18/(SUM(IMshareC!T$2:T$78)-IMshareC!T$20),0))</f>
        <v>9.6514343559249427E-3</v>
      </c>
      <c r="U18" s="8">
        <f>IF($A18=U$1,0,IF(SUM(IMshareC!U$2:U$78)-IMshareC!U$21&gt;0,IMshareC!U18/(SUM(IMshareC!U$2:U$78)-IMshareC!U$21),0))</f>
        <v>1.1112666642425909E-3</v>
      </c>
      <c r="V18" s="8">
        <f>IF($A18=V$1,0,IF(SUM(IMshareC!V$2:V$78)-IMshareC!V$22&gt;0,IMshareC!V18/(SUM(IMshareC!V$2:V$78)-IMshareC!V$22),0))</f>
        <v>3.6676601063686676E-5</v>
      </c>
      <c r="W18" s="8">
        <f>IF($A18=W$1,0,IF(SUM(IMshareC!W$2:W$78)-IMshareC!W$23&gt;0,IMshareC!W18/(SUM(IMshareC!W$2:W$78)-IMshareC!W$23),0))</f>
        <v>2.7863143350240292E-5</v>
      </c>
      <c r="X18" s="8">
        <f>IF($A18=X$1,0,IF(SUM(IMshareC!X$2:X$78)-IMshareC!X$24&gt;0,IMshareC!X18/(SUM(IMshareC!X$2:X$78)-IMshareC!X$24),0))</f>
        <v>6.9793532534078914E-5</v>
      </c>
      <c r="Y18" s="8">
        <f>IF($A18=Y$1,0,IF(SUM(IMshareC!Y$2:Y$78)-IMshareC!Y$25&gt;0,IMshareC!Y18/(SUM(IMshareC!Y$2:Y$78)-IMshareC!Y$25),0))</f>
        <v>1.5906053027385446E-6</v>
      </c>
      <c r="Z18" s="8">
        <f>IF($A18=Z$1,0,IF(SUM(IMshareC!Z$2:Z$78)-IMshareC!Z$26&gt;0,IMshareC!Z18/(SUM(IMshareC!Z$2:Z$78)-IMshareC!Z$26),0))</f>
        <v>9.1180599317269308E-4</v>
      </c>
      <c r="AA18" s="8">
        <f>IF($A18=AA$1,0,IF(SUM(IMshareC!AA$2:AA$78)-IMshareC!AA$27&gt;0,IMshareC!AA18/(SUM(IMshareC!AA$2:AA$78)-IMshareC!AA$27),0))</f>
        <v>1.1491607434605174E-4</v>
      </c>
      <c r="AB18" s="8">
        <f>IF($A18=AB$1,0,IF(SUM(IMshareC!AB$2:AB$78)-IMshareC!AB$28&gt;0,IMshareC!AB18/(SUM(IMshareC!AB$2:AB$78)-IMshareC!AB$28),0))</f>
        <v>6.245457301035398E-4</v>
      </c>
      <c r="AC18" s="8">
        <f>IF($A18=AC$1,0,IF(SUM(IMshareC!AC$2:AC$78)-IMshareC!AC$29&gt;0,IMshareC!AC18/(SUM(IMshareC!AC$2:AC$78)-IMshareC!AC$29),0))</f>
        <v>1.3744391377515912E-5</v>
      </c>
      <c r="AD18" s="8">
        <f>IF($A18=AD$1,0,IF(SUM(IMshareC!AD$2:AD$78)-IMshareC!AD$30&gt;0,IMshareC!AD18/(SUM(IMshareC!AD$2:AD$78)-IMshareC!AD$30),0))</f>
        <v>5.0460234784743324E-3</v>
      </c>
      <c r="AE18" s="8">
        <f>IF($A18=AE$1,0,IF(SUM(IMshareC!AE$2:AE$78)-IMshareC!AE$31&gt;0,IMshareC!AE18/(SUM(IMshareC!AE$2:AE$78)-IMshareC!AE$31),0))</f>
        <v>0</v>
      </c>
      <c r="AF18" s="8">
        <f>IF($A18=AF$1,0,IF(SUM(IMshareC!AF$2:AF$78)-IMshareC!AF$32&gt;0,IMshareC!AF18/(SUM(IMshareC!AF$2:AF$78)-IMshareC!AF$32),0))</f>
        <v>1.2123044159677447E-6</v>
      </c>
      <c r="AG18" s="8">
        <f>IF($A18=AG$1,0,IF(SUM(IMshareC!AG$2:AG$78)-IMshareC!AG$33&gt;0,IMshareC!AG18/(SUM(IMshareC!AG$2:AG$78)-IMshareC!AG$33),0))</f>
        <v>1.3320873075251753E-4</v>
      </c>
      <c r="AH18" s="8">
        <f>IF($A18=AH$1,0,IF(SUM(IMshareC!AH$2:AH$78)-IMshareC!AH$34&gt;0,IMshareC!AH18/(SUM(IMshareC!AH$2:AH$78)-IMshareC!AH$34),0))</f>
        <v>2.1359736893646461E-6</v>
      </c>
      <c r="AI18" s="8">
        <f>IF($A18=AI$1,0,IF(SUM(IMshareC!AI$2:AI$78)-IMshareC!AI$35&gt;0,IMshareC!AI18/(SUM(IMshareC!AI$2:AI$78)-IMshareC!AI$35),0))</f>
        <v>1.2204249355120312E-3</v>
      </c>
      <c r="AJ18" s="8">
        <f>IF($A18=AJ$1,0,IF(SUM(IMshareC!AJ$2:AJ$78)-IMshareC!AJ$36&gt;0,IMshareC!AJ18/(SUM(IMshareC!AJ$2:AJ$78)-IMshareC!AJ$36),0))</f>
        <v>1.5513094362593367E-3</v>
      </c>
      <c r="AK18" s="8">
        <f>IF($A18=AK$1,0,IF(SUM(IMshareC!AK$2:AK$78)-IMshareC!AK$37&gt;0,IMshareC!AK18/(SUM(IMshareC!AK$2:AK$78)-IMshareC!AK$37),0))</f>
        <v>3.7240150808244359E-4</v>
      </c>
      <c r="AL18" s="8">
        <f>IF($A18=AL$1,0,IF(SUM(IMshareC!AL$2:AL$78)-IMshareC!AL$38&gt;0,IMshareC!AL18/(SUM(IMshareC!AL$2:AL$78)-IMshareC!AL$38),0))</f>
        <v>2.8204103577460221E-6</v>
      </c>
      <c r="AM18" s="8">
        <f>IF($A18=AM$1,0,IF(SUM(IMshareC!AM$2:AM$78)-IMshareC!AM$39&gt;0,IMshareC!AM18/(SUM(IMshareC!AM$2:AM$78)-IMshareC!AM$39),0))</f>
        <v>0</v>
      </c>
      <c r="AN18" s="8">
        <f>IF($A18=AN$1,0,IF(SUM(IMshareC!AN$2:AN$78)-IMshareC!AN$40&gt;0,IMshareC!AN18/(SUM(IMshareC!AN$2:AN$78)-IMshareC!AN$40),0))</f>
        <v>8.8063184132139888E-5</v>
      </c>
      <c r="AO18" s="8">
        <f>IF($A18=AO$1,0,IF(SUM(IMshareC!AO$2:AO$78)-IMshareC!AO$41&gt;0,IMshareC!AO18/(SUM(IMshareC!AO$2:AO$78)-IMshareC!AO$41),0))</f>
        <v>0</v>
      </c>
      <c r="AP18" s="8">
        <f>IF($A18=AP$1,0,IF(SUM(IMshareC!AP$2:AP$78)-IMshareC!AP$42&gt;0,IMshareC!AP18/(SUM(IMshareC!AP$2:AP$78)-IMshareC!AP$42),0))</f>
        <v>0</v>
      </c>
      <c r="AQ18" s="8">
        <f>IF($A18=AQ$1,0,IF(SUM(IMshareC!AQ$2:AQ$78)-IMshareC!AQ$43&gt;0,IMshareC!AQ18/(SUM(IMshareC!AQ$2:AQ$78)-IMshareC!AQ$43),0))</f>
        <v>4.7874498795091266E-5</v>
      </c>
      <c r="AR18" s="8">
        <f>IF($A18=AR$1,0,IF(SUM(IMshareC!AR$2:AR$78)-IMshareC!AR$44&gt;0,IMshareC!AR18/(SUM(IMshareC!AR$2:AR$78)-IMshareC!AR$44),0))</f>
        <v>0</v>
      </c>
      <c r="AS18" s="8">
        <f>IF($A18=AS$1,0,IF(SUM(IMshareC!AS$2:AS$78)-IMshareC!AS$45&gt;0,IMshareC!AS18/(SUM(IMshareC!AS$2:AS$78)-IMshareC!AS$45),0))</f>
        <v>2.8372288676917849E-5</v>
      </c>
      <c r="AT18" s="8">
        <f>IF($A18=AT$1,0,IF(SUM(IMshareC!AT$2:AT$78)-IMshareC!AT$46&gt;0,IMshareC!AT18/(SUM(IMshareC!AT$2:AT$78)-IMshareC!AT$46),0))</f>
        <v>0</v>
      </c>
      <c r="AU18" s="8">
        <f>IF($A18=AU$1,0,IF(SUM(IMshareC!AU$2:AU$78)-IMshareC!AU$47&gt;0,IMshareC!AU18/(SUM(IMshareC!AU$2:AU$78)-IMshareC!AU$47),0))</f>
        <v>1.557657403657946E-7</v>
      </c>
      <c r="AV18" s="8">
        <f>IF($A18=AV$1,0,IF(SUM(IMshareC!AV$2:AV$78)-IMshareC!AV$48&gt;0,IMshareC!AV18/(SUM(IMshareC!AV$2:AV$78)-IMshareC!AV$48),0))</f>
        <v>3.4616591295298717E-5</v>
      </c>
      <c r="AW18" s="8">
        <f>IF($A18=AW$1,0,IF(SUM(IMshareC!AW$2:AW$78)-IMshareC!AW$49&gt;0,IMshareC!AW18/(SUM(IMshareC!AW$2:AW$78)-IMshareC!AW$49),0))</f>
        <v>1.3660156621583434E-2</v>
      </c>
      <c r="AX18" s="8">
        <f>IF($A18=AX$1,0,IF(SUM(IMshareC!AX$2:AX$78)-IMshareC!AX$50&gt;0,IMshareC!AX18/(SUM(IMshareC!AX$2:AX$78)-IMshareC!AX$50),0))</f>
        <v>0</v>
      </c>
      <c r="AY18" s="8">
        <f>IF($A18=AY$1,0,IF(SUM(IMshareC!AY$2:AY$78)-IMshareC!AY$51&gt;0,IMshareC!AY18/(SUM(IMshareC!AY$2:AY$78)-IMshareC!AY$51),0))</f>
        <v>0</v>
      </c>
      <c r="AZ18" s="8">
        <f>IF($A18=AZ$1,0,IF(SUM(IMshareC!AZ$2:AZ$78)-IMshareC!AZ$52&gt;0,IMshareC!AZ18/(SUM(IMshareC!AZ$2:AZ$78)-IMshareC!AZ$52),0))</f>
        <v>3.3152333858484061E-3</v>
      </c>
      <c r="BA18" s="8">
        <f>IF($A18=BA$1,0,IF(SUM(IMshareC!BA$2:BA$78)-IMshareC!BA$53&gt;0,IMshareC!BA18/(SUM(IMshareC!BA$2:BA$78)-IMshareC!BA$53),0))</f>
        <v>0</v>
      </c>
      <c r="BB18" s="8">
        <f>IF($A18=BB$1,0,IF(SUM(IMshareC!BB$2:BB$78)-IMshareC!BB$54&gt;0,IMshareC!BB18/(SUM(IMshareC!BB$2:BB$78)-IMshareC!BB$54),0))</f>
        <v>6.1271898383547553E-2</v>
      </c>
      <c r="BC18" s="8">
        <f>IF($A18=BC$1,0,IF(SUM(IMshareC!BC$2:BC$78)-IMshareC!BC$55&gt;0,IMshareC!BC18/(SUM(IMshareC!BC$2:BC$78)-IMshareC!BC$55),0))</f>
        <v>1.4534311370526098E-4</v>
      </c>
      <c r="BD18" s="8">
        <f>IF($A18=BD$1,0,IF(SUM(IMshareC!BD$2:BD$78)-IMshareC!BD$56&gt;0,IMshareC!BD18/(SUM(IMshareC!BD$2:BD$78)-IMshareC!BD$56),0))</f>
        <v>2.2423079938977696E-4</v>
      </c>
      <c r="BE18" s="8">
        <f>IF($A18=BE$1,0,IF(SUM(IMshareC!BE$2:BE$78)-IMshareC!BE$57&gt;0,IMshareC!BE18/(SUM(IMshareC!BE$2:BE$78)-IMshareC!BE$57),0))</f>
        <v>2.052747408488817E-4</v>
      </c>
      <c r="BF18" s="8">
        <f>IF($A18=BF$1,0,IF(SUM(IMshareC!BF$2:BF$78)-IMshareC!BF$58&gt;0,IMshareC!BF18/(SUM(IMshareC!BF$2:BF$78)-IMshareC!BF$58),0))</f>
        <v>4.0423679969832128E-3</v>
      </c>
      <c r="BG18" s="8">
        <f>IF($A18=BG$1,0,IF(SUM(IMshareC!BG$2:BG$78)-IMshareC!BG$59&gt;0,IMshareC!BG18/(SUM(IMshareC!BG$2:BG$78)-IMshareC!BG$59),0))</f>
        <v>2.0682303301953644E-6</v>
      </c>
      <c r="BH18" s="8">
        <f>IF($A18=BH$1,0,IF(SUM(IMshareC!BH$2:BH$78)-IMshareC!BH$60&gt;0,IMshareC!BH18/(SUM(IMshareC!BH$2:BH$78)-IMshareC!BH$60),0))</f>
        <v>4.961447857986928E-5</v>
      </c>
      <c r="BI18" s="8">
        <f>IF($A18=BI$1,0,IF(SUM(IMshareC!BI$2:BI$78)-IMshareC!BI$61&gt;0,IMshareC!BI18/(SUM(IMshareC!BI$2:BI$78)-IMshareC!BI$61),0))</f>
        <v>8.7623583573788878E-7</v>
      </c>
      <c r="BJ18" s="8">
        <f>IF($A18=BJ$1,0,IF(SUM(IMshareC!BJ$2:BJ$78)-IMshareC!BJ$62&gt;0,IMshareC!BJ18/(SUM(IMshareC!BJ$2:BJ$78)-IMshareC!BJ$62),0))</f>
        <v>5.9361967014638782E-6</v>
      </c>
      <c r="BK18" s="8">
        <f>IF($A18=BK$1,0,IF(SUM(IMshareC!BK$2:BK$78)-IMshareC!BK$63&gt;0,IMshareC!BK18/(SUM(IMshareC!BK$2:BK$78)-IMshareC!BK$63),0))</f>
        <v>0</v>
      </c>
      <c r="BL18" s="8">
        <f>IF($A18=BL$1,0,IF(SUM(IMshareC!BL$2:BL$78)-IMshareC!BL$64&gt;0,IMshareC!BL18/(SUM(IMshareC!BL$2:BL$78)-IMshareC!BL$64),0))</f>
        <v>0</v>
      </c>
      <c r="BM18" s="8">
        <f>IF($A18=BM$1,0,IF(SUM(IMshareC!BM$2:BM$78)-IMshareC!BM$65&gt;0,IMshareC!BM18/(SUM(IMshareC!BM$2:BM$78)-IMshareC!BM$65),0))</f>
        <v>0</v>
      </c>
      <c r="BN18" s="8">
        <f>IF($A18=BN$1,0,IF(SUM(IMshareC!BN$2:BN$78)-IMshareC!BN$66&gt;0,IMshareC!BN18/(SUM(IMshareC!BN$2:BN$78)-IMshareC!BN$66),0))</f>
        <v>1.059865048066156E-3</v>
      </c>
      <c r="BO18" s="8">
        <f>IF($A18=BO$1,0,IF(SUM(IMshareC!BO$2:BO$78)-IMshareC!BO$67&gt;0,IMshareC!BO18/(SUM(IMshareC!BO$2:BO$78)-IMshareC!BO$67),0))</f>
        <v>1.0731895277762242E-3</v>
      </c>
      <c r="BP18" s="8">
        <f>IF($A18=BP$1,0,IF(SUM(IMshareC!BP$2:BP$78)-IMshareC!BP$68&gt;0,IMshareC!BP18/(SUM(IMshareC!BP$2:BP$78)-IMshareC!BP$68),0))</f>
        <v>9.8018167022955295E-4</v>
      </c>
      <c r="BQ18" s="8">
        <f>IF($A18=BQ$1,0,IF(SUM(IMshareC!BQ$2:BQ$78)-IMshareC!BQ$69&gt;0,IMshareC!BQ18/(SUM(IMshareC!BQ$2:BQ$78)-IMshareC!BQ$69),0))</f>
        <v>4.3292209343189324E-6</v>
      </c>
      <c r="BR18" s="8">
        <f>IF($A18=BR$1,0,IF(SUM(IMshareC!BR$2:BR$78)-IMshareC!BR$70&gt;0,IMshareC!BR18/(SUM(IMshareC!BR$2:BR$78)-IMshareC!BR$70),0))</f>
        <v>5.5189397311941849E-6</v>
      </c>
      <c r="BS18" s="8">
        <f>IF($A18=BS$1,0,IF(SUM(IMshareC!BS$2:BS$78)-IMshareC!BS$71&gt;0,IMshareC!BS18/(SUM(IMshareC!BS$2:BS$78)-IMshareC!BS$71),0))</f>
        <v>3.8272301421797328E-5</v>
      </c>
      <c r="BT18" s="8">
        <f>IF($A18=BT$1,0,IF(SUM(IMshareC!BT$2:BT$78)-IMshareC!BT$72&gt;0,IMshareC!BT18/(SUM(IMshareC!BT$2:BT$78)-IMshareC!BT$72),0))</f>
        <v>2.9427651576301639E-4</v>
      </c>
      <c r="BU18" s="8">
        <f>IF($A18=BU$1,0,IF(SUM(IMshareC!BU$2:BU$78)-IMshareC!BU$73&gt;0,IMshareC!BU18/(SUM(IMshareC!BU$2:BU$78)-IMshareC!BU$73),0))</f>
        <v>1.139916470799368E-3</v>
      </c>
      <c r="BV18" s="8">
        <f>IF($A18=BV$1,0,IF(SUM(IMshareC!BV$2:BV$78)-IMshareC!BV$74&gt;0,IMshareC!BV18/(SUM(IMshareC!BV$2:BV$78)-IMshareC!BV$74),0))</f>
        <v>1.038681982623409E-4</v>
      </c>
      <c r="BW18" s="8">
        <f>IF($A18=BW$1,0,IF(SUM(IMshareC!BW$2:BW$78)-IMshareC!BW$75&gt;0,IMshareC!BW18/(SUM(IMshareC!BW$2:BW$78)-IMshareC!BW$75),0))</f>
        <v>1.6869072114880375E-2</v>
      </c>
      <c r="BX18" s="8">
        <f>IF($A18=BX$1,0,IF(SUM(IMshareC!BX$2:BX$78)-IMshareC!BX$76&gt;0,IMshareC!BX18/(SUM(IMshareC!BX$2:BX$78)-IMshareC!BX$76),0))</f>
        <v>2.7552757597038414E-5</v>
      </c>
      <c r="BY18" s="8">
        <f>IF($A18=BY$1,0,IF(SUM(IMshareC!BY$2:BY$78)-IMshareC!BY$77&gt;0,IMshareC!BY18/(SUM(IMshareC!BY$2:BY$78)-IMshareC!BY$77),0))</f>
        <v>1.0074790548385149E-3</v>
      </c>
      <c r="BZ18" s="8">
        <f>IF($A18=BZ$1,0,IF(SUM(IMshareC!BZ$2:BZ$78)-IMshareC!BZ$78&gt;0,IMshareC!BZ18/(SUM(IMshareC!BZ$2:BZ$78)-IMshareC!BZ$78),0))</f>
        <v>8.8502891470881406E-4</v>
      </c>
    </row>
    <row r="19" spans="1:78">
      <c r="A19" s="4" t="s">
        <v>105</v>
      </c>
      <c r="B19" s="8">
        <f>IF($A19=B$1,0,IF(SUM(IMshareC!B$2:B$78)-IMshareC!B$2&gt;0,IMshareC!B19/(SUM(IMshareC!B$2:B$78)-IMshareC!B$2),0))</f>
        <v>6.4709203300374306E-7</v>
      </c>
      <c r="C19" s="8">
        <f>IF($A19=C$1,0,IF(SUM(IMshareC!C$2:C$78)-IMshareC!C$3&gt;0,IMshareC!C19/(SUM(IMshareC!C$2:C$78)-IMshareC!C$3),0))</f>
        <v>2.6412229171393363E-5</v>
      </c>
      <c r="D19" s="8">
        <f>IF($A19=D$1,0,IF(SUM(IMshareC!D$2:D$78)-IMshareC!D$4&gt;0,IMshareC!D19/(SUM(IMshareC!D$2:D$78)-IMshareC!D$4),0))</f>
        <v>1.5474563663547022E-6</v>
      </c>
      <c r="E19" s="8">
        <f>IF($A19=E$1,0,IF(SUM(IMshareC!E$2:E$78)-IMshareC!E$5&gt;0,IMshareC!E19/(SUM(IMshareC!E$2:E$78)-IMshareC!E$5),0))</f>
        <v>0</v>
      </c>
      <c r="F19" s="8">
        <f>IF($A19=F$1,0,IF(SUM(IMshareC!F$2:F$78)-IMshareC!F$6&gt;0,IMshareC!F19/(SUM(IMshareC!F$2:F$78)-IMshareC!F$6),0))</f>
        <v>0</v>
      </c>
      <c r="G19" s="8">
        <f>IF($A19=G$1,0,IF(SUM(IMshareC!G$2:G$78)-IMshareC!G$7&gt;0,IMshareC!G19/(SUM(IMshareC!G$2:G$78)-IMshareC!G$7),0))</f>
        <v>4.0014671414810867E-7</v>
      </c>
      <c r="H19" s="8">
        <f>IF($A19=H$1,0,IF(SUM(IMshareC!H$2:H$78)-IMshareC!H$8&gt;0,IMshareC!H19/(SUM(IMshareC!H$2:H$78)-IMshareC!H$8),0))</f>
        <v>0</v>
      </c>
      <c r="I19" s="8">
        <f>IF($A19=I$1,0,IF(SUM(IMshareC!I$2:I$78)-IMshareC!I$9&gt;0,IMshareC!I19/(SUM(IMshareC!I$2:I$78)-IMshareC!I$9),0))</f>
        <v>0</v>
      </c>
      <c r="J19" s="8">
        <f>IF($A19=J$1,0,IF(SUM(IMshareC!J$2:J$78)-IMshareC!J$10&gt;0,IMshareC!J19/(SUM(IMshareC!J$2:J$78)-IMshareC!J$10),0))</f>
        <v>0</v>
      </c>
      <c r="K19" s="8">
        <f>IF($A19=K$1,0,IF(SUM(IMshareC!K$2:K$78)-IMshareC!K$11&gt;0,IMshareC!K19/(SUM(IMshareC!K$2:K$78)-IMshareC!K$11),0))</f>
        <v>1.9671653396232093E-7</v>
      </c>
      <c r="L19" s="8">
        <f>IF($A19=L$1,0,IF(SUM(IMshareC!L$2:L$78)-IMshareC!L$12&gt;0,IMshareC!L19/(SUM(IMshareC!L$2:L$78)-IMshareC!L$12),0))</f>
        <v>5.7858004423026299E-6</v>
      </c>
      <c r="M19" s="8">
        <f>IF($A19=M$1,0,IF(SUM(IMshareC!M$2:M$78)-IMshareC!M$13&gt;0,IMshareC!M19/(SUM(IMshareC!M$2:M$78)-IMshareC!M$13),0))</f>
        <v>1.7451172738132913E-5</v>
      </c>
      <c r="N19" s="8">
        <f>IF($A19=N$1,0,IF(SUM(IMshareC!N$2:N$78)-IMshareC!N$14&gt;0,IMshareC!N19/(SUM(IMshareC!N$2:N$78)-IMshareC!N$14),0))</f>
        <v>3.6886753285099652E-7</v>
      </c>
      <c r="O19" s="8">
        <f>IF($A19=O$1,0,IF(SUM(IMshareC!O$2:O$78)-IMshareC!O$15&gt;0,IMshareC!O19/(SUM(IMshareC!O$2:O$78)-IMshareC!O$15),0))</f>
        <v>4.4414462452912294E-5</v>
      </c>
      <c r="P19" s="8">
        <f>IF($A19=P$1,0,IF(SUM(IMshareC!P$2:P$78)-IMshareC!P$16&gt;0,IMshareC!P19/(SUM(IMshareC!P$2:P$78)-IMshareC!P$16),0))</f>
        <v>0</v>
      </c>
      <c r="Q19" s="8">
        <f>IF($A19=Q$1,0,IF(SUM(IMshareC!Q$2:Q$78)-IMshareC!Q$17&gt;0,IMshareC!Q19/(SUM(IMshareC!Q$2:Q$78)-IMshareC!Q$17),0))</f>
        <v>1.9909257207158155E-5</v>
      </c>
      <c r="R19" s="8">
        <f>IF($A19=R$1,0,IF(SUM(IMshareC!R$2:R$78)-IMshareC!R$18&gt;0,IMshareC!R19/(SUM(IMshareC!R$2:R$78)-IMshareC!R$18),0))</f>
        <v>0</v>
      </c>
      <c r="S19" s="8">
        <f>IF($A19=S$1,0,IF(SUM(IMshareC!S$2:S$78)-IMshareC!S$19&gt;0,IMshareC!S19/(SUM(IMshareC!S$2:S$78)-IMshareC!S$19),0))</f>
        <v>0</v>
      </c>
      <c r="T19" s="8">
        <f>IF($A19=T$1,0,IF(SUM(IMshareC!T$2:T$78)-IMshareC!T$20&gt;0,IMshareC!T19/(SUM(IMshareC!T$2:T$78)-IMshareC!T$20),0))</f>
        <v>1.7613605842343196E-7</v>
      </c>
      <c r="U19" s="8">
        <f>IF($A19=U$1,0,IF(SUM(IMshareC!U$2:U$78)-IMshareC!U$21&gt;0,IMshareC!U19/(SUM(IMshareC!U$2:U$78)-IMshareC!U$21),0))</f>
        <v>6.612007099887671E-6</v>
      </c>
      <c r="V19" s="8">
        <f>IF($A19=V$1,0,IF(SUM(IMshareC!V$2:V$78)-IMshareC!V$22&gt;0,IMshareC!V19/(SUM(IMshareC!V$2:V$78)-IMshareC!V$22),0))</f>
        <v>2.447847529811364E-7</v>
      </c>
      <c r="W19" s="8">
        <f>IF($A19=W$1,0,IF(SUM(IMshareC!W$2:W$78)-IMshareC!W$23&gt;0,IMshareC!W19/(SUM(IMshareC!W$2:W$78)-IMshareC!W$23),0))</f>
        <v>4.2736462379021845E-7</v>
      </c>
      <c r="X19" s="8">
        <f>IF($A19=X$1,0,IF(SUM(IMshareC!X$2:X$78)-IMshareC!X$24&gt;0,IMshareC!X19/(SUM(IMshareC!X$2:X$78)-IMshareC!X$24),0))</f>
        <v>7.3765700435982715E-7</v>
      </c>
      <c r="Y19" s="8">
        <f>IF($A19=Y$1,0,IF(SUM(IMshareC!Y$2:Y$78)-IMshareC!Y$25&gt;0,IMshareC!Y19/(SUM(IMshareC!Y$2:Y$78)-IMshareC!Y$25),0))</f>
        <v>1.7078194058103687E-6</v>
      </c>
      <c r="Z19" s="8">
        <f>IF($A19=Z$1,0,IF(SUM(IMshareC!Z$2:Z$78)-IMshareC!Z$26&gt;0,IMshareC!Z19/(SUM(IMshareC!Z$2:Z$78)-IMshareC!Z$26),0))</f>
        <v>0</v>
      </c>
      <c r="AA19" s="8">
        <f>IF($A19=AA$1,0,IF(SUM(IMshareC!AA$2:AA$78)-IMshareC!AA$27&gt;0,IMshareC!AA19/(SUM(IMshareC!AA$2:AA$78)-IMshareC!AA$27),0))</f>
        <v>2.1962060098121289E-4</v>
      </c>
      <c r="AB19" s="8">
        <f>IF($A19=AB$1,0,IF(SUM(IMshareC!AB$2:AB$78)-IMshareC!AB$28&gt;0,IMshareC!AB19/(SUM(IMshareC!AB$2:AB$78)-IMshareC!AB$28),0))</f>
        <v>1.0290006357464378E-5</v>
      </c>
      <c r="AC19" s="8">
        <f>IF($A19=AC$1,0,IF(SUM(IMshareC!AC$2:AC$78)-IMshareC!AC$29&gt;0,IMshareC!AC19/(SUM(IMshareC!AC$2:AC$78)-IMshareC!AC$29),0))</f>
        <v>5.0291267831740274E-2</v>
      </c>
      <c r="AD19" s="8">
        <f>IF($A19=AD$1,0,IF(SUM(IMshareC!AD$2:AD$78)-IMshareC!AD$30&gt;0,IMshareC!AD19/(SUM(IMshareC!AD$2:AD$78)-IMshareC!AD$30),0))</f>
        <v>3.5468202162025781E-5</v>
      </c>
      <c r="AE19" s="8">
        <f>IF($A19=AE$1,0,IF(SUM(IMshareC!AE$2:AE$78)-IMshareC!AE$31&gt;0,IMshareC!AE19/(SUM(IMshareC!AE$2:AE$78)-IMshareC!AE$31),0))</f>
        <v>8.8455044751773474E-5</v>
      </c>
      <c r="AF19" s="8">
        <f>IF($A19=AF$1,0,IF(SUM(IMshareC!AF$2:AF$78)-IMshareC!AF$32&gt;0,IMshareC!AF19/(SUM(IMshareC!AF$2:AF$78)-IMshareC!AF$32),0))</f>
        <v>0</v>
      </c>
      <c r="AG19" s="8">
        <f>IF($A19=AG$1,0,IF(SUM(IMshareC!AG$2:AG$78)-IMshareC!AG$33&gt;0,IMshareC!AG19/(SUM(IMshareC!AG$2:AG$78)-IMshareC!AG$33),0))</f>
        <v>2.8353612812868762E-8</v>
      </c>
      <c r="AH19" s="8">
        <f>IF($A19=AH$1,0,IF(SUM(IMshareC!AH$2:AH$78)-IMshareC!AH$34&gt;0,IMshareC!AH19/(SUM(IMshareC!AH$2:AH$78)-IMshareC!AH$34),0))</f>
        <v>1.6173462763585483E-6</v>
      </c>
      <c r="AI19" s="8">
        <f>IF($A19=AI$1,0,IF(SUM(IMshareC!AI$2:AI$78)-IMshareC!AI$35&gt;0,IMshareC!AI19/(SUM(IMshareC!AI$2:AI$78)-IMshareC!AI$35),0))</f>
        <v>2.7451044250918363E-8</v>
      </c>
      <c r="AJ19" s="8">
        <f>IF($A19=AJ$1,0,IF(SUM(IMshareC!AJ$2:AJ$78)-IMshareC!AJ$36&gt;0,IMshareC!AJ19/(SUM(IMshareC!AJ$2:AJ$78)-IMshareC!AJ$36),0))</f>
        <v>0</v>
      </c>
      <c r="AK19" s="8">
        <f>IF($A19=AK$1,0,IF(SUM(IMshareC!AK$2:AK$78)-IMshareC!AK$37&gt;0,IMshareC!AK19/(SUM(IMshareC!AK$2:AK$78)-IMshareC!AK$37),0))</f>
        <v>7.6126974951547146E-4</v>
      </c>
      <c r="AL19" s="8">
        <f>IF($A19=AL$1,0,IF(SUM(IMshareC!AL$2:AL$78)-IMshareC!AL$38&gt;0,IMshareC!AL19/(SUM(IMshareC!AL$2:AL$78)-IMshareC!AL$38),0))</f>
        <v>3.188751221282994E-6</v>
      </c>
      <c r="AM19" s="8">
        <f>IF($A19=AM$1,0,IF(SUM(IMshareC!AM$2:AM$78)-IMshareC!AM$39&gt;0,IMshareC!AM19/(SUM(IMshareC!AM$2:AM$78)-IMshareC!AM$39),0))</f>
        <v>1.3130927671634962E-3</v>
      </c>
      <c r="AN19" s="8">
        <f>IF($A19=AN$1,0,IF(SUM(IMshareC!AN$2:AN$78)-IMshareC!AN$40&gt;0,IMshareC!AN19/(SUM(IMshareC!AN$2:AN$78)-IMshareC!AN$40),0))</f>
        <v>0</v>
      </c>
      <c r="AO19" s="8">
        <f>IF($A19=AO$1,0,IF(SUM(IMshareC!AO$2:AO$78)-IMshareC!AO$41&gt;0,IMshareC!AO19/(SUM(IMshareC!AO$2:AO$78)-IMshareC!AO$41),0))</f>
        <v>0</v>
      </c>
      <c r="AP19" s="8">
        <f>IF($A19=AP$1,0,IF(SUM(IMshareC!AP$2:AP$78)-IMshareC!AP$42&gt;0,IMshareC!AP19/(SUM(IMshareC!AP$2:AP$78)-IMshareC!AP$42),0))</f>
        <v>0</v>
      </c>
      <c r="AQ19" s="8">
        <f>IF($A19=AQ$1,0,IF(SUM(IMshareC!AQ$2:AQ$78)-IMshareC!AQ$43&gt;0,IMshareC!AQ19/(SUM(IMshareC!AQ$2:AQ$78)-IMshareC!AQ$43),0))</f>
        <v>0</v>
      </c>
      <c r="AR19" s="8">
        <f>IF($A19=AR$1,0,IF(SUM(IMshareC!AR$2:AR$78)-IMshareC!AR$44&gt;0,IMshareC!AR19/(SUM(IMshareC!AR$2:AR$78)-IMshareC!AR$44),0))</f>
        <v>0</v>
      </c>
      <c r="AS19" s="8">
        <f>IF($A19=AS$1,0,IF(SUM(IMshareC!AS$2:AS$78)-IMshareC!AS$45&gt;0,IMshareC!AS19/(SUM(IMshareC!AS$2:AS$78)-IMshareC!AS$45),0))</f>
        <v>2.8234121698393803E-7</v>
      </c>
      <c r="AT19" s="8">
        <f>IF($A19=AT$1,0,IF(SUM(IMshareC!AT$2:AT$78)-IMshareC!AT$46&gt;0,IMshareC!AT19/(SUM(IMshareC!AT$2:AT$78)-IMshareC!AT$46),0))</f>
        <v>0</v>
      </c>
      <c r="AU19" s="8">
        <f>IF($A19=AU$1,0,IF(SUM(IMshareC!AU$2:AU$78)-IMshareC!AU$47&gt;0,IMshareC!AU19/(SUM(IMshareC!AU$2:AU$78)-IMshareC!AU$47),0))</f>
        <v>0</v>
      </c>
      <c r="AV19" s="8">
        <f>IF($A19=AV$1,0,IF(SUM(IMshareC!AV$2:AV$78)-IMshareC!AV$48&gt;0,IMshareC!AV19/(SUM(IMshareC!AV$2:AV$78)-IMshareC!AV$48),0))</f>
        <v>6.2862826253638458E-6</v>
      </c>
      <c r="AW19" s="8">
        <f>IF($A19=AW$1,0,IF(SUM(IMshareC!AW$2:AW$78)-IMshareC!AW$49&gt;0,IMshareC!AW19/(SUM(IMshareC!AW$2:AW$78)-IMshareC!AW$49),0))</f>
        <v>1.8334729832161346E-7</v>
      </c>
      <c r="AX19" s="8">
        <f>IF($A19=AX$1,0,IF(SUM(IMshareC!AX$2:AX$78)-IMshareC!AX$50&gt;0,IMshareC!AX19/(SUM(IMshareC!AX$2:AX$78)-IMshareC!AX$50),0))</f>
        <v>0</v>
      </c>
      <c r="AY19" s="8">
        <f>IF($A19=AY$1,0,IF(SUM(IMshareC!AY$2:AY$78)-IMshareC!AY$51&gt;0,IMshareC!AY19/(SUM(IMshareC!AY$2:AY$78)-IMshareC!AY$51),0))</f>
        <v>0</v>
      </c>
      <c r="AZ19" s="8">
        <f>IF($A19=AZ$1,0,IF(SUM(IMshareC!AZ$2:AZ$78)-IMshareC!AZ$52&gt;0,IMshareC!AZ19/(SUM(IMshareC!AZ$2:AZ$78)-IMshareC!AZ$52),0))</f>
        <v>0</v>
      </c>
      <c r="BA19" s="8">
        <f>IF($A19=BA$1,0,IF(SUM(IMshareC!BA$2:BA$78)-IMshareC!BA$53&gt;0,IMshareC!BA19/(SUM(IMshareC!BA$2:BA$78)-IMshareC!BA$53),0))</f>
        <v>2.520440783045564E-4</v>
      </c>
      <c r="BB19" s="8">
        <f>IF($A19=BB$1,0,IF(SUM(IMshareC!BB$2:BB$78)-IMshareC!BB$54&gt;0,IMshareC!BB19/(SUM(IMshareC!BB$2:BB$78)-IMshareC!BB$54),0))</f>
        <v>9.1854217350113976E-6</v>
      </c>
      <c r="BC19" s="8">
        <f>IF($A19=BC$1,0,IF(SUM(IMshareC!BC$2:BC$78)-IMshareC!BC$55&gt;0,IMshareC!BC19/(SUM(IMshareC!BC$2:BC$78)-IMshareC!BC$55),0))</f>
        <v>4.1312916765390971E-5</v>
      </c>
      <c r="BD19" s="8">
        <f>IF($A19=BD$1,0,IF(SUM(IMshareC!BD$2:BD$78)-IMshareC!BD$56&gt;0,IMshareC!BD19/(SUM(IMshareC!BD$2:BD$78)-IMshareC!BD$56),0))</f>
        <v>0</v>
      </c>
      <c r="BE19" s="8">
        <f>IF($A19=BE$1,0,IF(SUM(IMshareC!BE$2:BE$78)-IMshareC!BE$57&gt;0,IMshareC!BE19/(SUM(IMshareC!BE$2:BE$78)-IMshareC!BE$57),0))</f>
        <v>0</v>
      </c>
      <c r="BF19" s="8">
        <f>IF($A19=BF$1,0,IF(SUM(IMshareC!BF$2:BF$78)-IMshareC!BF$58&gt;0,IMshareC!BF19/(SUM(IMshareC!BF$2:BF$78)-IMshareC!BF$58),0))</f>
        <v>0</v>
      </c>
      <c r="BG19" s="8">
        <f>IF($A19=BG$1,0,IF(SUM(IMshareC!BG$2:BG$78)-IMshareC!BG$59&gt;0,IMshareC!BG19/(SUM(IMshareC!BG$2:BG$78)-IMshareC!BG$59),0))</f>
        <v>0</v>
      </c>
      <c r="BH19" s="8">
        <f>IF($A19=BH$1,0,IF(SUM(IMshareC!BH$2:BH$78)-IMshareC!BH$60&gt;0,IMshareC!BH19/(SUM(IMshareC!BH$2:BH$78)-IMshareC!BH$60),0))</f>
        <v>1.6117140642347181E-6</v>
      </c>
      <c r="BI19" s="8">
        <f>IF($A19=BI$1,0,IF(SUM(IMshareC!BI$2:BI$78)-IMshareC!BI$61&gt;0,IMshareC!BI19/(SUM(IMshareC!BI$2:BI$78)-IMshareC!BI$61),0))</f>
        <v>1.1448798920784323E-4</v>
      </c>
      <c r="BJ19" s="8">
        <f>IF($A19=BJ$1,0,IF(SUM(IMshareC!BJ$2:BJ$78)-IMshareC!BJ$62&gt;0,IMshareC!BJ19/(SUM(IMshareC!BJ$2:BJ$78)-IMshareC!BJ$62),0))</f>
        <v>3.2427375901359573E-6</v>
      </c>
      <c r="BK19" s="8">
        <f>IF($A19=BK$1,0,IF(SUM(IMshareC!BK$2:BK$78)-IMshareC!BK$63&gt;0,IMshareC!BK19/(SUM(IMshareC!BK$2:BK$78)-IMshareC!BK$63),0))</f>
        <v>0</v>
      </c>
      <c r="BL19" s="8">
        <f>IF($A19=BL$1,0,IF(SUM(IMshareC!BL$2:BL$78)-IMshareC!BL$64&gt;0,IMshareC!BL19/(SUM(IMshareC!BL$2:BL$78)-IMshareC!BL$64),0))</f>
        <v>4.1428447878563396E-6</v>
      </c>
      <c r="BM19" s="8">
        <f>IF($A19=BM$1,0,IF(SUM(IMshareC!BM$2:BM$78)-IMshareC!BM$65&gt;0,IMshareC!BM19/(SUM(IMshareC!BM$2:BM$78)-IMshareC!BM$65),0))</f>
        <v>0</v>
      </c>
      <c r="BN19" s="8">
        <f>IF($A19=BN$1,0,IF(SUM(IMshareC!BN$2:BN$78)-IMshareC!BN$66&gt;0,IMshareC!BN19/(SUM(IMshareC!BN$2:BN$78)-IMshareC!BN$66),0))</f>
        <v>1.6443829542047451E-6</v>
      </c>
      <c r="BO19" s="8">
        <f>IF($A19=BO$1,0,IF(SUM(IMshareC!BO$2:BO$78)-IMshareC!BO$67&gt;0,IMshareC!BO19/(SUM(IMshareC!BO$2:BO$78)-IMshareC!BO$67),0))</f>
        <v>1.1831968289414563E-6</v>
      </c>
      <c r="BP19" s="8">
        <f>IF($A19=BP$1,0,IF(SUM(IMshareC!BP$2:BP$78)-IMshareC!BP$68&gt;0,IMshareC!BP19/(SUM(IMshareC!BP$2:BP$78)-IMshareC!BP$68),0))</f>
        <v>9.8040999145593602E-5</v>
      </c>
      <c r="BQ19" s="8">
        <f>IF($A19=BQ$1,0,IF(SUM(IMshareC!BQ$2:BQ$78)-IMshareC!BQ$69&gt;0,IMshareC!BQ19/(SUM(IMshareC!BQ$2:BQ$78)-IMshareC!BQ$69),0))</f>
        <v>2.5853378039639321E-5</v>
      </c>
      <c r="BR19" s="8">
        <f>IF($A19=BR$1,0,IF(SUM(IMshareC!BR$2:BR$78)-IMshareC!BR$70&gt;0,IMshareC!BR19/(SUM(IMshareC!BR$2:BR$78)-IMshareC!BR$70),0))</f>
        <v>4.2904241452420508E-7</v>
      </c>
      <c r="BS19" s="8">
        <f>IF($A19=BS$1,0,IF(SUM(IMshareC!BS$2:BS$78)-IMshareC!BS$71&gt;0,IMshareC!BS19/(SUM(IMshareC!BS$2:BS$78)-IMshareC!BS$71),0))</f>
        <v>0</v>
      </c>
      <c r="BT19" s="8">
        <f>IF($A19=BT$1,0,IF(SUM(IMshareC!BT$2:BT$78)-IMshareC!BT$72&gt;0,IMshareC!BT19/(SUM(IMshareC!BT$2:BT$78)-IMshareC!BT$72),0))</f>
        <v>8.1030472248571913E-8</v>
      </c>
      <c r="BU19" s="8">
        <f>IF($A19=BU$1,0,IF(SUM(IMshareC!BU$2:BU$78)-IMshareC!BU$73&gt;0,IMshareC!BU19/(SUM(IMshareC!BU$2:BU$78)-IMshareC!BU$73),0))</f>
        <v>0</v>
      </c>
      <c r="BV19" s="8">
        <f>IF($A19=BV$1,0,IF(SUM(IMshareC!BV$2:BV$78)-IMshareC!BV$74&gt;0,IMshareC!BV19/(SUM(IMshareC!BV$2:BV$78)-IMshareC!BV$74),0))</f>
        <v>0</v>
      </c>
      <c r="BW19" s="8">
        <f>IF($A19=BW$1,0,IF(SUM(IMshareC!BW$2:BW$78)-IMshareC!BW$75&gt;0,IMshareC!BW19/(SUM(IMshareC!BW$2:BW$78)-IMshareC!BW$75),0))</f>
        <v>2.4095968014438117E-6</v>
      </c>
      <c r="BX19" s="8">
        <f>IF($A19=BX$1,0,IF(SUM(IMshareC!BX$2:BX$78)-IMshareC!BX$76&gt;0,IMshareC!BX19/(SUM(IMshareC!BX$2:BX$78)-IMshareC!BX$76),0))</f>
        <v>0</v>
      </c>
      <c r="BY19" s="8">
        <f>IF($A19=BY$1,0,IF(SUM(IMshareC!BY$2:BY$78)-IMshareC!BY$77&gt;0,IMshareC!BY19/(SUM(IMshareC!BY$2:BY$78)-IMshareC!BY$77),0))</f>
        <v>2.2905084688846619E-5</v>
      </c>
      <c r="BZ19" s="8">
        <f>IF($A19=BZ$1,0,IF(SUM(IMshareC!BZ$2:BZ$78)-IMshareC!BZ$78&gt;0,IMshareC!BZ19/(SUM(IMshareC!BZ$2:BZ$78)-IMshareC!BZ$78),0))</f>
        <v>4.1357793869248573E-6</v>
      </c>
    </row>
    <row r="20" spans="1:78">
      <c r="A20" s="4" t="s">
        <v>107</v>
      </c>
      <c r="B20" s="8">
        <f>IF($A20=B$1,0,IF(SUM(IMshareC!B$2:B$78)-IMshareC!B$2&gt;0,IMshareC!B20/(SUM(IMshareC!B$2:B$78)-IMshareC!B$2),0))</f>
        <v>6.3847975500112954E-3</v>
      </c>
      <c r="C20" s="8">
        <f>IF($A20=C$1,0,IF(SUM(IMshareC!C$2:C$78)-IMshareC!C$3&gt;0,IMshareC!C20/(SUM(IMshareC!C$2:C$78)-IMshareC!C$3),0))</f>
        <v>8.8231768660930431E-3</v>
      </c>
      <c r="D20" s="8">
        <f>IF($A20=D$1,0,IF(SUM(IMshareC!D$2:D$78)-IMshareC!D$4&gt;0,IMshareC!D20/(SUM(IMshareC!D$2:D$78)-IMshareC!D$4),0))</f>
        <v>3.2856795457887195E-2</v>
      </c>
      <c r="E20" s="8">
        <f>IF($A20=E$1,0,IF(SUM(IMshareC!E$2:E$78)-IMshareC!E$5&gt;0,IMshareC!E20/(SUM(IMshareC!E$2:E$78)-IMshareC!E$5),0))</f>
        <v>3.3682357604063276E-3</v>
      </c>
      <c r="F20" s="8">
        <f>IF($A20=F$1,0,IF(SUM(IMshareC!F$2:F$78)-IMshareC!F$6&gt;0,IMshareC!F20/(SUM(IMshareC!F$2:F$78)-IMshareC!F$6),0))</f>
        <v>1.2720875262653552E-4</v>
      </c>
      <c r="G20" s="8">
        <f>IF($A20=G$1,0,IF(SUM(IMshareC!G$2:G$78)-IMshareC!G$7&gt;0,IMshareC!G20/(SUM(IMshareC!G$2:G$78)-IMshareC!G$7),0))</f>
        <v>1.2820402015008411E-2</v>
      </c>
      <c r="H20" s="8">
        <f>IF($A20=H$1,0,IF(SUM(IMshareC!H$2:H$78)-IMshareC!H$8&gt;0,IMshareC!H20/(SUM(IMshareC!H$2:H$78)-IMshareC!H$8),0))</f>
        <v>3.8079242896196151E-2</v>
      </c>
      <c r="I20" s="8">
        <f>IF($A20=I$1,0,IF(SUM(IMshareC!I$2:I$78)-IMshareC!I$9&gt;0,IMshareC!I20/(SUM(IMshareC!I$2:I$78)-IMshareC!I$9),0))</f>
        <v>3.6634824839155019E-3</v>
      </c>
      <c r="J20" s="8">
        <f>IF($A20=J$1,0,IF(SUM(IMshareC!J$2:J$78)-IMshareC!J$10&gt;0,IMshareC!J20/(SUM(IMshareC!J$2:J$78)-IMshareC!J$10),0))</f>
        <v>1.7447218296284979E-3</v>
      </c>
      <c r="K20" s="8">
        <f>IF($A20=K$1,0,IF(SUM(IMshareC!K$2:K$78)-IMshareC!K$11&gt;0,IMshareC!K20/(SUM(IMshareC!K$2:K$78)-IMshareC!K$11),0))</f>
        <v>4.3477084574650507E-4</v>
      </c>
      <c r="L20" s="8">
        <f>IF($A20=L$1,0,IF(SUM(IMshareC!L$2:L$78)-IMshareC!L$12&gt;0,IMshareC!L20/(SUM(IMshareC!L$2:L$78)-IMshareC!L$12),0))</f>
        <v>8.6966542283324812E-3</v>
      </c>
      <c r="M20" s="8">
        <f>IF($A20=M$1,0,IF(SUM(IMshareC!M$2:M$78)-IMshareC!M$13&gt;0,IMshareC!M20/(SUM(IMshareC!M$2:M$78)-IMshareC!M$13),0))</f>
        <v>3.1558081704079716E-3</v>
      </c>
      <c r="N20" s="8">
        <f>IF($A20=N$1,0,IF(SUM(IMshareC!N$2:N$78)-IMshareC!N$14&gt;0,IMshareC!N20/(SUM(IMshareC!N$2:N$78)-IMshareC!N$14),0))</f>
        <v>1.8149822360059679E-4</v>
      </c>
      <c r="O20" s="8">
        <f>IF($A20=O$1,0,IF(SUM(IMshareC!O$2:O$78)-IMshareC!O$15&gt;0,IMshareC!O20/(SUM(IMshareC!O$2:O$78)-IMshareC!O$15),0))</f>
        <v>6.0187939159248869E-3</v>
      </c>
      <c r="P20" s="8">
        <f>IF($A20=P$1,0,IF(SUM(IMshareC!P$2:P$78)-IMshareC!P$16&gt;0,IMshareC!P20/(SUM(IMshareC!P$2:P$78)-IMshareC!P$16),0))</f>
        <v>4.2526401574058646E-3</v>
      </c>
      <c r="Q20" s="8">
        <f>IF($A20=Q$1,0,IF(SUM(IMshareC!Q$2:Q$78)-IMshareC!Q$17&gt;0,IMshareC!Q20/(SUM(IMshareC!Q$2:Q$78)-IMshareC!Q$17),0))</f>
        <v>2.9774202083992611E-3</v>
      </c>
      <c r="R20" s="8">
        <f>IF($A20=R$1,0,IF(SUM(IMshareC!R$2:R$78)-IMshareC!R$18&gt;0,IMshareC!R20/(SUM(IMshareC!R$2:R$78)-IMshareC!R$18),0))</f>
        <v>1.1357356851176845E-3</v>
      </c>
      <c r="S20" s="8">
        <f>IF($A20=S$1,0,IF(SUM(IMshareC!S$2:S$78)-IMshareC!S$19&gt;0,IMshareC!S20/(SUM(IMshareC!S$2:S$78)-IMshareC!S$19),0))</f>
        <v>1.4164292664306953E-3</v>
      </c>
      <c r="T20" s="8">
        <f>IF($A20=T$1,0,IF(SUM(IMshareC!T$2:T$78)-IMshareC!T$20&gt;0,IMshareC!T20/(SUM(IMshareC!T$2:T$78)-IMshareC!T$20),0))</f>
        <v>0</v>
      </c>
      <c r="U20" s="8">
        <f>IF($A20=U$1,0,IF(SUM(IMshareC!U$2:U$78)-IMshareC!U$21&gt;0,IMshareC!U20/(SUM(IMshareC!U$2:U$78)-IMshareC!U$21),0))</f>
        <v>1.12634730769517E-2</v>
      </c>
      <c r="V20" s="8">
        <f>IF($A20=V$1,0,IF(SUM(IMshareC!V$2:V$78)-IMshareC!V$22&gt;0,IMshareC!V20/(SUM(IMshareC!V$2:V$78)-IMshareC!V$22),0))</f>
        <v>2.5667657264773408E-2</v>
      </c>
      <c r="W20" s="8">
        <f>IF($A20=W$1,0,IF(SUM(IMshareC!W$2:W$78)-IMshareC!W$23&gt;0,IMshareC!W20/(SUM(IMshareC!W$2:W$78)-IMshareC!W$23),0))</f>
        <v>2.4943999648096506E-3</v>
      </c>
      <c r="X20" s="8">
        <f>IF($A20=X$1,0,IF(SUM(IMshareC!X$2:X$78)-IMshareC!X$24&gt;0,IMshareC!X20/(SUM(IMshareC!X$2:X$78)-IMshareC!X$24),0))</f>
        <v>2.1047058718516653E-2</v>
      </c>
      <c r="Y20" s="8">
        <f>IF($A20=Y$1,0,IF(SUM(IMshareC!Y$2:Y$78)-IMshareC!Y$25&gt;0,IMshareC!Y20/(SUM(IMshareC!Y$2:Y$78)-IMshareC!Y$25),0))</f>
        <v>2.5595316658958149E-3</v>
      </c>
      <c r="Z20" s="8">
        <f>IF($A20=Z$1,0,IF(SUM(IMshareC!Z$2:Z$78)-IMshareC!Z$26&gt;0,IMshareC!Z20/(SUM(IMshareC!Z$2:Z$78)-IMshareC!Z$26),0))</f>
        <v>6.2117951829653503E-3</v>
      </c>
      <c r="AA20" s="8">
        <f>IF($A20=AA$1,0,IF(SUM(IMshareC!AA$2:AA$78)-IMshareC!AA$27&gt;0,IMshareC!AA20/(SUM(IMshareC!AA$2:AA$78)-IMshareC!AA$27),0))</f>
        <v>1.1357780422139153E-2</v>
      </c>
      <c r="AB20" s="8">
        <f>IF($A20=AB$1,0,IF(SUM(IMshareC!AB$2:AB$78)-IMshareC!AB$28&gt;0,IMshareC!AB20/(SUM(IMshareC!AB$2:AB$78)-IMshareC!AB$28),0))</f>
        <v>7.5408968589743709E-3</v>
      </c>
      <c r="AC20" s="8">
        <f>IF($A20=AC$1,0,IF(SUM(IMshareC!AC$2:AC$78)-IMshareC!AC$29&gt;0,IMshareC!AC20/(SUM(IMshareC!AC$2:AC$78)-IMshareC!AC$29),0))</f>
        <v>7.7004397334334024E-3</v>
      </c>
      <c r="AD20" s="8">
        <f>IF($A20=AD$1,0,IF(SUM(IMshareC!AD$2:AD$78)-IMshareC!AD$30&gt;0,IMshareC!AD20/(SUM(IMshareC!AD$2:AD$78)-IMshareC!AD$30),0))</f>
        <v>5.9182925867161751E-5</v>
      </c>
      <c r="AE20" s="8">
        <f>IF($A20=AE$1,0,IF(SUM(IMshareC!AE$2:AE$78)-IMshareC!AE$31&gt;0,IMshareC!AE20/(SUM(IMshareC!AE$2:AE$78)-IMshareC!AE$31),0))</f>
        <v>4.3663404553541771E-2</v>
      </c>
      <c r="AF20" s="8">
        <f>IF($A20=AF$1,0,IF(SUM(IMshareC!AF$2:AF$78)-IMshareC!AF$32&gt;0,IMshareC!AF20/(SUM(IMshareC!AF$2:AF$78)-IMshareC!AF$32),0))</f>
        <v>1.4694600332033727E-2</v>
      </c>
      <c r="AG20" s="8">
        <f>IF($A20=AG$1,0,IF(SUM(IMshareC!AG$2:AG$78)-IMshareC!AG$33&gt;0,IMshareC!AG20/(SUM(IMshareC!AG$2:AG$78)-IMshareC!AG$33),0))</f>
        <v>1.3596525515915402E-4</v>
      </c>
      <c r="AH20" s="8">
        <f>IF($A20=AH$1,0,IF(SUM(IMshareC!AH$2:AH$78)-IMshareC!AH$34&gt;0,IMshareC!AH20/(SUM(IMshareC!AH$2:AH$78)-IMshareC!AH$34),0))</f>
        <v>5.1312134931979527E-4</v>
      </c>
      <c r="AI20" s="8">
        <f>IF($A20=AI$1,0,IF(SUM(IMshareC!AI$2:AI$78)-IMshareC!AI$35&gt;0,IMshareC!AI20/(SUM(IMshareC!AI$2:AI$78)-IMshareC!AI$35),0))</f>
        <v>3.2354838481324724E-4</v>
      </c>
      <c r="AJ20" s="8">
        <f>IF($A20=AJ$1,0,IF(SUM(IMshareC!AJ$2:AJ$78)-IMshareC!AJ$36&gt;0,IMshareC!AJ20/(SUM(IMshareC!AJ$2:AJ$78)-IMshareC!AJ$36),0))</f>
        <v>6.7951872770025852E-3</v>
      </c>
      <c r="AK20" s="8">
        <f>IF($A20=AK$1,0,IF(SUM(IMshareC!AK$2:AK$78)-IMshareC!AK$37&gt;0,IMshareC!AK20/(SUM(IMshareC!AK$2:AK$78)-IMshareC!AK$37),0))</f>
        <v>9.2509263515718127E-4</v>
      </c>
      <c r="AL20" s="8">
        <f>IF($A20=AL$1,0,IF(SUM(IMshareC!AL$2:AL$78)-IMshareC!AL$38&gt;0,IMshareC!AL20/(SUM(IMshareC!AL$2:AL$78)-IMshareC!AL$38),0))</f>
        <v>1.517817789995755E-2</v>
      </c>
      <c r="AM20" s="8">
        <f>IF($A20=AM$1,0,IF(SUM(IMshareC!AM$2:AM$78)-IMshareC!AM$39&gt;0,IMshareC!AM20/(SUM(IMshareC!AM$2:AM$78)-IMshareC!AM$39),0))</f>
        <v>4.999331161044113E-3</v>
      </c>
      <c r="AN20" s="8">
        <f>IF($A20=AN$1,0,IF(SUM(IMshareC!AN$2:AN$78)-IMshareC!AN$40&gt;0,IMshareC!AN20/(SUM(IMshareC!AN$2:AN$78)-IMshareC!AN$40),0))</f>
        <v>7.9954744691616961E-4</v>
      </c>
      <c r="AO20" s="8">
        <f>IF($A20=AO$1,0,IF(SUM(IMshareC!AO$2:AO$78)-IMshareC!AO$41&gt;0,IMshareC!AO20/(SUM(IMshareC!AO$2:AO$78)-IMshareC!AO$41),0))</f>
        <v>3.2525121390082012E-2</v>
      </c>
      <c r="AP20" s="8">
        <f>IF($A20=AP$1,0,IF(SUM(IMshareC!AP$2:AP$78)-IMshareC!AP$42&gt;0,IMshareC!AP20/(SUM(IMshareC!AP$2:AP$78)-IMshareC!AP$42),0))</f>
        <v>0</v>
      </c>
      <c r="AQ20" s="8">
        <f>IF($A20=AQ$1,0,IF(SUM(IMshareC!AQ$2:AQ$78)-IMshareC!AQ$43&gt;0,IMshareC!AQ20/(SUM(IMshareC!AQ$2:AQ$78)-IMshareC!AQ$43),0))</f>
        <v>1.0581940425215954E-4</v>
      </c>
      <c r="AR20" s="8">
        <f>IF($A20=AR$1,0,IF(SUM(IMshareC!AR$2:AR$78)-IMshareC!AR$44&gt;0,IMshareC!AR20/(SUM(IMshareC!AR$2:AR$78)-IMshareC!AR$44),0))</f>
        <v>4.1311600581487689E-4</v>
      </c>
      <c r="AS20" s="8">
        <f>IF($A20=AS$1,0,IF(SUM(IMshareC!AS$2:AS$78)-IMshareC!AS$45&gt;0,IMshareC!AS20/(SUM(IMshareC!AS$2:AS$78)-IMshareC!AS$45),0))</f>
        <v>1.166161137220682E-2</v>
      </c>
      <c r="AT20" s="8">
        <f>IF($A20=AT$1,0,IF(SUM(IMshareC!AT$2:AT$78)-IMshareC!AT$46&gt;0,IMshareC!AT20/(SUM(IMshareC!AT$2:AT$78)-IMshareC!AT$46),0))</f>
        <v>1.4192610845009383E-2</v>
      </c>
      <c r="AU20" s="8">
        <f>IF($A20=AU$1,0,IF(SUM(IMshareC!AU$2:AU$78)-IMshareC!AU$47&gt;0,IMshareC!AU20/(SUM(IMshareC!AU$2:AU$78)-IMshareC!AU$47),0))</f>
        <v>2.6379908121190381E-2</v>
      </c>
      <c r="AV20" s="8">
        <f>IF($A20=AV$1,0,IF(SUM(IMshareC!AV$2:AV$78)-IMshareC!AV$48&gt;0,IMshareC!AV20/(SUM(IMshareC!AV$2:AV$78)-IMshareC!AV$48),0))</f>
        <v>3.3427211341354045E-3</v>
      </c>
      <c r="AW20" s="8">
        <f>IF($A20=AW$1,0,IF(SUM(IMshareC!AW$2:AW$78)-IMshareC!AW$49&gt;0,IMshareC!AW20/(SUM(IMshareC!AW$2:AW$78)-IMshareC!AW$49),0))</f>
        <v>1.3587556398946873E-3</v>
      </c>
      <c r="AX20" s="8">
        <f>IF($A20=AX$1,0,IF(SUM(IMshareC!AX$2:AX$78)-IMshareC!AX$50&gt;0,IMshareC!AX20/(SUM(IMshareC!AX$2:AX$78)-IMshareC!AX$50),0))</f>
        <v>3.1930520688628099E-6</v>
      </c>
      <c r="AY20" s="8">
        <f>IF($A20=AY$1,0,IF(SUM(IMshareC!AY$2:AY$78)-IMshareC!AY$51&gt;0,IMshareC!AY20/(SUM(IMshareC!AY$2:AY$78)-IMshareC!AY$51),0))</f>
        <v>2.5839109467855207E-3</v>
      </c>
      <c r="AZ20" s="8">
        <f>IF($A20=AZ$1,0,IF(SUM(IMshareC!AZ$2:AZ$78)-IMshareC!AZ$52&gt;0,IMshareC!AZ20/(SUM(IMshareC!AZ$2:AZ$78)-IMshareC!AZ$52),0))</f>
        <v>1.320448460055174E-3</v>
      </c>
      <c r="BA20" s="8">
        <f>IF($A20=BA$1,0,IF(SUM(IMshareC!BA$2:BA$78)-IMshareC!BA$53&gt;0,IMshareC!BA20/(SUM(IMshareC!BA$2:BA$78)-IMshareC!BA$53),0))</f>
        <v>1.2610961207228945E-3</v>
      </c>
      <c r="BB20" s="8">
        <f>IF($A20=BB$1,0,IF(SUM(IMshareC!BB$2:BB$78)-IMshareC!BB$54&gt;0,IMshareC!BB20/(SUM(IMshareC!BB$2:BB$78)-IMshareC!BB$54),0))</f>
        <v>1.2413138304142023E-2</v>
      </c>
      <c r="BC20" s="8">
        <f>IF($A20=BC$1,0,IF(SUM(IMshareC!BC$2:BC$78)-IMshareC!BC$55&gt;0,IMshareC!BC20/(SUM(IMshareC!BC$2:BC$78)-IMshareC!BC$55),0))</f>
        <v>3.584170978964745E-3</v>
      </c>
      <c r="BD20" s="8">
        <f>IF($A20=BD$1,0,IF(SUM(IMshareC!BD$2:BD$78)-IMshareC!BD$56&gt;0,IMshareC!BD20/(SUM(IMshareC!BD$2:BD$78)-IMshareC!BD$56),0))</f>
        <v>2.7743950561037105E-3</v>
      </c>
      <c r="BE20" s="8">
        <f>IF($A20=BE$1,0,IF(SUM(IMshareC!BE$2:BE$78)-IMshareC!BE$57&gt;0,IMshareC!BE20/(SUM(IMshareC!BE$2:BE$78)-IMshareC!BE$57),0))</f>
        <v>5.8073315652772703E-4</v>
      </c>
      <c r="BF20" s="8">
        <f>IF($A20=BF$1,0,IF(SUM(IMshareC!BF$2:BF$78)-IMshareC!BF$58&gt;0,IMshareC!BF20/(SUM(IMshareC!BF$2:BF$78)-IMshareC!BF$58),0))</f>
        <v>6.548396267016289E-3</v>
      </c>
      <c r="BG20" s="8">
        <f>IF($A20=BG$1,0,IF(SUM(IMshareC!BG$2:BG$78)-IMshareC!BG$59&gt;0,IMshareC!BG20/(SUM(IMshareC!BG$2:BG$78)-IMshareC!BG$59),0))</f>
        <v>2.4413139769446685E-3</v>
      </c>
      <c r="BH20" s="8">
        <f>IF($A20=BH$1,0,IF(SUM(IMshareC!BH$2:BH$78)-IMshareC!BH$60&gt;0,IMshareC!BH20/(SUM(IMshareC!BH$2:BH$78)-IMshareC!BH$60),0))</f>
        <v>1.4637049379114329E-2</v>
      </c>
      <c r="BI20" s="8">
        <f>IF($A20=BI$1,0,IF(SUM(IMshareC!BI$2:BI$78)-IMshareC!BI$61&gt;0,IMshareC!BI20/(SUM(IMshareC!BI$2:BI$78)-IMshareC!BI$61),0))</f>
        <v>1.2006486846184203E-2</v>
      </c>
      <c r="BJ20" s="8">
        <f>IF($A20=BJ$1,0,IF(SUM(IMshareC!BJ$2:BJ$78)-IMshareC!BJ$62&gt;0,IMshareC!BJ20/(SUM(IMshareC!BJ$2:BJ$78)-IMshareC!BJ$62),0))</f>
        <v>5.4920383491807506E-3</v>
      </c>
      <c r="BK20" s="8">
        <f>IF($A20=BK$1,0,IF(SUM(IMshareC!BK$2:BK$78)-IMshareC!BK$63&gt;0,IMshareC!BK20/(SUM(IMshareC!BK$2:BK$78)-IMshareC!BK$63),0))</f>
        <v>3.6601847211328246E-2</v>
      </c>
      <c r="BL20" s="8">
        <f>IF($A20=BL$1,0,IF(SUM(IMshareC!BL$2:BL$78)-IMshareC!BL$64&gt;0,IMshareC!BL20/(SUM(IMshareC!BL$2:BL$78)-IMshareC!BL$64),0))</f>
        <v>7.1134844330107763E-3</v>
      </c>
      <c r="BM20" s="8">
        <f>IF($A20=BM$1,0,IF(SUM(IMshareC!BM$2:BM$78)-IMshareC!BM$65&gt;0,IMshareC!BM20/(SUM(IMshareC!BM$2:BM$78)-IMshareC!BM$65),0))</f>
        <v>2.9279853481435663E-4</v>
      </c>
      <c r="BN20" s="8">
        <f>IF($A20=BN$1,0,IF(SUM(IMshareC!BN$2:BN$78)-IMshareC!BN$66&gt;0,IMshareC!BN20/(SUM(IMshareC!BN$2:BN$78)-IMshareC!BN$66),0))</f>
        <v>2.0848692443580991E-4</v>
      </c>
      <c r="BO20" s="8">
        <f>IF($A20=BO$1,0,IF(SUM(IMshareC!BO$2:BO$78)-IMshareC!BO$67&gt;0,IMshareC!BO20/(SUM(IMshareC!BO$2:BO$78)-IMshareC!BO$67),0))</f>
        <v>1.5213487446076732E-2</v>
      </c>
      <c r="BP20" s="8">
        <f>IF($A20=BP$1,0,IF(SUM(IMshareC!BP$2:BP$78)-IMshareC!BP$68&gt;0,IMshareC!BP20/(SUM(IMshareC!BP$2:BP$78)-IMshareC!BP$68),0))</f>
        <v>1.1102726102123345E-2</v>
      </c>
      <c r="BQ20" s="8">
        <f>IF($A20=BQ$1,0,IF(SUM(IMshareC!BQ$2:BQ$78)-IMshareC!BQ$69&gt;0,IMshareC!BQ20/(SUM(IMshareC!BQ$2:BQ$78)-IMshareC!BQ$69),0))</f>
        <v>6.4656006382521015E-3</v>
      </c>
      <c r="BR20" s="8">
        <f>IF($A20=BR$1,0,IF(SUM(IMshareC!BR$2:BR$78)-IMshareC!BR$70&gt;0,IMshareC!BR20/(SUM(IMshareC!BR$2:BR$78)-IMshareC!BR$70),0))</f>
        <v>1.8969713589841433E-4</v>
      </c>
      <c r="BS20" s="8">
        <f>IF($A20=BS$1,0,IF(SUM(IMshareC!BS$2:BS$78)-IMshareC!BS$71&gt;0,IMshareC!BS20/(SUM(IMshareC!BS$2:BS$78)-IMshareC!BS$71),0))</f>
        <v>1.5373322877829481E-3</v>
      </c>
      <c r="BT20" s="8">
        <f>IF($A20=BT$1,0,IF(SUM(IMshareC!BT$2:BT$78)-IMshareC!BT$72&gt;0,IMshareC!BT20/(SUM(IMshareC!BT$2:BT$78)-IMshareC!BT$72),0))</f>
        <v>1.3487141198751705E-2</v>
      </c>
      <c r="BU20" s="8">
        <f>IF($A20=BU$1,0,IF(SUM(IMshareC!BU$2:BU$78)-IMshareC!BU$73&gt;0,IMshareC!BU20/(SUM(IMshareC!BU$2:BU$78)-IMshareC!BU$73),0))</f>
        <v>2.5856663201432859E-5</v>
      </c>
      <c r="BV20" s="8">
        <f>IF($A20=BV$1,0,IF(SUM(IMshareC!BV$2:BV$78)-IMshareC!BV$74&gt;0,IMshareC!BV20/(SUM(IMshareC!BV$2:BV$78)-IMshareC!BV$74),0))</f>
        <v>5.4450995523808417E-3</v>
      </c>
      <c r="BW20" s="8">
        <f>IF($A20=BW$1,0,IF(SUM(IMshareC!BW$2:BW$78)-IMshareC!BW$75&gt;0,IMshareC!BW20/(SUM(IMshareC!BW$2:BW$78)-IMshareC!BW$75),0))</f>
        <v>4.0861434147174011E-4</v>
      </c>
      <c r="BX20" s="8">
        <f>IF($A20=BX$1,0,IF(SUM(IMshareC!BX$2:BX$78)-IMshareC!BX$76&gt;0,IMshareC!BX20/(SUM(IMshareC!BX$2:BX$78)-IMshareC!BX$76),0))</f>
        <v>3.8781924460048665E-6</v>
      </c>
      <c r="BY20" s="8">
        <f>IF($A20=BY$1,0,IF(SUM(IMshareC!BY$2:BY$78)-IMshareC!BY$77&gt;0,IMshareC!BY20/(SUM(IMshareC!BY$2:BY$78)-IMshareC!BY$77),0))</f>
        <v>7.8003890524585987E-3</v>
      </c>
      <c r="BZ20" s="8">
        <f>IF($A20=BZ$1,0,IF(SUM(IMshareC!BZ$2:BZ$78)-IMshareC!BZ$78&gt;0,IMshareC!BZ20/(SUM(IMshareC!BZ$2:BZ$78)-IMshareC!BZ$78),0))</f>
        <v>4.4286573098646399E-3</v>
      </c>
    </row>
    <row r="21" spans="1:78">
      <c r="A21" s="4" t="s">
        <v>109</v>
      </c>
      <c r="B21" s="8">
        <f>IF($A21=B$1,0,IF(SUM(IMshareC!B$2:B$78)-IMshareC!B$2&gt;0,IMshareC!B21/(SUM(IMshareC!B$2:B$78)-IMshareC!B$2),0))</f>
        <v>4.2685912886615031E-2</v>
      </c>
      <c r="C21" s="8">
        <f>IF($A21=C$1,0,IF(SUM(IMshareC!C$2:C$78)-IMshareC!C$3&gt;0,IMshareC!C21/(SUM(IMshareC!C$2:C$78)-IMshareC!C$3),0))</f>
        <v>4.137851441309414E-2</v>
      </c>
      <c r="D21" s="8">
        <f>IF($A21=D$1,0,IF(SUM(IMshareC!D$2:D$78)-IMshareC!D$4&gt;0,IMshareC!D21/(SUM(IMshareC!D$2:D$78)-IMshareC!D$4),0))</f>
        <v>0.21763712729414492</v>
      </c>
      <c r="E21" s="8">
        <f>IF($A21=E$1,0,IF(SUM(IMshareC!E$2:E$78)-IMshareC!E$5&gt;0,IMshareC!E21/(SUM(IMshareC!E$2:E$78)-IMshareC!E$5),0))</f>
        <v>9.1509198046885593E-2</v>
      </c>
      <c r="F21" s="8">
        <f>IF($A21=F$1,0,IF(SUM(IMshareC!F$2:F$78)-IMshareC!F$6&gt;0,IMshareC!F21/(SUM(IMshareC!F$2:F$78)-IMshareC!F$6),0))</f>
        <v>6.6637768596665425E-3</v>
      </c>
      <c r="G21" s="8">
        <f>IF($A21=G$1,0,IF(SUM(IMshareC!G$2:G$78)-IMshareC!G$7&gt;0,IMshareC!G21/(SUM(IMshareC!G$2:G$78)-IMshareC!G$7),0))</f>
        <v>0.27184508821982484</v>
      </c>
      <c r="H21" s="8">
        <f>IF($A21=H$1,0,IF(SUM(IMshareC!H$2:H$78)-IMshareC!H$8&gt;0,IMshareC!H21/(SUM(IMshareC!H$2:H$78)-IMshareC!H$8),0))</f>
        <v>6.9341569115095147E-2</v>
      </c>
      <c r="I21" s="8">
        <f>IF($A21=I$1,0,IF(SUM(IMshareC!I$2:I$78)-IMshareC!I$9&gt;0,IMshareC!I21/(SUM(IMshareC!I$2:I$78)-IMshareC!I$9),0))</f>
        <v>2.4739568202228977E-2</v>
      </c>
      <c r="J21" s="8">
        <f>IF($A21=J$1,0,IF(SUM(IMshareC!J$2:J$78)-IMshareC!J$10&gt;0,IMshareC!J21/(SUM(IMshareC!J$2:J$78)-IMshareC!J$10),0))</f>
        <v>2.2455312111466921E-2</v>
      </c>
      <c r="K21" s="8">
        <f>IF($A21=K$1,0,IF(SUM(IMshareC!K$2:K$78)-IMshareC!K$11&gt;0,IMshareC!K21/(SUM(IMshareC!K$2:K$78)-IMshareC!K$11),0))</f>
        <v>2.7157152977915332E-2</v>
      </c>
      <c r="L21" s="8">
        <f>IF($A21=L$1,0,IF(SUM(IMshareC!L$2:L$78)-IMshareC!L$12&gt;0,IMshareC!L21/(SUM(IMshareC!L$2:L$78)-IMshareC!L$12),0))</f>
        <v>0.14839430740634407</v>
      </c>
      <c r="M21" s="8">
        <f>IF($A21=M$1,0,IF(SUM(IMshareC!M$2:M$78)-IMshareC!M$13&gt;0,IMshareC!M21/(SUM(IMshareC!M$2:M$78)-IMshareC!M$13),0))</f>
        <v>4.398510783910551E-2</v>
      </c>
      <c r="N21" s="8">
        <f>IF($A21=N$1,0,IF(SUM(IMshareC!N$2:N$78)-IMshareC!N$14&gt;0,IMshareC!N21/(SUM(IMshareC!N$2:N$78)-IMshareC!N$14),0))</f>
        <v>8.2912278044588884E-3</v>
      </c>
      <c r="O21" s="8">
        <f>IF($A21=O$1,0,IF(SUM(IMshareC!O$2:O$78)-IMshareC!O$15&gt;0,IMshareC!O21/(SUM(IMshareC!O$2:O$78)-IMshareC!O$15),0))</f>
        <v>6.1980879932609131E-2</v>
      </c>
      <c r="P21" s="8">
        <f>IF($A21=P$1,0,IF(SUM(IMshareC!P$2:P$78)-IMshareC!P$16&gt;0,IMshareC!P21/(SUM(IMshareC!P$2:P$78)-IMshareC!P$16),0))</f>
        <v>4.8054731117630908E-2</v>
      </c>
      <c r="Q21" s="8">
        <f>IF($A21=Q$1,0,IF(SUM(IMshareC!Q$2:Q$78)-IMshareC!Q$17&gt;0,IMshareC!Q21/(SUM(IMshareC!Q$2:Q$78)-IMshareC!Q$17),0))</f>
        <v>4.3298738531748454E-2</v>
      </c>
      <c r="R21" s="8">
        <f>IF($A21=R$1,0,IF(SUM(IMshareC!R$2:R$78)-IMshareC!R$18&gt;0,IMshareC!R21/(SUM(IMshareC!R$2:R$78)-IMshareC!R$18),0))</f>
        <v>1.3500967573269445E-2</v>
      </c>
      <c r="S21" s="8">
        <f>IF($A21=S$1,0,IF(SUM(IMshareC!S$2:S$78)-IMshareC!S$19&gt;0,IMshareC!S21/(SUM(IMshareC!S$2:S$78)-IMshareC!S$19),0))</f>
        <v>0.10972921286765193</v>
      </c>
      <c r="T21" s="8">
        <f>IF($A21=T$1,0,IF(SUM(IMshareC!T$2:T$78)-IMshareC!T$20&gt;0,IMshareC!T21/(SUM(IMshareC!T$2:T$78)-IMshareC!T$20),0))</f>
        <v>0.12442805148807297</v>
      </c>
      <c r="U21" s="8">
        <f>IF($A21=U$1,0,IF(SUM(IMshareC!U$2:U$78)-IMshareC!U$21&gt;0,IMshareC!U21/(SUM(IMshareC!U$2:U$78)-IMshareC!U$21),0))</f>
        <v>0</v>
      </c>
      <c r="V21" s="8">
        <f>IF($A21=V$1,0,IF(SUM(IMshareC!V$2:V$78)-IMshareC!V$22&gt;0,IMshareC!V21/(SUM(IMshareC!V$2:V$78)-IMshareC!V$22),0))</f>
        <v>0.20487554717558185</v>
      </c>
      <c r="W21" s="8">
        <f>IF($A21=W$1,0,IF(SUM(IMshareC!W$2:W$78)-IMshareC!W$23&gt;0,IMshareC!W21/(SUM(IMshareC!W$2:W$78)-IMshareC!W$23),0))</f>
        <v>3.6355534739082984E-2</v>
      </c>
      <c r="X21" s="8">
        <f>IF($A21=X$1,0,IF(SUM(IMshareC!X$2:X$78)-IMshareC!X$24&gt;0,IMshareC!X21/(SUM(IMshareC!X$2:X$78)-IMshareC!X$24),0))</f>
        <v>0.20608069493517225</v>
      </c>
      <c r="Y21" s="8">
        <f>IF($A21=Y$1,0,IF(SUM(IMshareC!Y$2:Y$78)-IMshareC!Y$25&gt;0,IMshareC!Y21/(SUM(IMshareC!Y$2:Y$78)-IMshareC!Y$25),0))</f>
        <v>7.46081763378829E-2</v>
      </c>
      <c r="Z21" s="8">
        <f>IF($A21=Z$1,0,IF(SUM(IMshareC!Z$2:Z$78)-IMshareC!Z$26&gt;0,IMshareC!Z21/(SUM(IMshareC!Z$2:Z$78)-IMshareC!Z$26),0))</f>
        <v>4.4133564004479507E-2</v>
      </c>
      <c r="AA21" s="8">
        <f>IF($A21=AA$1,0,IF(SUM(IMshareC!AA$2:AA$78)-IMshareC!AA$27&gt;0,IMshareC!AA21/(SUM(IMshareC!AA$2:AA$78)-IMshareC!AA$27),0))</f>
        <v>0.13833748133360146</v>
      </c>
      <c r="AB21" s="8">
        <f>IF($A21=AB$1,0,IF(SUM(IMshareC!AB$2:AB$78)-IMshareC!AB$28&gt;0,IMshareC!AB21/(SUM(IMshareC!AB$2:AB$78)-IMshareC!AB$28),0))</f>
        <v>4.8679916838397924E-2</v>
      </c>
      <c r="AC21" s="8">
        <f>IF($A21=AC$1,0,IF(SUM(IMshareC!AC$2:AC$78)-IMshareC!AC$29&gt;0,IMshareC!AC21/(SUM(IMshareC!AC$2:AC$78)-IMshareC!AC$29),0))</f>
        <v>0.36133033779007484</v>
      </c>
      <c r="AD21" s="8">
        <f>IF($A21=AD$1,0,IF(SUM(IMshareC!AD$2:AD$78)-IMshareC!AD$30&gt;0,IMshareC!AD21/(SUM(IMshareC!AD$2:AD$78)-IMshareC!AD$30),0))</f>
        <v>3.905183788317142E-3</v>
      </c>
      <c r="AE21" s="8">
        <f>IF($A21=AE$1,0,IF(SUM(IMshareC!AE$2:AE$78)-IMshareC!AE$31&gt;0,IMshareC!AE21/(SUM(IMshareC!AE$2:AE$78)-IMshareC!AE$31),0))</f>
        <v>0.18764017096275545</v>
      </c>
      <c r="AF21" s="8">
        <f>IF($A21=AF$1,0,IF(SUM(IMshareC!AF$2:AF$78)-IMshareC!AF$32&gt;0,IMshareC!AF21/(SUM(IMshareC!AF$2:AF$78)-IMshareC!AF$32),0))</f>
        <v>0.35193377446068635</v>
      </c>
      <c r="AG21" s="8">
        <f>IF($A21=AG$1,0,IF(SUM(IMshareC!AG$2:AG$78)-IMshareC!AG$33&gt;0,IMshareC!AG21/(SUM(IMshareC!AG$2:AG$78)-IMshareC!AG$33),0))</f>
        <v>1.5349616026138792E-2</v>
      </c>
      <c r="AH21" s="8">
        <f>IF($A21=AH$1,0,IF(SUM(IMshareC!AH$2:AH$78)-IMshareC!AH$34&gt;0,IMshareC!AH21/(SUM(IMshareC!AH$2:AH$78)-IMshareC!AH$34),0))</f>
        <v>1.2222913511203285E-2</v>
      </c>
      <c r="AI21" s="8">
        <f>IF($A21=AI$1,0,IF(SUM(IMshareC!AI$2:AI$78)-IMshareC!AI$35&gt;0,IMshareC!AI21/(SUM(IMshareC!AI$2:AI$78)-IMshareC!AI$35),0))</f>
        <v>6.2417561276729983E-3</v>
      </c>
      <c r="AJ21" s="8">
        <f>IF($A21=AJ$1,0,IF(SUM(IMshareC!AJ$2:AJ$78)-IMshareC!AJ$36&gt;0,IMshareC!AJ21/(SUM(IMshareC!AJ$2:AJ$78)-IMshareC!AJ$36),0))</f>
        <v>0.12671659529420357</v>
      </c>
      <c r="AK21" s="8">
        <f>IF($A21=AK$1,0,IF(SUM(IMshareC!AK$2:AK$78)-IMshareC!AK$37&gt;0,IMshareC!AK21/(SUM(IMshareC!AK$2:AK$78)-IMshareC!AK$37),0))</f>
        <v>8.6658928713007982E-2</v>
      </c>
      <c r="AL21" s="8">
        <f>IF($A21=AL$1,0,IF(SUM(IMshareC!AL$2:AL$78)-IMshareC!AL$38&gt;0,IMshareC!AL21/(SUM(IMshareC!AL$2:AL$78)-IMshareC!AL$38),0))</f>
        <v>0.22613567553082159</v>
      </c>
      <c r="AM21" s="8">
        <f>IF($A21=AM$1,0,IF(SUM(IMshareC!AM$2:AM$78)-IMshareC!AM$39&gt;0,IMshareC!AM21/(SUM(IMshareC!AM$2:AM$78)-IMshareC!AM$39),0))</f>
        <v>4.7377160954406569E-2</v>
      </c>
      <c r="AN21" s="8">
        <f>IF($A21=AN$1,0,IF(SUM(IMshareC!AN$2:AN$78)-IMshareC!AN$40&gt;0,IMshareC!AN21/(SUM(IMshareC!AN$2:AN$78)-IMshareC!AN$40),0))</f>
        <v>2.3880748175895857E-2</v>
      </c>
      <c r="AO21" s="8">
        <f>IF($A21=AO$1,0,IF(SUM(IMshareC!AO$2:AO$78)-IMshareC!AO$41&gt;0,IMshareC!AO21/(SUM(IMshareC!AO$2:AO$78)-IMshareC!AO$41),0))</f>
        <v>0.10696181238930325</v>
      </c>
      <c r="AP21" s="8">
        <f>IF($A21=AP$1,0,IF(SUM(IMshareC!AP$2:AP$78)-IMshareC!AP$42&gt;0,IMshareC!AP21/(SUM(IMshareC!AP$2:AP$78)-IMshareC!AP$42),0))</f>
        <v>1.8013963353891952E-3</v>
      </c>
      <c r="AQ21" s="8">
        <f>IF($A21=AQ$1,0,IF(SUM(IMshareC!AQ$2:AQ$78)-IMshareC!AQ$43&gt;0,IMshareC!AQ21/(SUM(IMshareC!AQ$2:AQ$78)-IMshareC!AQ$43),0))</f>
        <v>1.4522482103232785E-2</v>
      </c>
      <c r="AR21" s="8">
        <f>IF($A21=AR$1,0,IF(SUM(IMshareC!AR$2:AR$78)-IMshareC!AR$44&gt;0,IMshareC!AR21/(SUM(IMshareC!AR$2:AR$78)-IMshareC!AR$44),0))</f>
        <v>1.5279282612219545E-3</v>
      </c>
      <c r="AS21" s="8">
        <f>IF($A21=AS$1,0,IF(SUM(IMshareC!AS$2:AS$78)-IMshareC!AS$45&gt;0,IMshareC!AS21/(SUM(IMshareC!AS$2:AS$78)-IMshareC!AS$45),0))</f>
        <v>0.36454047400542838</v>
      </c>
      <c r="AT21" s="8">
        <f>IF($A21=AT$1,0,IF(SUM(IMshareC!AT$2:AT$78)-IMshareC!AT$46&gt;0,IMshareC!AT21/(SUM(IMshareC!AT$2:AT$78)-IMshareC!AT$46),0))</f>
        <v>0.17163932395946863</v>
      </c>
      <c r="AU21" s="8">
        <f>IF($A21=AU$1,0,IF(SUM(IMshareC!AU$2:AU$78)-IMshareC!AU$47&gt;0,IMshareC!AU21/(SUM(IMshareC!AU$2:AU$78)-IMshareC!AU$47),0))</f>
        <v>0.1121185995012067</v>
      </c>
      <c r="AV21" s="8">
        <f>IF($A21=AV$1,0,IF(SUM(IMshareC!AV$2:AV$78)-IMshareC!AV$48&gt;0,IMshareC!AV21/(SUM(IMshareC!AV$2:AV$78)-IMshareC!AV$48),0))</f>
        <v>9.8621563116214742E-2</v>
      </c>
      <c r="AW21" s="8">
        <f>IF($A21=AW$1,0,IF(SUM(IMshareC!AW$2:AW$78)-IMshareC!AW$49&gt;0,IMshareC!AW21/(SUM(IMshareC!AW$2:AW$78)-IMshareC!AW$49),0))</f>
        <v>1.5225900257744684E-2</v>
      </c>
      <c r="AX21" s="8">
        <f>IF($A21=AX$1,0,IF(SUM(IMshareC!AX$2:AX$78)-IMshareC!AX$50&gt;0,IMshareC!AX21/(SUM(IMshareC!AX$2:AX$78)-IMshareC!AX$50),0))</f>
        <v>6.9639455098260668E-3</v>
      </c>
      <c r="AY21" s="8">
        <f>IF($A21=AY$1,0,IF(SUM(IMshareC!AY$2:AY$78)-IMshareC!AY$51&gt;0,IMshareC!AY21/(SUM(IMshareC!AY$2:AY$78)-IMshareC!AY$51),0))</f>
        <v>2.1859089428725095E-2</v>
      </c>
      <c r="AZ21" s="8">
        <f>IF($A21=AZ$1,0,IF(SUM(IMshareC!AZ$2:AZ$78)-IMshareC!AZ$52&gt;0,IMshareC!AZ21/(SUM(IMshareC!AZ$2:AZ$78)-IMshareC!AZ$52),0))</f>
        <v>1.2821247473102379E-2</v>
      </c>
      <c r="BA21" s="8">
        <f>IF($A21=BA$1,0,IF(SUM(IMshareC!BA$2:BA$78)-IMshareC!BA$53&gt;0,IMshareC!BA21/(SUM(IMshareC!BA$2:BA$78)-IMshareC!BA$53),0))</f>
        <v>1.9551565206975336E-2</v>
      </c>
      <c r="BB21" s="8">
        <f>IF($A21=BB$1,0,IF(SUM(IMshareC!BB$2:BB$78)-IMshareC!BB$54&gt;0,IMshareC!BB21/(SUM(IMshareC!BB$2:BB$78)-IMshareC!BB$54),0))</f>
        <v>6.2226130189046325E-2</v>
      </c>
      <c r="BC21" s="8">
        <f>IF($A21=BC$1,0,IF(SUM(IMshareC!BC$2:BC$78)-IMshareC!BC$55&gt;0,IMshareC!BC21/(SUM(IMshareC!BC$2:BC$78)-IMshareC!BC$55),0))</f>
        <v>6.4507542174697327E-2</v>
      </c>
      <c r="BD21" s="8">
        <f>IF($A21=BD$1,0,IF(SUM(IMshareC!BD$2:BD$78)-IMshareC!BD$56&gt;0,IMshareC!BD21/(SUM(IMshareC!BD$2:BD$78)-IMshareC!BD$56),0))</f>
        <v>3.920672362056115E-2</v>
      </c>
      <c r="BE21" s="8">
        <f>IF($A21=BE$1,0,IF(SUM(IMshareC!BE$2:BE$78)-IMshareC!BE$57&gt;0,IMshareC!BE21/(SUM(IMshareC!BE$2:BE$78)-IMshareC!BE$57),0))</f>
        <v>3.8607646316242548E-2</v>
      </c>
      <c r="BF21" s="8">
        <f>IF($A21=BF$1,0,IF(SUM(IMshareC!BF$2:BF$78)-IMshareC!BF$58&gt;0,IMshareC!BF21/(SUM(IMshareC!BF$2:BF$78)-IMshareC!BF$58),0))</f>
        <v>4.1054202951837322E-2</v>
      </c>
      <c r="BG21" s="8">
        <f>IF($A21=BG$1,0,IF(SUM(IMshareC!BG$2:BG$78)-IMshareC!BG$59&gt;0,IMshareC!BG21/(SUM(IMshareC!BG$2:BG$78)-IMshareC!BG$59),0))</f>
        <v>2.1571454491043182E-2</v>
      </c>
      <c r="BH21" s="8">
        <f>IF($A21=BH$1,0,IF(SUM(IMshareC!BH$2:BH$78)-IMshareC!BH$60&gt;0,IMshareC!BH21/(SUM(IMshareC!BH$2:BH$78)-IMshareC!BH$60),0))</f>
        <v>0.1043482632971795</v>
      </c>
      <c r="BI21" s="8">
        <f>IF($A21=BI$1,0,IF(SUM(IMshareC!BI$2:BI$78)-IMshareC!BI$61&gt;0,IMshareC!BI21/(SUM(IMshareC!BI$2:BI$78)-IMshareC!BI$61),0))</f>
        <v>0.35720153664848958</v>
      </c>
      <c r="BJ21" s="8">
        <f>IF($A21=BJ$1,0,IF(SUM(IMshareC!BJ$2:BJ$78)-IMshareC!BJ$62&gt;0,IMshareC!BJ21/(SUM(IMshareC!BJ$2:BJ$78)-IMshareC!BJ$62),0))</f>
        <v>0.45847300709088185</v>
      </c>
      <c r="BK21" s="8">
        <f>IF($A21=BK$1,0,IF(SUM(IMshareC!BK$2:BK$78)-IMshareC!BK$63&gt;0,IMshareC!BK21/(SUM(IMshareC!BK$2:BK$78)-IMshareC!BK$63),0))</f>
        <v>4.3240012828842586E-2</v>
      </c>
      <c r="BL21" s="8">
        <f>IF($A21=BL$1,0,IF(SUM(IMshareC!BL$2:BL$78)-IMshareC!BL$64&gt;0,IMshareC!BL21/(SUM(IMshareC!BL$2:BL$78)-IMshareC!BL$64),0))</f>
        <v>3.7791038052609298E-2</v>
      </c>
      <c r="BM21" s="8">
        <f>IF($A21=BM$1,0,IF(SUM(IMshareC!BM$2:BM$78)-IMshareC!BM$65&gt;0,IMshareC!BM21/(SUM(IMshareC!BM$2:BM$78)-IMshareC!BM$65),0))</f>
        <v>1.9071986234625245E-2</v>
      </c>
      <c r="BN21" s="8">
        <f>IF($A21=BN$1,0,IF(SUM(IMshareC!BN$2:BN$78)-IMshareC!BN$66&gt;0,IMshareC!BN21/(SUM(IMshareC!BN$2:BN$78)-IMshareC!BN$66),0))</f>
        <v>9.1254620397948506E-3</v>
      </c>
      <c r="BO21" s="8">
        <f>IF($A21=BO$1,0,IF(SUM(IMshareC!BO$2:BO$78)-IMshareC!BO$67&gt;0,IMshareC!BO21/(SUM(IMshareC!BO$2:BO$78)-IMshareC!BO$67),0))</f>
        <v>0.10887465329767271</v>
      </c>
      <c r="BP21" s="8">
        <f>IF($A21=BP$1,0,IF(SUM(IMshareC!BP$2:BP$78)-IMshareC!BP$68&gt;0,IMshareC!BP21/(SUM(IMshareC!BP$2:BP$78)-IMshareC!BP$68),0))</f>
        <v>0.11094058414415155</v>
      </c>
      <c r="BQ21" s="8">
        <f>IF($A21=BQ$1,0,IF(SUM(IMshareC!BQ$2:BQ$78)-IMshareC!BQ$69&gt;0,IMshareC!BQ21/(SUM(IMshareC!BQ$2:BQ$78)-IMshareC!BQ$69),0))</f>
        <v>0.21394999765463987</v>
      </c>
      <c r="BR21" s="8">
        <f>IF($A21=BR$1,0,IF(SUM(IMshareC!BR$2:BR$78)-IMshareC!BR$70&gt;0,IMshareC!BR21/(SUM(IMshareC!BR$2:BR$78)-IMshareC!BR$70),0))</f>
        <v>1.6966771949443293E-2</v>
      </c>
      <c r="BS21" s="8">
        <f>IF($A21=BS$1,0,IF(SUM(IMshareC!BS$2:BS$78)-IMshareC!BS$71&gt;0,IMshareC!BS21/(SUM(IMshareC!BS$2:BS$78)-IMshareC!BS$71),0))</f>
        <v>1.7574146920876721E-2</v>
      </c>
      <c r="BT21" s="8">
        <f>IF($A21=BT$1,0,IF(SUM(IMshareC!BT$2:BT$78)-IMshareC!BT$72&gt;0,IMshareC!BT21/(SUM(IMshareC!BT$2:BT$78)-IMshareC!BT$72),0))</f>
        <v>9.398749550895788E-2</v>
      </c>
      <c r="BU21" s="8">
        <f>IF($A21=BU$1,0,IF(SUM(IMshareC!BU$2:BU$78)-IMshareC!BU$73&gt;0,IMshareC!BU21/(SUM(IMshareC!BU$2:BU$78)-IMshareC!BU$73),0))</f>
        <v>2.4079907300953621E-2</v>
      </c>
      <c r="BV21" s="8">
        <f>IF($A21=BV$1,0,IF(SUM(IMshareC!BV$2:BV$78)-IMshareC!BV$74&gt;0,IMshareC!BV21/(SUM(IMshareC!BV$2:BV$78)-IMshareC!BV$74),0))</f>
        <v>1.7939262180472121E-2</v>
      </c>
      <c r="BW21" s="8">
        <f>IF($A21=BW$1,0,IF(SUM(IMshareC!BW$2:BW$78)-IMshareC!BW$75&gt;0,IMshareC!BW21/(SUM(IMshareC!BW$2:BW$78)-IMshareC!BW$75),0))</f>
        <v>1.7645125359614166E-2</v>
      </c>
      <c r="BX21" s="8">
        <f>IF($A21=BX$1,0,IF(SUM(IMshareC!BX$2:BX$78)-IMshareC!BX$76&gt;0,IMshareC!BX21/(SUM(IMshareC!BX$2:BX$78)-IMshareC!BX$76),0))</f>
        <v>3.1677909275515041E-3</v>
      </c>
      <c r="BY21" s="8">
        <f>IF($A21=BY$1,0,IF(SUM(IMshareC!BY$2:BY$78)-IMshareC!BY$77&gt;0,IMshareC!BY21/(SUM(IMshareC!BY$2:BY$78)-IMshareC!BY$77),0))</f>
        <v>5.4804202752243493E-2</v>
      </c>
      <c r="BZ21" s="8">
        <f>IF($A21=BZ$1,0,IF(SUM(IMshareC!BZ$2:BZ$78)-IMshareC!BZ$78&gt;0,IMshareC!BZ21/(SUM(IMshareC!BZ$2:BZ$78)-IMshareC!BZ$78),0))</f>
        <v>4.3802113322970536E-2</v>
      </c>
    </row>
    <row r="22" spans="1:78">
      <c r="A22" s="4" t="s">
        <v>111</v>
      </c>
      <c r="B22" s="8">
        <f>IF($A22=B$1,0,IF(SUM(IMshareC!B$2:B$78)-IMshareC!B$2&gt;0,IMshareC!B22/(SUM(IMshareC!B$2:B$78)-IMshareC!B$2),0))</f>
        <v>2.2632865075374589E-3</v>
      </c>
      <c r="C22" s="8">
        <f>IF($A22=C$1,0,IF(SUM(IMshareC!C$2:C$78)-IMshareC!C$3&gt;0,IMshareC!C22/(SUM(IMshareC!C$2:C$78)-IMshareC!C$3),0))</f>
        <v>1.0003179830819718E-2</v>
      </c>
      <c r="D22" s="8">
        <f>IF($A22=D$1,0,IF(SUM(IMshareC!D$2:D$78)-IMshareC!D$4&gt;0,IMshareC!D22/(SUM(IMshareC!D$2:D$78)-IMshareC!D$4),0))</f>
        <v>1.8291606425864032E-3</v>
      </c>
      <c r="E22" s="8">
        <f>IF($A22=E$1,0,IF(SUM(IMshareC!E$2:E$78)-IMshareC!E$5&gt;0,IMshareC!E22/(SUM(IMshareC!E$2:E$78)-IMshareC!E$5),0))</f>
        <v>1.1278062404828275E-3</v>
      </c>
      <c r="F22" s="8">
        <f>IF($A22=F$1,0,IF(SUM(IMshareC!F$2:F$78)-IMshareC!F$6&gt;0,IMshareC!F22/(SUM(IMshareC!F$2:F$78)-IMshareC!F$6),0))</f>
        <v>1.5614887795531423E-3</v>
      </c>
      <c r="G22" s="8">
        <f>IF($A22=G$1,0,IF(SUM(IMshareC!G$2:G$78)-IMshareC!G$7&gt;0,IMshareC!G22/(SUM(IMshareC!G$2:G$78)-IMshareC!G$7),0))</f>
        <v>5.586568432535079E-3</v>
      </c>
      <c r="H22" s="8">
        <f>IF($A22=H$1,0,IF(SUM(IMshareC!H$2:H$78)-IMshareC!H$8&gt;0,IMshareC!H22/(SUM(IMshareC!H$2:H$78)-IMshareC!H$8),0))</f>
        <v>1.9907497036086878E-3</v>
      </c>
      <c r="I22" s="8">
        <f>IF($A22=I$1,0,IF(SUM(IMshareC!I$2:I$78)-IMshareC!I$9&gt;0,IMshareC!I22/(SUM(IMshareC!I$2:I$78)-IMshareC!I$9),0))</f>
        <v>6.5946044317691244E-4</v>
      </c>
      <c r="J22" s="8">
        <f>IF($A22=J$1,0,IF(SUM(IMshareC!J$2:J$78)-IMshareC!J$10&gt;0,IMshareC!J22/(SUM(IMshareC!J$2:J$78)-IMshareC!J$10),0))</f>
        <v>1.1975637743838831E-5</v>
      </c>
      <c r="K22" s="8">
        <f>IF($A22=K$1,0,IF(SUM(IMshareC!K$2:K$78)-IMshareC!K$11&gt;0,IMshareC!K22/(SUM(IMshareC!K$2:K$78)-IMshareC!K$11),0))</f>
        <v>2.1970279377522247E-3</v>
      </c>
      <c r="L22" s="8">
        <f>IF($A22=L$1,0,IF(SUM(IMshareC!L$2:L$78)-IMshareC!L$12&gt;0,IMshareC!L22/(SUM(IMshareC!L$2:L$78)-IMshareC!L$12),0))</f>
        <v>5.5867144182295773E-3</v>
      </c>
      <c r="M22" s="8">
        <f>IF($A22=M$1,0,IF(SUM(IMshareC!M$2:M$78)-IMshareC!M$13&gt;0,IMshareC!M22/(SUM(IMshareC!M$2:M$78)-IMshareC!M$13),0))</f>
        <v>9.4751725886598522E-3</v>
      </c>
      <c r="N22" s="8">
        <f>IF($A22=N$1,0,IF(SUM(IMshareC!N$2:N$78)-IMshareC!N$14&gt;0,IMshareC!N22/(SUM(IMshareC!N$2:N$78)-IMshareC!N$14),0))</f>
        <v>6.863401479586582E-5</v>
      </c>
      <c r="O22" s="8">
        <f>IF($A22=O$1,0,IF(SUM(IMshareC!O$2:O$78)-IMshareC!O$15&gt;0,IMshareC!O22/(SUM(IMshareC!O$2:O$78)-IMshareC!O$15),0))</f>
        <v>2.1516185451913995E-3</v>
      </c>
      <c r="P22" s="8">
        <f>IF($A22=P$1,0,IF(SUM(IMshareC!P$2:P$78)-IMshareC!P$16&gt;0,IMshareC!P22/(SUM(IMshareC!P$2:P$78)-IMshareC!P$16),0))</f>
        <v>8.3567496549156811E-4</v>
      </c>
      <c r="Q22" s="8">
        <f>IF($A22=Q$1,0,IF(SUM(IMshareC!Q$2:Q$78)-IMshareC!Q$17&gt;0,IMshareC!Q22/(SUM(IMshareC!Q$2:Q$78)-IMshareC!Q$17),0))</f>
        <v>3.3899211739121591E-3</v>
      </c>
      <c r="R22" s="8">
        <f>IF($A22=R$1,0,IF(SUM(IMshareC!R$2:R$78)-IMshareC!R$18&gt;0,IMshareC!R22/(SUM(IMshareC!R$2:R$78)-IMshareC!R$18),0))</f>
        <v>1.5137972587572755E-3</v>
      </c>
      <c r="S22" s="8">
        <f>IF($A22=S$1,0,IF(SUM(IMshareC!S$2:S$78)-IMshareC!S$19&gt;0,IMshareC!S22/(SUM(IMshareC!S$2:S$78)-IMshareC!S$19),0))</f>
        <v>7.1525160670386535E-3</v>
      </c>
      <c r="T22" s="8">
        <f>IF($A22=T$1,0,IF(SUM(IMshareC!T$2:T$78)-IMshareC!T$20&gt;0,IMshareC!T22/(SUM(IMshareC!T$2:T$78)-IMshareC!T$20),0))</f>
        <v>1.1295992538911009E-3</v>
      </c>
      <c r="U22" s="8">
        <f>IF($A22=U$1,0,IF(SUM(IMshareC!U$2:U$78)-IMshareC!U$21&gt;0,IMshareC!U22/(SUM(IMshareC!U$2:U$78)-IMshareC!U$21),0))</f>
        <v>2.1421063740720992E-3</v>
      </c>
      <c r="V22" s="8">
        <f>IF($A22=V$1,0,IF(SUM(IMshareC!V$2:V$78)-IMshareC!V$22&gt;0,IMshareC!V22/(SUM(IMshareC!V$2:V$78)-IMshareC!V$22),0))</f>
        <v>0</v>
      </c>
      <c r="W22" s="8">
        <f>IF($A22=W$1,0,IF(SUM(IMshareC!W$2:W$78)-IMshareC!W$23&gt;0,IMshareC!W22/(SUM(IMshareC!W$2:W$78)-IMshareC!W$23),0))</f>
        <v>1.8390684961571712E-3</v>
      </c>
      <c r="X22" s="8">
        <f>IF($A22=X$1,0,IF(SUM(IMshareC!X$2:X$78)-IMshareC!X$24&gt;0,IMshareC!X22/(SUM(IMshareC!X$2:X$78)-IMshareC!X$24),0))</f>
        <v>3.203950747663508E-3</v>
      </c>
      <c r="Y22" s="8">
        <f>IF($A22=Y$1,0,IF(SUM(IMshareC!Y$2:Y$78)-IMshareC!Y$25&gt;0,IMshareC!Y22/(SUM(IMshareC!Y$2:Y$78)-IMshareC!Y$25),0))</f>
        <v>4.276894997568656E-3</v>
      </c>
      <c r="Z22" s="8">
        <f>IF($A22=Z$1,0,IF(SUM(IMshareC!Z$2:Z$78)-IMshareC!Z$26&gt;0,IMshareC!Z22/(SUM(IMshareC!Z$2:Z$78)-IMshareC!Z$26),0))</f>
        <v>5.5785440287778312E-3</v>
      </c>
      <c r="AA22" s="8">
        <f>IF($A22=AA$1,0,IF(SUM(IMshareC!AA$2:AA$78)-IMshareC!AA$27&gt;0,IMshareC!AA22/(SUM(IMshareC!AA$2:AA$78)-IMshareC!AA$27),0))</f>
        <v>3.5879123294914324E-3</v>
      </c>
      <c r="AB22" s="8">
        <f>IF($A22=AB$1,0,IF(SUM(IMshareC!AB$2:AB$78)-IMshareC!AB$28&gt;0,IMshareC!AB22/(SUM(IMshareC!AB$2:AB$78)-IMshareC!AB$28),0))</f>
        <v>4.7684174201242631E-3</v>
      </c>
      <c r="AC22" s="8">
        <f>IF($A22=AC$1,0,IF(SUM(IMshareC!AC$2:AC$78)-IMshareC!AC$29&gt;0,IMshareC!AC22/(SUM(IMshareC!AC$2:AC$78)-IMshareC!AC$29),0))</f>
        <v>4.3580829945002765E-3</v>
      </c>
      <c r="AD22" s="8">
        <f>IF($A22=AD$1,0,IF(SUM(IMshareC!AD$2:AD$78)-IMshareC!AD$30&gt;0,IMshareC!AD22/(SUM(IMshareC!AD$2:AD$78)-IMshareC!AD$30),0))</f>
        <v>5.6294814587639522E-5</v>
      </c>
      <c r="AE22" s="8">
        <f>IF($A22=AE$1,0,IF(SUM(IMshareC!AE$2:AE$78)-IMshareC!AE$31&gt;0,IMshareC!AE22/(SUM(IMshareC!AE$2:AE$78)-IMshareC!AE$31),0))</f>
        <v>7.857196823573713E-3</v>
      </c>
      <c r="AF22" s="8">
        <f>IF($A22=AF$1,0,IF(SUM(IMshareC!AF$2:AF$78)-IMshareC!AF$32&gt;0,IMshareC!AF22/(SUM(IMshareC!AF$2:AF$78)-IMshareC!AF$32),0))</f>
        <v>4.1768932924978013E-3</v>
      </c>
      <c r="AG22" s="8">
        <f>IF($A22=AG$1,0,IF(SUM(IMshareC!AG$2:AG$78)-IMshareC!AG$33&gt;0,IMshareC!AG22/(SUM(IMshareC!AG$2:AG$78)-IMshareC!AG$33),0))</f>
        <v>8.0264006495329979E-5</v>
      </c>
      <c r="AH22" s="8">
        <f>IF($A22=AH$1,0,IF(SUM(IMshareC!AH$2:AH$78)-IMshareC!AH$34&gt;0,IMshareC!AH22/(SUM(IMshareC!AH$2:AH$78)-IMshareC!AH$34),0))</f>
        <v>4.3400659327285409E-4</v>
      </c>
      <c r="AI22" s="8">
        <f>IF($A22=AI$1,0,IF(SUM(IMshareC!AI$2:AI$78)-IMshareC!AI$35&gt;0,IMshareC!AI22/(SUM(IMshareC!AI$2:AI$78)-IMshareC!AI$35),0))</f>
        <v>1.1755486137408551E-4</v>
      </c>
      <c r="AJ22" s="8">
        <f>IF($A22=AJ$1,0,IF(SUM(IMshareC!AJ$2:AJ$78)-IMshareC!AJ$36&gt;0,IMshareC!AJ22/(SUM(IMshareC!AJ$2:AJ$78)-IMshareC!AJ$36),0))</f>
        <v>4.8994211575527337E-2</v>
      </c>
      <c r="AK22" s="8">
        <f>IF($A22=AK$1,0,IF(SUM(IMshareC!AK$2:AK$78)-IMshareC!AK$37&gt;0,IMshareC!AK22/(SUM(IMshareC!AK$2:AK$78)-IMshareC!AK$37),0))</f>
        <v>8.8540358554295266E-4</v>
      </c>
      <c r="AL22" s="8">
        <f>IF($A22=AL$1,0,IF(SUM(IMshareC!AL$2:AL$78)-IMshareC!AL$38&gt;0,IMshareC!AL22/(SUM(IMshareC!AL$2:AL$78)-IMshareC!AL$38),0))</f>
        <v>1.301766539537617E-2</v>
      </c>
      <c r="AM22" s="8">
        <f>IF($A22=AM$1,0,IF(SUM(IMshareC!AM$2:AM$78)-IMshareC!AM$39&gt;0,IMshareC!AM22/(SUM(IMshareC!AM$2:AM$78)-IMshareC!AM$39),0))</f>
        <v>1.0196195893198222E-2</v>
      </c>
      <c r="AN22" s="8">
        <f>IF($A22=AN$1,0,IF(SUM(IMshareC!AN$2:AN$78)-IMshareC!AN$40&gt;0,IMshareC!AN22/(SUM(IMshareC!AN$2:AN$78)-IMshareC!AN$40),0))</f>
        <v>4.28169837030835E-5</v>
      </c>
      <c r="AO22" s="8">
        <f>IF($A22=AO$1,0,IF(SUM(IMshareC!AO$2:AO$78)-IMshareC!AO$41&gt;0,IMshareC!AO22/(SUM(IMshareC!AO$2:AO$78)-IMshareC!AO$41),0))</f>
        <v>1.1488912482329504E-3</v>
      </c>
      <c r="AP22" s="8">
        <f>IF($A22=AP$1,0,IF(SUM(IMshareC!AP$2:AP$78)-IMshareC!AP$42&gt;0,IMshareC!AP22/(SUM(IMshareC!AP$2:AP$78)-IMshareC!AP$42),0))</f>
        <v>2.2387749229495683E-5</v>
      </c>
      <c r="AQ22" s="8">
        <f>IF($A22=AQ$1,0,IF(SUM(IMshareC!AQ$2:AQ$78)-IMshareC!AQ$43&gt;0,IMshareC!AQ22/(SUM(IMshareC!AQ$2:AQ$78)-IMshareC!AQ$43),0))</f>
        <v>4.7170713311397441E-5</v>
      </c>
      <c r="AR22" s="8">
        <f>IF($A22=AR$1,0,IF(SUM(IMshareC!AR$2:AR$78)-IMshareC!AR$44&gt;0,IMshareC!AR22/(SUM(IMshareC!AR$2:AR$78)-IMshareC!AR$44),0))</f>
        <v>2.9080611524110318E-4</v>
      </c>
      <c r="AS22" s="8">
        <f>IF($A22=AS$1,0,IF(SUM(IMshareC!AS$2:AS$78)-IMshareC!AS$45&gt;0,IMshareC!AS22/(SUM(IMshareC!AS$2:AS$78)-IMshareC!AS$45),0))</f>
        <v>9.7268171211149293E-3</v>
      </c>
      <c r="AT22" s="8">
        <f>IF($A22=AT$1,0,IF(SUM(IMshareC!AT$2:AT$78)-IMshareC!AT$46&gt;0,IMshareC!AT22/(SUM(IMshareC!AT$2:AT$78)-IMshareC!AT$46),0))</f>
        <v>1.0248506824529595E-3</v>
      </c>
      <c r="AU22" s="8">
        <f>IF($A22=AU$1,0,IF(SUM(IMshareC!AU$2:AU$78)-IMshareC!AU$47&gt;0,IMshareC!AU22/(SUM(IMshareC!AU$2:AU$78)-IMshareC!AU$47),0))</f>
        <v>1.0352436622830729E-2</v>
      </c>
      <c r="AV22" s="8">
        <f>IF($A22=AV$1,0,IF(SUM(IMshareC!AV$2:AV$78)-IMshareC!AV$48&gt;0,IMshareC!AV22/(SUM(IMshareC!AV$2:AV$78)-IMshareC!AV$48),0))</f>
        <v>9.3674184801078794E-4</v>
      </c>
      <c r="AW22" s="8">
        <f>IF($A22=AW$1,0,IF(SUM(IMshareC!AW$2:AW$78)-IMshareC!AW$49&gt;0,IMshareC!AW22/(SUM(IMshareC!AW$2:AW$78)-IMshareC!AW$49),0))</f>
        <v>1.4494449921343743E-3</v>
      </c>
      <c r="AX22" s="8">
        <f>IF($A22=AX$1,0,IF(SUM(IMshareC!AX$2:AX$78)-IMshareC!AX$50&gt;0,IMshareC!AX22/(SUM(IMshareC!AX$2:AX$78)-IMshareC!AX$50),0))</f>
        <v>3.008946873440613E-5</v>
      </c>
      <c r="AY22" s="8">
        <f>IF($A22=AY$1,0,IF(SUM(IMshareC!AY$2:AY$78)-IMshareC!AY$51&gt;0,IMshareC!AY22/(SUM(IMshareC!AY$2:AY$78)-IMshareC!AY$51),0))</f>
        <v>1.1113248503213007E-3</v>
      </c>
      <c r="AZ22" s="8">
        <f>IF($A22=AZ$1,0,IF(SUM(IMshareC!AZ$2:AZ$78)-IMshareC!AZ$52&gt;0,IMshareC!AZ22/(SUM(IMshareC!AZ$2:AZ$78)-IMshareC!AZ$52),0))</f>
        <v>3.1448339863325797E-5</v>
      </c>
      <c r="BA22" s="8">
        <f>IF($A22=BA$1,0,IF(SUM(IMshareC!BA$2:BA$78)-IMshareC!BA$53&gt;0,IMshareC!BA22/(SUM(IMshareC!BA$2:BA$78)-IMshareC!BA$53),0))</f>
        <v>7.6376170068298294E-4</v>
      </c>
      <c r="BB22" s="8">
        <f>IF($A22=BB$1,0,IF(SUM(IMshareC!BB$2:BB$78)-IMshareC!BB$54&gt;0,IMshareC!BB22/(SUM(IMshareC!BB$2:BB$78)-IMshareC!BB$54),0))</f>
        <v>2.2839662575931084E-3</v>
      </c>
      <c r="BC22" s="8">
        <f>IF($A22=BC$1,0,IF(SUM(IMshareC!BC$2:BC$78)-IMshareC!BC$55&gt;0,IMshareC!BC22/(SUM(IMshareC!BC$2:BC$78)-IMshareC!BC$55),0))</f>
        <v>3.5360639397437076E-2</v>
      </c>
      <c r="BD22" s="8">
        <f>IF($A22=BD$1,0,IF(SUM(IMshareC!BD$2:BD$78)-IMshareC!BD$56&gt;0,IMshareC!BD22/(SUM(IMshareC!BD$2:BD$78)-IMshareC!BD$56),0))</f>
        <v>9.0851994758690026E-3</v>
      </c>
      <c r="BE22" s="8">
        <f>IF($A22=BE$1,0,IF(SUM(IMshareC!BE$2:BE$78)-IMshareC!BE$57&gt;0,IMshareC!BE22/(SUM(IMshareC!BE$2:BE$78)-IMshareC!BE$57),0))</f>
        <v>8.0048187979728895E-3</v>
      </c>
      <c r="BF22" s="8">
        <f>IF($A22=BF$1,0,IF(SUM(IMshareC!BF$2:BF$78)-IMshareC!BF$58&gt;0,IMshareC!BF22/(SUM(IMshareC!BF$2:BF$78)-IMshareC!BF$58),0))</f>
        <v>7.5911990670480102E-3</v>
      </c>
      <c r="BG22" s="8">
        <f>IF($A22=BG$1,0,IF(SUM(IMshareC!BG$2:BG$78)-IMshareC!BG$59&gt;0,IMshareC!BG22/(SUM(IMshareC!BG$2:BG$78)-IMshareC!BG$59),0))</f>
        <v>4.6924000951140344E-5</v>
      </c>
      <c r="BH22" s="8">
        <f>IF($A22=BH$1,0,IF(SUM(IMshareC!BH$2:BH$78)-IMshareC!BH$60&gt;0,IMshareC!BH22/(SUM(IMshareC!BH$2:BH$78)-IMshareC!BH$60),0))</f>
        <v>6.8391295644834611E-3</v>
      </c>
      <c r="BI22" s="8">
        <f>IF($A22=BI$1,0,IF(SUM(IMshareC!BI$2:BI$78)-IMshareC!BI$61&gt;0,IMshareC!BI22/(SUM(IMshareC!BI$2:BI$78)-IMshareC!BI$61),0))</f>
        <v>1.6436264461514654E-4</v>
      </c>
      <c r="BJ22" s="8">
        <f>IF($A22=BJ$1,0,IF(SUM(IMshareC!BJ$2:BJ$78)-IMshareC!BJ$62&gt;0,IMshareC!BJ22/(SUM(IMshareC!BJ$2:BJ$78)-IMshareC!BJ$62),0))</f>
        <v>1.5848811021602332E-3</v>
      </c>
      <c r="BK22" s="8">
        <f>IF($A22=BK$1,0,IF(SUM(IMshareC!BK$2:BK$78)-IMshareC!BK$63&gt;0,IMshareC!BK22/(SUM(IMshareC!BK$2:BK$78)-IMshareC!BK$63),0))</f>
        <v>1.6259920720659985E-3</v>
      </c>
      <c r="BL22" s="8">
        <f>IF($A22=BL$1,0,IF(SUM(IMshareC!BL$2:BL$78)-IMshareC!BL$64&gt;0,IMshareC!BL22/(SUM(IMshareC!BL$2:BL$78)-IMshareC!BL$64),0))</f>
        <v>1.074957659006623E-3</v>
      </c>
      <c r="BM22" s="8">
        <f>IF($A22=BM$1,0,IF(SUM(IMshareC!BM$2:BM$78)-IMshareC!BM$65&gt;0,IMshareC!BM22/(SUM(IMshareC!BM$2:BM$78)-IMshareC!BM$65),0))</f>
        <v>4.2242467534509475E-3</v>
      </c>
      <c r="BN22" s="8">
        <f>IF($A22=BN$1,0,IF(SUM(IMshareC!BN$2:BN$78)-IMshareC!BN$66&gt;0,IMshareC!BN22/(SUM(IMshareC!BN$2:BN$78)-IMshareC!BN$66),0))</f>
        <v>2.5462544339845339E-5</v>
      </c>
      <c r="BO22" s="8">
        <f>IF($A22=BO$1,0,IF(SUM(IMshareC!BO$2:BO$78)-IMshareC!BO$67&gt;0,IMshareC!BO22/(SUM(IMshareC!BO$2:BO$78)-IMshareC!BO$67),0))</f>
        <v>1.0154114680589743E-3</v>
      </c>
      <c r="BP22" s="8">
        <f>IF($A22=BP$1,0,IF(SUM(IMshareC!BP$2:BP$78)-IMshareC!BP$68&gt;0,IMshareC!BP22/(SUM(IMshareC!BP$2:BP$78)-IMshareC!BP$68),0))</f>
        <v>5.1870734208961594E-3</v>
      </c>
      <c r="BQ22" s="8">
        <f>IF($A22=BQ$1,0,IF(SUM(IMshareC!BQ$2:BQ$78)-IMshareC!BQ$69&gt;0,IMshareC!BQ22/(SUM(IMshareC!BQ$2:BQ$78)-IMshareC!BQ$69),0))</f>
        <v>1.8424739282331848E-2</v>
      </c>
      <c r="BR22" s="8">
        <f>IF($A22=BR$1,0,IF(SUM(IMshareC!BR$2:BR$78)-IMshareC!BR$70&gt;0,IMshareC!BR22/(SUM(IMshareC!BR$2:BR$78)-IMshareC!BR$70),0))</f>
        <v>4.1863550611754565E-4</v>
      </c>
      <c r="BS22" s="8">
        <f>IF($A22=BS$1,0,IF(SUM(IMshareC!BS$2:BS$78)-IMshareC!BS$71&gt;0,IMshareC!BS22/(SUM(IMshareC!BS$2:BS$78)-IMshareC!BS$71),0))</f>
        <v>1.9473427561480901E-4</v>
      </c>
      <c r="BT22" s="8">
        <f>IF($A22=BT$1,0,IF(SUM(IMshareC!BT$2:BT$78)-IMshareC!BT$72&gt;0,IMshareC!BT22/(SUM(IMshareC!BT$2:BT$78)-IMshareC!BT$72),0))</f>
        <v>1.6438052151966107E-3</v>
      </c>
      <c r="BU22" s="8">
        <f>IF($A22=BU$1,0,IF(SUM(IMshareC!BU$2:BU$78)-IMshareC!BU$73&gt;0,IMshareC!BU22/(SUM(IMshareC!BU$2:BU$78)-IMshareC!BU$73),0))</f>
        <v>8.4767195354046165E-6</v>
      </c>
      <c r="BV22" s="8">
        <f>IF($A22=BV$1,0,IF(SUM(IMshareC!BV$2:BV$78)-IMshareC!BV$74&gt;0,IMshareC!BV22/(SUM(IMshareC!BV$2:BV$78)-IMshareC!BV$74),0))</f>
        <v>5.1099188346772637E-3</v>
      </c>
      <c r="BW22" s="8">
        <f>IF($A22=BW$1,0,IF(SUM(IMshareC!BW$2:BW$78)-IMshareC!BW$75&gt;0,IMshareC!BW22/(SUM(IMshareC!BW$2:BW$78)-IMshareC!BW$75),0))</f>
        <v>3.8716317570893291E-4</v>
      </c>
      <c r="BX22" s="8">
        <f>IF($A22=BX$1,0,IF(SUM(IMshareC!BX$2:BX$78)-IMshareC!BX$76&gt;0,IMshareC!BX22/(SUM(IMshareC!BX$2:BX$78)-IMshareC!BX$76),0))</f>
        <v>3.9660659197128466E-5</v>
      </c>
      <c r="BY22" s="8">
        <f>IF($A22=BY$1,0,IF(SUM(IMshareC!BY$2:BY$78)-IMshareC!BY$77&gt;0,IMshareC!BY22/(SUM(IMshareC!BY$2:BY$78)-IMshareC!BY$77),0))</f>
        <v>3.9531051587020534E-3</v>
      </c>
      <c r="BZ22" s="8">
        <f>IF($A22=BZ$1,0,IF(SUM(IMshareC!BZ$2:BZ$78)-IMshareC!BZ$78&gt;0,IMshareC!BZ22/(SUM(IMshareC!BZ$2:BZ$78)-IMshareC!BZ$78),0))</f>
        <v>9.0865071641119954E-3</v>
      </c>
    </row>
    <row r="23" spans="1:78">
      <c r="A23" s="4" t="s">
        <v>113</v>
      </c>
      <c r="B23" s="8">
        <f>IF($A23=B$1,0,IF(SUM(IMshareC!B$2:B$78)-IMshareC!B$2&gt;0,IMshareC!B23/(SUM(IMshareC!B$2:B$78)-IMshareC!B$2),0))</f>
        <v>4.1762396635129271E-6</v>
      </c>
      <c r="C23" s="8">
        <f>IF($A23=C$1,0,IF(SUM(IMshareC!C$2:C$78)-IMshareC!C$3&gt;0,IMshareC!C23/(SUM(IMshareC!C$2:C$78)-IMshareC!C$3),0))</f>
        <v>0</v>
      </c>
      <c r="D23" s="8">
        <f>IF($A23=D$1,0,IF(SUM(IMshareC!D$2:D$78)-IMshareC!D$4&gt;0,IMshareC!D23/(SUM(IMshareC!D$2:D$78)-IMshareC!D$4),0))</f>
        <v>2.6751760319306292E-5</v>
      </c>
      <c r="E23" s="8">
        <f>IF($A23=E$1,0,IF(SUM(IMshareC!E$2:E$78)-IMshareC!E$5&gt;0,IMshareC!E23/(SUM(IMshareC!E$2:E$78)-IMshareC!E$5),0))</f>
        <v>5.3401687502724186E-8</v>
      </c>
      <c r="F23" s="8">
        <f>IF($A23=F$1,0,IF(SUM(IMshareC!F$2:F$78)-IMshareC!F$6&gt;0,IMshareC!F23/(SUM(IMshareC!F$2:F$78)-IMshareC!F$6),0))</f>
        <v>0</v>
      </c>
      <c r="G23" s="8">
        <f>IF($A23=G$1,0,IF(SUM(IMshareC!G$2:G$78)-IMshareC!G$7&gt;0,IMshareC!G23/(SUM(IMshareC!G$2:G$78)-IMshareC!G$7),0))</f>
        <v>8.7313748558499555E-7</v>
      </c>
      <c r="H23" s="8">
        <f>IF($A23=H$1,0,IF(SUM(IMshareC!H$2:H$78)-IMshareC!H$8&gt;0,IMshareC!H23/(SUM(IMshareC!H$2:H$78)-IMshareC!H$8),0))</f>
        <v>0</v>
      </c>
      <c r="I23" s="8">
        <f>IF($A23=I$1,0,IF(SUM(IMshareC!I$2:I$78)-IMshareC!I$9&gt;0,IMshareC!I23/(SUM(IMshareC!I$2:I$78)-IMshareC!I$9),0))</f>
        <v>1.5703817012890662E-7</v>
      </c>
      <c r="J23" s="8">
        <f>IF($A23=J$1,0,IF(SUM(IMshareC!J$2:J$78)-IMshareC!J$10&gt;0,IMshareC!J23/(SUM(IMshareC!J$2:J$78)-IMshareC!J$10),0))</f>
        <v>9.9252133606138812E-3</v>
      </c>
      <c r="K23" s="8">
        <f>IF($A23=K$1,0,IF(SUM(IMshareC!K$2:K$78)-IMshareC!K$11&gt;0,IMshareC!K23/(SUM(IMshareC!K$2:K$78)-IMshareC!K$11),0))</f>
        <v>1.6909547388944687E-7</v>
      </c>
      <c r="L23" s="8">
        <f>IF($A23=L$1,0,IF(SUM(IMshareC!L$2:L$78)-IMshareC!L$12&gt;0,IMshareC!L23/(SUM(IMshareC!L$2:L$78)-IMshareC!L$12),0))</f>
        <v>7.6195898327440238E-5</v>
      </c>
      <c r="M23" s="8">
        <f>IF($A23=M$1,0,IF(SUM(IMshareC!M$2:M$78)-IMshareC!M$13&gt;0,IMshareC!M23/(SUM(IMshareC!M$2:M$78)-IMshareC!M$13),0))</f>
        <v>1.0018302272225451E-4</v>
      </c>
      <c r="N23" s="8">
        <f>IF($A23=N$1,0,IF(SUM(IMshareC!N$2:N$78)-IMshareC!N$14&gt;0,IMshareC!N23/(SUM(IMshareC!N$2:N$78)-IMshareC!N$14),0))</f>
        <v>1.9175388194406269E-7</v>
      </c>
      <c r="O23" s="8">
        <f>IF($A23=O$1,0,IF(SUM(IMshareC!O$2:O$78)-IMshareC!O$15&gt;0,IMshareC!O23/(SUM(IMshareC!O$2:O$78)-IMshareC!O$15),0))</f>
        <v>6.6164226710950579E-6</v>
      </c>
      <c r="P23" s="8">
        <f>IF($A23=P$1,0,IF(SUM(IMshareC!P$2:P$78)-IMshareC!P$16&gt;0,IMshareC!P23/(SUM(IMshareC!P$2:P$78)-IMshareC!P$16),0))</f>
        <v>8.1268856395319364E-3</v>
      </c>
      <c r="Q23" s="8">
        <f>IF($A23=Q$1,0,IF(SUM(IMshareC!Q$2:Q$78)-IMshareC!Q$17&gt;0,IMshareC!Q23/(SUM(IMshareC!Q$2:Q$78)-IMshareC!Q$17),0))</f>
        <v>1.8987888757999956E-4</v>
      </c>
      <c r="R23" s="8">
        <f>IF($A23=R$1,0,IF(SUM(IMshareC!R$2:R$78)-IMshareC!R$18&gt;0,IMshareC!R23/(SUM(IMshareC!R$2:R$78)-IMshareC!R$18),0))</f>
        <v>0</v>
      </c>
      <c r="S23" s="8">
        <f>IF($A23=S$1,0,IF(SUM(IMshareC!S$2:S$78)-IMshareC!S$19&gt;0,IMshareC!S23/(SUM(IMshareC!S$2:S$78)-IMshareC!S$19),0))</f>
        <v>0</v>
      </c>
      <c r="T23" s="8">
        <f>IF($A23=T$1,0,IF(SUM(IMshareC!T$2:T$78)-IMshareC!T$20&gt;0,IMshareC!T23/(SUM(IMshareC!T$2:T$78)-IMshareC!T$20),0))</f>
        <v>5.6576450414471615E-6</v>
      </c>
      <c r="U23" s="8">
        <f>IF($A23=U$1,0,IF(SUM(IMshareC!U$2:U$78)-IMshareC!U$21&gt;0,IMshareC!U23/(SUM(IMshareC!U$2:U$78)-IMshareC!U$21),0))</f>
        <v>2.521955979065943E-6</v>
      </c>
      <c r="V23" s="8">
        <f>IF($A23=V$1,0,IF(SUM(IMshareC!V$2:V$78)-IMshareC!V$22&gt;0,IMshareC!V23/(SUM(IMshareC!V$2:V$78)-IMshareC!V$22),0))</f>
        <v>1.4241774830209186E-4</v>
      </c>
      <c r="W23" s="8">
        <f>IF($A23=W$1,0,IF(SUM(IMshareC!W$2:W$78)-IMshareC!W$23&gt;0,IMshareC!W23/(SUM(IMshareC!W$2:W$78)-IMshareC!W$23),0))</f>
        <v>0</v>
      </c>
      <c r="X23" s="8">
        <f>IF($A23=X$1,0,IF(SUM(IMshareC!X$2:X$78)-IMshareC!X$24&gt;0,IMshareC!X23/(SUM(IMshareC!X$2:X$78)-IMshareC!X$24),0))</f>
        <v>5.4626951468312797E-5</v>
      </c>
      <c r="Y23" s="8">
        <f>IF($A23=Y$1,0,IF(SUM(IMshareC!Y$2:Y$78)-IMshareC!Y$25&gt;0,IMshareC!Y23/(SUM(IMshareC!Y$2:Y$78)-IMshareC!Y$25),0))</f>
        <v>0</v>
      </c>
      <c r="Z23" s="8">
        <f>IF($A23=Z$1,0,IF(SUM(IMshareC!Z$2:Z$78)-IMshareC!Z$26&gt;0,IMshareC!Z23/(SUM(IMshareC!Z$2:Z$78)-IMshareC!Z$26),0))</f>
        <v>2.9889594826791332E-7</v>
      </c>
      <c r="AA23" s="8">
        <f>IF($A23=AA$1,0,IF(SUM(IMshareC!AA$2:AA$78)-IMshareC!AA$27&gt;0,IMshareC!AA23/(SUM(IMshareC!AA$2:AA$78)-IMshareC!AA$27),0))</f>
        <v>2.0891119262440317E-5</v>
      </c>
      <c r="AB23" s="8">
        <f>IF($A23=AB$1,0,IF(SUM(IMshareC!AB$2:AB$78)-IMshareC!AB$28&gt;0,IMshareC!AB23/(SUM(IMshareC!AB$2:AB$78)-IMshareC!AB$28),0))</f>
        <v>6.1393066116519635E-5</v>
      </c>
      <c r="AC23" s="8">
        <f>IF($A23=AC$1,0,IF(SUM(IMshareC!AC$2:AC$78)-IMshareC!AC$29&gt;0,IMshareC!AC23/(SUM(IMshareC!AC$2:AC$78)-IMshareC!AC$29),0))</f>
        <v>4.9755090524695996E-6</v>
      </c>
      <c r="AD23" s="8">
        <f>IF($A23=AD$1,0,IF(SUM(IMshareC!AD$2:AD$78)-IMshareC!AD$30&gt;0,IMshareC!AD23/(SUM(IMshareC!AD$2:AD$78)-IMshareC!AD$30),0))</f>
        <v>1.3656078830007619E-9</v>
      </c>
      <c r="AE23" s="8">
        <f>IF($A23=AE$1,0,IF(SUM(IMshareC!AE$2:AE$78)-IMshareC!AE$31&gt;0,IMshareC!AE23/(SUM(IMshareC!AE$2:AE$78)-IMshareC!AE$31),0))</f>
        <v>1.1730153068356204E-5</v>
      </c>
      <c r="AF23" s="8">
        <f>IF($A23=AF$1,0,IF(SUM(IMshareC!AF$2:AF$78)-IMshareC!AF$32&gt;0,IMshareC!AF23/(SUM(IMshareC!AF$2:AF$78)-IMshareC!AF$32),0))</f>
        <v>1.8099015268056528E-4</v>
      </c>
      <c r="AG23" s="8">
        <f>IF($A23=AG$1,0,IF(SUM(IMshareC!AG$2:AG$78)-IMshareC!AG$33&gt;0,IMshareC!AG23/(SUM(IMshareC!AG$2:AG$78)-IMshareC!AG$33),0))</f>
        <v>1.7565408913338212E-7</v>
      </c>
      <c r="AH23" s="8">
        <f>IF($A23=AH$1,0,IF(SUM(IMshareC!AH$2:AH$78)-IMshareC!AH$34&gt;0,IMshareC!AH23/(SUM(IMshareC!AH$2:AH$78)-IMshareC!AH$34),0))</f>
        <v>2.4834365764685039E-5</v>
      </c>
      <c r="AI23" s="8">
        <f>IF($A23=AI$1,0,IF(SUM(IMshareC!AI$2:AI$78)-IMshareC!AI$35&gt;0,IMshareC!AI23/(SUM(IMshareC!AI$2:AI$78)-IMshareC!AI$35),0))</f>
        <v>1.7556640566829261E-9</v>
      </c>
      <c r="AJ23" s="8">
        <f>IF($A23=AJ$1,0,IF(SUM(IMshareC!AJ$2:AJ$78)-IMshareC!AJ$36&gt;0,IMshareC!AJ23/(SUM(IMshareC!AJ$2:AJ$78)-IMshareC!AJ$36),0))</f>
        <v>0</v>
      </c>
      <c r="AK23" s="8">
        <f>IF($A23=AK$1,0,IF(SUM(IMshareC!AK$2:AK$78)-IMshareC!AK$37&gt;0,IMshareC!AK23/(SUM(IMshareC!AK$2:AK$78)-IMshareC!AK$37),0))</f>
        <v>0</v>
      </c>
      <c r="AL23" s="8">
        <f>IF($A23=AL$1,0,IF(SUM(IMshareC!AL$2:AL$78)-IMshareC!AL$38&gt;0,IMshareC!AL23/(SUM(IMshareC!AL$2:AL$78)-IMshareC!AL$38),0))</f>
        <v>2.625133221246062E-6</v>
      </c>
      <c r="AM23" s="8">
        <f>IF($A23=AM$1,0,IF(SUM(IMshareC!AM$2:AM$78)-IMshareC!AM$39&gt;0,IMshareC!AM23/(SUM(IMshareC!AM$2:AM$78)-IMshareC!AM$39),0))</f>
        <v>2.9542039486470426E-4</v>
      </c>
      <c r="AN23" s="8">
        <f>IF($A23=AN$1,0,IF(SUM(IMshareC!AN$2:AN$78)-IMshareC!AN$40&gt;0,IMshareC!AN23/(SUM(IMshareC!AN$2:AN$78)-IMshareC!AN$40),0))</f>
        <v>9.0348377065505452E-8</v>
      </c>
      <c r="AO23" s="8">
        <f>IF($A23=AO$1,0,IF(SUM(IMshareC!AO$2:AO$78)-IMshareC!AO$41&gt;0,IMshareC!AO23/(SUM(IMshareC!AO$2:AO$78)-IMshareC!AO$41),0))</f>
        <v>0</v>
      </c>
      <c r="AP23" s="8">
        <f>IF($A23=AP$1,0,IF(SUM(IMshareC!AP$2:AP$78)-IMshareC!AP$42&gt;0,IMshareC!AP23/(SUM(IMshareC!AP$2:AP$78)-IMshareC!AP$42),0))</f>
        <v>0</v>
      </c>
      <c r="AQ23" s="8">
        <f>IF($A23=AQ$1,0,IF(SUM(IMshareC!AQ$2:AQ$78)-IMshareC!AQ$43&gt;0,IMshareC!AQ23/(SUM(IMshareC!AQ$2:AQ$78)-IMshareC!AQ$43),0))</f>
        <v>4.539735651867957E-6</v>
      </c>
      <c r="AR23" s="8">
        <f>IF($A23=AR$1,0,IF(SUM(IMshareC!AR$2:AR$78)-IMshareC!AR$44&gt;0,IMshareC!AR23/(SUM(IMshareC!AR$2:AR$78)-IMshareC!AR$44),0))</f>
        <v>1.4383296172621762E-3</v>
      </c>
      <c r="AS23" s="8">
        <f>IF($A23=AS$1,0,IF(SUM(IMshareC!AS$2:AS$78)-IMshareC!AS$45&gt;0,IMshareC!AS23/(SUM(IMshareC!AS$2:AS$78)-IMshareC!AS$45),0))</f>
        <v>1.189437467294037E-6</v>
      </c>
      <c r="AT23" s="8">
        <f>IF($A23=AT$1,0,IF(SUM(IMshareC!AT$2:AT$78)-IMshareC!AT$46&gt;0,IMshareC!AT23/(SUM(IMshareC!AT$2:AT$78)-IMshareC!AT$46),0))</f>
        <v>5.1943077193439295E-3</v>
      </c>
      <c r="AU23" s="8">
        <f>IF($A23=AU$1,0,IF(SUM(IMshareC!AU$2:AU$78)-IMshareC!AU$47&gt;0,IMshareC!AU23/(SUM(IMshareC!AU$2:AU$78)-IMshareC!AU$47),0))</f>
        <v>0</v>
      </c>
      <c r="AV23" s="8">
        <f>IF($A23=AV$1,0,IF(SUM(IMshareC!AV$2:AV$78)-IMshareC!AV$48&gt;0,IMshareC!AV23/(SUM(IMshareC!AV$2:AV$78)-IMshareC!AV$48),0))</f>
        <v>1.2288336547861162E-5</v>
      </c>
      <c r="AW23" s="8">
        <f>IF($A23=AW$1,0,IF(SUM(IMshareC!AW$2:AW$78)-IMshareC!AW$49&gt;0,IMshareC!AW23/(SUM(IMshareC!AW$2:AW$78)-IMshareC!AW$49),0))</f>
        <v>1.8521703687524782E-5</v>
      </c>
      <c r="AX23" s="8">
        <f>IF($A23=AX$1,0,IF(SUM(IMshareC!AX$2:AX$78)-IMshareC!AX$50&gt;0,IMshareC!AX23/(SUM(IMshareC!AX$2:AX$78)-IMshareC!AX$50),0))</f>
        <v>6.6504612813042794E-6</v>
      </c>
      <c r="AY23" s="8">
        <f>IF($A23=AY$1,0,IF(SUM(IMshareC!AY$2:AY$78)-IMshareC!AY$51&gt;0,IMshareC!AY23/(SUM(IMshareC!AY$2:AY$78)-IMshareC!AY$51),0))</f>
        <v>0</v>
      </c>
      <c r="AZ23" s="8">
        <f>IF($A23=AZ$1,0,IF(SUM(IMshareC!AZ$2:AZ$78)-IMshareC!AZ$52&gt;0,IMshareC!AZ23/(SUM(IMshareC!AZ$2:AZ$78)-IMshareC!AZ$52),0))</f>
        <v>1.3823547503682809E-7</v>
      </c>
      <c r="BA23" s="8">
        <f>IF($A23=BA$1,0,IF(SUM(IMshareC!BA$2:BA$78)-IMshareC!BA$53&gt;0,IMshareC!BA23/(SUM(IMshareC!BA$2:BA$78)-IMshareC!BA$53),0))</f>
        <v>6.0057725886033659E-5</v>
      </c>
      <c r="BB23" s="8">
        <f>IF($A23=BB$1,0,IF(SUM(IMshareC!BB$2:BB$78)-IMshareC!BB$54&gt;0,IMshareC!BB23/(SUM(IMshareC!BB$2:BB$78)-IMshareC!BB$54),0))</f>
        <v>1.4608322483578354E-5</v>
      </c>
      <c r="BC23" s="8">
        <f>IF($A23=BC$1,0,IF(SUM(IMshareC!BC$2:BC$78)-IMshareC!BC$55&gt;0,IMshareC!BC23/(SUM(IMshareC!BC$2:BC$78)-IMshareC!BC$55),0))</f>
        <v>0</v>
      </c>
      <c r="BD23" s="8">
        <f>IF($A23=BD$1,0,IF(SUM(IMshareC!BD$2:BD$78)-IMshareC!BD$56&gt;0,IMshareC!BD23/(SUM(IMshareC!BD$2:BD$78)-IMshareC!BD$56),0))</f>
        <v>0</v>
      </c>
      <c r="BE23" s="8">
        <f>IF($A23=BE$1,0,IF(SUM(IMshareC!BE$2:BE$78)-IMshareC!BE$57&gt;0,IMshareC!BE23/(SUM(IMshareC!BE$2:BE$78)-IMshareC!BE$57),0))</f>
        <v>2.374830125916307E-3</v>
      </c>
      <c r="BF23" s="8">
        <f>IF($A23=BF$1,0,IF(SUM(IMshareC!BF$2:BF$78)-IMshareC!BF$58&gt;0,IMshareC!BF23/(SUM(IMshareC!BF$2:BF$78)-IMshareC!BF$58),0))</f>
        <v>3.0045510200043531E-6</v>
      </c>
      <c r="BG23" s="8">
        <f>IF($A23=BG$1,0,IF(SUM(IMshareC!BG$2:BG$78)-IMshareC!BG$59&gt;0,IMshareC!BG23/(SUM(IMshareC!BG$2:BG$78)-IMshareC!BG$59),0))</f>
        <v>1.2650610052306582E-8</v>
      </c>
      <c r="BH23" s="8">
        <f>IF($A23=BH$1,0,IF(SUM(IMshareC!BH$2:BH$78)-IMshareC!BH$60&gt;0,IMshareC!BH23/(SUM(IMshareC!BH$2:BH$78)-IMshareC!BH$60),0))</f>
        <v>0</v>
      </c>
      <c r="BI23" s="8">
        <f>IF($A23=BI$1,0,IF(SUM(IMshareC!BI$2:BI$78)-IMshareC!BI$61&gt;0,IMshareC!BI23/(SUM(IMshareC!BI$2:BI$78)-IMshareC!BI$61),0))</f>
        <v>3.5703064422542709E-8</v>
      </c>
      <c r="BJ23" s="8">
        <f>IF($A23=BJ$1,0,IF(SUM(IMshareC!BJ$2:BJ$78)-IMshareC!BJ$62&gt;0,IMshareC!BJ23/(SUM(IMshareC!BJ$2:BJ$78)-IMshareC!BJ$62),0))</f>
        <v>1.7016271590623662E-5</v>
      </c>
      <c r="BK23" s="8">
        <f>IF($A23=BK$1,0,IF(SUM(IMshareC!BK$2:BK$78)-IMshareC!BK$63&gt;0,IMshareC!BK23/(SUM(IMshareC!BK$2:BK$78)-IMshareC!BK$63),0))</f>
        <v>1.0396055310660567E-6</v>
      </c>
      <c r="BL23" s="8">
        <f>IF($A23=BL$1,0,IF(SUM(IMshareC!BL$2:BL$78)-IMshareC!BL$64&gt;0,IMshareC!BL23/(SUM(IMshareC!BL$2:BL$78)-IMshareC!BL$64),0))</f>
        <v>2.5123432730406381E-3</v>
      </c>
      <c r="BM23" s="8">
        <f>IF($A23=BM$1,0,IF(SUM(IMshareC!BM$2:BM$78)-IMshareC!BM$65&gt;0,IMshareC!BM23/(SUM(IMshareC!BM$2:BM$78)-IMshareC!BM$65),0))</f>
        <v>9.0294760927507828E-4</v>
      </c>
      <c r="BN23" s="8">
        <f>IF($A23=BN$1,0,IF(SUM(IMshareC!BN$2:BN$78)-IMshareC!BN$66&gt;0,IMshareC!BN23/(SUM(IMshareC!BN$2:BN$78)-IMshareC!BN$66),0))</f>
        <v>5.8906354467707367E-7</v>
      </c>
      <c r="BO23" s="8">
        <f>IF($A23=BO$1,0,IF(SUM(IMshareC!BO$2:BO$78)-IMshareC!BO$67&gt;0,IMshareC!BO23/(SUM(IMshareC!BO$2:BO$78)-IMshareC!BO$67),0))</f>
        <v>5.5619780427151605E-5</v>
      </c>
      <c r="BP23" s="8">
        <f>IF($A23=BP$1,0,IF(SUM(IMshareC!BP$2:BP$78)-IMshareC!BP$68&gt;0,IMshareC!BP23/(SUM(IMshareC!BP$2:BP$78)-IMshareC!BP$68),0))</f>
        <v>2.403411569255386E-4</v>
      </c>
      <c r="BQ23" s="8">
        <f>IF($A23=BQ$1,0,IF(SUM(IMshareC!BQ$2:BQ$78)-IMshareC!BQ$69&gt;0,IMshareC!BQ23/(SUM(IMshareC!BQ$2:BQ$78)-IMshareC!BQ$69),0))</f>
        <v>8.8413672267030925E-6</v>
      </c>
      <c r="BR23" s="8">
        <f>IF($A23=BR$1,0,IF(SUM(IMshareC!BR$2:BR$78)-IMshareC!BR$70&gt;0,IMshareC!BR23/(SUM(IMshareC!BR$2:BR$78)-IMshareC!BR$70),0))</f>
        <v>3.1498382779018655E-8</v>
      </c>
      <c r="BS23" s="8">
        <f>IF($A23=BS$1,0,IF(SUM(IMshareC!BS$2:BS$78)-IMshareC!BS$71&gt;0,IMshareC!BS23/(SUM(IMshareC!BS$2:BS$78)-IMshareC!BS$71),0))</f>
        <v>1.863335402986293E-5</v>
      </c>
      <c r="BT23" s="8">
        <f>IF($A23=BT$1,0,IF(SUM(IMshareC!BT$2:BT$78)-IMshareC!BT$72&gt;0,IMshareC!BT23/(SUM(IMshareC!BT$2:BT$78)-IMshareC!BT$72),0))</f>
        <v>1.2979996994356475E-4</v>
      </c>
      <c r="BU23" s="8">
        <f>IF($A23=BU$1,0,IF(SUM(IMshareC!BU$2:BU$78)-IMshareC!BU$73&gt;0,IMshareC!BU23/(SUM(IMshareC!BU$2:BU$78)-IMshareC!BU$73),0))</f>
        <v>5.4620825622949506E-9</v>
      </c>
      <c r="BV23" s="8">
        <f>IF($A23=BV$1,0,IF(SUM(IMshareC!BV$2:BV$78)-IMshareC!BV$74&gt;0,IMshareC!BV23/(SUM(IMshareC!BV$2:BV$78)-IMshareC!BV$74),0))</f>
        <v>6.3546854628541443E-5</v>
      </c>
      <c r="BW23" s="8">
        <f>IF($A23=BW$1,0,IF(SUM(IMshareC!BW$2:BW$78)-IMshareC!BW$75&gt;0,IMshareC!BW23/(SUM(IMshareC!BW$2:BW$78)-IMshareC!BW$75),0))</f>
        <v>3.2625755474020753E-6</v>
      </c>
      <c r="BX23" s="8">
        <f>IF($A23=BX$1,0,IF(SUM(IMshareC!BX$2:BX$78)-IMshareC!BX$76&gt;0,IMshareC!BX23/(SUM(IMshareC!BX$2:BX$78)-IMshareC!BX$76),0))</f>
        <v>1.2267575134136657E-5</v>
      </c>
      <c r="BY23" s="8">
        <f>IF($A23=BY$1,0,IF(SUM(IMshareC!BY$2:BY$78)-IMshareC!BY$77&gt;0,IMshareC!BY23/(SUM(IMshareC!BY$2:BY$78)-IMshareC!BY$77),0))</f>
        <v>2.9383998344386649E-4</v>
      </c>
      <c r="BZ23" s="8">
        <f>IF($A23=BZ$1,0,IF(SUM(IMshareC!BZ$2:BZ$78)-IMshareC!BZ$78&gt;0,IMshareC!BZ23/(SUM(IMshareC!BZ$2:BZ$78)-IMshareC!BZ$78),0))</f>
        <v>6.159489893819524E-4</v>
      </c>
    </row>
    <row r="24" spans="1:78">
      <c r="A24" s="4" t="s">
        <v>115</v>
      </c>
      <c r="B24" s="8">
        <f>IF($A24=B$1,0,IF(SUM(IMshareC!B$2:B$78)-IMshareC!B$2&gt;0,IMshareC!B24/(SUM(IMshareC!B$2:B$78)-IMshareC!B$2),0))</f>
        <v>9.2396668880178733E-3</v>
      </c>
      <c r="C24" s="8">
        <f>IF($A24=C$1,0,IF(SUM(IMshareC!C$2:C$78)-IMshareC!C$3&gt;0,IMshareC!C24/(SUM(IMshareC!C$2:C$78)-IMshareC!C$3),0))</f>
        <v>3.281672513157175E-3</v>
      </c>
      <c r="D24" s="8">
        <f>IF($A24=D$1,0,IF(SUM(IMshareC!D$2:D$78)-IMshareC!D$4&gt;0,IMshareC!D24/(SUM(IMshareC!D$2:D$78)-IMshareC!D$4),0))</f>
        <v>6.0433408997902661E-3</v>
      </c>
      <c r="E24" s="8">
        <f>IF($A24=E$1,0,IF(SUM(IMshareC!E$2:E$78)-IMshareC!E$5&gt;0,IMshareC!E24/(SUM(IMshareC!E$2:E$78)-IMshareC!E$5),0))</f>
        <v>1.2933758984236354E-2</v>
      </c>
      <c r="F24" s="8">
        <f>IF($A24=F$1,0,IF(SUM(IMshareC!F$2:F$78)-IMshareC!F$6&gt;0,IMshareC!F24/(SUM(IMshareC!F$2:F$78)-IMshareC!F$6),0))</f>
        <v>2.1531939860598912E-4</v>
      </c>
      <c r="G24" s="8">
        <f>IF($A24=G$1,0,IF(SUM(IMshareC!G$2:G$78)-IMshareC!G$7&gt;0,IMshareC!G24/(SUM(IMshareC!G$2:G$78)-IMshareC!G$7),0))</f>
        <v>3.1137458186345493E-3</v>
      </c>
      <c r="H24" s="8">
        <f>IF($A24=H$1,0,IF(SUM(IMshareC!H$2:H$78)-IMshareC!H$8&gt;0,IMshareC!H24/(SUM(IMshareC!H$2:H$78)-IMshareC!H$8),0))</f>
        <v>1.7026802494786025E-2</v>
      </c>
      <c r="I24" s="8">
        <f>IF($A24=I$1,0,IF(SUM(IMshareC!I$2:I$78)-IMshareC!I$9&gt;0,IMshareC!I24/(SUM(IMshareC!I$2:I$78)-IMshareC!I$9),0))</f>
        <v>9.4829784340202733E-4</v>
      </c>
      <c r="J24" s="8">
        <f>IF($A24=J$1,0,IF(SUM(IMshareC!J$2:J$78)-IMshareC!J$10&gt;0,IMshareC!J24/(SUM(IMshareC!J$2:J$78)-IMshareC!J$10),0))</f>
        <v>3.3342490463247112E-4</v>
      </c>
      <c r="K24" s="8">
        <f>IF($A24=K$1,0,IF(SUM(IMshareC!K$2:K$78)-IMshareC!K$11&gt;0,IMshareC!K24/(SUM(IMshareC!K$2:K$78)-IMshareC!K$11),0))</f>
        <v>5.1448193667269287E-4</v>
      </c>
      <c r="L24" s="8">
        <f>IF($A24=L$1,0,IF(SUM(IMshareC!L$2:L$78)-IMshareC!L$12&gt;0,IMshareC!L24/(SUM(IMshareC!L$2:L$78)-IMshareC!L$12),0))</f>
        <v>1.6249609481171576E-3</v>
      </c>
      <c r="M24" s="8">
        <f>IF($A24=M$1,0,IF(SUM(IMshareC!M$2:M$78)-IMshareC!M$13&gt;0,IMshareC!M24/(SUM(IMshareC!M$2:M$78)-IMshareC!M$13),0))</f>
        <v>2.0910393311276025E-2</v>
      </c>
      <c r="N24" s="8">
        <f>IF($A24=N$1,0,IF(SUM(IMshareC!N$2:N$78)-IMshareC!N$14&gt;0,IMshareC!N24/(SUM(IMshareC!N$2:N$78)-IMshareC!N$14),0))</f>
        <v>1.47946780641831E-4</v>
      </c>
      <c r="O24" s="8">
        <f>IF($A24=O$1,0,IF(SUM(IMshareC!O$2:O$78)-IMshareC!O$15&gt;0,IMshareC!O24/(SUM(IMshareC!O$2:O$78)-IMshareC!O$15),0))</f>
        <v>3.667082068401651E-3</v>
      </c>
      <c r="P24" s="8">
        <f>IF($A24=P$1,0,IF(SUM(IMshareC!P$2:P$78)-IMshareC!P$16&gt;0,IMshareC!P24/(SUM(IMshareC!P$2:P$78)-IMshareC!P$16),0))</f>
        <v>3.2075312640410412E-3</v>
      </c>
      <c r="Q24" s="8">
        <f>IF($A24=Q$1,0,IF(SUM(IMshareC!Q$2:Q$78)-IMshareC!Q$17&gt;0,IMshareC!Q24/(SUM(IMshareC!Q$2:Q$78)-IMshareC!Q$17),0))</f>
        <v>9.1628181098947908E-3</v>
      </c>
      <c r="R24" s="8">
        <f>IF($A24=R$1,0,IF(SUM(IMshareC!R$2:R$78)-IMshareC!R$18&gt;0,IMshareC!R24/(SUM(IMshareC!R$2:R$78)-IMshareC!R$18),0))</f>
        <v>2.4471907374873478E-3</v>
      </c>
      <c r="S24" s="8">
        <f>IF($A24=S$1,0,IF(SUM(IMshareC!S$2:S$78)-IMshareC!S$19&gt;0,IMshareC!S24/(SUM(IMshareC!S$2:S$78)-IMshareC!S$19),0))</f>
        <v>2.5423206308294477E-2</v>
      </c>
      <c r="T24" s="8">
        <f>IF($A24=T$1,0,IF(SUM(IMshareC!T$2:T$78)-IMshareC!T$20&gt;0,IMshareC!T24/(SUM(IMshareC!T$2:T$78)-IMshareC!T$20),0))</f>
        <v>4.4419733218194505E-3</v>
      </c>
      <c r="U24" s="8">
        <f>IF($A24=U$1,0,IF(SUM(IMshareC!U$2:U$78)-IMshareC!U$21&gt;0,IMshareC!U24/(SUM(IMshareC!U$2:U$78)-IMshareC!U$21),0))</f>
        <v>1.372225951188365E-3</v>
      </c>
      <c r="V24" s="8">
        <f>IF($A24=V$1,0,IF(SUM(IMshareC!V$2:V$78)-IMshareC!V$22&gt;0,IMshareC!V24/(SUM(IMshareC!V$2:V$78)-IMshareC!V$22),0))</f>
        <v>3.1101881278463367E-3</v>
      </c>
      <c r="W24" s="8">
        <f>IF($A24=W$1,0,IF(SUM(IMshareC!W$2:W$78)-IMshareC!W$23&gt;0,IMshareC!W24/(SUM(IMshareC!W$2:W$78)-IMshareC!W$23),0))</f>
        <v>2.1507510716489032E-2</v>
      </c>
      <c r="X24" s="8">
        <f>IF($A24=X$1,0,IF(SUM(IMshareC!X$2:X$78)-IMshareC!X$24&gt;0,IMshareC!X24/(SUM(IMshareC!X$2:X$78)-IMshareC!X$24),0))</f>
        <v>0</v>
      </c>
      <c r="Y24" s="8">
        <f>IF($A24=Y$1,0,IF(SUM(IMshareC!Y$2:Y$78)-IMshareC!Y$25&gt;0,IMshareC!Y24/(SUM(IMshareC!Y$2:Y$78)-IMshareC!Y$25),0))</f>
        <v>1.2733636603877924E-3</v>
      </c>
      <c r="Z24" s="8">
        <f>IF($A24=Z$1,0,IF(SUM(IMshareC!Z$2:Z$78)-IMshareC!Z$26&gt;0,IMshareC!Z24/(SUM(IMshareC!Z$2:Z$78)-IMshareC!Z$26),0))</f>
        <v>1.653093214020631E-4</v>
      </c>
      <c r="AA24" s="8">
        <f>IF($A24=AA$1,0,IF(SUM(IMshareC!AA$2:AA$78)-IMshareC!AA$27&gt;0,IMshareC!AA24/(SUM(IMshareC!AA$2:AA$78)-IMshareC!AA$27),0))</f>
        <v>1.9292501703315378E-2</v>
      </c>
      <c r="AB24" s="8">
        <f>IF($A24=AB$1,0,IF(SUM(IMshareC!AB$2:AB$78)-IMshareC!AB$28&gt;0,IMshareC!AB24/(SUM(IMshareC!AB$2:AB$78)-IMshareC!AB$28),0))</f>
        <v>1.1923101221526856E-2</v>
      </c>
      <c r="AC24" s="8">
        <f>IF($A24=AC$1,0,IF(SUM(IMshareC!AC$2:AC$78)-IMshareC!AC$29&gt;0,IMshareC!AC24/(SUM(IMshareC!AC$2:AC$78)-IMshareC!AC$29),0))</f>
        <v>4.7598108413283947E-3</v>
      </c>
      <c r="AD24" s="8">
        <f>IF($A24=AD$1,0,IF(SUM(IMshareC!AD$2:AD$78)-IMshareC!AD$30&gt;0,IMshareC!AD24/(SUM(IMshareC!AD$2:AD$78)-IMshareC!AD$30),0))</f>
        <v>2.450512924700757E-5</v>
      </c>
      <c r="AE24" s="8">
        <f>IF($A24=AE$1,0,IF(SUM(IMshareC!AE$2:AE$78)-IMshareC!AE$31&gt;0,IMshareC!AE24/(SUM(IMshareC!AE$2:AE$78)-IMshareC!AE$31),0))</f>
        <v>6.1783426105021851E-3</v>
      </c>
      <c r="AF24" s="8">
        <f>IF($A24=AF$1,0,IF(SUM(IMshareC!AF$2:AF$78)-IMshareC!AF$32&gt;0,IMshareC!AF24/(SUM(IMshareC!AF$2:AF$78)-IMshareC!AF$32),0))</f>
        <v>3.9792801661661667E-3</v>
      </c>
      <c r="AG24" s="8">
        <f>IF($A24=AG$1,0,IF(SUM(IMshareC!AG$2:AG$78)-IMshareC!AG$33&gt;0,IMshareC!AG24/(SUM(IMshareC!AG$2:AG$78)-IMshareC!AG$33),0))</f>
        <v>9.4375346023399688E-5</v>
      </c>
      <c r="AH24" s="8">
        <f>IF($A24=AH$1,0,IF(SUM(IMshareC!AH$2:AH$78)-IMshareC!AH$34&gt;0,IMshareC!AH24/(SUM(IMshareC!AH$2:AH$78)-IMshareC!AH$34),0))</f>
        <v>7.2244378923594157E-5</v>
      </c>
      <c r="AI24" s="8">
        <f>IF($A24=AI$1,0,IF(SUM(IMshareC!AI$2:AI$78)-IMshareC!AI$35&gt;0,IMshareC!AI24/(SUM(IMshareC!AI$2:AI$78)-IMshareC!AI$35),0))</f>
        <v>4.9306960991816788E-5</v>
      </c>
      <c r="AJ24" s="8">
        <f>IF($A24=AJ$1,0,IF(SUM(IMshareC!AJ$2:AJ$78)-IMshareC!AJ$36&gt;0,IMshareC!AJ24/(SUM(IMshareC!AJ$2:AJ$78)-IMshareC!AJ$36),0))</f>
        <v>5.19962382056555E-3</v>
      </c>
      <c r="AK24" s="8">
        <f>IF($A24=AK$1,0,IF(SUM(IMshareC!AK$2:AK$78)-IMshareC!AK$37&gt;0,IMshareC!AK24/(SUM(IMshareC!AK$2:AK$78)-IMshareC!AK$37),0))</f>
        <v>1.4072723655768533E-3</v>
      </c>
      <c r="AL24" s="8">
        <f>IF($A24=AL$1,0,IF(SUM(IMshareC!AL$2:AL$78)-IMshareC!AL$38&gt;0,IMshareC!AL24/(SUM(IMshareC!AL$2:AL$78)-IMshareC!AL$38),0))</f>
        <v>9.9621018118458277E-3</v>
      </c>
      <c r="AM24" s="8">
        <f>IF($A24=AM$1,0,IF(SUM(IMshareC!AM$2:AM$78)-IMshareC!AM$39&gt;0,IMshareC!AM24/(SUM(IMshareC!AM$2:AM$78)-IMshareC!AM$39),0))</f>
        <v>1.3949079420068502E-2</v>
      </c>
      <c r="AN24" s="8">
        <f>IF($A24=AN$1,0,IF(SUM(IMshareC!AN$2:AN$78)-IMshareC!AN$40&gt;0,IMshareC!AN24/(SUM(IMshareC!AN$2:AN$78)-IMshareC!AN$40),0))</f>
        <v>1.6419290866948033E-3</v>
      </c>
      <c r="AO24" s="8">
        <f>IF($A24=AO$1,0,IF(SUM(IMshareC!AO$2:AO$78)-IMshareC!AO$41&gt;0,IMshareC!AO24/(SUM(IMshareC!AO$2:AO$78)-IMshareC!AO$41),0))</f>
        <v>6.738321218864066E-3</v>
      </c>
      <c r="AP24" s="8">
        <f>IF($A24=AP$1,0,IF(SUM(IMshareC!AP$2:AP$78)-IMshareC!AP$42&gt;0,IMshareC!AP24/(SUM(IMshareC!AP$2:AP$78)-IMshareC!AP$42),0))</f>
        <v>2.6515955510406563E-4</v>
      </c>
      <c r="AQ24" s="8">
        <f>IF($A24=AQ$1,0,IF(SUM(IMshareC!AQ$2:AQ$78)-IMshareC!AQ$43&gt;0,IMshareC!AQ24/(SUM(IMshareC!AQ$2:AQ$78)-IMshareC!AQ$43),0))</f>
        <v>9.1832544416528038E-5</v>
      </c>
      <c r="AR24" s="8">
        <f>IF($A24=AR$1,0,IF(SUM(IMshareC!AR$2:AR$78)-IMshareC!AR$44&gt;0,IMshareC!AR24/(SUM(IMshareC!AR$2:AR$78)-IMshareC!AR$44),0))</f>
        <v>7.020921419083242E-5</v>
      </c>
      <c r="AS24" s="8">
        <f>IF($A24=AS$1,0,IF(SUM(IMshareC!AS$2:AS$78)-IMshareC!AS$45&gt;0,IMshareC!AS24/(SUM(IMshareC!AS$2:AS$78)-IMshareC!AS$45),0))</f>
        <v>1.0932822611311979E-3</v>
      </c>
      <c r="AT24" s="8">
        <f>IF($A24=AT$1,0,IF(SUM(IMshareC!AT$2:AT$78)-IMshareC!AT$46&gt;0,IMshareC!AT24/(SUM(IMshareC!AT$2:AT$78)-IMshareC!AT$46),0))</f>
        <v>2.7574505381237875E-3</v>
      </c>
      <c r="AU24" s="8">
        <f>IF($A24=AU$1,0,IF(SUM(IMshareC!AU$2:AU$78)-IMshareC!AU$47&gt;0,IMshareC!AU24/(SUM(IMshareC!AU$2:AU$78)-IMshareC!AU$47),0))</f>
        <v>2.2892729361134949E-2</v>
      </c>
      <c r="AV24" s="8">
        <f>IF($A24=AV$1,0,IF(SUM(IMshareC!AV$2:AV$78)-IMshareC!AV$48&gt;0,IMshareC!AV24/(SUM(IMshareC!AV$2:AV$78)-IMshareC!AV$48),0))</f>
        <v>5.0193221757783166E-2</v>
      </c>
      <c r="AW24" s="8">
        <f>IF($A24=AW$1,0,IF(SUM(IMshareC!AW$2:AW$78)-IMshareC!AW$49&gt;0,IMshareC!AW24/(SUM(IMshareC!AW$2:AW$78)-IMshareC!AW$49),0))</f>
        <v>9.6961442659378313E-4</v>
      </c>
      <c r="AX24" s="8">
        <f>IF($A24=AX$1,0,IF(SUM(IMshareC!AX$2:AX$78)-IMshareC!AX$50&gt;0,IMshareC!AX24/(SUM(IMshareC!AX$2:AX$78)-IMshareC!AX$50),0))</f>
        <v>4.5535458718171188E-4</v>
      </c>
      <c r="AY24" s="8">
        <f>IF($A24=AY$1,0,IF(SUM(IMshareC!AY$2:AY$78)-IMshareC!AY$51&gt;0,IMshareC!AY24/(SUM(IMshareC!AY$2:AY$78)-IMshareC!AY$51),0))</f>
        <v>1.5679626937276816E-3</v>
      </c>
      <c r="AZ24" s="8">
        <f>IF($A24=AZ$1,0,IF(SUM(IMshareC!AZ$2:AZ$78)-IMshareC!AZ$52&gt;0,IMshareC!AZ24/(SUM(IMshareC!AZ$2:AZ$78)-IMshareC!AZ$52),0))</f>
        <v>1.4427960613866011E-5</v>
      </c>
      <c r="BA24" s="8">
        <f>IF($A24=BA$1,0,IF(SUM(IMshareC!BA$2:BA$78)-IMshareC!BA$53&gt;0,IMshareC!BA24/(SUM(IMshareC!BA$2:BA$78)-IMshareC!BA$53),0))</f>
        <v>5.7062826169923433E-4</v>
      </c>
      <c r="BB24" s="8">
        <f>IF($A24=BB$1,0,IF(SUM(IMshareC!BB$2:BB$78)-IMshareC!BB$54&gt;0,IMshareC!BB24/(SUM(IMshareC!BB$2:BB$78)-IMshareC!BB$54),0))</f>
        <v>2.4212981092705775E-3</v>
      </c>
      <c r="BC24" s="8">
        <f>IF($A24=BC$1,0,IF(SUM(IMshareC!BC$2:BC$78)-IMshareC!BC$55&gt;0,IMshareC!BC24/(SUM(IMshareC!BC$2:BC$78)-IMshareC!BC$55),0))</f>
        <v>2.8919190057372407E-3</v>
      </c>
      <c r="BD24" s="8">
        <f>IF($A24=BD$1,0,IF(SUM(IMshareC!BD$2:BD$78)-IMshareC!BD$56&gt;0,IMshareC!BD24/(SUM(IMshareC!BD$2:BD$78)-IMshareC!BD$56),0))</f>
        <v>1.3488080018724652E-3</v>
      </c>
      <c r="BE24" s="8">
        <f>IF($A24=BE$1,0,IF(SUM(IMshareC!BE$2:BE$78)-IMshareC!BE$57&gt;0,IMshareC!BE24/(SUM(IMshareC!BE$2:BE$78)-IMshareC!BE$57),0))</f>
        <v>7.5634931038642459E-4</v>
      </c>
      <c r="BF24" s="8">
        <f>IF($A24=BF$1,0,IF(SUM(IMshareC!BF$2:BF$78)-IMshareC!BF$58&gt;0,IMshareC!BF24/(SUM(IMshareC!BF$2:BF$78)-IMshareC!BF$58),0))</f>
        <v>1.543259658089292E-2</v>
      </c>
      <c r="BG24" s="8">
        <f>IF($A24=BG$1,0,IF(SUM(IMshareC!BG$2:BG$78)-IMshareC!BG$59&gt;0,IMshareC!BG24/(SUM(IMshareC!BG$2:BG$78)-IMshareC!BG$59),0))</f>
        <v>8.6529017450922924E-6</v>
      </c>
      <c r="BH24" s="8">
        <f>IF($A24=BH$1,0,IF(SUM(IMshareC!BH$2:BH$78)-IMshareC!BH$60&gt;0,IMshareC!BH24/(SUM(IMshareC!BH$2:BH$78)-IMshareC!BH$60),0))</f>
        <v>2.0441777419083701E-3</v>
      </c>
      <c r="BI24" s="8">
        <f>IF($A24=BI$1,0,IF(SUM(IMshareC!BI$2:BI$78)-IMshareC!BI$61&gt;0,IMshareC!BI24/(SUM(IMshareC!BI$2:BI$78)-IMshareC!BI$61),0))</f>
        <v>7.6399605513609817E-2</v>
      </c>
      <c r="BJ24" s="8">
        <f>IF($A24=BJ$1,0,IF(SUM(IMshareC!BJ$2:BJ$78)-IMshareC!BJ$62&gt;0,IMshareC!BJ24/(SUM(IMshareC!BJ$2:BJ$78)-IMshareC!BJ$62),0))</f>
        <v>2.6323706531648215E-3</v>
      </c>
      <c r="BK24" s="8">
        <f>IF($A24=BK$1,0,IF(SUM(IMshareC!BK$2:BK$78)-IMshareC!BK$63&gt;0,IMshareC!BK24/(SUM(IMshareC!BK$2:BK$78)-IMshareC!BK$63),0))</f>
        <v>4.6469043832167829E-4</v>
      </c>
      <c r="BL24" s="8">
        <f>IF($A24=BL$1,0,IF(SUM(IMshareC!BL$2:BL$78)-IMshareC!BL$64&gt;0,IMshareC!BL24/(SUM(IMshareC!BL$2:BL$78)-IMshareC!BL$64),0))</f>
        <v>1.5894914304626952E-2</v>
      </c>
      <c r="BM24" s="8">
        <f>IF($A24=BM$1,0,IF(SUM(IMshareC!BM$2:BM$78)-IMshareC!BM$65&gt;0,IMshareC!BM24/(SUM(IMshareC!BM$2:BM$78)-IMshareC!BM$65),0))</f>
        <v>2.1161879231408776E-2</v>
      </c>
      <c r="BN24" s="8">
        <f>IF($A24=BN$1,0,IF(SUM(IMshareC!BN$2:BN$78)-IMshareC!BN$66&gt;0,IMshareC!BN24/(SUM(IMshareC!BN$2:BN$78)-IMshareC!BN$66),0))</f>
        <v>1.44943220654227E-5</v>
      </c>
      <c r="BO24" s="8">
        <f>IF($A24=BO$1,0,IF(SUM(IMshareC!BO$2:BO$78)-IMshareC!BO$67&gt;0,IMshareC!BO24/(SUM(IMshareC!BO$2:BO$78)-IMshareC!BO$67),0))</f>
        <v>3.5251567490945273E-4</v>
      </c>
      <c r="BP24" s="8">
        <f>IF($A24=BP$1,0,IF(SUM(IMshareC!BP$2:BP$78)-IMshareC!BP$68&gt;0,IMshareC!BP24/(SUM(IMshareC!BP$2:BP$78)-IMshareC!BP$68),0))</f>
        <v>1.4674716528095674E-3</v>
      </c>
      <c r="BQ24" s="8">
        <f>IF($A24=BQ$1,0,IF(SUM(IMshareC!BQ$2:BQ$78)-IMshareC!BQ$69&gt;0,IMshareC!BQ24/(SUM(IMshareC!BQ$2:BQ$78)-IMshareC!BQ$69),0))</f>
        <v>9.6791633561477618E-4</v>
      </c>
      <c r="BR24" s="8">
        <f>IF($A24=BR$1,0,IF(SUM(IMshareC!BR$2:BR$78)-IMshareC!BR$70&gt;0,IMshareC!BR24/(SUM(IMshareC!BR$2:BR$78)-IMshareC!BR$70),0))</f>
        <v>1.7064840730041223E-4</v>
      </c>
      <c r="BS24" s="8">
        <f>IF($A24=BS$1,0,IF(SUM(IMshareC!BS$2:BS$78)-IMshareC!BS$71&gt;0,IMshareC!BS24/(SUM(IMshareC!BS$2:BS$78)-IMshareC!BS$71),0))</f>
        <v>1.1997311973711859E-3</v>
      </c>
      <c r="BT24" s="8">
        <f>IF($A24=BT$1,0,IF(SUM(IMshareC!BT$2:BT$78)-IMshareC!BT$72&gt;0,IMshareC!BT24/(SUM(IMshareC!BT$2:BT$78)-IMshareC!BT$72),0))</f>
        <v>3.5137534625206086E-2</v>
      </c>
      <c r="BU24" s="8">
        <f>IF($A24=BU$1,0,IF(SUM(IMshareC!BU$2:BU$78)-IMshareC!BU$73&gt;0,IMshareC!BU24/(SUM(IMshareC!BU$2:BU$78)-IMshareC!BU$73),0))</f>
        <v>5.7593258687883796E-6</v>
      </c>
      <c r="BV24" s="8">
        <f>IF($A24=BV$1,0,IF(SUM(IMshareC!BV$2:BV$78)-IMshareC!BV$74&gt;0,IMshareC!BV24/(SUM(IMshareC!BV$2:BV$78)-IMshareC!BV$74),0))</f>
        <v>5.0865191848718208E-4</v>
      </c>
      <c r="BW24" s="8">
        <f>IF($A24=BW$1,0,IF(SUM(IMshareC!BW$2:BW$78)-IMshareC!BW$75&gt;0,IMshareC!BW24/(SUM(IMshareC!BW$2:BW$78)-IMshareC!BW$75),0))</f>
        <v>9.9832859682619257E-4</v>
      </c>
      <c r="BX24" s="8">
        <f>IF($A24=BX$1,0,IF(SUM(IMshareC!BX$2:BX$78)-IMshareC!BX$76&gt;0,IMshareC!BX24/(SUM(IMshareC!BX$2:BX$78)-IMshareC!BX$76),0))</f>
        <v>9.9168629329803409E-5</v>
      </c>
      <c r="BY24" s="8">
        <f>IF($A24=BY$1,0,IF(SUM(IMshareC!BY$2:BY$78)-IMshareC!BY$77&gt;0,IMshareC!BY24/(SUM(IMshareC!BY$2:BY$78)-IMshareC!BY$77),0))</f>
        <v>1.9331638925575961E-3</v>
      </c>
      <c r="BZ24" s="8">
        <f>IF($A24=BZ$1,0,IF(SUM(IMshareC!BZ$2:BZ$78)-IMshareC!BZ$78&gt;0,IMshareC!BZ24/(SUM(IMshareC!BZ$2:BZ$78)-IMshareC!BZ$78),0))</f>
        <v>1.3497141910555371E-2</v>
      </c>
    </row>
    <row r="25" spans="1:78">
      <c r="A25" s="4" t="s">
        <v>117</v>
      </c>
      <c r="B25" s="8">
        <f>IF($A25=B$1,0,IF(SUM(IMshareC!B$2:B$78)-IMshareC!B$2&gt;0,IMshareC!B25/(SUM(IMshareC!B$2:B$78)-IMshareC!B$2),0))</f>
        <v>5.2572345626259178E-5</v>
      </c>
      <c r="C25" s="8">
        <f>IF($A25=C$1,0,IF(SUM(IMshareC!C$2:C$78)-IMshareC!C$3&gt;0,IMshareC!C25/(SUM(IMshareC!C$2:C$78)-IMshareC!C$3),0))</f>
        <v>3.5552672665828131E-3</v>
      </c>
      <c r="D25" s="8">
        <f>IF($A25=D$1,0,IF(SUM(IMshareC!D$2:D$78)-IMshareC!D$4&gt;0,IMshareC!D25/(SUM(IMshareC!D$2:D$78)-IMshareC!D$4),0))</f>
        <v>3.9621659261147195E-4</v>
      </c>
      <c r="E25" s="8">
        <f>IF($A25=E$1,0,IF(SUM(IMshareC!E$2:E$78)-IMshareC!E$5&gt;0,IMshareC!E25/(SUM(IMshareC!E$2:E$78)-IMshareC!E$5),0))</f>
        <v>8.7424119506642343E-5</v>
      </c>
      <c r="F25" s="8">
        <f>IF($A25=F$1,0,IF(SUM(IMshareC!F$2:F$78)-IMshareC!F$6&gt;0,IMshareC!F25/(SUM(IMshareC!F$2:F$78)-IMshareC!F$6),0))</f>
        <v>0</v>
      </c>
      <c r="G25" s="8">
        <f>IF($A25=G$1,0,IF(SUM(IMshareC!G$2:G$78)-IMshareC!G$7&gt;0,IMshareC!G25/(SUM(IMshareC!G$2:G$78)-IMshareC!G$7),0))</f>
        <v>3.9913582930008868E-4</v>
      </c>
      <c r="H25" s="8">
        <f>IF($A25=H$1,0,IF(SUM(IMshareC!H$2:H$78)-IMshareC!H$8&gt;0,IMshareC!H25/(SUM(IMshareC!H$2:H$78)-IMshareC!H$8),0))</f>
        <v>2.7027581140033527E-3</v>
      </c>
      <c r="I25" s="8">
        <f>IF($A25=I$1,0,IF(SUM(IMshareC!I$2:I$78)-IMshareC!I$9&gt;0,IMshareC!I25/(SUM(IMshareC!I$2:I$78)-IMshareC!I$9),0))</f>
        <v>8.9649121030545254E-4</v>
      </c>
      <c r="J25" s="8">
        <f>IF($A25=J$1,0,IF(SUM(IMshareC!J$2:J$78)-IMshareC!J$10&gt;0,IMshareC!J25/(SUM(IMshareC!J$2:J$78)-IMshareC!J$10),0))</f>
        <v>0</v>
      </c>
      <c r="K25" s="8">
        <f>IF($A25=K$1,0,IF(SUM(IMshareC!K$2:K$78)-IMshareC!K$11&gt;0,IMshareC!K25/(SUM(IMshareC!K$2:K$78)-IMshareC!K$11),0))</f>
        <v>5.5394584586017118E-5</v>
      </c>
      <c r="L25" s="8">
        <f>IF($A25=L$1,0,IF(SUM(IMshareC!L$2:L$78)-IMshareC!L$12&gt;0,IMshareC!L25/(SUM(IMshareC!L$2:L$78)-IMshareC!L$12),0))</f>
        <v>1.0709803651581538E-4</v>
      </c>
      <c r="M25" s="8">
        <f>IF($A25=M$1,0,IF(SUM(IMshareC!M$2:M$78)-IMshareC!M$13&gt;0,IMshareC!M25/(SUM(IMshareC!M$2:M$78)-IMshareC!M$13),0))</f>
        <v>6.3761587302102555E-5</v>
      </c>
      <c r="N25" s="8">
        <f>IF($A25=N$1,0,IF(SUM(IMshareC!N$2:N$78)-IMshareC!N$14&gt;0,IMshareC!N25/(SUM(IMshareC!N$2:N$78)-IMshareC!N$14),0))</f>
        <v>1.0650494568844929E-5</v>
      </c>
      <c r="O25" s="8">
        <f>IF($A25=O$1,0,IF(SUM(IMshareC!O$2:O$78)-IMshareC!O$15&gt;0,IMshareC!O25/(SUM(IMshareC!O$2:O$78)-IMshareC!O$15),0))</f>
        <v>6.2525140327061212E-5</v>
      </c>
      <c r="P25" s="8">
        <f>IF($A25=P$1,0,IF(SUM(IMshareC!P$2:P$78)-IMshareC!P$16&gt;0,IMshareC!P25/(SUM(IMshareC!P$2:P$78)-IMshareC!P$16),0))</f>
        <v>1.5584593195650028E-4</v>
      </c>
      <c r="Q25" s="8">
        <f>IF($A25=Q$1,0,IF(SUM(IMshareC!Q$2:Q$78)-IMshareC!Q$17&gt;0,IMshareC!Q25/(SUM(IMshareC!Q$2:Q$78)-IMshareC!Q$17),0))</f>
        <v>1.1526716052424107E-3</v>
      </c>
      <c r="R25" s="8">
        <f>IF($A25=R$1,0,IF(SUM(IMshareC!R$2:R$78)-IMshareC!R$18&gt;0,IMshareC!R25/(SUM(IMshareC!R$2:R$78)-IMshareC!R$18),0))</f>
        <v>4.2580702688301185E-5</v>
      </c>
      <c r="S25" s="8">
        <f>IF($A25=S$1,0,IF(SUM(IMshareC!S$2:S$78)-IMshareC!S$19&gt;0,IMshareC!S25/(SUM(IMshareC!S$2:S$78)-IMshareC!S$19),0))</f>
        <v>2.1460390977535025E-4</v>
      </c>
      <c r="T25" s="8">
        <f>IF($A25=T$1,0,IF(SUM(IMshareC!T$2:T$78)-IMshareC!T$20&gt;0,IMshareC!T25/(SUM(IMshareC!T$2:T$78)-IMshareC!T$20),0))</f>
        <v>5.531688404063592E-5</v>
      </c>
      <c r="U25" s="8">
        <f>IF($A25=U$1,0,IF(SUM(IMshareC!U$2:U$78)-IMshareC!U$21&gt;0,IMshareC!U25/(SUM(IMshareC!U$2:U$78)-IMshareC!U$21),0))</f>
        <v>2.014662700263327E-4</v>
      </c>
      <c r="V25" s="8">
        <f>IF($A25=V$1,0,IF(SUM(IMshareC!V$2:V$78)-IMshareC!V$22&gt;0,IMshareC!V25/(SUM(IMshareC!V$2:V$78)-IMshareC!V$22),0))</f>
        <v>2.042408815557954E-3</v>
      </c>
      <c r="W25" s="8">
        <f>IF($A25=W$1,0,IF(SUM(IMshareC!W$2:W$78)-IMshareC!W$23&gt;0,IMshareC!W25/(SUM(IMshareC!W$2:W$78)-IMshareC!W$23),0))</f>
        <v>7.0074543207125664E-5</v>
      </c>
      <c r="X25" s="8">
        <f>IF($A25=X$1,0,IF(SUM(IMshareC!X$2:X$78)-IMshareC!X$24&gt;0,IMshareC!X25/(SUM(IMshareC!X$2:X$78)-IMshareC!X$24),0))</f>
        <v>1.3913731671405202E-4</v>
      </c>
      <c r="Y25" s="8">
        <f>IF($A25=Y$1,0,IF(SUM(IMshareC!Y$2:Y$78)-IMshareC!Y$25&gt;0,IMshareC!Y25/(SUM(IMshareC!Y$2:Y$78)-IMshareC!Y$25),0))</f>
        <v>0</v>
      </c>
      <c r="Z25" s="8">
        <f>IF($A25=Z$1,0,IF(SUM(IMshareC!Z$2:Z$78)-IMshareC!Z$26&gt;0,IMshareC!Z25/(SUM(IMshareC!Z$2:Z$78)-IMshareC!Z$26),0))</f>
        <v>3.4943706033649567E-2</v>
      </c>
      <c r="AA25" s="8">
        <f>IF($A25=AA$1,0,IF(SUM(IMshareC!AA$2:AA$78)-IMshareC!AA$27&gt;0,IMshareC!AA25/(SUM(IMshareC!AA$2:AA$78)-IMshareC!AA$27),0))</f>
        <v>2.748104070626446E-5</v>
      </c>
      <c r="AB25" s="8">
        <f>IF($A25=AB$1,0,IF(SUM(IMshareC!AB$2:AB$78)-IMshareC!AB$28&gt;0,IMshareC!AB25/(SUM(IMshareC!AB$2:AB$78)-IMshareC!AB$28),0))</f>
        <v>4.6244758914425828E-4</v>
      </c>
      <c r="AC25" s="8">
        <f>IF($A25=AC$1,0,IF(SUM(IMshareC!AC$2:AC$78)-IMshareC!AC$29&gt;0,IMshareC!AC25/(SUM(IMshareC!AC$2:AC$78)-IMshareC!AC$29),0))</f>
        <v>1.1418959148059232E-4</v>
      </c>
      <c r="AD25" s="8">
        <f>IF($A25=AD$1,0,IF(SUM(IMshareC!AD$2:AD$78)-IMshareC!AD$30&gt;0,IMshareC!AD25/(SUM(IMshareC!AD$2:AD$78)-IMshareC!AD$30),0))</f>
        <v>7.8031584945221904E-6</v>
      </c>
      <c r="AE25" s="8">
        <f>IF($A25=AE$1,0,IF(SUM(IMshareC!AE$2:AE$78)-IMshareC!AE$31&gt;0,IMshareC!AE25/(SUM(IMshareC!AE$2:AE$78)-IMshareC!AE$31),0))</f>
        <v>6.3969336185454539E-5</v>
      </c>
      <c r="AF25" s="8">
        <f>IF($A25=AF$1,0,IF(SUM(IMshareC!AF$2:AF$78)-IMshareC!AF$32&gt;0,IMshareC!AF25/(SUM(IMshareC!AF$2:AF$78)-IMshareC!AF$32),0))</f>
        <v>8.4009036593730112E-4</v>
      </c>
      <c r="AG25" s="8">
        <f>IF($A25=AG$1,0,IF(SUM(IMshareC!AG$2:AG$78)-IMshareC!AG$33&gt;0,IMshareC!AG25/(SUM(IMshareC!AG$2:AG$78)-IMshareC!AG$33),0))</f>
        <v>2.4766996050629532E-5</v>
      </c>
      <c r="AH25" s="8">
        <f>IF($A25=AH$1,0,IF(SUM(IMshareC!AH$2:AH$78)-IMshareC!AH$34&gt;0,IMshareC!AH25/(SUM(IMshareC!AH$2:AH$78)-IMshareC!AH$34),0))</f>
        <v>3.7241209419819031E-6</v>
      </c>
      <c r="AI25" s="8">
        <f>IF($A25=AI$1,0,IF(SUM(IMshareC!AI$2:AI$78)-IMshareC!AI$35&gt;0,IMshareC!AI25/(SUM(IMshareC!AI$2:AI$78)-IMshareC!AI$35),0))</f>
        <v>1.6716442252396201E-6</v>
      </c>
      <c r="AJ25" s="8">
        <f>IF($A25=AJ$1,0,IF(SUM(IMshareC!AJ$2:AJ$78)-IMshareC!AJ$36&gt;0,IMshareC!AJ25/(SUM(IMshareC!AJ$2:AJ$78)-IMshareC!AJ$36),0))</f>
        <v>1.6830948771749826E-3</v>
      </c>
      <c r="AK25" s="8">
        <f>IF($A25=AK$1,0,IF(SUM(IMshareC!AK$2:AK$78)-IMshareC!AK$37&gt;0,IMshareC!AK25/(SUM(IMshareC!AK$2:AK$78)-IMshareC!AK$37),0))</f>
        <v>9.2889265054577764E-6</v>
      </c>
      <c r="AL25" s="8">
        <f>IF($A25=AL$1,0,IF(SUM(IMshareC!AL$2:AL$78)-IMshareC!AL$38&gt;0,IMshareC!AL25/(SUM(IMshareC!AL$2:AL$78)-IMshareC!AL$38),0))</f>
        <v>2.418559984685451E-3</v>
      </c>
      <c r="AM25" s="8">
        <f>IF($A25=AM$1,0,IF(SUM(IMshareC!AM$2:AM$78)-IMshareC!AM$39&gt;0,IMshareC!AM25/(SUM(IMshareC!AM$2:AM$78)-IMshareC!AM$39),0))</f>
        <v>3.6851057697812255E-3</v>
      </c>
      <c r="AN25" s="8">
        <f>IF($A25=AN$1,0,IF(SUM(IMshareC!AN$2:AN$78)-IMshareC!AN$40&gt;0,IMshareC!AN25/(SUM(IMshareC!AN$2:AN$78)-IMshareC!AN$40),0))</f>
        <v>1.0515736917841973E-6</v>
      </c>
      <c r="AO25" s="8">
        <f>IF($A25=AO$1,0,IF(SUM(IMshareC!AO$2:AO$78)-IMshareC!AO$41&gt;0,IMshareC!AO25/(SUM(IMshareC!AO$2:AO$78)-IMshareC!AO$41),0))</f>
        <v>7.0616428326443284E-3</v>
      </c>
      <c r="AP25" s="8">
        <f>IF($A25=AP$1,0,IF(SUM(IMshareC!AP$2:AP$78)-IMshareC!AP$42&gt;0,IMshareC!AP25/(SUM(IMshareC!AP$2:AP$78)-IMshareC!AP$42),0))</f>
        <v>0</v>
      </c>
      <c r="AQ25" s="8">
        <f>IF($A25=AQ$1,0,IF(SUM(IMshareC!AQ$2:AQ$78)-IMshareC!AQ$43&gt;0,IMshareC!AQ25/(SUM(IMshareC!AQ$2:AQ$78)-IMshareC!AQ$43),0))</f>
        <v>3.4515408644761044E-6</v>
      </c>
      <c r="AR25" s="8">
        <f>IF($A25=AR$1,0,IF(SUM(IMshareC!AR$2:AR$78)-IMshareC!AR$44&gt;0,IMshareC!AR25/(SUM(IMshareC!AR$2:AR$78)-IMshareC!AR$44),0))</f>
        <v>0</v>
      </c>
      <c r="AS25" s="8">
        <f>IF($A25=AS$1,0,IF(SUM(IMshareC!AS$2:AS$78)-IMshareC!AS$45&gt;0,IMshareC!AS25/(SUM(IMshareC!AS$2:AS$78)-IMshareC!AS$45),0))</f>
        <v>1.6545636848864051E-2</v>
      </c>
      <c r="AT25" s="8">
        <f>IF($A25=AT$1,0,IF(SUM(IMshareC!AT$2:AT$78)-IMshareC!AT$46&gt;0,IMshareC!AT25/(SUM(IMshareC!AT$2:AT$78)-IMshareC!AT$46),0))</f>
        <v>6.9534450186644435E-5</v>
      </c>
      <c r="AU25" s="8">
        <f>IF($A25=AU$1,0,IF(SUM(IMshareC!AU$2:AU$78)-IMshareC!AU$47&gt;0,IMshareC!AU25/(SUM(IMshareC!AU$2:AU$78)-IMshareC!AU$47),0))</f>
        <v>3.3593852715925819E-2</v>
      </c>
      <c r="AV25" s="8">
        <f>IF($A25=AV$1,0,IF(SUM(IMshareC!AV$2:AV$78)-IMshareC!AV$48&gt;0,IMshareC!AV25/(SUM(IMshareC!AV$2:AV$78)-IMshareC!AV$48),0))</f>
        <v>2.9776189854119645E-2</v>
      </c>
      <c r="AW25" s="8">
        <f>IF($A25=AW$1,0,IF(SUM(IMshareC!AW$2:AW$78)-IMshareC!AW$49&gt;0,IMshareC!AW25/(SUM(IMshareC!AW$2:AW$78)-IMshareC!AW$49),0))</f>
        <v>1.4507543315279143E-6</v>
      </c>
      <c r="AX25" s="8">
        <f>IF($A25=AX$1,0,IF(SUM(IMshareC!AX$2:AX$78)-IMshareC!AX$50&gt;0,IMshareC!AX25/(SUM(IMshareC!AX$2:AX$78)-IMshareC!AX$50),0))</f>
        <v>2.629925645920199E-6</v>
      </c>
      <c r="AY25" s="8">
        <f>IF($A25=AY$1,0,IF(SUM(IMshareC!AY$2:AY$78)-IMshareC!AY$51&gt;0,IMshareC!AY25/(SUM(IMshareC!AY$2:AY$78)-IMshareC!AY$51),0))</f>
        <v>0</v>
      </c>
      <c r="AZ25" s="8">
        <f>IF($A25=AZ$1,0,IF(SUM(IMshareC!AZ$2:AZ$78)-IMshareC!AZ$52&gt;0,IMshareC!AZ25/(SUM(IMshareC!AZ$2:AZ$78)-IMshareC!AZ$52),0))</f>
        <v>8.5250941372820985E-6</v>
      </c>
      <c r="BA25" s="8">
        <f>IF($A25=BA$1,0,IF(SUM(IMshareC!BA$2:BA$78)-IMshareC!BA$53&gt;0,IMshareC!BA25/(SUM(IMshareC!BA$2:BA$78)-IMshareC!BA$53),0))</f>
        <v>8.7896329353898971E-6</v>
      </c>
      <c r="BB25" s="8">
        <f>IF($A25=BB$1,0,IF(SUM(IMshareC!BB$2:BB$78)-IMshareC!BB$54&gt;0,IMshareC!BB25/(SUM(IMshareC!BB$2:BB$78)-IMshareC!BB$54),0))</f>
        <v>4.0743353161291072E-4</v>
      </c>
      <c r="BC25" s="8">
        <f>IF($A25=BC$1,0,IF(SUM(IMshareC!BC$2:BC$78)-IMshareC!BC$55&gt;0,IMshareC!BC25/(SUM(IMshareC!BC$2:BC$78)-IMshareC!BC$55),0))</f>
        <v>8.238482203400805E-3</v>
      </c>
      <c r="BD25" s="8">
        <f>IF($A25=BD$1,0,IF(SUM(IMshareC!BD$2:BD$78)-IMshareC!BD$56&gt;0,IMshareC!BD25/(SUM(IMshareC!BD$2:BD$78)-IMshareC!BD$56),0))</f>
        <v>1.4592990867796153E-4</v>
      </c>
      <c r="BE25" s="8">
        <f>IF($A25=BE$1,0,IF(SUM(IMshareC!BE$2:BE$78)-IMshareC!BE$57&gt;0,IMshareC!BE25/(SUM(IMshareC!BE$2:BE$78)-IMshareC!BE$57),0))</f>
        <v>1.503429122873349E-4</v>
      </c>
      <c r="BF25" s="8">
        <f>IF($A25=BF$1,0,IF(SUM(IMshareC!BF$2:BF$78)-IMshareC!BF$58&gt;0,IMshareC!BF25/(SUM(IMshareC!BF$2:BF$78)-IMshareC!BF$58),0))</f>
        <v>5.4068467270625771E-4</v>
      </c>
      <c r="BG25" s="8">
        <f>IF($A25=BG$1,0,IF(SUM(IMshareC!BG$2:BG$78)-IMshareC!BG$59&gt;0,IMshareC!BG25/(SUM(IMshareC!BG$2:BG$78)-IMshareC!BG$59),0))</f>
        <v>4.0614812455601624E-7</v>
      </c>
      <c r="BH25" s="8">
        <f>IF($A25=BH$1,0,IF(SUM(IMshareC!BH$2:BH$78)-IMshareC!BH$60&gt;0,IMshareC!BH25/(SUM(IMshareC!BH$2:BH$78)-IMshareC!BH$60),0))</f>
        <v>5.2111544447583239E-4</v>
      </c>
      <c r="BI25" s="8">
        <f>IF($A25=BI$1,0,IF(SUM(IMshareC!BI$2:BI$78)-IMshareC!BI$61&gt;0,IMshareC!BI25/(SUM(IMshareC!BI$2:BI$78)-IMshareC!BI$61),0))</f>
        <v>2.2200602767321012E-5</v>
      </c>
      <c r="BJ25" s="8">
        <f>IF($A25=BJ$1,0,IF(SUM(IMshareC!BJ$2:BJ$78)-IMshareC!BJ$62&gt;0,IMshareC!BJ25/(SUM(IMshareC!BJ$2:BJ$78)-IMshareC!BJ$62),0))</f>
        <v>9.803749330203624E-6</v>
      </c>
      <c r="BK25" s="8">
        <f>IF($A25=BK$1,0,IF(SUM(IMshareC!BK$2:BK$78)-IMshareC!BK$63&gt;0,IMshareC!BK25/(SUM(IMshareC!BK$2:BK$78)-IMshareC!BK$63),0))</f>
        <v>1.0897502947534889E-2</v>
      </c>
      <c r="BL25" s="8">
        <f>IF($A25=BL$1,0,IF(SUM(IMshareC!BL$2:BL$78)-IMshareC!BL$64&gt;0,IMshareC!BL25/(SUM(IMshareC!BL$2:BL$78)-IMshareC!BL$64),0))</f>
        <v>7.5316060843304118E-5</v>
      </c>
      <c r="BM25" s="8">
        <f>IF($A25=BM$1,0,IF(SUM(IMshareC!BM$2:BM$78)-IMshareC!BM$65&gt;0,IMshareC!BM25/(SUM(IMshareC!BM$2:BM$78)-IMshareC!BM$65),0))</f>
        <v>0</v>
      </c>
      <c r="BN25" s="8">
        <f>IF($A25=BN$1,0,IF(SUM(IMshareC!BN$2:BN$78)-IMshareC!BN$66&gt;0,IMshareC!BN25/(SUM(IMshareC!BN$2:BN$78)-IMshareC!BN$66),0))</f>
        <v>1.7866818008866121E-6</v>
      </c>
      <c r="BO25" s="8">
        <f>IF($A25=BO$1,0,IF(SUM(IMshareC!BO$2:BO$78)-IMshareC!BO$67&gt;0,IMshareC!BO25/(SUM(IMshareC!BO$2:BO$78)-IMshareC!BO$67),0))</f>
        <v>2.6601866509996404E-5</v>
      </c>
      <c r="BP25" s="8">
        <f>IF($A25=BP$1,0,IF(SUM(IMshareC!BP$2:BP$78)-IMshareC!BP$68&gt;0,IMshareC!BP25/(SUM(IMshareC!BP$2:BP$78)-IMshareC!BP$68),0))</f>
        <v>2.0696178220964122E-4</v>
      </c>
      <c r="BQ25" s="8">
        <f>IF($A25=BQ$1,0,IF(SUM(IMshareC!BQ$2:BQ$78)-IMshareC!BQ$69&gt;0,IMshareC!BQ25/(SUM(IMshareC!BQ$2:BQ$78)-IMshareC!BQ$69),0))</f>
        <v>7.9475357918485194E-3</v>
      </c>
      <c r="BR25" s="8">
        <f>IF($A25=BR$1,0,IF(SUM(IMshareC!BR$2:BR$78)-IMshareC!BR$70&gt;0,IMshareC!BR25/(SUM(IMshareC!BR$2:BR$78)-IMshareC!BR$70),0))</f>
        <v>1.6382469992032974E-6</v>
      </c>
      <c r="BS25" s="8">
        <f>IF($A25=BS$1,0,IF(SUM(IMshareC!BS$2:BS$78)-IMshareC!BS$71&gt;0,IMshareC!BS25/(SUM(IMshareC!BS$2:BS$78)-IMshareC!BS$71),0))</f>
        <v>1.164197936036072E-5</v>
      </c>
      <c r="BT25" s="8">
        <f>IF($A25=BT$1,0,IF(SUM(IMshareC!BT$2:BT$78)-IMshareC!BT$72&gt;0,IMshareC!BT25/(SUM(IMshareC!BT$2:BT$78)-IMshareC!BT$72),0))</f>
        <v>1.1634827351508724E-4</v>
      </c>
      <c r="BU25" s="8">
        <f>IF($A25=BU$1,0,IF(SUM(IMshareC!BU$2:BU$78)-IMshareC!BU$73&gt;0,IMshareC!BU25/(SUM(IMshareC!BU$2:BU$78)-IMshareC!BU$73),0))</f>
        <v>1.0605561265783731E-6</v>
      </c>
      <c r="BV25" s="8">
        <f>IF($A25=BV$1,0,IF(SUM(IMshareC!BV$2:BV$78)-IMshareC!BV$74&gt;0,IMshareC!BV25/(SUM(IMshareC!BV$2:BV$78)-IMshareC!BV$74),0))</f>
        <v>2.4125069450937429E-3</v>
      </c>
      <c r="BW25" s="8">
        <f>IF($A25=BW$1,0,IF(SUM(IMshareC!BW$2:BW$78)-IMshareC!BW$75&gt;0,IMshareC!BW25/(SUM(IMshareC!BW$2:BW$78)-IMshareC!BW$75),0))</f>
        <v>1.8169881163934707E-5</v>
      </c>
      <c r="BX25" s="8">
        <f>IF($A25=BX$1,0,IF(SUM(IMshareC!BX$2:BX$78)-IMshareC!BX$76&gt;0,IMshareC!BX25/(SUM(IMshareC!BX$2:BX$78)-IMshareC!BX$76),0))</f>
        <v>5.1173764819884934E-7</v>
      </c>
      <c r="BY25" s="8">
        <f>IF($A25=BY$1,0,IF(SUM(IMshareC!BY$2:BY$78)-IMshareC!BY$77&gt;0,IMshareC!BY25/(SUM(IMshareC!BY$2:BY$78)-IMshareC!BY$77),0))</f>
        <v>5.5218037525712679E-3</v>
      </c>
      <c r="BZ25" s="8">
        <f>IF($A25=BZ$1,0,IF(SUM(IMshareC!BZ$2:BZ$78)-IMshareC!BZ$78&gt;0,IMshareC!BZ25/(SUM(IMshareC!BZ$2:BZ$78)-IMshareC!BZ$78),0))</f>
        <v>2.5584417631963421E-4</v>
      </c>
    </row>
    <row r="26" spans="1:78">
      <c r="A26" s="4" t="s">
        <v>119</v>
      </c>
      <c r="B26" s="8">
        <f>IF($A26=B$1,0,IF(SUM(IMshareC!B$2:B$78)-IMshareC!B$2&gt;0,IMshareC!B26/(SUM(IMshareC!B$2:B$78)-IMshareC!B$2),0))</f>
        <v>1.316624102519577E-3</v>
      </c>
      <c r="C26" s="8">
        <f>IF($A26=C$1,0,IF(SUM(IMshareC!C$2:C$78)-IMshareC!C$3&gt;0,IMshareC!C26/(SUM(IMshareC!C$2:C$78)-IMshareC!C$3),0))</f>
        <v>1.2138643119057246E-2</v>
      </c>
      <c r="D26" s="8">
        <f>IF($A26=D$1,0,IF(SUM(IMshareC!D$2:D$78)-IMshareC!D$4&gt;0,IMshareC!D26/(SUM(IMshareC!D$2:D$78)-IMshareC!D$4),0))</f>
        <v>1.5708261475314742E-3</v>
      </c>
      <c r="E26" s="8">
        <f>IF($A26=E$1,0,IF(SUM(IMshareC!E$2:E$78)-IMshareC!E$5&gt;0,IMshareC!E26/(SUM(IMshareC!E$2:E$78)-IMshareC!E$5),0))</f>
        <v>2.6766718191523187E-4</v>
      </c>
      <c r="F26" s="8">
        <f>IF($A26=F$1,0,IF(SUM(IMshareC!F$2:F$78)-IMshareC!F$6&gt;0,IMshareC!F26/(SUM(IMshareC!F$2:F$78)-IMshareC!F$6),0))</f>
        <v>1.4522735794438052E-3</v>
      </c>
      <c r="G26" s="8">
        <f>IF($A26=G$1,0,IF(SUM(IMshareC!G$2:G$78)-IMshareC!G$7&gt;0,IMshareC!G26/(SUM(IMshareC!G$2:G$78)-IMshareC!G$7),0))</f>
        <v>9.4931255475236721E-4</v>
      </c>
      <c r="H26" s="8">
        <f>IF($A26=H$1,0,IF(SUM(IMshareC!H$2:H$78)-IMshareC!H$8&gt;0,IMshareC!H26/(SUM(IMshareC!H$2:H$78)-IMshareC!H$8),0))</f>
        <v>3.6499650751167393E-4</v>
      </c>
      <c r="I26" s="8">
        <f>IF($A26=I$1,0,IF(SUM(IMshareC!I$2:I$78)-IMshareC!I$9&gt;0,IMshareC!I26/(SUM(IMshareC!I$2:I$78)-IMshareC!I$9),0))</f>
        <v>7.9241269636239899E-4</v>
      </c>
      <c r="J26" s="8">
        <f>IF($A26=J$1,0,IF(SUM(IMshareC!J$2:J$78)-IMshareC!J$10&gt;0,IMshareC!J26/(SUM(IMshareC!J$2:J$78)-IMshareC!J$10),0))</f>
        <v>0</v>
      </c>
      <c r="K26" s="8">
        <f>IF($A26=K$1,0,IF(SUM(IMshareC!K$2:K$78)-IMshareC!K$11&gt;0,IMshareC!K26/(SUM(IMshareC!K$2:K$78)-IMshareC!K$11),0))</f>
        <v>1.4839087246360596E-3</v>
      </c>
      <c r="L26" s="8">
        <f>IF($A26=L$1,0,IF(SUM(IMshareC!L$2:L$78)-IMshareC!L$12&gt;0,IMshareC!L26/(SUM(IMshareC!L$2:L$78)-IMshareC!L$12),0))</f>
        <v>2.6964298734893206E-4</v>
      </c>
      <c r="M26" s="8">
        <f>IF($A26=M$1,0,IF(SUM(IMshareC!M$2:M$78)-IMshareC!M$13&gt;0,IMshareC!M26/(SUM(IMshareC!M$2:M$78)-IMshareC!M$13),0))</f>
        <v>3.3526698120778076E-2</v>
      </c>
      <c r="N26" s="8">
        <f>IF($A26=N$1,0,IF(SUM(IMshareC!N$2:N$78)-IMshareC!N$14&gt;0,IMshareC!N26/(SUM(IMshareC!N$2:N$78)-IMshareC!N$14),0))</f>
        <v>1.985182237886081E-4</v>
      </c>
      <c r="O26" s="8">
        <f>IF($A26=O$1,0,IF(SUM(IMshareC!O$2:O$78)-IMshareC!O$15&gt;0,IMshareC!O26/(SUM(IMshareC!O$2:O$78)-IMshareC!O$15),0))</f>
        <v>1.3474556115650462E-3</v>
      </c>
      <c r="P26" s="8">
        <f>IF($A26=P$1,0,IF(SUM(IMshareC!P$2:P$78)-IMshareC!P$16&gt;0,IMshareC!P26/(SUM(IMshareC!P$2:P$78)-IMshareC!P$16),0))</f>
        <v>0</v>
      </c>
      <c r="Q26" s="8">
        <f>IF($A26=Q$1,0,IF(SUM(IMshareC!Q$2:Q$78)-IMshareC!Q$17&gt;0,IMshareC!Q26/(SUM(IMshareC!Q$2:Q$78)-IMshareC!Q$17),0))</f>
        <v>9.7113188437878625E-3</v>
      </c>
      <c r="R26" s="8">
        <f>IF($A26=R$1,0,IF(SUM(IMshareC!R$2:R$78)-IMshareC!R$18&gt;0,IMshareC!R26/(SUM(IMshareC!R$2:R$78)-IMshareC!R$18),0))</f>
        <v>9.5283310041218219E-4</v>
      </c>
      <c r="S26" s="8">
        <f>IF($A26=S$1,0,IF(SUM(IMshareC!S$2:S$78)-IMshareC!S$19&gt;0,IMshareC!S26/(SUM(IMshareC!S$2:S$78)-IMshareC!S$19),0))</f>
        <v>2.3098578637632958E-5</v>
      </c>
      <c r="T26" s="8">
        <f>IF($A26=T$1,0,IF(SUM(IMshareC!T$2:T$78)-IMshareC!T$20&gt;0,IMshareC!T26/(SUM(IMshareC!T$2:T$78)-IMshareC!T$20),0))</f>
        <v>1.3658262577628767E-4</v>
      </c>
      <c r="U26" s="8">
        <f>IF($A26=U$1,0,IF(SUM(IMshareC!U$2:U$78)-IMshareC!U$21&gt;0,IMshareC!U26/(SUM(IMshareC!U$2:U$78)-IMshareC!U$21),0))</f>
        <v>2.0949095261718791E-4</v>
      </c>
      <c r="V26" s="8">
        <f>IF($A26=V$1,0,IF(SUM(IMshareC!V$2:V$78)-IMshareC!V$22&gt;0,IMshareC!V26/(SUM(IMshareC!V$2:V$78)-IMshareC!V$22),0))</f>
        <v>2.315036430288056E-3</v>
      </c>
      <c r="W26" s="8">
        <f>IF($A26=W$1,0,IF(SUM(IMshareC!W$2:W$78)-IMshareC!W$23&gt;0,IMshareC!W26/(SUM(IMshareC!W$2:W$78)-IMshareC!W$23),0))</f>
        <v>4.8178684008399737E-4</v>
      </c>
      <c r="X26" s="8">
        <f>IF($A26=X$1,0,IF(SUM(IMshareC!X$2:X$78)-IMshareC!X$24&gt;0,IMshareC!X26/(SUM(IMshareC!X$2:X$78)-IMshareC!X$24),0))</f>
        <v>9.0701161964589893E-4</v>
      </c>
      <c r="Y26" s="8">
        <f>IF($A26=Y$1,0,IF(SUM(IMshareC!Y$2:Y$78)-IMshareC!Y$25&gt;0,IMshareC!Y26/(SUM(IMshareC!Y$2:Y$78)-IMshareC!Y$25),0))</f>
        <v>2.2414625743102667E-2</v>
      </c>
      <c r="Z26" s="8">
        <f>IF($A26=Z$1,0,IF(SUM(IMshareC!Z$2:Z$78)-IMshareC!Z$26&gt;0,IMshareC!Z26/(SUM(IMshareC!Z$2:Z$78)-IMshareC!Z$26),0))</f>
        <v>0</v>
      </c>
      <c r="AA26" s="8">
        <f>IF($A26=AA$1,0,IF(SUM(IMshareC!AA$2:AA$78)-IMshareC!AA$27&gt;0,IMshareC!AA26/(SUM(IMshareC!AA$2:AA$78)-IMshareC!AA$27),0))</f>
        <v>8.7560010873090105E-4</v>
      </c>
      <c r="AB26" s="8">
        <f>IF($A26=AB$1,0,IF(SUM(IMshareC!AB$2:AB$78)-IMshareC!AB$28&gt;0,IMshareC!AB26/(SUM(IMshareC!AB$2:AB$78)-IMshareC!AB$28),0))</f>
        <v>7.353757291100986E-4</v>
      </c>
      <c r="AC26" s="8">
        <f>IF($A26=AC$1,0,IF(SUM(IMshareC!AC$2:AC$78)-IMshareC!AC$29&gt;0,IMshareC!AC26/(SUM(IMshareC!AC$2:AC$78)-IMshareC!AC$29),0))</f>
        <v>2.3353023218183415E-3</v>
      </c>
      <c r="AD26" s="8">
        <f>IF($A26=AD$1,0,IF(SUM(IMshareC!AD$2:AD$78)-IMshareC!AD$30&gt;0,IMshareC!AD26/(SUM(IMshareC!AD$2:AD$78)-IMshareC!AD$30),0))</f>
        <v>1.5566042697693379E-5</v>
      </c>
      <c r="AE26" s="8">
        <f>IF($A26=AE$1,0,IF(SUM(IMshareC!AE$2:AE$78)-IMshareC!AE$31&gt;0,IMshareC!AE26/(SUM(IMshareC!AE$2:AE$78)-IMshareC!AE$31),0))</f>
        <v>5.4777561197510045E-3</v>
      </c>
      <c r="AF26" s="8">
        <f>IF($A26=AF$1,0,IF(SUM(IMshareC!AF$2:AF$78)-IMshareC!AF$32&gt;0,IMshareC!AF26/(SUM(IMshareC!AF$2:AF$78)-IMshareC!AF$32),0))</f>
        <v>2.7752263637662285E-3</v>
      </c>
      <c r="AG26" s="8">
        <f>IF($A26=AG$1,0,IF(SUM(IMshareC!AG$2:AG$78)-IMshareC!AG$33&gt;0,IMshareC!AG26/(SUM(IMshareC!AG$2:AG$78)-IMshareC!AG$33),0))</f>
        <v>3.2712715688093394E-4</v>
      </c>
      <c r="AH26" s="8">
        <f>IF($A26=AH$1,0,IF(SUM(IMshareC!AH$2:AH$78)-IMshareC!AH$34&gt;0,IMshareC!AH26/(SUM(IMshareC!AH$2:AH$78)-IMshareC!AH$34),0))</f>
        <v>1.1552248252849425E-2</v>
      </c>
      <c r="AI26" s="8">
        <f>IF($A26=AI$1,0,IF(SUM(IMshareC!AI$2:AI$78)-IMshareC!AI$35&gt;0,IMshareC!AI26/(SUM(IMshareC!AI$2:AI$78)-IMshareC!AI$35),0))</f>
        <v>6.9636415739879755E-6</v>
      </c>
      <c r="AJ26" s="8">
        <f>IF($A26=AJ$1,0,IF(SUM(IMshareC!AJ$2:AJ$78)-IMshareC!AJ$36&gt;0,IMshareC!AJ26/(SUM(IMshareC!AJ$2:AJ$78)-IMshareC!AJ$36),0))</f>
        <v>5.9681386790975469E-3</v>
      </c>
      <c r="AK26" s="8">
        <f>IF($A26=AK$1,0,IF(SUM(IMshareC!AK$2:AK$78)-IMshareC!AK$37&gt;0,IMshareC!AK26/(SUM(IMshareC!AK$2:AK$78)-IMshareC!AK$37),0))</f>
        <v>8.9089249665981398E-5</v>
      </c>
      <c r="AL26" s="8">
        <f>IF($A26=AL$1,0,IF(SUM(IMshareC!AL$2:AL$78)-IMshareC!AL$38&gt;0,IMshareC!AL26/(SUM(IMshareC!AL$2:AL$78)-IMshareC!AL$38),0))</f>
        <v>2.1469462211496969E-3</v>
      </c>
      <c r="AM26" s="8">
        <f>IF($A26=AM$1,0,IF(SUM(IMshareC!AM$2:AM$78)-IMshareC!AM$39&gt;0,IMshareC!AM26/(SUM(IMshareC!AM$2:AM$78)-IMshareC!AM$39),0))</f>
        <v>1.7734581413054163E-2</v>
      </c>
      <c r="AN26" s="8">
        <f>IF($A26=AN$1,0,IF(SUM(IMshareC!AN$2:AN$78)-IMshareC!AN$40&gt;0,IMshareC!AN26/(SUM(IMshareC!AN$2:AN$78)-IMshareC!AN$40),0))</f>
        <v>2.5950072006917656E-4</v>
      </c>
      <c r="AO26" s="8">
        <f>IF($A26=AO$1,0,IF(SUM(IMshareC!AO$2:AO$78)-IMshareC!AO$41&gt;0,IMshareC!AO26/(SUM(IMshareC!AO$2:AO$78)-IMshareC!AO$41),0))</f>
        <v>3.1868259092042772E-2</v>
      </c>
      <c r="AP26" s="8">
        <f>IF($A26=AP$1,0,IF(SUM(IMshareC!AP$2:AP$78)-IMshareC!AP$42&gt;0,IMshareC!AP26/(SUM(IMshareC!AP$2:AP$78)-IMshareC!AP$42),0))</f>
        <v>8.0771163912801317E-5</v>
      </c>
      <c r="AQ26" s="8">
        <f>IF($A26=AQ$1,0,IF(SUM(IMshareC!AQ$2:AQ$78)-IMshareC!AQ$43&gt;0,IMshareC!AQ26/(SUM(IMshareC!AQ$2:AQ$78)-IMshareC!AQ$43),0))</f>
        <v>9.9291223968530498E-5</v>
      </c>
      <c r="AR26" s="8">
        <f>IF($A26=AR$1,0,IF(SUM(IMshareC!AR$2:AR$78)-IMshareC!AR$44&gt;0,IMshareC!AR26/(SUM(IMshareC!AR$2:AR$78)-IMshareC!AR$44),0))</f>
        <v>2.3828595867375135E-5</v>
      </c>
      <c r="AS26" s="8">
        <f>IF($A26=AS$1,0,IF(SUM(IMshareC!AS$2:AS$78)-IMshareC!AS$45&gt;0,IMshareC!AS26/(SUM(IMshareC!AS$2:AS$78)-IMshareC!AS$45),0))</f>
        <v>5.9778604057025234E-3</v>
      </c>
      <c r="AT26" s="8">
        <f>IF($A26=AT$1,0,IF(SUM(IMshareC!AT$2:AT$78)-IMshareC!AT$46&gt;0,IMshareC!AT26/(SUM(IMshareC!AT$2:AT$78)-IMshareC!AT$46),0))</f>
        <v>7.3606173369740208E-5</v>
      </c>
      <c r="AU26" s="8">
        <f>IF($A26=AU$1,0,IF(SUM(IMshareC!AU$2:AU$78)-IMshareC!AU$47&gt;0,IMshareC!AU26/(SUM(IMshareC!AU$2:AU$78)-IMshareC!AU$47),0))</f>
        <v>4.456115104757425E-3</v>
      </c>
      <c r="AV26" s="8">
        <f>IF($A26=AV$1,0,IF(SUM(IMshareC!AV$2:AV$78)-IMshareC!AV$48&gt;0,IMshareC!AV26/(SUM(IMshareC!AV$2:AV$78)-IMshareC!AV$48),0))</f>
        <v>1.8460742276675242E-4</v>
      </c>
      <c r="AW26" s="8">
        <f>IF($A26=AW$1,0,IF(SUM(IMshareC!AW$2:AW$78)-IMshareC!AW$49&gt;0,IMshareC!AW26/(SUM(IMshareC!AW$2:AW$78)-IMshareC!AW$49),0))</f>
        <v>3.8089753707735479E-5</v>
      </c>
      <c r="AX26" s="8">
        <f>IF($A26=AX$1,0,IF(SUM(IMshareC!AX$2:AX$78)-IMshareC!AX$50&gt;0,IMshareC!AX26/(SUM(IMshareC!AX$2:AX$78)-IMshareC!AX$50),0))</f>
        <v>1.6427845448227879E-7</v>
      </c>
      <c r="AY26" s="8">
        <f>IF($A26=AY$1,0,IF(SUM(IMshareC!AY$2:AY$78)-IMshareC!AY$51&gt;0,IMshareC!AY26/(SUM(IMshareC!AY$2:AY$78)-IMshareC!AY$51),0))</f>
        <v>7.657172606482666E-4</v>
      </c>
      <c r="AZ26" s="8">
        <f>IF($A26=AZ$1,0,IF(SUM(IMshareC!AZ$2:AZ$78)-IMshareC!AZ$52&gt;0,IMshareC!AZ26/(SUM(IMshareC!AZ$2:AZ$78)-IMshareC!AZ$52),0))</f>
        <v>4.3731569425641688E-5</v>
      </c>
      <c r="BA26" s="8">
        <f>IF($A26=BA$1,0,IF(SUM(IMshareC!BA$2:BA$78)-IMshareC!BA$53&gt;0,IMshareC!BA26/(SUM(IMshareC!BA$2:BA$78)-IMshareC!BA$53),0))</f>
        <v>1.2163589534329405E-3</v>
      </c>
      <c r="BB26" s="8">
        <f>IF($A26=BB$1,0,IF(SUM(IMshareC!BB$2:BB$78)-IMshareC!BB$54&gt;0,IMshareC!BB26/(SUM(IMshareC!BB$2:BB$78)-IMshareC!BB$54),0))</f>
        <v>1.2947284673349112E-3</v>
      </c>
      <c r="BC26" s="8">
        <f>IF($A26=BC$1,0,IF(SUM(IMshareC!BC$2:BC$78)-IMshareC!BC$55&gt;0,IMshareC!BC26/(SUM(IMshareC!BC$2:BC$78)-IMshareC!BC$55),0))</f>
        <v>7.3068174677192047E-3</v>
      </c>
      <c r="BD26" s="8">
        <f>IF($A26=BD$1,0,IF(SUM(IMshareC!BD$2:BD$78)-IMshareC!BD$56&gt;0,IMshareC!BD26/(SUM(IMshareC!BD$2:BD$78)-IMshareC!BD$56),0))</f>
        <v>2.6187204151168986E-2</v>
      </c>
      <c r="BE26" s="8">
        <f>IF($A26=BE$1,0,IF(SUM(IMshareC!BE$2:BE$78)-IMshareC!BE$57&gt;0,IMshareC!BE26/(SUM(IMshareC!BE$2:BE$78)-IMshareC!BE$57),0))</f>
        <v>4.8617847147633059E-3</v>
      </c>
      <c r="BF26" s="8">
        <f>IF($A26=BF$1,0,IF(SUM(IMshareC!BF$2:BF$78)-IMshareC!BF$58&gt;0,IMshareC!BF26/(SUM(IMshareC!BF$2:BF$78)-IMshareC!BF$58),0))</f>
        <v>3.9676170298688397E-3</v>
      </c>
      <c r="BG26" s="8">
        <f>IF($A26=BG$1,0,IF(SUM(IMshareC!BG$2:BG$78)-IMshareC!BG$59&gt;0,IMshareC!BG26/(SUM(IMshareC!BG$2:BG$78)-IMshareC!BG$59),0))</f>
        <v>5.5145106759515765E-6</v>
      </c>
      <c r="BH26" s="8">
        <f>IF($A26=BH$1,0,IF(SUM(IMshareC!BH$2:BH$78)-IMshareC!BH$60&gt;0,IMshareC!BH26/(SUM(IMshareC!BH$2:BH$78)-IMshareC!BH$60),0))</f>
        <v>2.5867490609923658E-3</v>
      </c>
      <c r="BI26" s="8">
        <f>IF($A26=BI$1,0,IF(SUM(IMshareC!BI$2:BI$78)-IMshareC!BI$61&gt;0,IMshareC!BI26/(SUM(IMshareC!BI$2:BI$78)-IMshareC!BI$61),0))</f>
        <v>3.8246554926956691E-4</v>
      </c>
      <c r="BJ26" s="8">
        <f>IF($A26=BJ$1,0,IF(SUM(IMshareC!BJ$2:BJ$78)-IMshareC!BJ$62&gt;0,IMshareC!BJ26/(SUM(IMshareC!BJ$2:BJ$78)-IMshareC!BJ$62),0))</f>
        <v>5.1653726850022289E-4</v>
      </c>
      <c r="BK26" s="8">
        <f>IF($A26=BK$1,0,IF(SUM(IMshareC!BK$2:BK$78)-IMshareC!BK$63&gt;0,IMshareC!BK26/(SUM(IMshareC!BK$2:BK$78)-IMshareC!BK$63),0))</f>
        <v>1.4553669930878036E-2</v>
      </c>
      <c r="BL26" s="8">
        <f>IF($A26=BL$1,0,IF(SUM(IMshareC!BL$2:BL$78)-IMshareC!BL$64&gt;0,IMshareC!BL26/(SUM(IMshareC!BL$2:BL$78)-IMshareC!BL$64),0))</f>
        <v>1.440242181954507E-3</v>
      </c>
      <c r="BM26" s="8">
        <f>IF($A26=BM$1,0,IF(SUM(IMshareC!BM$2:BM$78)-IMshareC!BM$65&gt;0,IMshareC!BM26/(SUM(IMshareC!BM$2:BM$78)-IMshareC!BM$65),0))</f>
        <v>3.0137531901885581E-3</v>
      </c>
      <c r="BN26" s="8">
        <f>IF($A26=BN$1,0,IF(SUM(IMshareC!BN$2:BN$78)-IMshareC!BN$66&gt;0,IMshareC!BN26/(SUM(IMshareC!BN$2:BN$78)-IMshareC!BN$66),0))</f>
        <v>8.5975810292355033E-6</v>
      </c>
      <c r="BO26" s="8">
        <f>IF($A26=BO$1,0,IF(SUM(IMshareC!BO$2:BO$78)-IMshareC!BO$67&gt;0,IMshareC!BO26/(SUM(IMshareC!BO$2:BO$78)-IMshareC!BO$67),0))</f>
        <v>4.1169455522618425E-4</v>
      </c>
      <c r="BP26" s="8">
        <f>IF($A26=BP$1,0,IF(SUM(IMshareC!BP$2:BP$78)-IMshareC!BP$68&gt;0,IMshareC!BP26/(SUM(IMshareC!BP$2:BP$78)-IMshareC!BP$68),0))</f>
        <v>4.5182116057292348E-4</v>
      </c>
      <c r="BQ26" s="8">
        <f>IF($A26=BQ$1,0,IF(SUM(IMshareC!BQ$2:BQ$78)-IMshareC!BQ$69&gt;0,IMshareC!BQ26/(SUM(IMshareC!BQ$2:BQ$78)-IMshareC!BQ$69),0))</f>
        <v>3.9872738480640222E-3</v>
      </c>
      <c r="BR26" s="8">
        <f>IF($A26=BR$1,0,IF(SUM(IMshareC!BR$2:BR$78)-IMshareC!BR$70&gt;0,IMshareC!BR26/(SUM(IMshareC!BR$2:BR$78)-IMshareC!BR$70),0))</f>
        <v>2.8056029528311069E-4</v>
      </c>
      <c r="BS26" s="8">
        <f>IF($A26=BS$1,0,IF(SUM(IMshareC!BS$2:BS$78)-IMshareC!BS$71&gt;0,IMshareC!BS26/(SUM(IMshareC!BS$2:BS$78)-IMshareC!BS$71),0))</f>
        <v>1.8757878560224291E-4</v>
      </c>
      <c r="BT26" s="8">
        <f>IF($A26=BT$1,0,IF(SUM(IMshareC!BT$2:BT$78)-IMshareC!BT$72&gt;0,IMshareC!BT26/(SUM(IMshareC!BT$2:BT$78)-IMshareC!BT$72),0))</f>
        <v>1.9996112949105188E-3</v>
      </c>
      <c r="BU26" s="8">
        <f>IF($A26=BU$1,0,IF(SUM(IMshareC!BU$2:BU$78)-IMshareC!BU$73&gt;0,IMshareC!BU26/(SUM(IMshareC!BU$2:BU$78)-IMshareC!BU$73),0))</f>
        <v>4.9916757836894022E-5</v>
      </c>
      <c r="BV26" s="8">
        <f>IF($A26=BV$1,0,IF(SUM(IMshareC!BV$2:BV$78)-IMshareC!BV$74&gt;0,IMshareC!BV26/(SUM(IMshareC!BV$2:BV$78)-IMshareC!BV$74),0))</f>
        <v>1.5963045397307921E-2</v>
      </c>
      <c r="BW26" s="8">
        <f>IF($A26=BW$1,0,IF(SUM(IMshareC!BW$2:BW$78)-IMshareC!BW$75&gt;0,IMshareC!BW26/(SUM(IMshareC!BW$2:BW$78)-IMshareC!BW$75),0))</f>
        <v>3.2073191234842824E-4</v>
      </c>
      <c r="BX26" s="8">
        <f>IF($A26=BX$1,0,IF(SUM(IMshareC!BX$2:BX$78)-IMshareC!BX$76&gt;0,IMshareC!BX26/(SUM(IMshareC!BX$2:BX$78)-IMshareC!BX$76),0))</f>
        <v>2.0659937506147895E-5</v>
      </c>
      <c r="BY26" s="8">
        <f>IF($A26=BY$1,0,IF(SUM(IMshareC!BY$2:BY$78)-IMshareC!BY$77&gt;0,IMshareC!BY26/(SUM(IMshareC!BY$2:BY$78)-IMshareC!BY$77),0))</f>
        <v>2.4512504507408751E-2</v>
      </c>
      <c r="BZ26" s="8">
        <f>IF($A26=BZ$1,0,IF(SUM(IMshareC!BZ$2:BZ$78)-IMshareC!BZ$78&gt;0,IMshareC!BZ26/(SUM(IMshareC!BZ$2:BZ$78)-IMshareC!BZ$78),0))</f>
        <v>1.4339915872095691E-3</v>
      </c>
    </row>
    <row r="27" spans="1:78">
      <c r="A27" s="4" t="s">
        <v>121</v>
      </c>
      <c r="B27" s="8">
        <f>IF($A27=B$1,0,IF(SUM(IMshareC!B$2:B$78)-IMshareC!B$2&gt;0,IMshareC!B27/(SUM(IMshareC!B$2:B$78)-IMshareC!B$2),0))</f>
        <v>2.954119417118636E-2</v>
      </c>
      <c r="C27" s="8">
        <f>IF($A27=C$1,0,IF(SUM(IMshareC!C$2:C$78)-IMshareC!C$3&gt;0,IMshareC!C27/(SUM(IMshareC!C$2:C$78)-IMshareC!C$3),0))</f>
        <v>1.7079930637932846E-2</v>
      </c>
      <c r="D27" s="8">
        <f>IF($A27=D$1,0,IF(SUM(IMshareC!D$2:D$78)-IMshareC!D$4&gt;0,IMshareC!D27/(SUM(IMshareC!D$2:D$78)-IMshareC!D$4),0))</f>
        <v>8.7620581448038058E-3</v>
      </c>
      <c r="E27" s="8">
        <f>IF($A27=E$1,0,IF(SUM(IMshareC!E$2:E$78)-IMshareC!E$5&gt;0,IMshareC!E27/(SUM(IMshareC!E$2:E$78)-IMshareC!E$5),0))</f>
        <v>0.50221906556936113</v>
      </c>
      <c r="F27" s="8">
        <f>IF($A27=F$1,0,IF(SUM(IMshareC!F$2:F$78)-IMshareC!F$6&gt;0,IMshareC!F27/(SUM(IMshareC!F$2:F$78)-IMshareC!F$6),0))</f>
        <v>1.1121652061467242E-5</v>
      </c>
      <c r="G27" s="8">
        <f>IF($A27=G$1,0,IF(SUM(IMshareC!G$2:G$78)-IMshareC!G$7&gt;0,IMshareC!G27/(SUM(IMshareC!G$2:G$78)-IMshareC!G$7),0))</f>
        <v>2.8186196884470955E-2</v>
      </c>
      <c r="H27" s="8">
        <f>IF($A27=H$1,0,IF(SUM(IMshareC!H$2:H$78)-IMshareC!H$8&gt;0,IMshareC!H27/(SUM(IMshareC!H$2:H$78)-IMshareC!H$8),0))</f>
        <v>2.3838751002434079E-3</v>
      </c>
      <c r="I27" s="8">
        <f>IF($A27=I$1,0,IF(SUM(IMshareC!I$2:I$78)-IMshareC!I$9&gt;0,IMshareC!I27/(SUM(IMshareC!I$2:I$78)-IMshareC!I$9),0))</f>
        <v>9.7662717455892726E-3</v>
      </c>
      <c r="J27" s="8">
        <f>IF($A27=J$1,0,IF(SUM(IMshareC!J$2:J$78)-IMshareC!J$10&gt;0,IMshareC!J27/(SUM(IMshareC!J$2:J$78)-IMshareC!J$10),0))</f>
        <v>3.2227526117502597E-2</v>
      </c>
      <c r="K27" s="8">
        <f>IF($A27=K$1,0,IF(SUM(IMshareC!K$2:K$78)-IMshareC!K$11&gt;0,IMshareC!K27/(SUM(IMshareC!K$2:K$78)-IMshareC!K$11),0))</f>
        <v>1.0507240525048608E-2</v>
      </c>
      <c r="L27" s="8">
        <f>IF($A27=L$1,0,IF(SUM(IMshareC!L$2:L$78)-IMshareC!L$12&gt;0,IMshareC!L27/(SUM(IMshareC!L$2:L$78)-IMshareC!L$12),0))</f>
        <v>1.7414680961619116E-2</v>
      </c>
      <c r="M27" s="8">
        <f>IF($A27=M$1,0,IF(SUM(IMshareC!M$2:M$78)-IMshareC!M$13&gt;0,IMshareC!M27/(SUM(IMshareC!M$2:M$78)-IMshareC!M$13),0))</f>
        <v>1.0859859416237431E-2</v>
      </c>
      <c r="N27" s="8">
        <f>IF($A27=N$1,0,IF(SUM(IMshareC!N$2:N$78)-IMshareC!N$14&gt;0,IMshareC!N27/(SUM(IMshareC!N$2:N$78)-IMshareC!N$14),0))</f>
        <v>2.014442974856125E-3</v>
      </c>
      <c r="O27" s="8">
        <f>IF($A27=O$1,0,IF(SUM(IMshareC!O$2:O$78)-IMshareC!O$15&gt;0,IMshareC!O27/(SUM(IMshareC!O$2:O$78)-IMshareC!O$15),0))</f>
        <v>6.6290193003837275E-2</v>
      </c>
      <c r="P27" s="8">
        <f>IF($A27=P$1,0,IF(SUM(IMshareC!P$2:P$78)-IMshareC!P$16&gt;0,IMshareC!P27/(SUM(IMshareC!P$2:P$78)-IMshareC!P$16),0))</f>
        <v>0.19790897796333767</v>
      </c>
      <c r="Q27" s="8">
        <f>IF($A27=Q$1,0,IF(SUM(IMshareC!Q$2:Q$78)-IMshareC!Q$17&gt;0,IMshareC!Q27/(SUM(IMshareC!Q$2:Q$78)-IMshareC!Q$17),0))</f>
        <v>2.6388446877635863E-2</v>
      </c>
      <c r="R27" s="8">
        <f>IF($A27=R$1,0,IF(SUM(IMshareC!R$2:R$78)-IMshareC!R$18&gt;0,IMshareC!R27/(SUM(IMshareC!R$2:R$78)-IMshareC!R$18),0))</f>
        <v>1.1006096921108354E-3</v>
      </c>
      <c r="S27" s="8">
        <f>IF($A27=S$1,0,IF(SUM(IMshareC!S$2:S$78)-IMshareC!S$19&gt;0,IMshareC!S27/(SUM(IMshareC!S$2:S$78)-IMshareC!S$19),0))</f>
        <v>4.6541043033401673E-3</v>
      </c>
      <c r="T27" s="8">
        <f>IF($A27=T$1,0,IF(SUM(IMshareC!T$2:T$78)-IMshareC!T$20&gt;0,IMshareC!T27/(SUM(IMshareC!T$2:T$78)-IMshareC!T$20),0))</f>
        <v>1.6304386278136688E-2</v>
      </c>
      <c r="U27" s="8">
        <f>IF($A27=U$1,0,IF(SUM(IMshareC!U$2:U$78)-IMshareC!U$21&gt;0,IMshareC!U27/(SUM(IMshareC!U$2:U$78)-IMshareC!U$21),0))</f>
        <v>3.2571513156718267E-2</v>
      </c>
      <c r="V27" s="8">
        <f>IF($A27=V$1,0,IF(SUM(IMshareC!V$2:V$78)-IMshareC!V$22&gt;0,IMshareC!V27/(SUM(IMshareC!V$2:V$78)-IMshareC!V$22),0))</f>
        <v>2.4653123308595006E-2</v>
      </c>
      <c r="W27" s="8">
        <f>IF($A27=W$1,0,IF(SUM(IMshareC!W$2:W$78)-IMshareC!W$23&gt;0,IMshareC!W27/(SUM(IMshareC!W$2:W$78)-IMshareC!W$23),0))</f>
        <v>3.833455277078756E-2</v>
      </c>
      <c r="X27" s="8">
        <f>IF($A27=X$1,0,IF(SUM(IMshareC!X$2:X$78)-IMshareC!X$24&gt;0,IMshareC!X27/(SUM(IMshareC!X$2:X$78)-IMshareC!X$24),0))</f>
        <v>0.10842315305049872</v>
      </c>
      <c r="Y27" s="8">
        <f>IF($A27=Y$1,0,IF(SUM(IMshareC!Y$2:Y$78)-IMshareC!Y$25&gt;0,IMshareC!Y27/(SUM(IMshareC!Y$2:Y$78)-IMshareC!Y$25),0))</f>
        <v>1.1844431194715134E-2</v>
      </c>
      <c r="Z27" s="8">
        <f>IF($A27=Z$1,0,IF(SUM(IMshareC!Z$2:Z$78)-IMshareC!Z$26&gt;0,IMshareC!Z27/(SUM(IMshareC!Z$2:Z$78)-IMshareC!Z$26),0))</f>
        <v>4.4934631265004243E-3</v>
      </c>
      <c r="AA27" s="8">
        <f>IF($A27=AA$1,0,IF(SUM(IMshareC!AA$2:AA$78)-IMshareC!AA$27&gt;0,IMshareC!AA27/(SUM(IMshareC!AA$2:AA$78)-IMshareC!AA$27),0))</f>
        <v>0</v>
      </c>
      <c r="AB27" s="8">
        <f>IF($A27=AB$1,0,IF(SUM(IMshareC!AB$2:AB$78)-IMshareC!AB$28&gt;0,IMshareC!AB27/(SUM(IMshareC!AB$2:AB$78)-IMshareC!AB$28),0))</f>
        <v>3.2154589768743011E-2</v>
      </c>
      <c r="AC27" s="8">
        <f>IF($A27=AC$1,0,IF(SUM(IMshareC!AC$2:AC$78)-IMshareC!AC$29&gt;0,IMshareC!AC27/(SUM(IMshareC!AC$2:AC$78)-IMshareC!AC$29),0))</f>
        <v>4.0713263327149744E-2</v>
      </c>
      <c r="AD27" s="8">
        <f>IF($A27=AD$1,0,IF(SUM(IMshareC!AD$2:AD$78)-IMshareC!AD$30&gt;0,IMshareC!AD27/(SUM(IMshareC!AD$2:AD$78)-IMshareC!AD$30),0))</f>
        <v>5.0126223042902367E-4</v>
      </c>
      <c r="AE27" s="8">
        <f>IF($A27=AE$1,0,IF(SUM(IMshareC!AE$2:AE$78)-IMshareC!AE$31&gt;0,IMshareC!AE27/(SUM(IMshareC!AE$2:AE$78)-IMshareC!AE$31),0))</f>
        <v>2.7536382207825529E-2</v>
      </c>
      <c r="AF27" s="8">
        <f>IF($A27=AF$1,0,IF(SUM(IMshareC!AF$2:AF$78)-IMshareC!AF$32&gt;0,IMshareC!AF27/(SUM(IMshareC!AF$2:AF$78)-IMshareC!AF$32),0))</f>
        <v>2.4232605185991692E-2</v>
      </c>
      <c r="AG27" s="8">
        <f>IF($A27=AG$1,0,IF(SUM(IMshareC!AG$2:AG$78)-IMshareC!AG$33&gt;0,IMshareC!AG27/(SUM(IMshareC!AG$2:AG$78)-IMshareC!AG$33),0))</f>
        <v>7.0966856853990309E-4</v>
      </c>
      <c r="AH27" s="8">
        <f>IF($A27=AH$1,0,IF(SUM(IMshareC!AH$2:AH$78)-IMshareC!AH$34&gt;0,IMshareC!AH27/(SUM(IMshareC!AH$2:AH$78)-IMshareC!AH$34),0))</f>
        <v>1.7619579331186882E-3</v>
      </c>
      <c r="AI27" s="8">
        <f>IF($A27=AI$1,0,IF(SUM(IMshareC!AI$2:AI$78)-IMshareC!AI$35&gt;0,IMshareC!AI27/(SUM(IMshareC!AI$2:AI$78)-IMshareC!AI$35),0))</f>
        <v>9.1629804356191001E-4</v>
      </c>
      <c r="AJ27" s="8">
        <f>IF($A27=AJ$1,0,IF(SUM(IMshareC!AJ$2:AJ$78)-IMshareC!AJ$36&gt;0,IMshareC!AJ27/(SUM(IMshareC!AJ$2:AJ$78)-IMshareC!AJ$36),0))</f>
        <v>1.3744777381604317E-2</v>
      </c>
      <c r="AK27" s="8">
        <f>IF($A27=AK$1,0,IF(SUM(IMshareC!AK$2:AK$78)-IMshareC!AK$37&gt;0,IMshareC!AK27/(SUM(IMshareC!AK$2:AK$78)-IMshareC!AK$37),0))</f>
        <v>7.4763191650973103E-3</v>
      </c>
      <c r="AL27" s="8">
        <f>IF($A27=AL$1,0,IF(SUM(IMshareC!AL$2:AL$78)-IMshareC!AL$38&gt;0,IMshareC!AL27/(SUM(IMshareC!AL$2:AL$78)-IMshareC!AL$38),0))</f>
        <v>0.10184529238585049</v>
      </c>
      <c r="AM27" s="8">
        <f>IF($A27=AM$1,0,IF(SUM(IMshareC!AM$2:AM$78)-IMshareC!AM$39&gt;0,IMshareC!AM27/(SUM(IMshareC!AM$2:AM$78)-IMshareC!AM$39),0))</f>
        <v>3.2889288674609924E-3</v>
      </c>
      <c r="AN27" s="8">
        <f>IF($A27=AN$1,0,IF(SUM(IMshareC!AN$2:AN$78)-IMshareC!AN$40&gt;0,IMshareC!AN27/(SUM(IMshareC!AN$2:AN$78)-IMshareC!AN$40),0))</f>
        <v>3.995848523197499E-3</v>
      </c>
      <c r="AO27" s="8">
        <f>IF($A27=AO$1,0,IF(SUM(IMshareC!AO$2:AO$78)-IMshareC!AO$41&gt;0,IMshareC!AO27/(SUM(IMshareC!AO$2:AO$78)-IMshareC!AO$41),0))</f>
        <v>1.6416444056348886E-2</v>
      </c>
      <c r="AP27" s="8">
        <f>IF($A27=AP$1,0,IF(SUM(IMshareC!AP$2:AP$78)-IMshareC!AP$42&gt;0,IMshareC!AP27/(SUM(IMshareC!AP$2:AP$78)-IMshareC!AP$42),0))</f>
        <v>9.718908993078391E-5</v>
      </c>
      <c r="AQ27" s="8">
        <f>IF($A27=AQ$1,0,IF(SUM(IMshareC!AQ$2:AQ$78)-IMshareC!AQ$43&gt;0,IMshareC!AQ27/(SUM(IMshareC!AQ$2:AQ$78)-IMshareC!AQ$43),0))</f>
        <v>6.5097198195326542E-3</v>
      </c>
      <c r="AR27" s="8">
        <f>IF($A27=AR$1,0,IF(SUM(IMshareC!AR$2:AR$78)-IMshareC!AR$44&gt;0,IMshareC!AR27/(SUM(IMshareC!AR$2:AR$78)-IMshareC!AR$44),0))</f>
        <v>0</v>
      </c>
      <c r="AS27" s="8">
        <f>IF($A27=AS$1,0,IF(SUM(IMshareC!AS$2:AS$78)-IMshareC!AS$45&gt;0,IMshareC!AS27/(SUM(IMshareC!AS$2:AS$78)-IMshareC!AS$45),0))</f>
        <v>2.2097140991511052E-2</v>
      </c>
      <c r="AT27" s="8">
        <f>IF($A27=AT$1,0,IF(SUM(IMshareC!AT$2:AT$78)-IMshareC!AT$46&gt;0,IMshareC!AT27/(SUM(IMshareC!AT$2:AT$78)-IMshareC!AT$46),0))</f>
        <v>4.581632488487386E-2</v>
      </c>
      <c r="AU27" s="8">
        <f>IF($A27=AU$1,0,IF(SUM(IMshareC!AU$2:AU$78)-IMshareC!AU$47&gt;0,IMshareC!AU27/(SUM(IMshareC!AU$2:AU$78)-IMshareC!AU$47),0))</f>
        <v>9.0005491719064978E-3</v>
      </c>
      <c r="AV27" s="8">
        <f>IF($A27=AV$1,0,IF(SUM(IMshareC!AV$2:AV$78)-IMshareC!AV$48&gt;0,IMshareC!AV27/(SUM(IMshareC!AV$2:AV$78)-IMshareC!AV$48),0))</f>
        <v>0.34093192410369877</v>
      </c>
      <c r="AW27" s="8">
        <f>IF($A27=AW$1,0,IF(SUM(IMshareC!AW$2:AW$78)-IMshareC!AW$49&gt;0,IMshareC!AW27/(SUM(IMshareC!AW$2:AW$78)-IMshareC!AW$49),0))</f>
        <v>3.9432355385191865E-3</v>
      </c>
      <c r="AX27" s="8">
        <f>IF($A27=AX$1,0,IF(SUM(IMshareC!AX$2:AX$78)-IMshareC!AX$50&gt;0,IMshareC!AX27/(SUM(IMshareC!AX$2:AX$78)-IMshareC!AX$50),0))</f>
        <v>0.27429104494817852</v>
      </c>
      <c r="AY27" s="8">
        <f>IF($A27=AY$1,0,IF(SUM(IMshareC!AY$2:AY$78)-IMshareC!AY$51&gt;0,IMshareC!AY27/(SUM(IMshareC!AY$2:AY$78)-IMshareC!AY$51),0))</f>
        <v>1.9709060567611966E-3</v>
      </c>
      <c r="AZ27" s="8">
        <f>IF($A27=AZ$1,0,IF(SUM(IMshareC!AZ$2:AZ$78)-IMshareC!AZ$52&gt;0,IMshareC!AZ27/(SUM(IMshareC!AZ$2:AZ$78)-IMshareC!AZ$52),0))</f>
        <v>3.079858343012568E-3</v>
      </c>
      <c r="BA27" s="8">
        <f>IF($A27=BA$1,0,IF(SUM(IMshareC!BA$2:BA$78)-IMshareC!BA$53&gt;0,IMshareC!BA27/(SUM(IMshareC!BA$2:BA$78)-IMshareC!BA$53),0))</f>
        <v>4.6138769445909812E-2</v>
      </c>
      <c r="BB27" s="8">
        <f>IF($A27=BB$1,0,IF(SUM(IMshareC!BB$2:BB$78)-IMshareC!BB$54&gt;0,IMshareC!BB27/(SUM(IMshareC!BB$2:BB$78)-IMshareC!BB$54),0))</f>
        <v>5.2708119352401522E-2</v>
      </c>
      <c r="BC27" s="8">
        <f>IF($A27=BC$1,0,IF(SUM(IMshareC!BC$2:BC$78)-IMshareC!BC$55&gt;0,IMshareC!BC27/(SUM(IMshareC!BC$2:BC$78)-IMshareC!BC$55),0))</f>
        <v>1.6553602789339456E-2</v>
      </c>
      <c r="BD27" s="8">
        <f>IF($A27=BD$1,0,IF(SUM(IMshareC!BD$2:BD$78)-IMshareC!BD$56&gt;0,IMshareC!BD27/(SUM(IMshareC!BD$2:BD$78)-IMshareC!BD$56),0))</f>
        <v>7.212418392997918E-3</v>
      </c>
      <c r="BE27" s="8">
        <f>IF($A27=BE$1,0,IF(SUM(IMshareC!BE$2:BE$78)-IMshareC!BE$57&gt;0,IMshareC!BE27/(SUM(IMshareC!BE$2:BE$78)-IMshareC!BE$57),0))</f>
        <v>3.4283482182184948E-3</v>
      </c>
      <c r="BF27" s="8">
        <f>IF($A27=BF$1,0,IF(SUM(IMshareC!BF$2:BF$78)-IMshareC!BF$58&gt;0,IMshareC!BF27/(SUM(IMshareC!BF$2:BF$78)-IMshareC!BF$58),0))</f>
        <v>1.2318652650882399E-2</v>
      </c>
      <c r="BG27" s="8">
        <f>IF($A27=BG$1,0,IF(SUM(IMshareC!BG$2:BG$78)-IMshareC!BG$59&gt;0,IMshareC!BG27/(SUM(IMshareC!BG$2:BG$78)-IMshareC!BG$59),0))</f>
        <v>6.1465292043345159E-3</v>
      </c>
      <c r="BH27" s="8">
        <f>IF($A27=BH$1,0,IF(SUM(IMshareC!BH$2:BH$78)-IMshareC!BH$60&gt;0,IMshareC!BH27/(SUM(IMshareC!BH$2:BH$78)-IMshareC!BH$60),0))</f>
        <v>1.449837959914297E-2</v>
      </c>
      <c r="BI27" s="8">
        <f>IF($A27=BI$1,0,IF(SUM(IMshareC!BI$2:BI$78)-IMshareC!BI$61&gt;0,IMshareC!BI27/(SUM(IMshareC!BI$2:BI$78)-IMshareC!BI$61),0))</f>
        <v>6.8787599918359199E-2</v>
      </c>
      <c r="BJ27" s="8">
        <f>IF($A27=BJ$1,0,IF(SUM(IMshareC!BJ$2:BJ$78)-IMshareC!BJ$62&gt;0,IMshareC!BJ27/(SUM(IMshareC!BJ$2:BJ$78)-IMshareC!BJ$62),0))</f>
        <v>3.4383124404855338E-2</v>
      </c>
      <c r="BK27" s="8">
        <f>IF($A27=BK$1,0,IF(SUM(IMshareC!BK$2:BK$78)-IMshareC!BK$63&gt;0,IMshareC!BK27/(SUM(IMshareC!BK$2:BK$78)-IMshareC!BK$63),0))</f>
        <v>5.5075904647054561E-3</v>
      </c>
      <c r="BL27" s="8">
        <f>IF($A27=BL$1,0,IF(SUM(IMshareC!BL$2:BL$78)-IMshareC!BL$64&gt;0,IMshareC!BL27/(SUM(IMshareC!BL$2:BL$78)-IMshareC!BL$64),0))</f>
        <v>1.669916115586462E-2</v>
      </c>
      <c r="BM27" s="8">
        <f>IF($A27=BM$1,0,IF(SUM(IMshareC!BM$2:BM$78)-IMshareC!BM$65&gt;0,IMshareC!BM27/(SUM(IMshareC!BM$2:BM$78)-IMshareC!BM$65),0))</f>
        <v>0.11690448450661957</v>
      </c>
      <c r="BN27" s="8">
        <f>IF($A27=BN$1,0,IF(SUM(IMshareC!BN$2:BN$78)-IMshareC!BN$66&gt;0,IMshareC!BN27/(SUM(IMshareC!BN$2:BN$78)-IMshareC!BN$66),0))</f>
        <v>6.2107604322816506E-3</v>
      </c>
      <c r="BO27" s="8">
        <f>IF($A27=BO$1,0,IF(SUM(IMshareC!BO$2:BO$78)-IMshareC!BO$67&gt;0,IMshareC!BO27/(SUM(IMshareC!BO$2:BO$78)-IMshareC!BO$67),0))</f>
        <v>1.6098046801488824E-2</v>
      </c>
      <c r="BP27" s="8">
        <f>IF($A27=BP$1,0,IF(SUM(IMshareC!BP$2:BP$78)-IMshareC!BP$68&gt;0,IMshareC!BP27/(SUM(IMshareC!BP$2:BP$78)-IMshareC!BP$68),0))</f>
        <v>1.3057633172671905E-2</v>
      </c>
      <c r="BQ27" s="8">
        <f>IF($A27=BQ$1,0,IF(SUM(IMshareC!BQ$2:BQ$78)-IMshareC!BQ$69&gt;0,IMshareC!BQ27/(SUM(IMshareC!BQ$2:BQ$78)-IMshareC!BQ$69),0))</f>
        <v>6.7982311787951819E-2</v>
      </c>
      <c r="BR27" s="8">
        <f>IF($A27=BR$1,0,IF(SUM(IMshareC!BR$2:BR$78)-IMshareC!BR$70&gt;0,IMshareC!BR27/(SUM(IMshareC!BR$2:BR$78)-IMshareC!BR$70),0))</f>
        <v>4.5254489108793551E-3</v>
      </c>
      <c r="BS27" s="8">
        <f>IF($A27=BS$1,0,IF(SUM(IMshareC!BS$2:BS$78)-IMshareC!BS$71&gt;0,IMshareC!BS27/(SUM(IMshareC!BS$2:BS$78)-IMshareC!BS$71),0))</f>
        <v>0.2271205424681523</v>
      </c>
      <c r="BT27" s="8">
        <f>IF($A27=BT$1,0,IF(SUM(IMshareC!BT$2:BT$78)-IMshareC!BT$72&gt;0,IMshareC!BT27/(SUM(IMshareC!BT$2:BT$78)-IMshareC!BT$72),0))</f>
        <v>3.8929968725919181E-2</v>
      </c>
      <c r="BU27" s="8">
        <f>IF($A27=BU$1,0,IF(SUM(IMshareC!BU$2:BU$78)-IMshareC!BU$73&gt;0,IMshareC!BU27/(SUM(IMshareC!BU$2:BU$78)-IMshareC!BU$73),0))</f>
        <v>9.042763158593729E-3</v>
      </c>
      <c r="BV27" s="8">
        <f>IF($A27=BV$1,0,IF(SUM(IMshareC!BV$2:BV$78)-IMshareC!BV$74&gt;0,IMshareC!BV27/(SUM(IMshareC!BV$2:BV$78)-IMshareC!BV$74),0))</f>
        <v>1.3326021275795991E-2</v>
      </c>
      <c r="BW27" s="8">
        <f>IF($A27=BW$1,0,IF(SUM(IMshareC!BW$2:BW$78)-IMshareC!BW$75&gt;0,IMshareC!BW27/(SUM(IMshareC!BW$2:BW$78)-IMshareC!BW$75),0))</f>
        <v>6.4711393951104893E-3</v>
      </c>
      <c r="BX27" s="8">
        <f>IF($A27=BX$1,0,IF(SUM(IMshareC!BX$2:BX$78)-IMshareC!BX$76&gt;0,IMshareC!BX27/(SUM(IMshareC!BX$2:BX$78)-IMshareC!BX$76),0))</f>
        <v>3.3156909890050496E-4</v>
      </c>
      <c r="BY27" s="8">
        <f>IF($A27=BY$1,0,IF(SUM(IMshareC!BY$2:BY$78)-IMshareC!BY$77&gt;0,IMshareC!BY27/(SUM(IMshareC!BY$2:BY$78)-IMshareC!BY$77),0))</f>
        <v>1.1072660259726501E-2</v>
      </c>
      <c r="BZ27" s="8">
        <f>IF($A27=BZ$1,0,IF(SUM(IMshareC!BZ$2:BZ$78)-IMshareC!BZ$78&gt;0,IMshareC!BZ27/(SUM(IMshareC!BZ$2:BZ$78)-IMshareC!BZ$78),0))</f>
        <v>2.7185304845079042E-2</v>
      </c>
    </row>
    <row r="28" spans="1:78">
      <c r="A28" s="4" t="s">
        <v>123</v>
      </c>
      <c r="B28" s="8">
        <f>IF($A28=B$1,0,IF(SUM(IMshareC!B$2:B$78)-IMshareC!B$2&gt;0,IMshareC!B28/(SUM(IMshareC!B$2:B$78)-IMshareC!B$2),0))</f>
        <v>1.8283380153803111E-3</v>
      </c>
      <c r="C28" s="8">
        <f>IF($A28=C$1,0,IF(SUM(IMshareC!C$2:C$78)-IMshareC!C$3&gt;0,IMshareC!C28/(SUM(IMshareC!C$2:C$78)-IMshareC!C$3),0))</f>
        <v>2.0408995043060818E-2</v>
      </c>
      <c r="D28" s="8">
        <f>IF($A28=D$1,0,IF(SUM(IMshareC!D$2:D$78)-IMshareC!D$4&gt;0,IMshareC!D28/(SUM(IMshareC!D$2:D$78)-IMshareC!D$4),0))</f>
        <v>3.4478063525475522E-3</v>
      </c>
      <c r="E28" s="8">
        <f>IF($A28=E$1,0,IF(SUM(IMshareC!E$2:E$78)-IMshareC!E$5&gt;0,IMshareC!E28/(SUM(IMshareC!E$2:E$78)-IMshareC!E$5),0))</f>
        <v>1.7873177434604252E-3</v>
      </c>
      <c r="F28" s="8">
        <f>IF($A28=F$1,0,IF(SUM(IMshareC!F$2:F$78)-IMshareC!F$6&gt;0,IMshareC!F28/(SUM(IMshareC!F$2:F$78)-IMshareC!F$6),0))</f>
        <v>3.2387673824796344E-3</v>
      </c>
      <c r="G28" s="8">
        <f>IF($A28=G$1,0,IF(SUM(IMshareC!G$2:G$78)-IMshareC!G$7&gt;0,IMshareC!G28/(SUM(IMshareC!G$2:G$78)-IMshareC!G$7),0))</f>
        <v>7.3701531501548382E-3</v>
      </c>
      <c r="H28" s="8">
        <f>IF($A28=H$1,0,IF(SUM(IMshareC!H$2:H$78)-IMshareC!H$8&gt;0,IMshareC!H28/(SUM(IMshareC!H$2:H$78)-IMshareC!H$8),0))</f>
        <v>7.6609356467214678E-3</v>
      </c>
      <c r="I28" s="8">
        <f>IF($A28=I$1,0,IF(SUM(IMshareC!I$2:I$78)-IMshareC!I$9&gt;0,IMshareC!I28/(SUM(IMshareC!I$2:I$78)-IMshareC!I$9),0))</f>
        <v>4.2532668237471056E-3</v>
      </c>
      <c r="J28" s="8">
        <f>IF($A28=J$1,0,IF(SUM(IMshareC!J$2:J$78)-IMshareC!J$10&gt;0,IMshareC!J28/(SUM(IMshareC!J$2:J$78)-IMshareC!J$10),0))</f>
        <v>1.073735599227999E-2</v>
      </c>
      <c r="K28" s="8">
        <f>IF($A28=K$1,0,IF(SUM(IMshareC!K$2:K$78)-IMshareC!K$11&gt;0,IMshareC!K28/(SUM(IMshareC!K$2:K$78)-IMshareC!K$11),0))</f>
        <v>4.4391897582857663E-3</v>
      </c>
      <c r="L28" s="8">
        <f>IF($A28=L$1,0,IF(SUM(IMshareC!L$2:L$78)-IMshareC!L$12&gt;0,IMshareC!L28/(SUM(IMshareC!L$2:L$78)-IMshareC!L$12),0))</f>
        <v>7.8558871700604316E-3</v>
      </c>
      <c r="M28" s="8">
        <f>IF($A28=M$1,0,IF(SUM(IMshareC!M$2:M$78)-IMshareC!M$13&gt;0,IMshareC!M28/(SUM(IMshareC!M$2:M$78)-IMshareC!M$13),0))</f>
        <v>8.6122395806180023E-3</v>
      </c>
      <c r="N28" s="8">
        <f>IF($A28=N$1,0,IF(SUM(IMshareC!N$2:N$78)-IMshareC!N$14&gt;0,IMshareC!N28/(SUM(IMshareC!N$2:N$78)-IMshareC!N$14),0))</f>
        <v>6.5461853986211501E-4</v>
      </c>
      <c r="O28" s="8">
        <f>IF($A28=O$1,0,IF(SUM(IMshareC!O$2:O$78)-IMshareC!O$15&gt;0,IMshareC!O28/(SUM(IMshareC!O$2:O$78)-IMshareC!O$15),0))</f>
        <v>0.19874041680032026</v>
      </c>
      <c r="P28" s="8">
        <f>IF($A28=P$1,0,IF(SUM(IMshareC!P$2:P$78)-IMshareC!P$16&gt;0,IMshareC!P28/(SUM(IMshareC!P$2:P$78)-IMshareC!P$16),0))</f>
        <v>7.8964115702327888E-3</v>
      </c>
      <c r="Q28" s="8">
        <f>IF($A28=Q$1,0,IF(SUM(IMshareC!Q$2:Q$78)-IMshareC!Q$17&gt;0,IMshareC!Q28/(SUM(IMshareC!Q$2:Q$78)-IMshareC!Q$17),0))</f>
        <v>1.6242330143207577E-2</v>
      </c>
      <c r="R28" s="8">
        <f>IF($A28=R$1,0,IF(SUM(IMshareC!R$2:R$78)-IMshareC!R$18&gt;0,IMshareC!R28/(SUM(IMshareC!R$2:R$78)-IMshareC!R$18),0))</f>
        <v>3.0675859279258549E-3</v>
      </c>
      <c r="S28" s="8">
        <f>IF($A28=S$1,0,IF(SUM(IMshareC!S$2:S$78)-IMshareC!S$19&gt;0,IMshareC!S28/(SUM(IMshareC!S$2:S$78)-IMshareC!S$19),0))</f>
        <v>1.9799174522716723E-2</v>
      </c>
      <c r="T28" s="8">
        <f>IF($A28=T$1,0,IF(SUM(IMshareC!T$2:T$78)-IMshareC!T$20&gt;0,IMshareC!T28/(SUM(IMshareC!T$2:T$78)-IMshareC!T$20),0))</f>
        <v>7.058532052641708E-3</v>
      </c>
      <c r="U28" s="8">
        <f>IF($A28=U$1,0,IF(SUM(IMshareC!U$2:U$78)-IMshareC!U$21&gt;0,IMshareC!U28/(SUM(IMshareC!U$2:U$78)-IMshareC!U$21),0))</f>
        <v>8.6002999077270607E-3</v>
      </c>
      <c r="V28" s="8">
        <f>IF($A28=V$1,0,IF(SUM(IMshareC!V$2:V$78)-IMshareC!V$22&gt;0,IMshareC!V28/(SUM(IMshareC!V$2:V$78)-IMshareC!V$22),0))</f>
        <v>7.638137315400393E-3</v>
      </c>
      <c r="W28" s="8">
        <f>IF($A28=W$1,0,IF(SUM(IMshareC!W$2:W$78)-IMshareC!W$23&gt;0,IMshareC!W28/(SUM(IMshareC!W$2:W$78)-IMshareC!W$23),0))</f>
        <v>1.1140418613663702E-2</v>
      </c>
      <c r="X28" s="8">
        <f>IF($A28=X$1,0,IF(SUM(IMshareC!X$2:X$78)-IMshareC!X$24&gt;0,IMshareC!X28/(SUM(IMshareC!X$2:X$78)-IMshareC!X$24),0))</f>
        <v>5.1822650013106153E-2</v>
      </c>
      <c r="Y28" s="8">
        <f>IF($A28=Y$1,0,IF(SUM(IMshareC!Y$2:Y$78)-IMshareC!Y$25&gt;0,IMshareC!Y28/(SUM(IMshareC!Y$2:Y$78)-IMshareC!Y$25),0))</f>
        <v>6.0094386031283187E-3</v>
      </c>
      <c r="Z28" s="8">
        <f>IF($A28=Z$1,0,IF(SUM(IMshareC!Z$2:Z$78)-IMshareC!Z$26&gt;0,IMshareC!Z28/(SUM(IMshareC!Z$2:Z$78)-IMshareC!Z$26),0))</f>
        <v>4.8469748686233993E-3</v>
      </c>
      <c r="AA28" s="8">
        <f>IF($A28=AA$1,0,IF(SUM(IMshareC!AA$2:AA$78)-IMshareC!AA$27&gt;0,IMshareC!AA28/(SUM(IMshareC!AA$2:AA$78)-IMshareC!AA$27),0))</f>
        <v>1.5753017403774387E-2</v>
      </c>
      <c r="AB28" s="8">
        <f>IF($A28=AB$1,0,IF(SUM(IMshareC!AB$2:AB$78)-IMshareC!AB$28&gt;0,IMshareC!AB28/(SUM(IMshareC!AB$2:AB$78)-IMshareC!AB$28),0))</f>
        <v>0</v>
      </c>
      <c r="AC28" s="8">
        <f>IF($A28=AC$1,0,IF(SUM(IMshareC!AC$2:AC$78)-IMshareC!AC$29&gt;0,IMshareC!AC28/(SUM(IMshareC!AC$2:AC$78)-IMshareC!AC$29),0))</f>
        <v>1.1123771918793771E-2</v>
      </c>
      <c r="AD28" s="8">
        <f>IF($A28=AD$1,0,IF(SUM(IMshareC!AD$2:AD$78)-IMshareC!AD$30&gt;0,IMshareC!AD28/(SUM(IMshareC!AD$2:AD$78)-IMshareC!AD$30),0))</f>
        <v>5.1960400334208573E-4</v>
      </c>
      <c r="AE28" s="8">
        <f>IF($A28=AE$1,0,IF(SUM(IMshareC!AE$2:AE$78)-IMshareC!AE$31&gt;0,IMshareC!AE28/(SUM(IMshareC!AE$2:AE$78)-IMshareC!AE$31),0))</f>
        <v>3.1553322982778489E-3</v>
      </c>
      <c r="AF28" s="8">
        <f>IF($A28=AF$1,0,IF(SUM(IMshareC!AF$2:AF$78)-IMshareC!AF$32&gt;0,IMshareC!AF28/(SUM(IMshareC!AF$2:AF$78)-IMshareC!AF$32),0))</f>
        <v>6.8738263253472704E-3</v>
      </c>
      <c r="AG28" s="8">
        <f>IF($A28=AG$1,0,IF(SUM(IMshareC!AG$2:AG$78)-IMshareC!AG$33&gt;0,IMshareC!AG28/(SUM(IMshareC!AG$2:AG$78)-IMshareC!AG$33),0))</f>
        <v>1.2796494905409593E-3</v>
      </c>
      <c r="AH28" s="8">
        <f>IF($A28=AH$1,0,IF(SUM(IMshareC!AH$2:AH$78)-IMshareC!AH$34&gt;0,IMshareC!AH28/(SUM(IMshareC!AH$2:AH$78)-IMshareC!AH$34),0))</f>
        <v>4.026126910951471E-3</v>
      </c>
      <c r="AI28" s="8">
        <f>IF($A28=AI$1,0,IF(SUM(IMshareC!AI$2:AI$78)-IMshareC!AI$35&gt;0,IMshareC!AI28/(SUM(IMshareC!AI$2:AI$78)-IMshareC!AI$35),0))</f>
        <v>4.3639418408200049E-2</v>
      </c>
      <c r="AJ28" s="8">
        <f>IF($A28=AJ$1,0,IF(SUM(IMshareC!AJ$2:AJ$78)-IMshareC!AJ$36&gt;0,IMshareC!AJ28/(SUM(IMshareC!AJ$2:AJ$78)-IMshareC!AJ$36),0))</f>
        <v>1.7392799210254196E-2</v>
      </c>
      <c r="AK28" s="8">
        <f>IF($A28=AK$1,0,IF(SUM(IMshareC!AK$2:AK$78)-IMshareC!AK$37&gt;0,IMshareC!AK28/(SUM(IMshareC!AK$2:AK$78)-IMshareC!AK$37),0))</f>
        <v>8.9450673351830115E-2</v>
      </c>
      <c r="AL28" s="8">
        <f>IF($A28=AL$1,0,IF(SUM(IMshareC!AL$2:AL$78)-IMshareC!AL$38&gt;0,IMshareC!AL28/(SUM(IMshareC!AL$2:AL$78)-IMshareC!AL$38),0))</f>
        <v>1.56360524591076E-2</v>
      </c>
      <c r="AM28" s="8">
        <f>IF($A28=AM$1,0,IF(SUM(IMshareC!AM$2:AM$78)-IMshareC!AM$39&gt;0,IMshareC!AM28/(SUM(IMshareC!AM$2:AM$78)-IMshareC!AM$39),0))</f>
        <v>1.4397637643743402E-2</v>
      </c>
      <c r="AN28" s="8">
        <f>IF($A28=AN$1,0,IF(SUM(IMshareC!AN$2:AN$78)-IMshareC!AN$40&gt;0,IMshareC!AN28/(SUM(IMshareC!AN$2:AN$78)-IMshareC!AN$40),0))</f>
        <v>2.4818298821204414E-3</v>
      </c>
      <c r="AO28" s="8">
        <f>IF($A28=AO$1,0,IF(SUM(IMshareC!AO$2:AO$78)-IMshareC!AO$41&gt;0,IMshareC!AO28/(SUM(IMshareC!AO$2:AO$78)-IMshareC!AO$41),0))</f>
        <v>8.9170443749202518E-3</v>
      </c>
      <c r="AP28" s="8">
        <f>IF($A28=AP$1,0,IF(SUM(IMshareC!AP$2:AP$78)-IMshareC!AP$42&gt;0,IMshareC!AP28/(SUM(IMshareC!AP$2:AP$78)-IMshareC!AP$42),0))</f>
        <v>6.0878559968529228E-3</v>
      </c>
      <c r="AQ28" s="8">
        <f>IF($A28=AQ$1,0,IF(SUM(IMshareC!AQ$2:AQ$78)-IMshareC!AQ$43&gt;0,IMshareC!AQ28/(SUM(IMshareC!AQ$2:AQ$78)-IMshareC!AQ$43),0))</f>
        <v>3.894282918943122E-4</v>
      </c>
      <c r="AR28" s="8">
        <f>IF($A28=AR$1,0,IF(SUM(IMshareC!AR$2:AR$78)-IMshareC!AR$44&gt;0,IMshareC!AR28/(SUM(IMshareC!AR$2:AR$78)-IMshareC!AR$44),0))</f>
        <v>1.2930816359855364E-4</v>
      </c>
      <c r="AS28" s="8">
        <f>IF($A28=AS$1,0,IF(SUM(IMshareC!AS$2:AS$78)-IMshareC!AS$45&gt;0,IMshareC!AS28/(SUM(IMshareC!AS$2:AS$78)-IMshareC!AS$45),0))</f>
        <v>9.8178090873629227E-3</v>
      </c>
      <c r="AT28" s="8">
        <f>IF($A28=AT$1,0,IF(SUM(IMshareC!AT$2:AT$78)-IMshareC!AT$46&gt;0,IMshareC!AT28/(SUM(IMshareC!AT$2:AT$78)-IMshareC!AT$46),0))</f>
        <v>2.313072827606031E-2</v>
      </c>
      <c r="AU28" s="8">
        <f>IF($A28=AU$1,0,IF(SUM(IMshareC!AU$2:AU$78)-IMshareC!AU$47&gt;0,IMshareC!AU28/(SUM(IMshareC!AU$2:AU$78)-IMshareC!AU$47),0))</f>
        <v>5.3959832540203777E-3</v>
      </c>
      <c r="AV28" s="8">
        <f>IF($A28=AV$1,0,IF(SUM(IMshareC!AV$2:AV$78)-IMshareC!AV$48&gt;0,IMshareC!AV28/(SUM(IMshareC!AV$2:AV$78)-IMshareC!AV$48),0))</f>
        <v>2.0671231488224454E-3</v>
      </c>
      <c r="AW28" s="8">
        <f>IF($A28=AW$1,0,IF(SUM(IMshareC!AW$2:AW$78)-IMshareC!AW$49&gt;0,IMshareC!AW28/(SUM(IMshareC!AW$2:AW$78)-IMshareC!AW$49),0))</f>
        <v>6.346062743505204E-4</v>
      </c>
      <c r="AX28" s="8">
        <f>IF($A28=AX$1,0,IF(SUM(IMshareC!AX$2:AX$78)-IMshareC!AX$50&gt;0,IMshareC!AX28/(SUM(IMshareC!AX$2:AX$78)-IMshareC!AX$50),0))</f>
        <v>1.8693065842297291E-3</v>
      </c>
      <c r="AY28" s="8">
        <f>IF($A28=AY$1,0,IF(SUM(IMshareC!AY$2:AY$78)-IMshareC!AY$51&gt;0,IMshareC!AY28/(SUM(IMshareC!AY$2:AY$78)-IMshareC!AY$51),0))</f>
        <v>1.4690436890237916E-2</v>
      </c>
      <c r="AZ28" s="8">
        <f>IF($A28=AZ$1,0,IF(SUM(IMshareC!AZ$2:AZ$78)-IMshareC!AZ$52&gt;0,IMshareC!AZ28/(SUM(IMshareC!AZ$2:AZ$78)-IMshareC!AZ$52),0))</f>
        <v>1.6362766739725209E-3</v>
      </c>
      <c r="BA28" s="8">
        <f>IF($A28=BA$1,0,IF(SUM(IMshareC!BA$2:BA$78)-IMshareC!BA$53&gt;0,IMshareC!BA28/(SUM(IMshareC!BA$2:BA$78)-IMshareC!BA$53),0))</f>
        <v>9.7862598492718909E-3</v>
      </c>
      <c r="BB28" s="8">
        <f>IF($A28=BB$1,0,IF(SUM(IMshareC!BB$2:BB$78)-IMshareC!BB$54&gt;0,IMshareC!BB28/(SUM(IMshareC!BB$2:BB$78)-IMshareC!BB$54),0))</f>
        <v>2.1280224313461615E-2</v>
      </c>
      <c r="BC28" s="8">
        <f>IF($A28=BC$1,0,IF(SUM(IMshareC!BC$2:BC$78)-IMshareC!BC$55&gt;0,IMshareC!BC28/(SUM(IMshareC!BC$2:BC$78)-IMshareC!BC$55),0))</f>
        <v>6.2320404438256503E-2</v>
      </c>
      <c r="BD28" s="8">
        <f>IF($A28=BD$1,0,IF(SUM(IMshareC!BD$2:BD$78)-IMshareC!BD$56&gt;0,IMshareC!BD28/(SUM(IMshareC!BD$2:BD$78)-IMshareC!BD$56),0))</f>
        <v>1.2650656684432823E-2</v>
      </c>
      <c r="BE28" s="8">
        <f>IF($A28=BE$1,0,IF(SUM(IMshareC!BE$2:BE$78)-IMshareC!BE$57&gt;0,IMshareC!BE28/(SUM(IMshareC!BE$2:BE$78)-IMshareC!BE$57),0))</f>
        <v>1.9223337845975009E-2</v>
      </c>
      <c r="BF28" s="8">
        <f>IF($A28=BF$1,0,IF(SUM(IMshareC!BF$2:BF$78)-IMshareC!BF$58&gt;0,IMshareC!BF28/(SUM(IMshareC!BF$2:BF$78)-IMshareC!BF$58),0))</f>
        <v>6.8718792631300464E-3</v>
      </c>
      <c r="BG28" s="8">
        <f>IF($A28=BG$1,0,IF(SUM(IMshareC!BG$2:BG$78)-IMshareC!BG$59&gt;0,IMshareC!BG28/(SUM(IMshareC!BG$2:BG$78)-IMshareC!BG$59),0))</f>
        <v>4.3453132787261923E-3</v>
      </c>
      <c r="BH28" s="8">
        <f>IF($A28=BH$1,0,IF(SUM(IMshareC!BH$2:BH$78)-IMshareC!BH$60&gt;0,IMshareC!BH28/(SUM(IMshareC!BH$2:BH$78)-IMshareC!BH$60),0))</f>
        <v>1.043191239564943E-2</v>
      </c>
      <c r="BI28" s="8">
        <f>IF($A28=BI$1,0,IF(SUM(IMshareC!BI$2:BI$78)-IMshareC!BI$61&gt;0,IMshareC!BI28/(SUM(IMshareC!BI$2:BI$78)-IMshareC!BI$61),0))</f>
        <v>3.125952227655934E-3</v>
      </c>
      <c r="BJ28" s="8">
        <f>IF($A28=BJ$1,0,IF(SUM(IMshareC!BJ$2:BJ$78)-IMshareC!BJ$62&gt;0,IMshareC!BJ28/(SUM(IMshareC!BJ$2:BJ$78)-IMshareC!BJ$62),0))</f>
        <v>1.2015544468122343E-2</v>
      </c>
      <c r="BK28" s="8">
        <f>IF($A28=BK$1,0,IF(SUM(IMshareC!BK$2:BK$78)-IMshareC!BK$63&gt;0,IMshareC!BK28/(SUM(IMshareC!BK$2:BK$78)-IMshareC!BK$63),0))</f>
        <v>2.1897011225817616E-3</v>
      </c>
      <c r="BL28" s="8">
        <f>IF($A28=BL$1,0,IF(SUM(IMshareC!BL$2:BL$78)-IMshareC!BL$64&gt;0,IMshareC!BL28/(SUM(IMshareC!BL$2:BL$78)-IMshareC!BL$64),0))</f>
        <v>6.3425732111823119E-2</v>
      </c>
      <c r="BM28" s="8">
        <f>IF($A28=BM$1,0,IF(SUM(IMshareC!BM$2:BM$78)-IMshareC!BM$65&gt;0,IMshareC!BM28/(SUM(IMshareC!BM$2:BM$78)-IMshareC!BM$65),0))</f>
        <v>1.9928690039137307E-2</v>
      </c>
      <c r="BN28" s="8">
        <f>IF($A28=BN$1,0,IF(SUM(IMshareC!BN$2:BN$78)-IMshareC!BN$66&gt;0,IMshareC!BN28/(SUM(IMshareC!BN$2:BN$78)-IMshareC!BN$66),0))</f>
        <v>3.6801561593333349E-4</v>
      </c>
      <c r="BO28" s="8">
        <f>IF($A28=BO$1,0,IF(SUM(IMshareC!BO$2:BO$78)-IMshareC!BO$67&gt;0,IMshareC!BO28/(SUM(IMshareC!BO$2:BO$78)-IMshareC!BO$67),0))</f>
        <v>3.6849161701388154E-2</v>
      </c>
      <c r="BP28" s="8">
        <f>IF($A28=BP$1,0,IF(SUM(IMshareC!BP$2:BP$78)-IMshareC!BP$68&gt;0,IMshareC!BP28/(SUM(IMshareC!BP$2:BP$78)-IMshareC!BP$68),0))</f>
        <v>6.1629782609390043E-3</v>
      </c>
      <c r="BQ28" s="8">
        <f>IF($A28=BQ$1,0,IF(SUM(IMshareC!BQ$2:BQ$78)-IMshareC!BQ$69&gt;0,IMshareC!BQ28/(SUM(IMshareC!BQ$2:BQ$78)-IMshareC!BQ$69),0))</f>
        <v>1.3349306500422905E-2</v>
      </c>
      <c r="BR28" s="8">
        <f>IF($A28=BR$1,0,IF(SUM(IMshareC!BR$2:BR$78)-IMshareC!BR$70&gt;0,IMshareC!BR28/(SUM(IMshareC!BR$2:BR$78)-IMshareC!BR$70),0))</f>
        <v>1.6056804926772302E-2</v>
      </c>
      <c r="BS28" s="8">
        <f>IF($A28=BS$1,0,IF(SUM(IMshareC!BS$2:BS$78)-IMshareC!BS$71&gt;0,IMshareC!BS28/(SUM(IMshareC!BS$2:BS$78)-IMshareC!BS$71),0))</f>
        <v>2.241537696958043E-3</v>
      </c>
      <c r="BT28" s="8">
        <f>IF($A28=BT$1,0,IF(SUM(IMshareC!BT$2:BT$78)-IMshareC!BT$72&gt;0,IMshareC!BT28/(SUM(IMshareC!BT$2:BT$78)-IMshareC!BT$72),0))</f>
        <v>1.1135864034634534E-2</v>
      </c>
      <c r="BU28" s="8">
        <f>IF($A28=BU$1,0,IF(SUM(IMshareC!BU$2:BU$78)-IMshareC!BU$73&gt;0,IMshareC!BU28/(SUM(IMshareC!BU$2:BU$78)-IMshareC!BU$73),0))</f>
        <v>2.658690432494734E-4</v>
      </c>
      <c r="BV28" s="8">
        <f>IF($A28=BV$1,0,IF(SUM(IMshareC!BV$2:BV$78)-IMshareC!BV$74&gt;0,IMshareC!BV28/(SUM(IMshareC!BV$2:BV$78)-IMshareC!BV$74),0))</f>
        <v>1.217636571788754E-3</v>
      </c>
      <c r="BW28" s="8">
        <f>IF($A28=BW$1,0,IF(SUM(IMshareC!BW$2:BW$78)-IMshareC!BW$75&gt;0,IMshareC!BW28/(SUM(IMshareC!BW$2:BW$78)-IMshareC!BW$75),0))</f>
        <v>4.8954994578300865E-3</v>
      </c>
      <c r="BX28" s="8">
        <f>IF($A28=BX$1,0,IF(SUM(IMshareC!BX$2:BX$78)-IMshareC!BX$76&gt;0,IMshareC!BX28/(SUM(IMshareC!BX$2:BX$78)-IMshareC!BX$76),0))</f>
        <v>2.6296883917604913E-5</v>
      </c>
      <c r="BY28" s="8">
        <f>IF($A28=BY$1,0,IF(SUM(IMshareC!BY$2:BY$78)-IMshareC!BY$77&gt;0,IMshareC!BY28/(SUM(IMshareC!BY$2:BY$78)-IMshareC!BY$77),0))</f>
        <v>1.692832357821937E-2</v>
      </c>
      <c r="BZ28" s="8">
        <f>IF($A28=BZ$1,0,IF(SUM(IMshareC!BZ$2:BZ$78)-IMshareC!BZ$78&gt;0,IMshareC!BZ28/(SUM(IMshareC!BZ$2:BZ$78)-IMshareC!BZ$78),0))</f>
        <v>2.0016064487314425E-2</v>
      </c>
    </row>
    <row r="29" spans="1:78">
      <c r="A29" s="4" t="s">
        <v>125</v>
      </c>
      <c r="B29" s="8">
        <f>IF($A29=B$1,0,IF(SUM(IMshareC!B$2:B$78)-IMshareC!B$2&gt;0,IMshareC!B29/(SUM(IMshareC!B$2:B$78)-IMshareC!B$2),0))</f>
        <v>1.996072085910433E-5</v>
      </c>
      <c r="C29" s="8">
        <f>IF($A29=C$1,0,IF(SUM(IMshareC!C$2:C$78)-IMshareC!C$3&gt;0,IMshareC!C29/(SUM(IMshareC!C$2:C$78)-IMshareC!C$3),0))</f>
        <v>1.7764101361656158E-5</v>
      </c>
      <c r="D29" s="8">
        <f>IF($A29=D$1,0,IF(SUM(IMshareC!D$2:D$78)-IMshareC!D$4&gt;0,IMshareC!D29/(SUM(IMshareC!D$2:D$78)-IMshareC!D$4),0))</f>
        <v>2.3627563886878464E-5</v>
      </c>
      <c r="E29" s="8">
        <f>IF($A29=E$1,0,IF(SUM(IMshareC!E$2:E$78)-IMshareC!E$5&gt;0,IMshareC!E29/(SUM(IMshareC!E$2:E$78)-IMshareC!E$5),0))</f>
        <v>8.1459261102827151E-7</v>
      </c>
      <c r="F29" s="8">
        <f>IF($A29=F$1,0,IF(SUM(IMshareC!F$2:F$78)-IMshareC!F$6&gt;0,IMshareC!F29/(SUM(IMshareC!F$2:F$78)-IMshareC!F$6),0))</f>
        <v>9.0825390802822041E-5</v>
      </c>
      <c r="G29" s="8">
        <f>IF($A29=G$1,0,IF(SUM(IMshareC!G$2:G$78)-IMshareC!G$7&gt;0,IMshareC!G29/(SUM(IMshareC!G$2:G$78)-IMshareC!G$7),0))</f>
        <v>8.4905106717403835E-3</v>
      </c>
      <c r="H29" s="8">
        <f>IF($A29=H$1,0,IF(SUM(IMshareC!H$2:H$78)-IMshareC!H$8&gt;0,IMshareC!H29/(SUM(IMshareC!H$2:H$78)-IMshareC!H$8),0))</f>
        <v>0</v>
      </c>
      <c r="I29" s="8">
        <f>IF($A29=I$1,0,IF(SUM(IMshareC!I$2:I$78)-IMshareC!I$9&gt;0,IMshareC!I29/(SUM(IMshareC!I$2:I$78)-IMshareC!I$9),0))</f>
        <v>2.0547305318343484E-7</v>
      </c>
      <c r="J29" s="8">
        <f>IF($A29=J$1,0,IF(SUM(IMshareC!J$2:J$78)-IMshareC!J$10&gt;0,IMshareC!J29/(SUM(IMshareC!J$2:J$78)-IMshareC!J$10),0))</f>
        <v>2.005171139625753E-5</v>
      </c>
      <c r="K29" s="8">
        <f>IF($A29=K$1,0,IF(SUM(IMshareC!K$2:K$78)-IMshareC!K$11&gt;0,IMshareC!K29/(SUM(IMshareC!K$2:K$78)-IMshareC!K$11),0))</f>
        <v>2.2458702592728406E-5</v>
      </c>
      <c r="L29" s="8">
        <f>IF($A29=L$1,0,IF(SUM(IMshareC!L$2:L$78)-IMshareC!L$12&gt;0,IMshareC!L29/(SUM(IMshareC!L$2:L$78)-IMshareC!L$12),0))</f>
        <v>9.3069463542745708E-6</v>
      </c>
      <c r="M29" s="8">
        <f>IF($A29=M$1,0,IF(SUM(IMshareC!M$2:M$78)-IMshareC!M$13&gt;0,IMshareC!M29/(SUM(IMshareC!M$2:M$78)-IMshareC!M$13),0))</f>
        <v>4.9359377157622594E-4</v>
      </c>
      <c r="N29" s="8">
        <f>IF($A29=N$1,0,IF(SUM(IMshareC!N$2:N$78)-IMshareC!N$14&gt;0,IMshareC!N29/(SUM(IMshareC!N$2:N$78)-IMshareC!N$14),0))</f>
        <v>4.5889700440455379E-7</v>
      </c>
      <c r="O29" s="8">
        <f>IF($A29=O$1,0,IF(SUM(IMshareC!O$2:O$78)-IMshareC!O$15&gt;0,IMshareC!O29/(SUM(IMshareC!O$2:O$78)-IMshareC!O$15),0))</f>
        <v>2.4350753765474477E-4</v>
      </c>
      <c r="P29" s="8">
        <f>IF($A29=P$1,0,IF(SUM(IMshareC!P$2:P$78)-IMshareC!P$16&gt;0,IMshareC!P29/(SUM(IMshareC!P$2:P$78)-IMshareC!P$16),0))</f>
        <v>0</v>
      </c>
      <c r="Q29" s="8">
        <f>IF($A29=Q$1,0,IF(SUM(IMshareC!Q$2:Q$78)-IMshareC!Q$17&gt;0,IMshareC!Q29/(SUM(IMshareC!Q$2:Q$78)-IMshareC!Q$17),0))</f>
        <v>9.0650735910388354E-5</v>
      </c>
      <c r="R29" s="8">
        <f>IF($A29=R$1,0,IF(SUM(IMshareC!R$2:R$78)-IMshareC!R$18&gt;0,IMshareC!R29/(SUM(IMshareC!R$2:R$78)-IMshareC!R$18),0))</f>
        <v>2.1823133225836827E-7</v>
      </c>
      <c r="S29" s="8">
        <f>IF($A29=S$1,0,IF(SUM(IMshareC!S$2:S$78)-IMshareC!S$19&gt;0,IMshareC!S29/(SUM(IMshareC!S$2:S$78)-IMshareC!S$19),0))</f>
        <v>0.17100438587359562</v>
      </c>
      <c r="T29" s="8">
        <f>IF($A29=T$1,0,IF(SUM(IMshareC!T$2:T$78)-IMshareC!T$20&gt;0,IMshareC!T29/(SUM(IMshareC!T$2:T$78)-IMshareC!T$20),0))</f>
        <v>3.912736726406239E-6</v>
      </c>
      <c r="U29" s="8">
        <f>IF($A29=U$1,0,IF(SUM(IMshareC!U$2:U$78)-IMshareC!U$21&gt;0,IMshareC!U29/(SUM(IMshareC!U$2:U$78)-IMshareC!U$21),0))</f>
        <v>2.282641413584234E-5</v>
      </c>
      <c r="V29" s="8">
        <f>IF($A29=V$1,0,IF(SUM(IMshareC!V$2:V$78)-IMshareC!V$22&gt;0,IMshareC!V29/(SUM(IMshareC!V$2:V$78)-IMshareC!V$22),0))</f>
        <v>1.1550386898463795E-4</v>
      </c>
      <c r="W29" s="8">
        <f>IF($A29=W$1,0,IF(SUM(IMshareC!W$2:W$78)-IMshareC!W$23&gt;0,IMshareC!W29/(SUM(IMshareC!W$2:W$78)-IMshareC!W$23),0))</f>
        <v>8.0468930293026589E-5</v>
      </c>
      <c r="X29" s="8">
        <f>IF($A29=X$1,0,IF(SUM(IMshareC!X$2:X$78)-IMshareC!X$24&gt;0,IMshareC!X29/(SUM(IMshareC!X$2:X$78)-IMshareC!X$24),0))</f>
        <v>1.6131490157347394E-5</v>
      </c>
      <c r="Y29" s="8">
        <f>IF($A29=Y$1,0,IF(SUM(IMshareC!Y$2:Y$78)-IMshareC!Y$25&gt;0,IMshareC!Y29/(SUM(IMshareC!Y$2:Y$78)-IMshareC!Y$25),0))</f>
        <v>4.4235257238669357E-5</v>
      </c>
      <c r="Z29" s="8">
        <f>IF($A29=Z$1,0,IF(SUM(IMshareC!Z$2:Z$78)-IMshareC!Z$26&gt;0,IMshareC!Z29/(SUM(IMshareC!Z$2:Z$78)-IMshareC!Z$26),0))</f>
        <v>6.19635640703532E-5</v>
      </c>
      <c r="AA29" s="8">
        <f>IF($A29=AA$1,0,IF(SUM(IMshareC!AA$2:AA$78)-IMshareC!AA$27&gt;0,IMshareC!AA29/(SUM(IMshareC!AA$2:AA$78)-IMshareC!AA$27),0))</f>
        <v>6.2518763597001548E-5</v>
      </c>
      <c r="AB29" s="8">
        <f>IF($A29=AB$1,0,IF(SUM(IMshareC!AB$2:AB$78)-IMshareC!AB$28&gt;0,IMshareC!AB29/(SUM(IMshareC!AB$2:AB$78)-IMshareC!AB$28),0))</f>
        <v>1.1497025386840718E-4</v>
      </c>
      <c r="AC29" s="8">
        <f>IF($A29=AC$1,0,IF(SUM(IMshareC!AC$2:AC$78)-IMshareC!AC$29&gt;0,IMshareC!AC29/(SUM(IMshareC!AC$2:AC$78)-IMshareC!AC$29),0))</f>
        <v>0</v>
      </c>
      <c r="AD29" s="8">
        <f>IF($A29=AD$1,0,IF(SUM(IMshareC!AD$2:AD$78)-IMshareC!AD$30&gt;0,IMshareC!AD29/(SUM(IMshareC!AD$2:AD$78)-IMshareC!AD$30),0))</f>
        <v>4.7312639774438029E-7</v>
      </c>
      <c r="AE29" s="8">
        <f>IF($A29=AE$1,0,IF(SUM(IMshareC!AE$2:AE$78)-IMshareC!AE$31&gt;0,IMshareC!AE29/(SUM(IMshareC!AE$2:AE$78)-IMshareC!AE$31),0))</f>
        <v>7.466732592906392E-4</v>
      </c>
      <c r="AF29" s="8">
        <f>IF($A29=AF$1,0,IF(SUM(IMshareC!AF$2:AF$78)-IMshareC!AF$32&gt;0,IMshareC!AF29/(SUM(IMshareC!AF$2:AF$78)-IMshareC!AF$32),0))</f>
        <v>2.0084656365162206E-6</v>
      </c>
      <c r="AG29" s="8">
        <f>IF($A29=AG$1,0,IF(SUM(IMshareC!AG$2:AG$78)-IMshareC!AG$33&gt;0,IMshareC!AG29/(SUM(IMshareC!AG$2:AG$78)-IMshareC!AG$33),0))</f>
        <v>2.2383217919752494E-7</v>
      </c>
      <c r="AH29" s="8">
        <f>IF($A29=AH$1,0,IF(SUM(IMshareC!AH$2:AH$78)-IMshareC!AH$34&gt;0,IMshareC!AH29/(SUM(IMshareC!AH$2:AH$78)-IMshareC!AH$34),0))</f>
        <v>7.2127760819741427E-6</v>
      </c>
      <c r="AI29" s="8">
        <f>IF($A29=AI$1,0,IF(SUM(IMshareC!AI$2:AI$78)-IMshareC!AI$35&gt;0,IMshareC!AI29/(SUM(IMshareC!AI$2:AI$78)-IMshareC!AI$35),0))</f>
        <v>6.9489574386754896E-7</v>
      </c>
      <c r="AJ29" s="8">
        <f>IF($A29=AJ$1,0,IF(SUM(IMshareC!AJ$2:AJ$78)-IMshareC!AJ$36&gt;0,IMshareC!AJ29/(SUM(IMshareC!AJ$2:AJ$78)-IMshareC!AJ$36),0))</f>
        <v>3.1160383026184981E-6</v>
      </c>
      <c r="AK29" s="8">
        <f>IF($A29=AK$1,0,IF(SUM(IMshareC!AK$2:AK$78)-IMshareC!AK$37&gt;0,IMshareC!AK29/(SUM(IMshareC!AK$2:AK$78)-IMshareC!AK$37),0))</f>
        <v>8.2755890684987451E-5</v>
      </c>
      <c r="AL29" s="8">
        <f>IF($A29=AL$1,0,IF(SUM(IMshareC!AL$2:AL$78)-IMshareC!AL$38&gt;0,IMshareC!AL29/(SUM(IMshareC!AL$2:AL$78)-IMshareC!AL$38),0))</f>
        <v>3.9857035244789829E-4</v>
      </c>
      <c r="AM29" s="8">
        <f>IF($A29=AM$1,0,IF(SUM(IMshareC!AM$2:AM$78)-IMshareC!AM$39&gt;0,IMshareC!AM29/(SUM(IMshareC!AM$2:AM$78)-IMshareC!AM$39),0))</f>
        <v>1.1703284455672073E-3</v>
      </c>
      <c r="AN29" s="8">
        <f>IF($A29=AN$1,0,IF(SUM(IMshareC!AN$2:AN$78)-IMshareC!AN$40&gt;0,IMshareC!AN29/(SUM(IMshareC!AN$2:AN$78)-IMshareC!AN$40),0))</f>
        <v>3.3603258852270233E-7</v>
      </c>
      <c r="AO29" s="8">
        <f>IF($A29=AO$1,0,IF(SUM(IMshareC!AO$2:AO$78)-IMshareC!AO$41&gt;0,IMshareC!AO29/(SUM(IMshareC!AO$2:AO$78)-IMshareC!AO$41),0))</f>
        <v>1.7003501556327476E-4</v>
      </c>
      <c r="AP29" s="8">
        <f>IF($A29=AP$1,0,IF(SUM(IMshareC!AP$2:AP$78)-IMshareC!AP$42&gt;0,IMshareC!AP29/(SUM(IMshareC!AP$2:AP$78)-IMshareC!AP$42),0))</f>
        <v>0</v>
      </c>
      <c r="AQ29" s="8">
        <f>IF($A29=AQ$1,0,IF(SUM(IMshareC!AQ$2:AQ$78)-IMshareC!AQ$43&gt;0,IMshareC!AQ29/(SUM(IMshareC!AQ$2:AQ$78)-IMshareC!AQ$43),0))</f>
        <v>3.839386176398688E-7</v>
      </c>
      <c r="AR29" s="8">
        <f>IF($A29=AR$1,0,IF(SUM(IMshareC!AR$2:AR$78)-IMshareC!AR$44&gt;0,IMshareC!AR29/(SUM(IMshareC!AR$2:AR$78)-IMshareC!AR$44),0))</f>
        <v>0</v>
      </c>
      <c r="AS29" s="8">
        <f>IF($A29=AS$1,0,IF(SUM(IMshareC!AS$2:AS$78)-IMshareC!AS$45&gt;0,IMshareC!AS29/(SUM(IMshareC!AS$2:AS$78)-IMshareC!AS$45),0))</f>
        <v>1.191239645274785E-5</v>
      </c>
      <c r="AT29" s="8">
        <f>IF($A29=AT$1,0,IF(SUM(IMshareC!AT$2:AT$78)-IMshareC!AT$46&gt;0,IMshareC!AT29/(SUM(IMshareC!AT$2:AT$78)-IMshareC!AT$46),0))</f>
        <v>1.5055832855420364E-3</v>
      </c>
      <c r="AU29" s="8">
        <f>IF($A29=AU$1,0,IF(SUM(IMshareC!AU$2:AU$78)-IMshareC!AU$47&gt;0,IMshareC!AU29/(SUM(IMshareC!AU$2:AU$78)-IMshareC!AU$47),0))</f>
        <v>1.998852835732064E-3</v>
      </c>
      <c r="AV29" s="8">
        <f>IF($A29=AV$1,0,IF(SUM(IMshareC!AV$2:AV$78)-IMshareC!AV$48&gt;0,IMshareC!AV29/(SUM(IMshareC!AV$2:AV$78)-IMshareC!AV$48),0))</f>
        <v>3.3548231488048007E-5</v>
      </c>
      <c r="AW29" s="8">
        <f>IF($A29=AW$1,0,IF(SUM(IMshareC!AW$2:AW$78)-IMshareC!AW$49&gt;0,IMshareC!AW29/(SUM(IMshareC!AW$2:AW$78)-IMshareC!AW$49),0))</f>
        <v>2.2848785251792193E-6</v>
      </c>
      <c r="AX29" s="8">
        <f>IF($A29=AX$1,0,IF(SUM(IMshareC!AX$2:AX$78)-IMshareC!AX$50&gt;0,IMshareC!AX29/(SUM(IMshareC!AX$2:AX$78)-IMshareC!AX$50),0))</f>
        <v>1.2866622437584679E-5</v>
      </c>
      <c r="AY29" s="8">
        <f>IF($A29=AY$1,0,IF(SUM(IMshareC!AY$2:AY$78)-IMshareC!AY$51&gt;0,IMshareC!AY29/(SUM(IMshareC!AY$2:AY$78)-IMshareC!AY$51),0))</f>
        <v>0</v>
      </c>
      <c r="AZ29" s="8">
        <f>IF($A29=AZ$1,0,IF(SUM(IMshareC!AZ$2:AZ$78)-IMshareC!AZ$52&gt;0,IMshareC!AZ29/(SUM(IMshareC!AZ$2:AZ$78)-IMshareC!AZ$52),0))</f>
        <v>3.7109953467395821E-6</v>
      </c>
      <c r="BA29" s="8">
        <f>IF($A29=BA$1,0,IF(SUM(IMshareC!BA$2:BA$78)-IMshareC!BA$53&gt;0,IMshareC!BA29/(SUM(IMshareC!BA$2:BA$78)-IMshareC!BA$53),0))</f>
        <v>6.3349560249333049E-4</v>
      </c>
      <c r="BB29" s="8">
        <f>IF($A29=BB$1,0,IF(SUM(IMshareC!BB$2:BB$78)-IMshareC!BB$54&gt;0,IMshareC!BB29/(SUM(IMshareC!BB$2:BB$78)-IMshareC!BB$54),0))</f>
        <v>7.8405928647618743E-5</v>
      </c>
      <c r="BC29" s="8">
        <f>IF($A29=BC$1,0,IF(SUM(IMshareC!BC$2:BC$78)-IMshareC!BC$55&gt;0,IMshareC!BC29/(SUM(IMshareC!BC$2:BC$78)-IMshareC!BC$55),0))</f>
        <v>1.8642769380987775E-5</v>
      </c>
      <c r="BD29" s="8">
        <f>IF($A29=BD$1,0,IF(SUM(IMshareC!BD$2:BD$78)-IMshareC!BD$56&gt;0,IMshareC!BD29/(SUM(IMshareC!BD$2:BD$78)-IMshareC!BD$56),0))</f>
        <v>1.0918557206017932E-5</v>
      </c>
      <c r="BE29" s="8">
        <f>IF($A29=BE$1,0,IF(SUM(IMshareC!BE$2:BE$78)-IMshareC!BE$57&gt;0,IMshareC!BE29/(SUM(IMshareC!BE$2:BE$78)-IMshareC!BE$57),0))</f>
        <v>5.5013480452508917E-5</v>
      </c>
      <c r="BF29" s="8">
        <f>IF($A29=BF$1,0,IF(SUM(IMshareC!BF$2:BF$78)-IMshareC!BF$58&gt;0,IMshareC!BF29/(SUM(IMshareC!BF$2:BF$78)-IMshareC!BF$58),0))</f>
        <v>1.4855087892613411E-4</v>
      </c>
      <c r="BG29" s="8">
        <f>IF($A29=BG$1,0,IF(SUM(IMshareC!BG$2:BG$78)-IMshareC!BG$59&gt;0,IMshareC!BG29/(SUM(IMshareC!BG$2:BG$78)-IMshareC!BG$59),0))</f>
        <v>2.0951489798957062E-7</v>
      </c>
      <c r="BH29" s="8">
        <f>IF($A29=BH$1,0,IF(SUM(IMshareC!BH$2:BH$78)-IMshareC!BH$60&gt;0,IMshareC!BH29/(SUM(IMshareC!BH$2:BH$78)-IMshareC!BH$60),0))</f>
        <v>1.180676972796236E-4</v>
      </c>
      <c r="BI29" s="8">
        <f>IF($A29=BI$1,0,IF(SUM(IMshareC!BI$2:BI$78)-IMshareC!BI$61&gt;0,IMshareC!BI29/(SUM(IMshareC!BI$2:BI$78)-IMshareC!BI$61),0))</f>
        <v>3.7814906716971228E-6</v>
      </c>
      <c r="BJ29" s="8">
        <f>IF($A29=BJ$1,0,IF(SUM(IMshareC!BJ$2:BJ$78)-IMshareC!BJ$62&gt;0,IMshareC!BJ29/(SUM(IMshareC!BJ$2:BJ$78)-IMshareC!BJ$62),0))</f>
        <v>3.4876989613388408E-4</v>
      </c>
      <c r="BK29" s="8">
        <f>IF($A29=BK$1,0,IF(SUM(IMshareC!BK$2:BK$78)-IMshareC!BK$63&gt;0,IMshareC!BK29/(SUM(IMshareC!BK$2:BK$78)-IMshareC!BK$63),0))</f>
        <v>2.1438503684986545E-6</v>
      </c>
      <c r="BL29" s="8">
        <f>IF($A29=BL$1,0,IF(SUM(IMshareC!BL$2:BL$78)-IMshareC!BL$64&gt;0,IMshareC!BL29/(SUM(IMshareC!BL$2:BL$78)-IMshareC!BL$64),0))</f>
        <v>4.1787981764102272E-4</v>
      </c>
      <c r="BM29" s="8">
        <f>IF($A29=BM$1,0,IF(SUM(IMshareC!BM$2:BM$78)-IMshareC!BM$65&gt;0,IMshareC!BM29/(SUM(IMshareC!BM$2:BM$78)-IMshareC!BM$65),0))</f>
        <v>3.8265219222938419E-4</v>
      </c>
      <c r="BN29" s="8">
        <f>IF($A29=BN$1,0,IF(SUM(IMshareC!BN$2:BN$78)-IMshareC!BN$66&gt;0,IMshareC!BN29/(SUM(IMshareC!BN$2:BN$78)-IMshareC!BN$66),0))</f>
        <v>3.2036269577699478E-7</v>
      </c>
      <c r="BO29" s="8">
        <f>IF($A29=BO$1,0,IF(SUM(IMshareC!BO$2:BO$78)-IMshareC!BO$67&gt;0,IMshareC!BO29/(SUM(IMshareC!BO$2:BO$78)-IMshareC!BO$67),0))</f>
        <v>1.9648470629610033E-5</v>
      </c>
      <c r="BP29" s="8">
        <f>IF($A29=BP$1,0,IF(SUM(IMshareC!BP$2:BP$78)-IMshareC!BP$68&gt;0,IMshareC!BP29/(SUM(IMshareC!BP$2:BP$78)-IMshareC!BP$68),0))</f>
        <v>3.9601775299882456E-4</v>
      </c>
      <c r="BQ29" s="8">
        <f>IF($A29=BQ$1,0,IF(SUM(IMshareC!BQ$2:BQ$78)-IMshareC!BQ$69&gt;0,IMshareC!BQ29/(SUM(IMshareC!BQ$2:BQ$78)-IMshareC!BQ$69),0))</f>
        <v>1.2195003313816054E-7</v>
      </c>
      <c r="BR29" s="8">
        <f>IF($A29=BR$1,0,IF(SUM(IMshareC!BR$2:BR$78)-IMshareC!BR$70&gt;0,IMshareC!BR29/(SUM(IMshareC!BR$2:BR$78)-IMshareC!BR$70),0))</f>
        <v>4.655464192267133E-4</v>
      </c>
      <c r="BS29" s="8">
        <f>IF($A29=BS$1,0,IF(SUM(IMshareC!BS$2:BS$78)-IMshareC!BS$71&gt;0,IMshareC!BS29/(SUM(IMshareC!BS$2:BS$78)-IMshareC!BS$71),0))</f>
        <v>1.724142970529205E-5</v>
      </c>
      <c r="BT29" s="8">
        <f>IF($A29=BT$1,0,IF(SUM(IMshareC!BT$2:BT$78)-IMshareC!BT$72&gt;0,IMshareC!BT29/(SUM(IMshareC!BT$2:BT$78)-IMshareC!BT$72),0))</f>
        <v>2.5068403579892837E-5</v>
      </c>
      <c r="BU29" s="8">
        <f>IF($A29=BU$1,0,IF(SUM(IMshareC!BU$2:BU$78)-IMshareC!BU$73&gt;0,IMshareC!BU29/(SUM(IMshareC!BU$2:BU$78)-IMshareC!BU$73),0))</f>
        <v>1.2380720474535219E-7</v>
      </c>
      <c r="BV29" s="8">
        <f>IF($A29=BV$1,0,IF(SUM(IMshareC!BV$2:BV$78)-IMshareC!BV$74&gt;0,IMshareC!BV29/(SUM(IMshareC!BV$2:BV$78)-IMshareC!BV$74),0))</f>
        <v>2.0737535806102941E-6</v>
      </c>
      <c r="BW29" s="8">
        <f>IF($A29=BW$1,0,IF(SUM(IMshareC!BW$2:BW$78)-IMshareC!BW$75&gt;0,IMshareC!BW29/(SUM(IMshareC!BW$2:BW$78)-IMshareC!BW$75),0))</f>
        <v>1.3229249376347298E-4</v>
      </c>
      <c r="BX29" s="8">
        <f>IF($A29=BX$1,0,IF(SUM(IMshareC!BX$2:BX$78)-IMshareC!BX$76&gt;0,IMshareC!BX29/(SUM(IMshareC!BX$2:BX$78)-IMshareC!BX$76),0))</f>
        <v>3.1167309423137446E-8</v>
      </c>
      <c r="BY29" s="8">
        <f>IF($A29=BY$1,0,IF(SUM(IMshareC!BY$2:BY$78)-IMshareC!BY$77&gt;0,IMshareC!BY29/(SUM(IMshareC!BY$2:BY$78)-IMshareC!BY$77),0))</f>
        <v>2.127781229936116E-5</v>
      </c>
      <c r="BZ29" s="8">
        <f>IF($A29=BZ$1,0,IF(SUM(IMshareC!BZ$2:BZ$78)-IMshareC!BZ$78&gt;0,IMshareC!BZ29/(SUM(IMshareC!BZ$2:BZ$78)-IMshareC!BZ$78),0))</f>
        <v>2.5100242647043921E-4</v>
      </c>
    </row>
    <row r="30" spans="1:78">
      <c r="A30" s="4" t="s">
        <v>127</v>
      </c>
      <c r="B30" s="8">
        <f>IF($A30=B$1,0,IF(SUM(IMshareC!B$2:B$78)-IMshareC!B$2&gt;0,IMshareC!B30/(SUM(IMshareC!B$2:B$78)-IMshareC!B$2),0))</f>
        <v>8.9069622911710881E-4</v>
      </c>
      <c r="C30" s="8">
        <f>IF($A30=C$1,0,IF(SUM(IMshareC!C$2:C$78)-IMshareC!C$3&gt;0,IMshareC!C30/(SUM(IMshareC!C$2:C$78)-IMshareC!C$3),0))</f>
        <v>8.2896258055356505E-3</v>
      </c>
      <c r="D30" s="8">
        <f>IF($A30=D$1,0,IF(SUM(IMshareC!D$2:D$78)-IMshareC!D$4&gt;0,IMshareC!D30/(SUM(IMshareC!D$2:D$78)-IMshareC!D$4),0))</f>
        <v>4.4457365796290753E-3</v>
      </c>
      <c r="E30" s="8">
        <f>IF($A30=E$1,0,IF(SUM(IMshareC!E$2:E$78)-IMshareC!E$5&gt;0,IMshareC!E30/(SUM(IMshareC!E$2:E$78)-IMshareC!E$5),0))</f>
        <v>7.9040835575688005E-4</v>
      </c>
      <c r="F30" s="8">
        <f>IF($A30=F$1,0,IF(SUM(IMshareC!F$2:F$78)-IMshareC!F$6&gt;0,IMshareC!F30/(SUM(IMshareC!F$2:F$78)-IMshareC!F$6),0))</f>
        <v>0.26712320457712718</v>
      </c>
      <c r="G30" s="8">
        <f>IF($A30=G$1,0,IF(SUM(IMshareC!G$2:G$78)-IMshareC!G$7&gt;0,IMshareC!G30/(SUM(IMshareC!G$2:G$78)-IMshareC!G$7),0))</f>
        <v>4.0923615862286926E-2</v>
      </c>
      <c r="H30" s="8">
        <f>IF($A30=H$1,0,IF(SUM(IMshareC!H$2:H$78)-IMshareC!H$8&gt;0,IMshareC!H30/(SUM(IMshareC!H$2:H$78)-IMshareC!H$8),0))</f>
        <v>4.0220849334579617E-2</v>
      </c>
      <c r="I30" s="8">
        <f>IF($A30=I$1,0,IF(SUM(IMshareC!I$2:I$78)-IMshareC!I$9&gt;0,IMshareC!I30/(SUM(IMshareC!I$2:I$78)-IMshareC!I$9),0))</f>
        <v>9.5674376822915651E-3</v>
      </c>
      <c r="J30" s="8">
        <f>IF($A30=J$1,0,IF(SUM(IMshareC!J$2:J$78)-IMshareC!J$10&gt;0,IMshareC!J30/(SUM(IMshareC!J$2:J$78)-IMshareC!J$10),0))</f>
        <v>2.6554234308063661E-4</v>
      </c>
      <c r="K30" s="8">
        <f>IF($A30=K$1,0,IF(SUM(IMshareC!K$2:K$78)-IMshareC!K$11&gt;0,IMshareC!K30/(SUM(IMshareC!K$2:K$78)-IMshareC!K$11),0))</f>
        <v>1.4063498389908999E-3</v>
      </c>
      <c r="L30" s="8">
        <f>IF($A30=L$1,0,IF(SUM(IMshareC!L$2:L$78)-IMshareC!L$12&gt;0,IMshareC!L30/(SUM(IMshareC!L$2:L$78)-IMshareC!L$12),0))</f>
        <v>3.3668574793190284E-2</v>
      </c>
      <c r="M30" s="8">
        <f>IF($A30=M$1,0,IF(SUM(IMshareC!M$2:M$78)-IMshareC!M$13&gt;0,IMshareC!M30/(SUM(IMshareC!M$2:M$78)-IMshareC!M$13),0))</f>
        <v>1.0995420602841451E-2</v>
      </c>
      <c r="N30" s="8">
        <f>IF($A30=N$1,0,IF(SUM(IMshareC!N$2:N$78)-IMshareC!N$14&gt;0,IMshareC!N30/(SUM(IMshareC!N$2:N$78)-IMshareC!N$14),0))</f>
        <v>2.34770868866972E-4</v>
      </c>
      <c r="O30" s="8">
        <f>IF($A30=O$1,0,IF(SUM(IMshareC!O$2:O$78)-IMshareC!O$15&gt;0,IMshareC!O30/(SUM(IMshareC!O$2:O$78)-IMshareC!O$15),0))</f>
        <v>4.1893865284498829E-4</v>
      </c>
      <c r="P30" s="8">
        <f>IF($A30=P$1,0,IF(SUM(IMshareC!P$2:P$78)-IMshareC!P$16&gt;0,IMshareC!P30/(SUM(IMshareC!P$2:P$78)-IMshareC!P$16),0))</f>
        <v>4.2719004195029851E-2</v>
      </c>
      <c r="Q30" s="8">
        <f>IF($A30=Q$1,0,IF(SUM(IMshareC!Q$2:Q$78)-IMshareC!Q$17&gt;0,IMshareC!Q30/(SUM(IMshareC!Q$2:Q$78)-IMshareC!Q$17),0))</f>
        <v>1.0380917398842488E-3</v>
      </c>
      <c r="R30" s="8">
        <f>IF($A30=R$1,0,IF(SUM(IMshareC!R$2:R$78)-IMshareC!R$18&gt;0,IMshareC!R30/(SUM(IMshareC!R$2:R$78)-IMshareC!R$18),0))</f>
        <v>1.1411341351450544E-2</v>
      </c>
      <c r="S30" s="8">
        <f>IF($A30=S$1,0,IF(SUM(IMshareC!S$2:S$78)-IMshareC!S$19&gt;0,IMshareC!S30/(SUM(IMshareC!S$2:S$78)-IMshareC!S$19),0))</f>
        <v>5.0451372288423897E-2</v>
      </c>
      <c r="T30" s="8">
        <f>IF($A30=T$1,0,IF(SUM(IMshareC!T$2:T$78)-IMshareC!T$20&gt;0,IMshareC!T30/(SUM(IMshareC!T$2:T$78)-IMshareC!T$20),0))</f>
        <v>2.3047134685606004E-3</v>
      </c>
      <c r="U30" s="8">
        <f>IF($A30=U$1,0,IF(SUM(IMshareC!U$2:U$78)-IMshareC!U$21&gt;0,IMshareC!U30/(SUM(IMshareC!U$2:U$78)-IMshareC!U$21),0))</f>
        <v>6.7693071166124389E-3</v>
      </c>
      <c r="V30" s="8">
        <f>IF($A30=V$1,0,IF(SUM(IMshareC!V$2:V$78)-IMshareC!V$22&gt;0,IMshareC!V30/(SUM(IMshareC!V$2:V$78)-IMshareC!V$22),0))</f>
        <v>9.4961993941240341E-3</v>
      </c>
      <c r="W30" s="8">
        <f>IF($A30=W$1,0,IF(SUM(IMshareC!W$2:W$78)-IMshareC!W$23&gt;0,IMshareC!W30/(SUM(IMshareC!W$2:W$78)-IMshareC!W$23),0))</f>
        <v>6.4272158693805615E-3</v>
      </c>
      <c r="X30" s="8">
        <f>IF($A30=X$1,0,IF(SUM(IMshareC!X$2:X$78)-IMshareC!X$24&gt;0,IMshareC!X30/(SUM(IMshareC!X$2:X$78)-IMshareC!X$24),0))</f>
        <v>4.2869076998428377E-3</v>
      </c>
      <c r="Y30" s="8">
        <f>IF($A30=Y$1,0,IF(SUM(IMshareC!Y$2:Y$78)-IMshareC!Y$25&gt;0,IMshareC!Y30/(SUM(IMshareC!Y$2:Y$78)-IMshareC!Y$25),0))</f>
        <v>8.9896571615564261E-3</v>
      </c>
      <c r="Z30" s="8">
        <f>IF($A30=Z$1,0,IF(SUM(IMshareC!Z$2:Z$78)-IMshareC!Z$26&gt;0,IMshareC!Z30/(SUM(IMshareC!Z$2:Z$78)-IMshareC!Z$26),0))</f>
        <v>1.3567729243042699E-2</v>
      </c>
      <c r="AA30" s="8">
        <f>IF($A30=AA$1,0,IF(SUM(IMshareC!AA$2:AA$78)-IMshareC!AA$27&gt;0,IMshareC!AA30/(SUM(IMshareC!AA$2:AA$78)-IMshareC!AA$27),0))</f>
        <v>7.3649119731355435E-3</v>
      </c>
      <c r="AB30" s="8">
        <f>IF($A30=AB$1,0,IF(SUM(IMshareC!AB$2:AB$78)-IMshareC!AB$28&gt;0,IMshareC!AB30/(SUM(IMshareC!AB$2:AB$78)-IMshareC!AB$28),0))</f>
        <v>4.2286252291653774E-2</v>
      </c>
      <c r="AC30" s="8">
        <f>IF($A30=AC$1,0,IF(SUM(IMshareC!AC$2:AC$78)-IMshareC!AC$29&gt;0,IMshareC!AC30/(SUM(IMshareC!AC$2:AC$78)-IMshareC!AC$29),0))</f>
        <v>1.4267170171149831E-3</v>
      </c>
      <c r="AD30" s="8">
        <f>IF($A30=AD$1,0,IF(SUM(IMshareC!AD$2:AD$78)-IMshareC!AD$30&gt;0,IMshareC!AD30/(SUM(IMshareC!AD$2:AD$78)-IMshareC!AD$30),0))</f>
        <v>0</v>
      </c>
      <c r="AE30" s="8">
        <f>IF($A30=AE$1,0,IF(SUM(IMshareC!AE$2:AE$78)-IMshareC!AE$31&gt;0,IMshareC!AE30/(SUM(IMshareC!AE$2:AE$78)-IMshareC!AE$31),0))</f>
        <v>2.4715128274745207E-3</v>
      </c>
      <c r="AF30" s="8">
        <f>IF($A30=AF$1,0,IF(SUM(IMshareC!AF$2:AF$78)-IMshareC!AF$32&gt;0,IMshareC!AF30/(SUM(IMshareC!AF$2:AF$78)-IMshareC!AF$32),0))</f>
        <v>7.6254414107478519E-2</v>
      </c>
      <c r="AG30" s="8">
        <f>IF($A30=AG$1,0,IF(SUM(IMshareC!AG$2:AG$78)-IMshareC!AG$33&gt;0,IMshareC!AG30/(SUM(IMshareC!AG$2:AG$78)-IMshareC!AG$33),0))</f>
        <v>8.9380308495530785E-3</v>
      </c>
      <c r="AH30" s="8">
        <f>IF($A30=AH$1,0,IF(SUM(IMshareC!AH$2:AH$78)-IMshareC!AH$34&gt;0,IMshareC!AH30/(SUM(IMshareC!AH$2:AH$78)-IMshareC!AH$34),0))</f>
        <v>0.23098601558810178</v>
      </c>
      <c r="AI30" s="8">
        <f>IF($A30=AI$1,0,IF(SUM(IMshareC!AI$2:AI$78)-IMshareC!AI$35&gt;0,IMshareC!AI30/(SUM(IMshareC!AI$2:AI$78)-IMshareC!AI$35),0))</f>
        <v>4.4758745097828515E-4</v>
      </c>
      <c r="AJ30" s="8">
        <f>IF($A30=AJ$1,0,IF(SUM(IMshareC!AJ$2:AJ$78)-IMshareC!AJ$36&gt;0,IMshareC!AJ30/(SUM(IMshareC!AJ$2:AJ$78)-IMshareC!AJ$36),0))</f>
        <v>2.5764180447818957E-3</v>
      </c>
      <c r="AK30" s="8">
        <f>IF($A30=AK$1,0,IF(SUM(IMshareC!AK$2:AK$78)-IMshareC!AK$37&gt;0,IMshareC!AK30/(SUM(IMshareC!AK$2:AK$78)-IMshareC!AK$37),0))</f>
        <v>9.1880994304803523E-2</v>
      </c>
      <c r="AL30" s="8">
        <f>IF($A30=AL$1,0,IF(SUM(IMshareC!AL$2:AL$78)-IMshareC!AL$38&gt;0,IMshareC!AL30/(SUM(IMshareC!AL$2:AL$78)-IMshareC!AL$38),0))</f>
        <v>6.5272485813158291E-3</v>
      </c>
      <c r="AM30" s="8">
        <f>IF($A30=AM$1,0,IF(SUM(IMshareC!AM$2:AM$78)-IMshareC!AM$39&gt;0,IMshareC!AM30/(SUM(IMshareC!AM$2:AM$78)-IMshareC!AM$39),0))</f>
        <v>2.9646452722954714E-2</v>
      </c>
      <c r="AN30" s="8">
        <f>IF($A30=AN$1,0,IF(SUM(IMshareC!AN$2:AN$78)-IMshareC!AN$40&gt;0,IMshareC!AN30/(SUM(IMshareC!AN$2:AN$78)-IMshareC!AN$40),0))</f>
        <v>2.5656636747963565E-3</v>
      </c>
      <c r="AO30" s="8">
        <f>IF($A30=AO$1,0,IF(SUM(IMshareC!AO$2:AO$78)-IMshareC!AO$41&gt;0,IMshareC!AO30/(SUM(IMshareC!AO$2:AO$78)-IMshareC!AO$41),0))</f>
        <v>8.1423560420499391E-2</v>
      </c>
      <c r="AP30" s="8">
        <f>IF($A30=AP$1,0,IF(SUM(IMshareC!AP$2:AP$78)-IMshareC!AP$42&gt;0,IMshareC!AP30/(SUM(IMshareC!AP$2:AP$78)-IMshareC!AP$42),0))</f>
        <v>2.1243553314255655E-2</v>
      </c>
      <c r="AQ30" s="8">
        <f>IF($A30=AQ$1,0,IF(SUM(IMshareC!AQ$2:AQ$78)-IMshareC!AQ$43&gt;0,IMshareC!AQ30/(SUM(IMshareC!AQ$2:AQ$78)-IMshareC!AQ$43),0))</f>
        <v>1.5974290060489477E-2</v>
      </c>
      <c r="AR30" s="8">
        <f>IF($A30=AR$1,0,IF(SUM(IMshareC!AR$2:AR$78)-IMshareC!AR$44&gt;0,IMshareC!AR30/(SUM(IMshareC!AR$2:AR$78)-IMshareC!AR$44),0))</f>
        <v>2.0374224280095064E-3</v>
      </c>
      <c r="AS30" s="8">
        <f>IF($A30=AS$1,0,IF(SUM(IMshareC!AS$2:AS$78)-IMshareC!AS$45&gt;0,IMshareC!AS30/(SUM(IMshareC!AS$2:AS$78)-IMshareC!AS$45),0))</f>
        <v>3.0497567133314918E-3</v>
      </c>
      <c r="AT30" s="8">
        <f>IF($A30=AT$1,0,IF(SUM(IMshareC!AT$2:AT$78)-IMshareC!AT$46&gt;0,IMshareC!AT30/(SUM(IMshareC!AT$2:AT$78)-IMshareC!AT$46),0))</f>
        <v>4.2305219615591709E-3</v>
      </c>
      <c r="AU30" s="8">
        <f>IF($A30=AU$1,0,IF(SUM(IMshareC!AU$2:AU$78)-IMshareC!AU$47&gt;0,IMshareC!AU30/(SUM(IMshareC!AU$2:AU$78)-IMshareC!AU$47),0))</f>
        <v>2.692556212050979E-2</v>
      </c>
      <c r="AV30" s="8">
        <f>IF($A30=AV$1,0,IF(SUM(IMshareC!AV$2:AV$78)-IMshareC!AV$48&gt;0,IMshareC!AV30/(SUM(IMshareC!AV$2:AV$78)-IMshareC!AV$48),0))</f>
        <v>1.3189252012147333E-4</v>
      </c>
      <c r="AW30" s="8">
        <f>IF($A30=AW$1,0,IF(SUM(IMshareC!AW$2:AW$78)-IMshareC!AW$49&gt;0,IMshareC!AW30/(SUM(IMshareC!AW$2:AW$78)-IMshareC!AW$49),0))</f>
        <v>2.4382068771231944E-3</v>
      </c>
      <c r="AX30" s="8">
        <f>IF($A30=AX$1,0,IF(SUM(IMshareC!AX$2:AX$78)-IMshareC!AX$50&gt;0,IMshareC!AX30/(SUM(IMshareC!AX$2:AX$78)-IMshareC!AX$50),0))</f>
        <v>3.727140078828353E-3</v>
      </c>
      <c r="AY30" s="8">
        <f>IF($A30=AY$1,0,IF(SUM(IMshareC!AY$2:AY$78)-IMshareC!AY$51&gt;0,IMshareC!AY30/(SUM(IMshareC!AY$2:AY$78)-IMshareC!AY$51),0))</f>
        <v>5.2219747419126391E-4</v>
      </c>
      <c r="AZ30" s="8">
        <f>IF($A30=AZ$1,0,IF(SUM(IMshareC!AZ$2:AZ$78)-IMshareC!AZ$52&gt;0,IMshareC!AZ30/(SUM(IMshareC!AZ$2:AZ$78)-IMshareC!AZ$52),0))</f>
        <v>1.8724394024780211E-2</v>
      </c>
      <c r="BA30" s="8">
        <f>IF($A30=BA$1,0,IF(SUM(IMshareC!BA$2:BA$78)-IMshareC!BA$53&gt;0,IMshareC!BA30/(SUM(IMshareC!BA$2:BA$78)-IMshareC!BA$53),0))</f>
        <v>8.3191278092398357E-3</v>
      </c>
      <c r="BB30" s="8">
        <f>IF($A30=BB$1,0,IF(SUM(IMshareC!BB$2:BB$78)-IMshareC!BB$54&gt;0,IMshareC!BB30/(SUM(IMshareC!BB$2:BB$78)-IMshareC!BB$54),0))</f>
        <v>0.11362371202019873</v>
      </c>
      <c r="BC30" s="8">
        <f>IF($A30=BC$1,0,IF(SUM(IMshareC!BC$2:BC$78)-IMshareC!BC$55&gt;0,IMshareC!BC30/(SUM(IMshareC!BC$2:BC$78)-IMshareC!BC$55),0))</f>
        <v>5.8196641315463316E-3</v>
      </c>
      <c r="BD30" s="8">
        <f>IF($A30=BD$1,0,IF(SUM(IMshareC!BD$2:BD$78)-IMshareC!BD$56&gt;0,IMshareC!BD30/(SUM(IMshareC!BD$2:BD$78)-IMshareC!BD$56),0))</f>
        <v>9.7358232666142873E-3</v>
      </c>
      <c r="BE30" s="8">
        <f>IF($A30=BE$1,0,IF(SUM(IMshareC!BE$2:BE$78)-IMshareC!BE$57&gt;0,IMshareC!BE30/(SUM(IMshareC!BE$2:BE$78)-IMshareC!BE$57),0))</f>
        <v>7.7107929534196414E-4</v>
      </c>
      <c r="BF30" s="8">
        <f>IF($A30=BF$1,0,IF(SUM(IMshareC!BF$2:BF$78)-IMshareC!BF$58&gt;0,IMshareC!BF30/(SUM(IMshareC!BF$2:BF$78)-IMshareC!BF$58),0))</f>
        <v>3.4458578087642489E-4</v>
      </c>
      <c r="BG30" s="8">
        <f>IF($A30=BG$1,0,IF(SUM(IMshareC!BG$2:BG$78)-IMshareC!BG$59&gt;0,IMshareC!BG30/(SUM(IMshareC!BG$2:BG$78)-IMshareC!BG$59),0))</f>
        <v>3.9781462645330085E-2</v>
      </c>
      <c r="BH30" s="8">
        <f>IF($A30=BH$1,0,IF(SUM(IMshareC!BH$2:BH$78)-IMshareC!BH$60&gt;0,IMshareC!BH30/(SUM(IMshareC!BH$2:BH$78)-IMshareC!BH$60),0))</f>
        <v>3.0860128099302699E-3</v>
      </c>
      <c r="BI30" s="8">
        <f>IF($A30=BI$1,0,IF(SUM(IMshareC!BI$2:BI$78)-IMshareC!BI$61&gt;0,IMshareC!BI30/(SUM(IMshareC!BI$2:BI$78)-IMshareC!BI$61),0))</f>
        <v>1.6265755430634663E-2</v>
      </c>
      <c r="BJ30" s="8">
        <f>IF($A30=BJ$1,0,IF(SUM(IMshareC!BJ$2:BJ$78)-IMshareC!BJ$62&gt;0,IMshareC!BJ30/(SUM(IMshareC!BJ$2:BJ$78)-IMshareC!BJ$62),0))</f>
        <v>4.3956966665611379E-2</v>
      </c>
      <c r="BK30" s="8">
        <f>IF($A30=BK$1,0,IF(SUM(IMshareC!BK$2:BK$78)-IMshareC!BK$63&gt;0,IMshareC!BK30/(SUM(IMshareC!BK$2:BK$78)-IMshareC!BK$63),0))</f>
        <v>0.21518748930364595</v>
      </c>
      <c r="BL30" s="8">
        <f>IF($A30=BL$1,0,IF(SUM(IMshareC!BL$2:BL$78)-IMshareC!BL$64&gt;0,IMshareC!BL30/(SUM(IMshareC!BL$2:BL$78)-IMshareC!BL$64),0))</f>
        <v>8.0080716287818741E-3</v>
      </c>
      <c r="BM30" s="8">
        <f>IF($A30=BM$1,0,IF(SUM(IMshareC!BM$2:BM$78)-IMshareC!BM$65&gt;0,IMshareC!BM30/(SUM(IMshareC!BM$2:BM$78)-IMshareC!BM$65),0))</f>
        <v>6.2208949838091611E-4</v>
      </c>
      <c r="BN30" s="8">
        <f>IF($A30=BN$1,0,IF(SUM(IMshareC!BN$2:BN$78)-IMshareC!BN$66&gt;0,IMshareC!BN30/(SUM(IMshareC!BN$2:BN$78)-IMshareC!BN$66),0))</f>
        <v>3.0357672298687412E-3</v>
      </c>
      <c r="BO30" s="8">
        <f>IF($A30=BO$1,0,IF(SUM(IMshareC!BO$2:BO$78)-IMshareC!BO$67&gt;0,IMshareC!BO30/(SUM(IMshareC!BO$2:BO$78)-IMshareC!BO$67),0))</f>
        <v>2.6662188998572444E-3</v>
      </c>
      <c r="BP30" s="8">
        <f>IF($A30=BP$1,0,IF(SUM(IMshareC!BP$2:BP$78)-IMshareC!BP$68&gt;0,IMshareC!BP30/(SUM(IMshareC!BP$2:BP$78)-IMshareC!BP$68),0))</f>
        <v>7.6183117543238213E-3</v>
      </c>
      <c r="BQ30" s="8">
        <f>IF($A30=BQ$1,0,IF(SUM(IMshareC!BQ$2:BQ$78)-IMshareC!BQ$69&gt;0,IMshareC!BQ30/(SUM(IMshareC!BQ$2:BQ$78)-IMshareC!BQ$69),0))</f>
        <v>1.4225943338300255E-2</v>
      </c>
      <c r="BR30" s="8">
        <f>IF($A30=BR$1,0,IF(SUM(IMshareC!BR$2:BR$78)-IMshareC!BR$70&gt;0,IMshareC!BR30/(SUM(IMshareC!BR$2:BR$78)-IMshareC!BR$70),0))</f>
        <v>3.6670154771562872E-3</v>
      </c>
      <c r="BS30" s="8">
        <f>IF($A30=BS$1,0,IF(SUM(IMshareC!BS$2:BS$78)-IMshareC!BS$71&gt;0,IMshareC!BS30/(SUM(IMshareC!BS$2:BS$78)-IMshareC!BS$71),0))</f>
        <v>2.4004475594197869E-2</v>
      </c>
      <c r="BT30" s="8">
        <f>IF($A30=BT$1,0,IF(SUM(IMshareC!BT$2:BT$78)-IMshareC!BT$72&gt;0,IMshareC!BT30/(SUM(IMshareC!BT$2:BT$78)-IMshareC!BT$72),0))</f>
        <v>1.1484327605099335E-3</v>
      </c>
      <c r="BU30" s="8">
        <f>IF($A30=BU$1,0,IF(SUM(IMshareC!BU$2:BU$78)-IMshareC!BU$73&gt;0,IMshareC!BU30/(SUM(IMshareC!BU$2:BU$78)-IMshareC!BU$73),0))</f>
        <v>3.2569359981001199E-4</v>
      </c>
      <c r="BV30" s="8">
        <f>IF($A30=BV$1,0,IF(SUM(IMshareC!BV$2:BV$78)-IMshareC!BV$74&gt;0,IMshareC!BV30/(SUM(IMshareC!BV$2:BV$78)-IMshareC!BV$74),0))</f>
        <v>1.7254211420530191E-3</v>
      </c>
      <c r="BW30" s="8">
        <f>IF($A30=BW$1,0,IF(SUM(IMshareC!BW$2:BW$78)-IMshareC!BW$75&gt;0,IMshareC!BW30/(SUM(IMshareC!BW$2:BW$78)-IMshareC!BW$75),0))</f>
        <v>1.0608275880026798E-3</v>
      </c>
      <c r="BX30" s="8">
        <f>IF($A30=BX$1,0,IF(SUM(IMshareC!BX$2:BX$78)-IMshareC!BX$76&gt;0,IMshareC!BX30/(SUM(IMshareC!BX$2:BX$78)-IMshareC!BX$76),0))</f>
        <v>7.3352166827311133E-3</v>
      </c>
      <c r="BY30" s="8">
        <f>IF($A30=BY$1,0,IF(SUM(IMshareC!BY$2:BY$78)-IMshareC!BY$77&gt;0,IMshareC!BY30/(SUM(IMshareC!BY$2:BY$78)-IMshareC!BY$77),0))</f>
        <v>1.7166378473536029E-2</v>
      </c>
      <c r="BZ30" s="8">
        <f>IF($A30=BZ$1,0,IF(SUM(IMshareC!BZ$2:BZ$78)-IMshareC!BZ$78&gt;0,IMshareC!BZ30/(SUM(IMshareC!BZ$2:BZ$78)-IMshareC!BZ$78),0))</f>
        <v>5.2387652136046811E-3</v>
      </c>
    </row>
    <row r="31" spans="1:78">
      <c r="A31" s="4" t="s">
        <v>129</v>
      </c>
      <c r="B31" s="8">
        <f>IF($A31=B$1,0,IF(SUM(IMshareC!B$2:B$78)-IMshareC!B$2&gt;0,IMshareC!B31/(SUM(IMshareC!B$2:B$78)-IMshareC!B$2),0))</f>
        <v>2.974502640467523E-5</v>
      </c>
      <c r="C31" s="8">
        <f>IF($A31=C$1,0,IF(SUM(IMshareC!C$2:C$78)-IMshareC!C$3&gt;0,IMshareC!C31/(SUM(IMshareC!C$2:C$78)-IMshareC!C$3),0))</f>
        <v>1.8751460130802205E-4</v>
      </c>
      <c r="D31" s="8">
        <f>IF($A31=D$1,0,IF(SUM(IMshareC!D$2:D$78)-IMshareC!D$4&gt;0,IMshareC!D31/(SUM(IMshareC!D$2:D$78)-IMshareC!D$4),0))</f>
        <v>1.9364312393421721E-3</v>
      </c>
      <c r="E31" s="8">
        <f>IF($A31=E$1,0,IF(SUM(IMshareC!E$2:E$78)-IMshareC!E$5&gt;0,IMshareC!E31/(SUM(IMshareC!E$2:E$78)-IMshareC!E$5),0))</f>
        <v>4.3371425328786617E-5</v>
      </c>
      <c r="F31" s="8">
        <f>IF($A31=F$1,0,IF(SUM(IMshareC!F$2:F$78)-IMshareC!F$6&gt;0,IMshareC!F31/(SUM(IMshareC!F$2:F$78)-IMshareC!F$6),0))</f>
        <v>0</v>
      </c>
      <c r="G31" s="8">
        <f>IF($A31=G$1,0,IF(SUM(IMshareC!G$2:G$78)-IMshareC!G$7&gt;0,IMshareC!G31/(SUM(IMshareC!G$2:G$78)-IMshareC!G$7),0))</f>
        <v>1.7521633414415534E-5</v>
      </c>
      <c r="H31" s="8">
        <f>IF($A31=H$1,0,IF(SUM(IMshareC!H$2:H$78)-IMshareC!H$8&gt;0,IMshareC!H31/(SUM(IMshareC!H$2:H$78)-IMshareC!H$8),0))</f>
        <v>0</v>
      </c>
      <c r="I31" s="8">
        <f>IF($A31=I$1,0,IF(SUM(IMshareC!I$2:I$78)-IMshareC!I$9&gt;0,IMshareC!I31/(SUM(IMshareC!I$2:I$78)-IMshareC!I$9),0))</f>
        <v>2.8666083208604747E-5</v>
      </c>
      <c r="J31" s="8">
        <f>IF($A31=J$1,0,IF(SUM(IMshareC!J$2:J$78)-IMshareC!J$10&gt;0,IMshareC!J31/(SUM(IMshareC!J$2:J$78)-IMshareC!J$10),0))</f>
        <v>0</v>
      </c>
      <c r="K31" s="8">
        <f>IF($A31=K$1,0,IF(SUM(IMshareC!K$2:K$78)-IMshareC!K$11&gt;0,IMshareC!K31/(SUM(IMshareC!K$2:K$78)-IMshareC!K$11),0))</f>
        <v>1.2803196388206137E-5</v>
      </c>
      <c r="L31" s="8">
        <f>IF($A31=L$1,0,IF(SUM(IMshareC!L$2:L$78)-IMshareC!L$12&gt;0,IMshareC!L31/(SUM(IMshareC!L$2:L$78)-IMshareC!L$12),0))</f>
        <v>4.0304704667071608E-4</v>
      </c>
      <c r="M31" s="8">
        <f>IF($A31=M$1,0,IF(SUM(IMshareC!M$2:M$78)-IMshareC!M$13&gt;0,IMshareC!M31/(SUM(IMshareC!M$2:M$78)-IMshareC!M$13),0))</f>
        <v>2.9897359555034423E-5</v>
      </c>
      <c r="N31" s="8">
        <f>IF($A31=N$1,0,IF(SUM(IMshareC!N$2:N$78)-IMshareC!N$14&gt;0,IMshareC!N31/(SUM(IMshareC!N$2:N$78)-IMshareC!N$14),0))</f>
        <v>6.1447283557829044E-6</v>
      </c>
      <c r="O31" s="8">
        <f>IF($A31=O$1,0,IF(SUM(IMshareC!O$2:O$78)-IMshareC!O$15&gt;0,IMshareC!O31/(SUM(IMshareC!O$2:O$78)-IMshareC!O$15),0))</f>
        <v>2.4085439098228237E-4</v>
      </c>
      <c r="P31" s="8">
        <f>IF($A31=P$1,0,IF(SUM(IMshareC!P$2:P$78)-IMshareC!P$16&gt;0,IMshareC!P31/(SUM(IMshareC!P$2:P$78)-IMshareC!P$16),0))</f>
        <v>0</v>
      </c>
      <c r="Q31" s="8">
        <f>IF($A31=Q$1,0,IF(SUM(IMshareC!Q$2:Q$78)-IMshareC!Q$17&gt;0,IMshareC!Q31/(SUM(IMshareC!Q$2:Q$78)-IMshareC!Q$17),0))</f>
        <v>1.2708547798518998E-4</v>
      </c>
      <c r="R31" s="8">
        <f>IF($A31=R$1,0,IF(SUM(IMshareC!R$2:R$78)-IMshareC!R$18&gt;0,IMshareC!R31/(SUM(IMshareC!R$2:R$78)-IMshareC!R$18),0))</f>
        <v>9.3683148683807119E-5</v>
      </c>
      <c r="S31" s="8">
        <f>IF($A31=S$1,0,IF(SUM(IMshareC!S$2:S$78)-IMshareC!S$19&gt;0,IMshareC!S31/(SUM(IMshareC!S$2:S$78)-IMshareC!S$19),0))</f>
        <v>1.1249800007225431E-2</v>
      </c>
      <c r="T31" s="8">
        <f>IF($A31=T$1,0,IF(SUM(IMshareC!T$2:T$78)-IMshareC!T$20&gt;0,IMshareC!T31/(SUM(IMshareC!T$2:T$78)-IMshareC!T$20),0))</f>
        <v>2.0739803128737435E-4</v>
      </c>
      <c r="U31" s="8">
        <f>IF($A31=U$1,0,IF(SUM(IMshareC!U$2:U$78)-IMshareC!U$21&gt;0,IMshareC!U31/(SUM(IMshareC!U$2:U$78)-IMshareC!U$21),0))</f>
        <v>1.3992939159875981E-3</v>
      </c>
      <c r="V31" s="8">
        <f>IF($A31=V$1,0,IF(SUM(IMshareC!V$2:V$78)-IMshareC!V$22&gt;0,IMshareC!V31/(SUM(IMshareC!V$2:V$78)-IMshareC!V$22),0))</f>
        <v>6.485947626652399E-6</v>
      </c>
      <c r="W31" s="8">
        <f>IF($A31=W$1,0,IF(SUM(IMshareC!W$2:W$78)-IMshareC!W$23&gt;0,IMshareC!W31/(SUM(IMshareC!W$2:W$78)-IMshareC!W$23),0))</f>
        <v>1.3872689797248263E-4</v>
      </c>
      <c r="X31" s="8">
        <f>IF($A31=X$1,0,IF(SUM(IMshareC!X$2:X$78)-IMshareC!X$24&gt;0,IMshareC!X31/(SUM(IMshareC!X$2:X$78)-IMshareC!X$24),0))</f>
        <v>1.5923932957939535E-3</v>
      </c>
      <c r="Y31" s="8">
        <f>IF($A31=Y$1,0,IF(SUM(IMshareC!Y$2:Y$78)-IMshareC!Y$25&gt;0,IMshareC!Y31/(SUM(IMshareC!Y$2:Y$78)-IMshareC!Y$25),0))</f>
        <v>1.0611570281389524E-5</v>
      </c>
      <c r="Z31" s="8">
        <f>IF($A31=Z$1,0,IF(SUM(IMshareC!Z$2:Z$78)-IMshareC!Z$26&gt;0,IMshareC!Z31/(SUM(IMshareC!Z$2:Z$78)-IMshareC!Z$26),0))</f>
        <v>2.3941830098812229E-4</v>
      </c>
      <c r="AA31" s="8">
        <f>IF($A31=AA$1,0,IF(SUM(IMshareC!AA$2:AA$78)-IMshareC!AA$27&gt;0,IMshareC!AA31/(SUM(IMshareC!AA$2:AA$78)-IMshareC!AA$27),0))</f>
        <v>5.8325299895945902E-4</v>
      </c>
      <c r="AB31" s="8">
        <f>IF($A31=AB$1,0,IF(SUM(IMshareC!AB$2:AB$78)-IMshareC!AB$28&gt;0,IMshareC!AB31/(SUM(IMshareC!AB$2:AB$78)-IMshareC!AB$28),0))</f>
        <v>3.3532040234028816E-4</v>
      </c>
      <c r="AC31" s="8">
        <f>IF($A31=AC$1,0,IF(SUM(IMshareC!AC$2:AC$78)-IMshareC!AC$29&gt;0,IMshareC!AC31/(SUM(IMshareC!AC$2:AC$78)-IMshareC!AC$29),0))</f>
        <v>1.8826814143707853E-3</v>
      </c>
      <c r="AD31" s="8">
        <f>IF($A31=AD$1,0,IF(SUM(IMshareC!AD$2:AD$78)-IMshareC!AD$30&gt;0,IMshareC!AD31/(SUM(IMshareC!AD$2:AD$78)-IMshareC!AD$30),0))</f>
        <v>3.2484239486903732E-7</v>
      </c>
      <c r="AE31" s="8">
        <f>IF($A31=AE$1,0,IF(SUM(IMshareC!AE$2:AE$78)-IMshareC!AE$31&gt;0,IMshareC!AE31/(SUM(IMshareC!AE$2:AE$78)-IMshareC!AE$31),0))</f>
        <v>0</v>
      </c>
      <c r="AF31" s="8">
        <f>IF($A31=AF$1,0,IF(SUM(IMshareC!AF$2:AF$78)-IMshareC!AF$32&gt;0,IMshareC!AF31/(SUM(IMshareC!AF$2:AF$78)-IMshareC!AF$32),0))</f>
        <v>2.8943298773174184E-5</v>
      </c>
      <c r="AG31" s="8">
        <f>IF($A31=AG$1,0,IF(SUM(IMshareC!AG$2:AG$78)-IMshareC!AG$33&gt;0,IMshareC!AG31/(SUM(IMshareC!AG$2:AG$78)-IMshareC!AG$33),0))</f>
        <v>5.0658454892325521E-6</v>
      </c>
      <c r="AH31" s="8">
        <f>IF($A31=AH$1,0,IF(SUM(IMshareC!AH$2:AH$78)-IMshareC!AH$34&gt;0,IMshareC!AH31/(SUM(IMshareC!AH$2:AH$78)-IMshareC!AH$34),0))</f>
        <v>1.3523653188932784E-7</v>
      </c>
      <c r="AI31" s="8">
        <f>IF($A31=AI$1,0,IF(SUM(IMshareC!AI$2:AI$78)-IMshareC!AI$35&gt;0,IMshareC!AI31/(SUM(IMshareC!AI$2:AI$78)-IMshareC!AI$35),0))</f>
        <v>1.4204298261082572E-8</v>
      </c>
      <c r="AJ31" s="8">
        <f>IF($A31=AJ$1,0,IF(SUM(IMshareC!AJ$2:AJ$78)-IMshareC!AJ$36&gt;0,IMshareC!AJ31/(SUM(IMshareC!AJ$2:AJ$78)-IMshareC!AJ$36),0))</f>
        <v>1.8621488088056005E-5</v>
      </c>
      <c r="AK31" s="8">
        <f>IF($A31=AK$1,0,IF(SUM(IMshareC!AK$2:AK$78)-IMshareC!AK$37&gt;0,IMshareC!AK31/(SUM(IMshareC!AK$2:AK$78)-IMshareC!AK$37),0))</f>
        <v>1.6466733350584243E-5</v>
      </c>
      <c r="AL31" s="8">
        <f>IF($A31=AL$1,0,IF(SUM(IMshareC!AL$2:AL$78)-IMshareC!AL$38&gt;0,IMshareC!AL31/(SUM(IMshareC!AL$2:AL$78)-IMshareC!AL$38),0))</f>
        <v>1.159504475737945E-2</v>
      </c>
      <c r="AM31" s="8">
        <f>IF($A31=AM$1,0,IF(SUM(IMshareC!AM$2:AM$78)-IMshareC!AM$39&gt;0,IMshareC!AM31/(SUM(IMshareC!AM$2:AM$78)-IMshareC!AM$39),0))</f>
        <v>1.9319555836140274E-2</v>
      </c>
      <c r="AN31" s="8">
        <f>IF($A31=AN$1,0,IF(SUM(IMshareC!AN$2:AN$78)-IMshareC!AN$40&gt;0,IMshareC!AN31/(SUM(IMshareC!AN$2:AN$78)-IMshareC!AN$40),0))</f>
        <v>9.9856479235409407E-6</v>
      </c>
      <c r="AO31" s="8">
        <f>IF($A31=AO$1,0,IF(SUM(IMshareC!AO$2:AO$78)-IMshareC!AO$41&gt;0,IMshareC!AO31/(SUM(IMshareC!AO$2:AO$78)-IMshareC!AO$41),0))</f>
        <v>8.2177409615508644E-4</v>
      </c>
      <c r="AP31" s="8">
        <f>IF($A31=AP$1,0,IF(SUM(IMshareC!AP$2:AP$78)-IMshareC!AP$42&gt;0,IMshareC!AP31/(SUM(IMshareC!AP$2:AP$78)-IMshareC!AP$42),0))</f>
        <v>0</v>
      </c>
      <c r="AQ31" s="8">
        <f>IF($A31=AQ$1,0,IF(SUM(IMshareC!AQ$2:AQ$78)-IMshareC!AQ$43&gt;0,IMshareC!AQ31/(SUM(IMshareC!AQ$2:AQ$78)-IMshareC!AQ$43),0))</f>
        <v>9.1201856477666221E-6</v>
      </c>
      <c r="AR31" s="8">
        <f>IF($A31=AR$1,0,IF(SUM(IMshareC!AR$2:AR$78)-IMshareC!AR$44&gt;0,IMshareC!AR31/(SUM(IMshareC!AR$2:AR$78)-IMshareC!AR$44),0))</f>
        <v>0</v>
      </c>
      <c r="AS31" s="8">
        <f>IF($A31=AS$1,0,IF(SUM(IMshareC!AS$2:AS$78)-IMshareC!AS$45&gt;0,IMshareC!AS31/(SUM(IMshareC!AS$2:AS$78)-IMshareC!AS$45),0))</f>
        <v>3.2168876956361442E-6</v>
      </c>
      <c r="AT31" s="8">
        <f>IF($A31=AT$1,0,IF(SUM(IMshareC!AT$2:AT$78)-IMshareC!AT$46&gt;0,IMshareC!AT31/(SUM(IMshareC!AT$2:AT$78)-IMshareC!AT$46),0))</f>
        <v>8.9736197482118023E-6</v>
      </c>
      <c r="AU31" s="8">
        <f>IF($A31=AU$1,0,IF(SUM(IMshareC!AU$2:AU$78)-IMshareC!AU$47&gt;0,IMshareC!AU31/(SUM(IMshareC!AU$2:AU$78)-IMshareC!AU$47),0))</f>
        <v>4.2615805880890184E-6</v>
      </c>
      <c r="AV31" s="8">
        <f>IF($A31=AV$1,0,IF(SUM(IMshareC!AV$2:AV$78)-IMshareC!AV$48&gt;0,IMshareC!AV31/(SUM(IMshareC!AV$2:AV$78)-IMshareC!AV$48),0))</f>
        <v>6.2786899582485263E-5</v>
      </c>
      <c r="AW31" s="8">
        <f>IF($A31=AW$1,0,IF(SUM(IMshareC!AW$2:AW$78)-IMshareC!AW$49&gt;0,IMshareC!AW31/(SUM(IMshareC!AW$2:AW$78)-IMshareC!AW$49),0))</f>
        <v>1.2912195771518472E-6</v>
      </c>
      <c r="AX31" s="8">
        <f>IF($A31=AX$1,0,IF(SUM(IMshareC!AX$2:AX$78)-IMshareC!AX$50&gt;0,IMshareC!AX31/(SUM(IMshareC!AX$2:AX$78)-IMshareC!AX$50),0))</f>
        <v>7.4200103110589941E-6</v>
      </c>
      <c r="AY31" s="8">
        <f>IF($A31=AY$1,0,IF(SUM(IMshareC!AY$2:AY$78)-IMshareC!AY$51&gt;0,IMshareC!AY31/(SUM(IMshareC!AY$2:AY$78)-IMshareC!AY$51),0))</f>
        <v>0</v>
      </c>
      <c r="AZ31" s="8">
        <f>IF($A31=AZ$1,0,IF(SUM(IMshareC!AZ$2:AZ$78)-IMshareC!AZ$52&gt;0,IMshareC!AZ31/(SUM(IMshareC!AZ$2:AZ$78)-IMshareC!AZ$52),0))</f>
        <v>2.4742860787321269E-7</v>
      </c>
      <c r="BA31" s="8">
        <f>IF($A31=BA$1,0,IF(SUM(IMshareC!BA$2:BA$78)-IMshareC!BA$53&gt;0,IMshareC!BA31/(SUM(IMshareC!BA$2:BA$78)-IMshareC!BA$53),0))</f>
        <v>4.2352201168148908E-6</v>
      </c>
      <c r="BB31" s="8">
        <f>IF($A31=BB$1,0,IF(SUM(IMshareC!BB$2:BB$78)-IMshareC!BB$54&gt;0,IMshareC!BB31/(SUM(IMshareC!BB$2:BB$78)-IMshareC!BB$54),0))</f>
        <v>1.2408376731666004E-4</v>
      </c>
      <c r="BC31" s="8">
        <f>IF($A31=BC$1,0,IF(SUM(IMshareC!BC$2:BC$78)-IMshareC!BC$55&gt;0,IMshareC!BC31/(SUM(IMshareC!BC$2:BC$78)-IMshareC!BC$55),0))</f>
        <v>7.381243755597163E-5</v>
      </c>
      <c r="BD31" s="8">
        <f>IF($A31=BD$1,0,IF(SUM(IMshareC!BD$2:BD$78)-IMshareC!BD$56&gt;0,IMshareC!BD31/(SUM(IMshareC!BD$2:BD$78)-IMshareC!BD$56),0))</f>
        <v>2.3455732107367574E-4</v>
      </c>
      <c r="BE31" s="8">
        <f>IF($A31=BE$1,0,IF(SUM(IMshareC!BE$2:BE$78)-IMshareC!BE$57&gt;0,IMshareC!BE31/(SUM(IMshareC!BE$2:BE$78)-IMshareC!BE$57),0))</f>
        <v>3.1332679886988909E-5</v>
      </c>
      <c r="BF31" s="8">
        <f>IF($A31=BF$1,0,IF(SUM(IMshareC!BF$2:BF$78)-IMshareC!BF$58&gt;0,IMshareC!BF31/(SUM(IMshareC!BF$2:BF$78)-IMshareC!BF$58),0))</f>
        <v>1.178410226454762E-4</v>
      </c>
      <c r="BG31" s="8">
        <f>IF($A31=BG$1,0,IF(SUM(IMshareC!BG$2:BG$78)-IMshareC!BG$59&gt;0,IMshareC!BG31/(SUM(IMshareC!BG$2:BG$78)-IMshareC!BG$59),0))</f>
        <v>9.2828905726286193E-8</v>
      </c>
      <c r="BH31" s="8">
        <f>IF($A31=BH$1,0,IF(SUM(IMshareC!BH$2:BH$78)-IMshareC!BH$60&gt;0,IMshareC!BH31/(SUM(IMshareC!BH$2:BH$78)-IMshareC!BH$60),0))</f>
        <v>9.6588417224498712E-4</v>
      </c>
      <c r="BI31" s="8">
        <f>IF($A31=BI$1,0,IF(SUM(IMshareC!BI$2:BI$78)-IMshareC!BI$61&gt;0,IMshareC!BI31/(SUM(IMshareC!BI$2:BI$78)-IMshareC!BI$61),0))</f>
        <v>2.3660793741294996E-7</v>
      </c>
      <c r="BJ31" s="8">
        <f>IF($A31=BJ$1,0,IF(SUM(IMshareC!BJ$2:BJ$78)-IMshareC!BJ$62&gt;0,IMshareC!BJ31/(SUM(IMshareC!BJ$2:BJ$78)-IMshareC!BJ$62),0))</f>
        <v>1.2642816314103202E-5</v>
      </c>
      <c r="BK31" s="8">
        <f>IF($A31=BK$1,0,IF(SUM(IMshareC!BK$2:BK$78)-IMshareC!BK$63&gt;0,IMshareC!BK31/(SUM(IMshareC!BK$2:BK$78)-IMshareC!BK$63),0))</f>
        <v>1.8169868268880426E-7</v>
      </c>
      <c r="BL31" s="8">
        <f>IF($A31=BL$1,0,IF(SUM(IMshareC!BL$2:BL$78)-IMshareC!BL$64&gt;0,IMshareC!BL31/(SUM(IMshareC!BL$2:BL$78)-IMshareC!BL$64),0))</f>
        <v>6.0947883143125554E-6</v>
      </c>
      <c r="BM31" s="8">
        <f>IF($A31=BM$1,0,IF(SUM(IMshareC!BM$2:BM$78)-IMshareC!BM$65&gt;0,IMshareC!BM31/(SUM(IMshareC!BM$2:BM$78)-IMshareC!BM$65),0))</f>
        <v>0</v>
      </c>
      <c r="BN31" s="8">
        <f>IF($A31=BN$1,0,IF(SUM(IMshareC!BN$2:BN$78)-IMshareC!BN$66&gt;0,IMshareC!BN31/(SUM(IMshareC!BN$2:BN$78)-IMshareC!BN$66),0))</f>
        <v>6.7700926536057667E-6</v>
      </c>
      <c r="BO31" s="8">
        <f>IF($A31=BO$1,0,IF(SUM(IMshareC!BO$2:BO$78)-IMshareC!BO$67&gt;0,IMshareC!BO31/(SUM(IMshareC!BO$2:BO$78)-IMshareC!BO$67),0))</f>
        <v>8.2654777710657702E-6</v>
      </c>
      <c r="BP31" s="8">
        <f>IF($A31=BP$1,0,IF(SUM(IMshareC!BP$2:BP$78)-IMshareC!BP$68&gt;0,IMshareC!BP31/(SUM(IMshareC!BP$2:BP$78)-IMshareC!BP$68),0))</f>
        <v>1.1854748621267145E-2</v>
      </c>
      <c r="BQ31" s="8">
        <f>IF($A31=BQ$1,0,IF(SUM(IMshareC!BQ$2:BQ$78)-IMshareC!BQ$69&gt;0,IMshareC!BQ31/(SUM(IMshareC!BQ$2:BQ$78)-IMshareC!BQ$69),0))</f>
        <v>1.4146187809411335E-5</v>
      </c>
      <c r="BR31" s="8">
        <f>IF($A31=BR$1,0,IF(SUM(IMshareC!BR$2:BR$78)-IMshareC!BR$70&gt;0,IMshareC!BR31/(SUM(IMshareC!BR$2:BR$78)-IMshareC!BR$70),0))</f>
        <v>4.6079122153656358E-7</v>
      </c>
      <c r="BS31" s="8">
        <f>IF($A31=BS$1,0,IF(SUM(IMshareC!BS$2:BS$78)-IMshareC!BS$71&gt;0,IMshareC!BS31/(SUM(IMshareC!BS$2:BS$78)-IMshareC!BS$71),0))</f>
        <v>1.7253945976381239E-5</v>
      </c>
      <c r="BT31" s="8">
        <f>IF($A31=BT$1,0,IF(SUM(IMshareC!BT$2:BT$78)-IMshareC!BT$72&gt;0,IMshareC!BT31/(SUM(IMshareC!BT$2:BT$78)-IMshareC!BT$72),0))</f>
        <v>3.3418134359753703E-3</v>
      </c>
      <c r="BU31" s="8">
        <f>IF($A31=BU$1,0,IF(SUM(IMshareC!BU$2:BU$78)-IMshareC!BU$73&gt;0,IMshareC!BU31/(SUM(IMshareC!BU$2:BU$78)-IMshareC!BU$73),0))</f>
        <v>8.3752081747962102E-7</v>
      </c>
      <c r="BV31" s="8">
        <f>IF($A31=BV$1,0,IF(SUM(IMshareC!BV$2:BV$78)-IMshareC!BV$74&gt;0,IMshareC!BV31/(SUM(IMshareC!BV$2:BV$78)-IMshareC!BV$74),0))</f>
        <v>1.2247798033831309E-4</v>
      </c>
      <c r="BW31" s="8">
        <f>IF($A31=BW$1,0,IF(SUM(IMshareC!BW$2:BW$78)-IMshareC!BW$75&gt;0,IMshareC!BW31/(SUM(IMshareC!BW$2:BW$78)-IMshareC!BW$75),0))</f>
        <v>1.1842400875010717E-4</v>
      </c>
      <c r="BX31" s="8">
        <f>IF($A31=BX$1,0,IF(SUM(IMshareC!BX$2:BX$78)-IMshareC!BX$76&gt;0,IMshareC!BX31/(SUM(IMshareC!BX$2:BX$78)-IMshareC!BX$76),0))</f>
        <v>2.1826390730938885E-7</v>
      </c>
      <c r="BY31" s="8">
        <f>IF($A31=BY$1,0,IF(SUM(IMshareC!BY$2:BY$78)-IMshareC!BY$77&gt;0,IMshareC!BY31/(SUM(IMshareC!BY$2:BY$78)-IMshareC!BY$77),0))</f>
        <v>2.5472091476273632E-4</v>
      </c>
      <c r="BZ31" s="8">
        <f>IF($A31=BZ$1,0,IF(SUM(IMshareC!BZ$2:BZ$78)-IMshareC!BZ$78&gt;0,IMshareC!BZ31/(SUM(IMshareC!BZ$2:BZ$78)-IMshareC!BZ$78),0))</f>
        <v>1.0108713017646202E-3</v>
      </c>
    </row>
    <row r="32" spans="1:78">
      <c r="A32" s="4" t="s">
        <v>131</v>
      </c>
      <c r="B32" s="8">
        <f>IF($A32=B$1,0,IF(SUM(IMshareC!B$2:B$78)-IMshareC!B$2&gt;0,IMshareC!B32/(SUM(IMshareC!B$2:B$78)-IMshareC!B$2),0))</f>
        <v>7.2484656945271128E-3</v>
      </c>
      <c r="C32" s="8">
        <f>IF($A32=C$1,0,IF(SUM(IMshareC!C$2:C$78)-IMshareC!C$3&gt;0,IMshareC!C32/(SUM(IMshareC!C$2:C$78)-IMshareC!C$3),0))</f>
        <v>3.235552533137202E-3</v>
      </c>
      <c r="D32" s="8">
        <f>IF($A32=D$1,0,IF(SUM(IMshareC!D$2:D$78)-IMshareC!D$4&gt;0,IMshareC!D32/(SUM(IMshareC!D$2:D$78)-IMshareC!D$4),0))</f>
        <v>1.3391988546245721E-2</v>
      </c>
      <c r="E32" s="8">
        <f>IF($A32=E$1,0,IF(SUM(IMshareC!E$2:E$78)-IMshareC!E$5&gt;0,IMshareC!E32/(SUM(IMshareC!E$2:E$78)-IMshareC!E$5),0))</f>
        <v>4.1508748035828128E-3</v>
      </c>
      <c r="F32" s="8">
        <f>IF($A32=F$1,0,IF(SUM(IMshareC!F$2:F$78)-IMshareC!F$6&gt;0,IMshareC!F32/(SUM(IMshareC!F$2:F$78)-IMshareC!F$6),0))</f>
        <v>0</v>
      </c>
      <c r="G32" s="8">
        <f>IF($A32=G$1,0,IF(SUM(IMshareC!G$2:G$78)-IMshareC!G$7&gt;0,IMshareC!G32/(SUM(IMshareC!G$2:G$78)-IMshareC!G$7),0))</f>
        <v>3.3131952874441685E-2</v>
      </c>
      <c r="H32" s="8">
        <f>IF($A32=H$1,0,IF(SUM(IMshareC!H$2:H$78)-IMshareC!H$8&gt;0,IMshareC!H32/(SUM(IMshareC!H$2:H$78)-IMshareC!H$8),0))</f>
        <v>9.3608523719354792E-5</v>
      </c>
      <c r="I32" s="8">
        <f>IF($A32=I$1,0,IF(SUM(IMshareC!I$2:I$78)-IMshareC!I$9&gt;0,IMshareC!I32/(SUM(IMshareC!I$2:I$78)-IMshareC!I$9),0))</f>
        <v>2.6485659379973745E-3</v>
      </c>
      <c r="J32" s="8">
        <f>IF($A32=J$1,0,IF(SUM(IMshareC!J$2:J$78)-IMshareC!J$10&gt;0,IMshareC!J32/(SUM(IMshareC!J$2:J$78)-IMshareC!J$10),0))</f>
        <v>7.0705383226758094E-4</v>
      </c>
      <c r="K32" s="8">
        <f>IF($A32=K$1,0,IF(SUM(IMshareC!K$2:K$78)-IMshareC!K$11&gt;0,IMshareC!K32/(SUM(IMshareC!K$2:K$78)-IMshareC!K$11),0))</f>
        <v>9.6650096560633124E-4</v>
      </c>
      <c r="L32" s="8">
        <f>IF($A32=L$1,0,IF(SUM(IMshareC!L$2:L$78)-IMshareC!L$12&gt;0,IMshareC!L32/(SUM(IMshareC!L$2:L$78)-IMshareC!L$12),0))</f>
        <v>9.5703330016361048E-3</v>
      </c>
      <c r="M32" s="8">
        <f>IF($A32=M$1,0,IF(SUM(IMshareC!M$2:M$78)-IMshareC!M$13&gt;0,IMshareC!M32/(SUM(IMshareC!M$2:M$78)-IMshareC!M$13),0))</f>
        <v>4.7096829622914337E-4</v>
      </c>
      <c r="N32" s="8">
        <f>IF($A32=N$1,0,IF(SUM(IMshareC!N$2:N$78)-IMshareC!N$14&gt;0,IMshareC!N32/(SUM(IMshareC!N$2:N$78)-IMshareC!N$14),0))</f>
        <v>6.4576899311762819E-4</v>
      </c>
      <c r="O32" s="8">
        <f>IF($A32=O$1,0,IF(SUM(IMshareC!O$2:O$78)-IMshareC!O$15&gt;0,IMshareC!O32/(SUM(IMshareC!O$2:O$78)-IMshareC!O$15),0))</f>
        <v>3.4569309625390708E-4</v>
      </c>
      <c r="P32" s="8">
        <f>IF($A32=P$1,0,IF(SUM(IMshareC!P$2:P$78)-IMshareC!P$16&gt;0,IMshareC!P32/(SUM(IMshareC!P$2:P$78)-IMshareC!P$16),0))</f>
        <v>0</v>
      </c>
      <c r="Q32" s="8">
        <f>IF($A32=Q$1,0,IF(SUM(IMshareC!Q$2:Q$78)-IMshareC!Q$17&gt;0,IMshareC!Q32/(SUM(IMshareC!Q$2:Q$78)-IMshareC!Q$17),0))</f>
        <v>1.4079268518254178E-3</v>
      </c>
      <c r="R32" s="8">
        <f>IF($A32=R$1,0,IF(SUM(IMshareC!R$2:R$78)-IMshareC!R$18&gt;0,IMshareC!R32/(SUM(IMshareC!R$2:R$78)-IMshareC!R$18),0))</f>
        <v>2.3700094743619809E-3</v>
      </c>
      <c r="S32" s="8">
        <f>IF($A32=S$1,0,IF(SUM(IMshareC!S$2:S$78)-IMshareC!S$19&gt;0,IMshareC!S32/(SUM(IMshareC!S$2:S$78)-IMshareC!S$19),0))</f>
        <v>4.4294568146888945E-3</v>
      </c>
      <c r="T32" s="8">
        <f>IF($A32=T$1,0,IF(SUM(IMshareC!T$2:T$78)-IMshareC!T$20&gt;0,IMshareC!T32/(SUM(IMshareC!T$2:T$78)-IMshareC!T$20),0))</f>
        <v>5.3895417660131785E-3</v>
      </c>
      <c r="U32" s="8">
        <f>IF($A32=U$1,0,IF(SUM(IMshareC!U$2:U$78)-IMshareC!U$21&gt;0,IMshareC!U32/(SUM(IMshareC!U$2:U$78)-IMshareC!U$21),0))</f>
        <v>2.3683547204435249E-2</v>
      </c>
      <c r="V32" s="8">
        <f>IF($A32=V$1,0,IF(SUM(IMshareC!V$2:V$78)-IMshareC!V$22&gt;0,IMshareC!V32/(SUM(IMshareC!V$2:V$78)-IMshareC!V$22),0))</f>
        <v>3.3880061216503745E-3</v>
      </c>
      <c r="W32" s="8">
        <f>IF($A32=W$1,0,IF(SUM(IMshareC!W$2:W$78)-IMshareC!W$23&gt;0,IMshareC!W32/(SUM(IMshareC!W$2:W$78)-IMshareC!W$23),0))</f>
        <v>8.7470321202576902E-4</v>
      </c>
      <c r="X32" s="8">
        <f>IF($A32=X$1,0,IF(SUM(IMshareC!X$2:X$78)-IMshareC!X$24&gt;0,IMshareC!X32/(SUM(IMshareC!X$2:X$78)-IMshareC!X$24),0))</f>
        <v>1.7682875519854972E-2</v>
      </c>
      <c r="Y32" s="8">
        <f>IF($A32=Y$1,0,IF(SUM(IMshareC!Y$2:Y$78)-IMshareC!Y$25&gt;0,IMshareC!Y32/(SUM(IMshareC!Y$2:Y$78)-IMshareC!Y$25),0))</f>
        <v>6.6979317868058402E-4</v>
      </c>
      <c r="Z32" s="8">
        <f>IF($A32=Z$1,0,IF(SUM(IMshareC!Z$2:Z$78)-IMshareC!Z$26&gt;0,IMshareC!Z32/(SUM(IMshareC!Z$2:Z$78)-IMshareC!Z$26),0))</f>
        <v>1.566263053678347E-3</v>
      </c>
      <c r="AA32" s="8">
        <f>IF($A32=AA$1,0,IF(SUM(IMshareC!AA$2:AA$78)-IMshareC!AA$27&gt;0,IMshareC!AA32/(SUM(IMshareC!AA$2:AA$78)-IMshareC!AA$27),0))</f>
        <v>4.0612440917505372E-3</v>
      </c>
      <c r="AB32" s="8">
        <f>IF($A32=AB$1,0,IF(SUM(IMshareC!AB$2:AB$78)-IMshareC!AB$28&gt;0,IMshareC!AB32/(SUM(IMshareC!AB$2:AB$78)-IMshareC!AB$28),0))</f>
        <v>2.5158031631302247E-3</v>
      </c>
      <c r="AC32" s="8">
        <f>IF($A32=AC$1,0,IF(SUM(IMshareC!AC$2:AC$78)-IMshareC!AC$29&gt;0,IMshareC!AC32/(SUM(IMshareC!AC$2:AC$78)-IMshareC!AC$29),0))</f>
        <v>2.4534088114249904E-3</v>
      </c>
      <c r="AD32" s="8">
        <f>IF($A32=AD$1,0,IF(SUM(IMshareC!AD$2:AD$78)-IMshareC!AD$30&gt;0,IMshareC!AD32/(SUM(IMshareC!AD$2:AD$78)-IMshareC!AD$30),0))</f>
        <v>5.0376152089828653E-5</v>
      </c>
      <c r="AE32" s="8">
        <f>IF($A32=AE$1,0,IF(SUM(IMshareC!AE$2:AE$78)-IMshareC!AE$31&gt;0,IMshareC!AE32/(SUM(IMshareC!AE$2:AE$78)-IMshareC!AE$31),0))</f>
        <v>1.2461062173811464E-2</v>
      </c>
      <c r="AF32" s="8">
        <f>IF($A32=AF$1,0,IF(SUM(IMshareC!AF$2:AF$78)-IMshareC!AF$32&gt;0,IMshareC!AF32/(SUM(IMshareC!AF$2:AF$78)-IMshareC!AF$32),0))</f>
        <v>0</v>
      </c>
      <c r="AG32" s="8">
        <f>IF($A32=AG$1,0,IF(SUM(IMshareC!AG$2:AG$78)-IMshareC!AG$33&gt;0,IMshareC!AG32/(SUM(IMshareC!AG$2:AG$78)-IMshareC!AG$33),0))</f>
        <v>1.3169054462255371E-4</v>
      </c>
      <c r="AH32" s="8">
        <f>IF($A32=AH$1,0,IF(SUM(IMshareC!AH$2:AH$78)-IMshareC!AH$34&gt;0,IMshareC!AH32/(SUM(IMshareC!AH$2:AH$78)-IMshareC!AH$34),0))</f>
        <v>1.6838919961499614E-3</v>
      </c>
      <c r="AI32" s="8">
        <f>IF($A32=AI$1,0,IF(SUM(IMshareC!AI$2:AI$78)-IMshareC!AI$35&gt;0,IMshareC!AI32/(SUM(IMshareC!AI$2:AI$78)-IMshareC!AI$35),0))</f>
        <v>7.2971563935137618E-5</v>
      </c>
      <c r="AJ32" s="8">
        <f>IF($A32=AJ$1,0,IF(SUM(IMshareC!AJ$2:AJ$78)-IMshareC!AJ$36&gt;0,IMshareC!AJ32/(SUM(IMshareC!AJ$2:AJ$78)-IMshareC!AJ$36),0))</f>
        <v>2.2965403907374065E-3</v>
      </c>
      <c r="AK32" s="8">
        <f>IF($A32=AK$1,0,IF(SUM(IMshareC!AK$2:AK$78)-IMshareC!AK$37&gt;0,IMshareC!AK32/(SUM(IMshareC!AK$2:AK$78)-IMshareC!AK$37),0))</f>
        <v>1.4853837930091113E-3</v>
      </c>
      <c r="AL32" s="8">
        <f>IF($A32=AL$1,0,IF(SUM(IMshareC!AL$2:AL$78)-IMshareC!AL$38&gt;0,IMshareC!AL32/(SUM(IMshareC!AL$2:AL$78)-IMshareC!AL$38),0))</f>
        <v>3.116439952748518E-3</v>
      </c>
      <c r="AM32" s="8">
        <f>IF($A32=AM$1,0,IF(SUM(IMshareC!AM$2:AM$78)-IMshareC!AM$39&gt;0,IMshareC!AM32/(SUM(IMshareC!AM$2:AM$78)-IMshareC!AM$39),0))</f>
        <v>2.4130835942378273E-4</v>
      </c>
      <c r="AN32" s="8">
        <f>IF($A32=AN$1,0,IF(SUM(IMshareC!AN$2:AN$78)-IMshareC!AN$40&gt;0,IMshareC!AN32/(SUM(IMshareC!AN$2:AN$78)-IMshareC!AN$40),0))</f>
        <v>1.0523540081606292E-3</v>
      </c>
      <c r="AO32" s="8">
        <f>IF($A32=AO$1,0,IF(SUM(IMshareC!AO$2:AO$78)-IMshareC!AO$41&gt;0,IMshareC!AO32/(SUM(IMshareC!AO$2:AO$78)-IMshareC!AO$41),0))</f>
        <v>5.2312203253413044E-4</v>
      </c>
      <c r="AP32" s="8">
        <f>IF($A32=AP$1,0,IF(SUM(IMshareC!AP$2:AP$78)-IMshareC!AP$42&gt;0,IMshareC!AP32/(SUM(IMshareC!AP$2:AP$78)-IMshareC!AP$42),0))</f>
        <v>0</v>
      </c>
      <c r="AQ32" s="8">
        <f>IF($A32=AQ$1,0,IF(SUM(IMshareC!AQ$2:AQ$78)-IMshareC!AQ$43&gt;0,IMshareC!AQ32/(SUM(IMshareC!AQ$2:AQ$78)-IMshareC!AQ$43),0))</f>
        <v>1.2342819330532045E-4</v>
      </c>
      <c r="AR32" s="8">
        <f>IF($A32=AR$1,0,IF(SUM(IMshareC!AR$2:AR$78)-IMshareC!AR$44&gt;0,IMshareC!AR32/(SUM(IMshareC!AR$2:AR$78)-IMshareC!AR$44),0))</f>
        <v>0</v>
      </c>
      <c r="AS32" s="8">
        <f>IF($A32=AS$1,0,IF(SUM(IMshareC!AS$2:AS$78)-IMshareC!AS$45&gt;0,IMshareC!AS32/(SUM(IMshareC!AS$2:AS$78)-IMshareC!AS$45),0))</f>
        <v>5.611922159451595E-4</v>
      </c>
      <c r="AT32" s="8">
        <f>IF($A32=AT$1,0,IF(SUM(IMshareC!AT$2:AT$78)-IMshareC!AT$46&gt;0,IMshareC!AT32/(SUM(IMshareC!AT$2:AT$78)-IMshareC!AT$46),0))</f>
        <v>5.8255312641463709E-4</v>
      </c>
      <c r="AU32" s="8">
        <f>IF($A32=AU$1,0,IF(SUM(IMshareC!AU$2:AU$78)-IMshareC!AU$47&gt;0,IMshareC!AU32/(SUM(IMshareC!AU$2:AU$78)-IMshareC!AU$47),0))</f>
        <v>1.105212658110561E-2</v>
      </c>
      <c r="AV32" s="8">
        <f>IF($A32=AV$1,0,IF(SUM(IMshareC!AV$2:AV$78)-IMshareC!AV$48&gt;0,IMshareC!AV32/(SUM(IMshareC!AV$2:AV$78)-IMshareC!AV$48),0))</f>
        <v>1.3338316407128922E-3</v>
      </c>
      <c r="AW32" s="8">
        <f>IF($A32=AW$1,0,IF(SUM(IMshareC!AW$2:AW$78)-IMshareC!AW$49&gt;0,IMshareC!AW32/(SUM(IMshareC!AW$2:AW$78)-IMshareC!AW$49),0))</f>
        <v>7.5365186062283259E-4</v>
      </c>
      <c r="AX32" s="8">
        <f>IF($A32=AX$1,0,IF(SUM(IMshareC!AX$2:AX$78)-IMshareC!AX$50&gt;0,IMshareC!AX32/(SUM(IMshareC!AX$2:AX$78)-IMshareC!AX$50),0))</f>
        <v>1.9679475790856199E-5</v>
      </c>
      <c r="AY32" s="8">
        <f>IF($A32=AY$1,0,IF(SUM(IMshareC!AY$2:AY$78)-IMshareC!AY$51&gt;0,IMshareC!AY32/(SUM(IMshareC!AY$2:AY$78)-IMshareC!AY$51),0))</f>
        <v>3.0140203257825876E-4</v>
      </c>
      <c r="AZ32" s="8">
        <f>IF($A32=AZ$1,0,IF(SUM(IMshareC!AZ$2:AZ$78)-IMshareC!AZ$52&gt;0,IMshareC!AZ32/(SUM(IMshareC!AZ$2:AZ$78)-IMshareC!AZ$52),0))</f>
        <v>2.0780132362071869E-5</v>
      </c>
      <c r="BA32" s="8">
        <f>IF($A32=BA$1,0,IF(SUM(IMshareC!BA$2:BA$78)-IMshareC!BA$53&gt;0,IMshareC!BA32/(SUM(IMshareC!BA$2:BA$78)-IMshareC!BA$53),0))</f>
        <v>7.5900587064917053E-5</v>
      </c>
      <c r="BB32" s="8">
        <f>IF($A32=BB$1,0,IF(SUM(IMshareC!BB$2:BB$78)-IMshareC!BB$54&gt;0,IMshareC!BB32/(SUM(IMshareC!BB$2:BB$78)-IMshareC!BB$54),0))</f>
        <v>2.1723481384477014E-3</v>
      </c>
      <c r="BC32" s="8">
        <f>IF($A32=BC$1,0,IF(SUM(IMshareC!BC$2:BC$78)-IMshareC!BC$55&gt;0,IMshareC!BC32/(SUM(IMshareC!BC$2:BC$78)-IMshareC!BC$55),0))</f>
        <v>2.4042382092672927E-3</v>
      </c>
      <c r="BD32" s="8">
        <f>IF($A32=BD$1,0,IF(SUM(IMshareC!BD$2:BD$78)-IMshareC!BD$56&gt;0,IMshareC!BD32/(SUM(IMshareC!BD$2:BD$78)-IMshareC!BD$56),0))</f>
        <v>7.1181704140689649E-3</v>
      </c>
      <c r="BE32" s="8">
        <f>IF($A32=BE$1,0,IF(SUM(IMshareC!BE$2:BE$78)-IMshareC!BE$57&gt;0,IMshareC!BE32/(SUM(IMshareC!BE$2:BE$78)-IMshareC!BE$57),0))</f>
        <v>4.0770255602711239E-4</v>
      </c>
      <c r="BF32" s="8">
        <f>IF($A32=BF$1,0,IF(SUM(IMshareC!BF$2:BF$78)-IMshareC!BF$58&gt;0,IMshareC!BF32/(SUM(IMshareC!BF$2:BF$78)-IMshareC!BF$58),0))</f>
        <v>1.5888641092787409E-3</v>
      </c>
      <c r="BG32" s="8">
        <f>IF($A32=BG$1,0,IF(SUM(IMshareC!BG$2:BG$78)-IMshareC!BG$59&gt;0,IMshareC!BG32/(SUM(IMshareC!BG$2:BG$78)-IMshareC!BG$59),0))</f>
        <v>1.5794893186403164E-5</v>
      </c>
      <c r="BH32" s="8">
        <f>IF($A32=BH$1,0,IF(SUM(IMshareC!BH$2:BH$78)-IMshareC!BH$60&gt;0,IMshareC!BH32/(SUM(IMshareC!BH$2:BH$78)-IMshareC!BH$60),0))</f>
        <v>6.5826878509784382E-3</v>
      </c>
      <c r="BI32" s="8">
        <f>IF($A32=BI$1,0,IF(SUM(IMshareC!BI$2:BI$78)-IMshareC!BI$61&gt;0,IMshareC!BI32/(SUM(IMshareC!BI$2:BI$78)-IMshareC!BI$61),0))</f>
        <v>4.5147301287025701E-3</v>
      </c>
      <c r="BJ32" s="8">
        <f>IF($A32=BJ$1,0,IF(SUM(IMshareC!BJ$2:BJ$78)-IMshareC!BJ$62&gt;0,IMshareC!BJ32/(SUM(IMshareC!BJ$2:BJ$78)-IMshareC!BJ$62),0))</f>
        <v>1.3489938825023941E-2</v>
      </c>
      <c r="BK32" s="8">
        <f>IF($A32=BK$1,0,IF(SUM(IMshareC!BK$2:BK$78)-IMshareC!BK$63&gt;0,IMshareC!BK32/(SUM(IMshareC!BK$2:BK$78)-IMshareC!BK$63),0))</f>
        <v>3.0875891968687882E-3</v>
      </c>
      <c r="BL32" s="8">
        <f>IF($A32=BL$1,0,IF(SUM(IMshareC!BL$2:BL$78)-IMshareC!BL$64&gt;0,IMshareC!BL32/(SUM(IMshareC!BL$2:BL$78)-IMshareC!BL$64),0))</f>
        <v>3.1446969179637241E-4</v>
      </c>
      <c r="BM32" s="8">
        <f>IF($A32=BM$1,0,IF(SUM(IMshareC!BM$2:BM$78)-IMshareC!BM$65&gt;0,IMshareC!BM32/(SUM(IMshareC!BM$2:BM$78)-IMshareC!BM$65),0))</f>
        <v>1.7012227486246266E-4</v>
      </c>
      <c r="BN32" s="8">
        <f>IF($A32=BN$1,0,IF(SUM(IMshareC!BN$2:BN$78)-IMshareC!BN$66&gt;0,IMshareC!BN32/(SUM(IMshareC!BN$2:BN$78)-IMshareC!BN$66),0))</f>
        <v>3.5295808153698638E-5</v>
      </c>
      <c r="BO32" s="8">
        <f>IF($A32=BO$1,0,IF(SUM(IMshareC!BO$2:BO$78)-IMshareC!BO$67&gt;0,IMshareC!BO32/(SUM(IMshareC!BO$2:BO$78)-IMshareC!BO$67),0))</f>
        <v>3.0860693821069894E-2</v>
      </c>
      <c r="BP32" s="8">
        <f>IF($A32=BP$1,0,IF(SUM(IMshareC!BP$2:BP$78)-IMshareC!BP$68&gt;0,IMshareC!BP32/(SUM(IMshareC!BP$2:BP$78)-IMshareC!BP$68),0))</f>
        <v>2.9281967856851325E-2</v>
      </c>
      <c r="BQ32" s="8">
        <f>IF($A32=BQ$1,0,IF(SUM(IMshareC!BQ$2:BQ$78)-IMshareC!BQ$69&gt;0,IMshareC!BQ32/(SUM(IMshareC!BQ$2:BQ$78)-IMshareC!BQ$69),0))</f>
        <v>1.6350676401177398E-2</v>
      </c>
      <c r="BR32" s="8">
        <f>IF($A32=BR$1,0,IF(SUM(IMshareC!BR$2:BR$78)-IMshareC!BR$70&gt;0,IMshareC!BR32/(SUM(IMshareC!BR$2:BR$78)-IMshareC!BR$70),0))</f>
        <v>3.4262083916100313E-4</v>
      </c>
      <c r="BS32" s="8">
        <f>IF($A32=BS$1,0,IF(SUM(IMshareC!BS$2:BS$78)-IMshareC!BS$71&gt;0,IMshareC!BS32/(SUM(IMshareC!BS$2:BS$78)-IMshareC!BS$71),0))</f>
        <v>1.2117088498861519E-4</v>
      </c>
      <c r="BT32" s="8">
        <f>IF($A32=BT$1,0,IF(SUM(IMshareC!BT$2:BT$78)-IMshareC!BT$72&gt;0,IMshareC!BT32/(SUM(IMshareC!BT$2:BT$78)-IMshareC!BT$72),0))</f>
        <v>1.4423420870069726E-2</v>
      </c>
      <c r="BU32" s="8">
        <f>IF($A32=BU$1,0,IF(SUM(IMshareC!BU$2:BU$78)-IMshareC!BU$73&gt;0,IMshareC!BU32/(SUM(IMshareC!BU$2:BU$78)-IMshareC!BU$73),0))</f>
        <v>3.3577340627844582E-5</v>
      </c>
      <c r="BV32" s="8">
        <f>IF($A32=BV$1,0,IF(SUM(IMshareC!BV$2:BV$78)-IMshareC!BV$74&gt;0,IMshareC!BV32/(SUM(IMshareC!BV$2:BV$78)-IMshareC!BV$74),0))</f>
        <v>2.1293633469794981E-3</v>
      </c>
      <c r="BW32" s="8">
        <f>IF($A32=BW$1,0,IF(SUM(IMshareC!BW$2:BW$78)-IMshareC!BW$75&gt;0,IMshareC!BW32/(SUM(IMshareC!BW$2:BW$78)-IMshareC!BW$75),0))</f>
        <v>1.6426945512734916E-3</v>
      </c>
      <c r="BX32" s="8">
        <f>IF($A32=BX$1,0,IF(SUM(IMshareC!BX$2:BX$78)-IMshareC!BX$76&gt;0,IMshareC!BX32/(SUM(IMshareC!BX$2:BX$78)-IMshareC!BX$76),0))</f>
        <v>6.1527582495787589E-5</v>
      </c>
      <c r="BY32" s="8">
        <f>IF($A32=BY$1,0,IF(SUM(IMshareC!BY$2:BY$78)-IMshareC!BY$77&gt;0,IMshareC!BY32/(SUM(IMshareC!BY$2:BY$78)-IMshareC!BY$77),0))</f>
        <v>6.1111813575805644E-3</v>
      </c>
      <c r="BZ32" s="8">
        <f>IF($A32=BZ$1,0,IF(SUM(IMshareC!BZ$2:BZ$78)-IMshareC!BZ$78&gt;0,IMshareC!BZ32/(SUM(IMshareC!BZ$2:BZ$78)-IMshareC!BZ$78),0))</f>
        <v>2.5206724147212372E-3</v>
      </c>
    </row>
    <row r="33" spans="1:78">
      <c r="A33" s="4" t="s">
        <v>133</v>
      </c>
      <c r="B33" s="8">
        <f>IF($A33=B$1,0,IF(SUM(IMshareC!B$2:B$78)-IMshareC!B$2&gt;0,IMshareC!B33/(SUM(IMshareC!B$2:B$78)-IMshareC!B$2),0))</f>
        <v>2.5760266212589769E-3</v>
      </c>
      <c r="C33" s="8">
        <f>IF($A33=C$1,0,IF(SUM(IMshareC!C$2:C$78)-IMshareC!C$3&gt;0,IMshareC!C33/(SUM(IMshareC!C$2:C$78)-IMshareC!C$3),0))</f>
        <v>2.1833441996961457E-3</v>
      </c>
      <c r="D33" s="8">
        <f>IF($A33=D$1,0,IF(SUM(IMshareC!D$2:D$78)-IMshareC!D$4&gt;0,IMshareC!D33/(SUM(IMshareC!D$2:D$78)-IMshareC!D$4),0))</f>
        <v>1.6247103589927731E-3</v>
      </c>
      <c r="E33" s="8">
        <f>IF($A33=E$1,0,IF(SUM(IMshareC!E$2:E$78)-IMshareC!E$5&gt;0,IMshareC!E33/(SUM(IMshareC!E$2:E$78)-IMshareC!E$5),0))</f>
        <v>1.8940651001548043E-5</v>
      </c>
      <c r="F33" s="8">
        <f>IF($A33=F$1,0,IF(SUM(IMshareC!F$2:F$78)-IMshareC!F$6&gt;0,IMshareC!F33/(SUM(IMshareC!F$2:F$78)-IMshareC!F$6),0))</f>
        <v>8.7607722505778509E-6</v>
      </c>
      <c r="G33" s="8">
        <f>IF($A33=G$1,0,IF(SUM(IMshareC!G$2:G$78)-IMshareC!G$7&gt;0,IMshareC!G33/(SUM(IMshareC!G$2:G$78)-IMshareC!G$7),0))</f>
        <v>0</v>
      </c>
      <c r="H33" s="8">
        <f>IF($A33=H$1,0,IF(SUM(IMshareC!H$2:H$78)-IMshareC!H$8&gt;0,IMshareC!H33/(SUM(IMshareC!H$2:H$78)-IMshareC!H$8),0))</f>
        <v>0</v>
      </c>
      <c r="I33" s="8">
        <f>IF($A33=I$1,0,IF(SUM(IMshareC!I$2:I$78)-IMshareC!I$9&gt;0,IMshareC!I33/(SUM(IMshareC!I$2:I$78)-IMshareC!I$9),0))</f>
        <v>2.2344601035835755E-3</v>
      </c>
      <c r="J33" s="8">
        <f>IF($A33=J$1,0,IF(SUM(IMshareC!J$2:J$78)-IMshareC!J$10&gt;0,IMshareC!J33/(SUM(IMshareC!J$2:J$78)-IMshareC!J$10),0))</f>
        <v>1.229034452177005E-3</v>
      </c>
      <c r="K33" s="8">
        <f>IF($A33=K$1,0,IF(SUM(IMshareC!K$2:K$78)-IMshareC!K$11&gt;0,IMshareC!K33/(SUM(IMshareC!K$2:K$78)-IMshareC!K$11),0))</f>
        <v>1.7044947224274776E-3</v>
      </c>
      <c r="L33" s="8">
        <f>IF($A33=L$1,0,IF(SUM(IMshareC!L$2:L$78)-IMshareC!L$12&gt;0,IMshareC!L33/(SUM(IMshareC!L$2:L$78)-IMshareC!L$12),0))</f>
        <v>7.2552476908913782E-4</v>
      </c>
      <c r="M33" s="8">
        <f>IF($A33=M$1,0,IF(SUM(IMshareC!M$2:M$78)-IMshareC!M$13&gt;0,IMshareC!M33/(SUM(IMshareC!M$2:M$78)-IMshareC!M$13),0))</f>
        <v>6.3339968228152803E-4</v>
      </c>
      <c r="N33" s="8">
        <f>IF($A33=N$1,0,IF(SUM(IMshareC!N$2:N$78)-IMshareC!N$14&gt;0,IMshareC!N33/(SUM(IMshareC!N$2:N$78)-IMshareC!N$14),0))</f>
        <v>5.2745319126874021E-4</v>
      </c>
      <c r="O33" s="8">
        <f>IF($A33=O$1,0,IF(SUM(IMshareC!O$2:O$78)-IMshareC!O$15&gt;0,IMshareC!O33/(SUM(IMshareC!O$2:O$78)-IMshareC!O$15),0))</f>
        <v>3.5440238313007518E-5</v>
      </c>
      <c r="P33" s="8">
        <f>IF($A33=P$1,0,IF(SUM(IMshareC!P$2:P$78)-IMshareC!P$16&gt;0,IMshareC!P33/(SUM(IMshareC!P$2:P$78)-IMshareC!P$16),0))</f>
        <v>0</v>
      </c>
      <c r="Q33" s="8">
        <f>IF($A33=Q$1,0,IF(SUM(IMshareC!Q$2:Q$78)-IMshareC!Q$17&gt;0,IMshareC!Q33/(SUM(IMshareC!Q$2:Q$78)-IMshareC!Q$17),0))</f>
        <v>3.6679642506423711E-3</v>
      </c>
      <c r="R33" s="8">
        <f>IF($A33=R$1,0,IF(SUM(IMshareC!R$2:R$78)-IMshareC!R$18&gt;0,IMshareC!R33/(SUM(IMshareC!R$2:R$78)-IMshareC!R$18),0))</f>
        <v>1.9378803964554354E-4</v>
      </c>
      <c r="S33" s="8">
        <f>IF($A33=S$1,0,IF(SUM(IMshareC!S$2:S$78)-IMshareC!S$19&gt;0,IMshareC!S33/(SUM(IMshareC!S$2:S$78)-IMshareC!S$19),0))</f>
        <v>0</v>
      </c>
      <c r="T33" s="8">
        <f>IF($A33=T$1,0,IF(SUM(IMshareC!T$2:T$78)-IMshareC!T$20&gt;0,IMshareC!T33/(SUM(IMshareC!T$2:T$78)-IMshareC!T$20),0))</f>
        <v>7.4086116626734158E-4</v>
      </c>
      <c r="U33" s="8">
        <f>IF($A33=U$1,0,IF(SUM(IMshareC!U$2:U$78)-IMshareC!U$21&gt;0,IMshareC!U33/(SUM(IMshareC!U$2:U$78)-IMshareC!U$21),0))</f>
        <v>2.809818950522079E-3</v>
      </c>
      <c r="V33" s="8">
        <f>IF($A33=V$1,0,IF(SUM(IMshareC!V$2:V$78)-IMshareC!V$22&gt;0,IMshareC!V33/(SUM(IMshareC!V$2:V$78)-IMshareC!V$22),0))</f>
        <v>1.6386237795851775E-4</v>
      </c>
      <c r="W33" s="8">
        <f>IF($A33=W$1,0,IF(SUM(IMshareC!W$2:W$78)-IMshareC!W$23&gt;0,IMshareC!W33/(SUM(IMshareC!W$2:W$78)-IMshareC!W$23),0))</f>
        <v>6.275052846747127E-2</v>
      </c>
      <c r="X33" s="8">
        <f>IF($A33=X$1,0,IF(SUM(IMshareC!X$2:X$78)-IMshareC!X$24&gt;0,IMshareC!X33/(SUM(IMshareC!X$2:X$78)-IMshareC!X$24),0))</f>
        <v>1.0560434489337413E-3</v>
      </c>
      <c r="Y33" s="8">
        <f>IF($A33=Y$1,0,IF(SUM(IMshareC!Y$2:Y$78)-IMshareC!Y$25&gt;0,IMshareC!Y33/(SUM(IMshareC!Y$2:Y$78)-IMshareC!Y$25),0))</f>
        <v>1.2528756349273764E-3</v>
      </c>
      <c r="Z33" s="8">
        <f>IF($A33=Z$1,0,IF(SUM(IMshareC!Z$2:Z$78)-IMshareC!Z$26&gt;0,IMshareC!Z33/(SUM(IMshareC!Z$2:Z$78)-IMshareC!Z$26),0))</f>
        <v>2.2853603714763542E-3</v>
      </c>
      <c r="AA33" s="8">
        <f>IF($A33=AA$1,0,IF(SUM(IMshareC!AA$2:AA$78)-IMshareC!AA$27&gt;0,IMshareC!AA33/(SUM(IMshareC!AA$2:AA$78)-IMshareC!AA$27),0))</f>
        <v>8.6585044163768967E-4</v>
      </c>
      <c r="AB33" s="8">
        <f>IF($A33=AB$1,0,IF(SUM(IMshareC!AB$2:AB$78)-IMshareC!AB$28&gt;0,IMshareC!AB33/(SUM(IMshareC!AB$2:AB$78)-IMshareC!AB$28),0))</f>
        <v>9.4520655755300081E-4</v>
      </c>
      <c r="AC33" s="8">
        <f>IF($A33=AC$1,0,IF(SUM(IMshareC!AC$2:AC$78)-IMshareC!AC$29&gt;0,IMshareC!AC33/(SUM(IMshareC!AC$2:AC$78)-IMshareC!AC$29),0))</f>
        <v>0</v>
      </c>
      <c r="AD33" s="8">
        <f>IF($A33=AD$1,0,IF(SUM(IMshareC!AD$2:AD$78)-IMshareC!AD$30&gt;0,IMshareC!AD33/(SUM(IMshareC!AD$2:AD$78)-IMshareC!AD$30),0))</f>
        <v>8.7650301664528836E-5</v>
      </c>
      <c r="AE33" s="8">
        <f>IF($A33=AE$1,0,IF(SUM(IMshareC!AE$2:AE$78)-IMshareC!AE$31&gt;0,IMshareC!AE33/(SUM(IMshareC!AE$2:AE$78)-IMshareC!AE$31),0))</f>
        <v>1.6439341896720687E-3</v>
      </c>
      <c r="AF33" s="8">
        <f>IF($A33=AF$1,0,IF(SUM(IMshareC!AF$2:AF$78)-IMshareC!AF$32&gt;0,IMshareC!AF33/(SUM(IMshareC!AF$2:AF$78)-IMshareC!AF$32),0))</f>
        <v>1.3737675066323647E-4</v>
      </c>
      <c r="AG33" s="8">
        <f>IF($A33=AG$1,0,IF(SUM(IMshareC!AG$2:AG$78)-IMshareC!AG$33&gt;0,IMshareC!AG33/(SUM(IMshareC!AG$2:AG$78)-IMshareC!AG$33),0))</f>
        <v>0</v>
      </c>
      <c r="AH33" s="8">
        <f>IF($A33=AH$1,0,IF(SUM(IMshareC!AH$2:AH$78)-IMshareC!AH$34&gt;0,IMshareC!AH33/(SUM(IMshareC!AH$2:AH$78)-IMshareC!AH$34),0))</f>
        <v>1.1021981175525877E-3</v>
      </c>
      <c r="AI33" s="8">
        <f>IF($A33=AI$1,0,IF(SUM(IMshareC!AI$2:AI$78)-IMshareC!AI$35&gt;0,IMshareC!AI33/(SUM(IMshareC!AI$2:AI$78)-IMshareC!AI$35),0))</f>
        <v>1.5511259264587633E-4</v>
      </c>
      <c r="AJ33" s="8">
        <f>IF($A33=AJ$1,0,IF(SUM(IMshareC!AJ$2:AJ$78)-IMshareC!AJ$36&gt;0,IMshareC!AJ33/(SUM(IMshareC!AJ$2:AJ$78)-IMshareC!AJ$36),0))</f>
        <v>8.1825591695116121E-3</v>
      </c>
      <c r="AK33" s="8">
        <f>IF($A33=AK$1,0,IF(SUM(IMshareC!AK$2:AK$78)-IMshareC!AK$37&gt;0,IMshareC!AK33/(SUM(IMshareC!AK$2:AK$78)-IMshareC!AK$37),0))</f>
        <v>0</v>
      </c>
      <c r="AL33" s="8">
        <f>IF($A33=AL$1,0,IF(SUM(IMshareC!AL$2:AL$78)-IMshareC!AL$38&gt;0,IMshareC!AL33/(SUM(IMshareC!AL$2:AL$78)-IMshareC!AL$38),0))</f>
        <v>8.9699125773033301E-5</v>
      </c>
      <c r="AM33" s="8">
        <f>IF($A33=AM$1,0,IF(SUM(IMshareC!AM$2:AM$78)-IMshareC!AM$39&gt;0,IMshareC!AM33/(SUM(IMshareC!AM$2:AM$78)-IMshareC!AM$39),0))</f>
        <v>0</v>
      </c>
      <c r="AN33" s="8">
        <f>IF($A33=AN$1,0,IF(SUM(IMshareC!AN$2:AN$78)-IMshareC!AN$40&gt;0,IMshareC!AN33/(SUM(IMshareC!AN$2:AN$78)-IMshareC!AN$40),0))</f>
        <v>1.5676153874223545E-3</v>
      </c>
      <c r="AO33" s="8">
        <f>IF($A33=AO$1,0,IF(SUM(IMshareC!AO$2:AO$78)-IMshareC!AO$41&gt;0,IMshareC!AO33/(SUM(IMshareC!AO$2:AO$78)-IMshareC!AO$41),0))</f>
        <v>0</v>
      </c>
      <c r="AP33" s="8">
        <f>IF($A33=AP$1,0,IF(SUM(IMshareC!AP$2:AP$78)-IMshareC!AP$42&gt;0,IMshareC!AP33/(SUM(IMshareC!AP$2:AP$78)-IMshareC!AP$42),0))</f>
        <v>1.5853798268516964E-4</v>
      </c>
      <c r="AQ33" s="8">
        <f>IF($A33=AQ$1,0,IF(SUM(IMshareC!AQ$2:AQ$78)-IMshareC!AQ$43&gt;0,IMshareC!AQ33/(SUM(IMshareC!AQ$2:AQ$78)-IMshareC!AQ$43),0))</f>
        <v>1.0275835709315994E-3</v>
      </c>
      <c r="AR33" s="8">
        <f>IF($A33=AR$1,0,IF(SUM(IMshareC!AR$2:AR$78)-IMshareC!AR$44&gt;0,IMshareC!AR33/(SUM(IMshareC!AR$2:AR$78)-IMshareC!AR$44),0))</f>
        <v>0</v>
      </c>
      <c r="AS33" s="8">
        <f>IF($A33=AS$1,0,IF(SUM(IMshareC!AS$2:AS$78)-IMshareC!AS$45&gt;0,IMshareC!AS33/(SUM(IMshareC!AS$2:AS$78)-IMshareC!AS$45),0))</f>
        <v>1.0315636725504969E-3</v>
      </c>
      <c r="AT33" s="8">
        <f>IF($A33=AT$1,0,IF(SUM(IMshareC!AT$2:AT$78)-IMshareC!AT$46&gt;0,IMshareC!AT33/(SUM(IMshareC!AT$2:AT$78)-IMshareC!AT$46),0))</f>
        <v>7.2680840928923528E-6</v>
      </c>
      <c r="AU33" s="8">
        <f>IF($A33=AU$1,0,IF(SUM(IMshareC!AU$2:AU$78)-IMshareC!AU$47&gt;0,IMshareC!AU33/(SUM(IMshareC!AU$2:AU$78)-IMshareC!AU$47),0))</f>
        <v>1.2994025167659891E-4</v>
      </c>
      <c r="AV33" s="8">
        <f>IF($A33=AV$1,0,IF(SUM(IMshareC!AV$2:AV$78)-IMshareC!AV$48&gt;0,IMshareC!AV33/(SUM(IMshareC!AV$2:AV$78)-IMshareC!AV$48),0))</f>
        <v>1.3109719067589131E-3</v>
      </c>
      <c r="AW33" s="8">
        <f>IF($A33=AW$1,0,IF(SUM(IMshareC!AW$2:AW$78)-IMshareC!AW$49&gt;0,IMshareC!AW33/(SUM(IMshareC!AW$2:AW$78)-IMshareC!AW$49),0))</f>
        <v>1.3712022732870512E-3</v>
      </c>
      <c r="AX33" s="8">
        <f>IF($A33=AX$1,0,IF(SUM(IMshareC!AX$2:AX$78)-IMshareC!AX$50&gt;0,IMshareC!AX33/(SUM(IMshareC!AX$2:AX$78)-IMshareC!AX$50),0))</f>
        <v>0</v>
      </c>
      <c r="AY33" s="8">
        <f>IF($A33=AY$1,0,IF(SUM(IMshareC!AY$2:AY$78)-IMshareC!AY$51&gt;0,IMshareC!AY33/(SUM(IMshareC!AY$2:AY$78)-IMshareC!AY$51),0))</f>
        <v>5.4490025752497245E-4</v>
      </c>
      <c r="AZ33" s="8">
        <f>IF($A33=AZ$1,0,IF(SUM(IMshareC!AZ$2:AZ$78)-IMshareC!AZ$52&gt;0,IMshareC!AZ33/(SUM(IMshareC!AZ$2:AZ$78)-IMshareC!AZ$52),0))</f>
        <v>2.1316726914811639E-4</v>
      </c>
      <c r="BA33" s="8">
        <f>IF($A33=BA$1,0,IF(SUM(IMshareC!BA$2:BA$78)-IMshareC!BA$53&gt;0,IMshareC!BA33/(SUM(IMshareC!BA$2:BA$78)-IMshareC!BA$53),0))</f>
        <v>2.765958252488027E-4</v>
      </c>
      <c r="BB33" s="8">
        <f>IF($A33=BB$1,0,IF(SUM(IMshareC!BB$2:BB$78)-IMshareC!BB$54&gt;0,IMshareC!BB33/(SUM(IMshareC!BB$2:BB$78)-IMshareC!BB$54),0))</f>
        <v>3.0014260693215638E-4</v>
      </c>
      <c r="BC33" s="8">
        <f>IF($A33=BC$1,0,IF(SUM(IMshareC!BC$2:BC$78)-IMshareC!BC$55&gt;0,IMshareC!BC33/(SUM(IMshareC!BC$2:BC$78)-IMshareC!BC$55),0))</f>
        <v>1.2379663283782537E-3</v>
      </c>
      <c r="BD33" s="8">
        <f>IF($A33=BD$1,0,IF(SUM(IMshareC!BD$2:BD$78)-IMshareC!BD$56&gt;0,IMshareC!BD33/(SUM(IMshareC!BD$2:BD$78)-IMshareC!BD$56),0))</f>
        <v>6.93235378356654E-4</v>
      </c>
      <c r="BE33" s="8">
        <f>IF($A33=BE$1,0,IF(SUM(IMshareC!BE$2:BE$78)-IMshareC!BE$57&gt;0,IMshareC!BE33/(SUM(IMshareC!BE$2:BE$78)-IMshareC!BE$57),0))</f>
        <v>1.3491868408325159E-4</v>
      </c>
      <c r="BF33" s="8">
        <f>IF($A33=BF$1,0,IF(SUM(IMshareC!BF$2:BF$78)-IMshareC!BF$58&gt;0,IMshareC!BF33/(SUM(IMshareC!BF$2:BF$78)-IMshareC!BF$58),0))</f>
        <v>3.1096404200139807E-4</v>
      </c>
      <c r="BG33" s="8">
        <f>IF($A33=BG$1,0,IF(SUM(IMshareC!BG$2:BG$78)-IMshareC!BG$59&gt;0,IMshareC!BG33/(SUM(IMshareC!BG$2:BG$78)-IMshareC!BG$59),0))</f>
        <v>7.7757927814657034E-5</v>
      </c>
      <c r="BH33" s="8">
        <f>IF($A33=BH$1,0,IF(SUM(IMshareC!BH$2:BH$78)-IMshareC!BH$60&gt;0,IMshareC!BH33/(SUM(IMshareC!BH$2:BH$78)-IMshareC!BH$60),0))</f>
        <v>6.8498024042193688E-4</v>
      </c>
      <c r="BI33" s="8">
        <f>IF($A33=BI$1,0,IF(SUM(IMshareC!BI$2:BI$78)-IMshareC!BI$61&gt;0,IMshareC!BI33/(SUM(IMshareC!BI$2:BI$78)-IMshareC!BI$61),0))</f>
        <v>4.7345797527723117E-6</v>
      </c>
      <c r="BJ33" s="8">
        <f>IF($A33=BJ$1,0,IF(SUM(IMshareC!BJ$2:BJ$78)-IMshareC!BJ$62&gt;0,IMshareC!BJ33/(SUM(IMshareC!BJ$2:BJ$78)-IMshareC!BJ$62),0))</f>
        <v>2.6804325162144675E-6</v>
      </c>
      <c r="BK33" s="8">
        <f>IF($A33=BK$1,0,IF(SUM(IMshareC!BK$2:BK$78)-IMshareC!BK$63&gt;0,IMshareC!BK33/(SUM(IMshareC!BK$2:BK$78)-IMshareC!BK$63),0))</f>
        <v>2.9231188529112954E-4</v>
      </c>
      <c r="BL33" s="8">
        <f>IF($A33=BL$1,0,IF(SUM(IMshareC!BL$2:BL$78)-IMshareC!BL$64&gt;0,IMshareC!BL33/(SUM(IMshareC!BL$2:BL$78)-IMshareC!BL$64),0))</f>
        <v>3.2369114707410719E-5</v>
      </c>
      <c r="BM33" s="8">
        <f>IF($A33=BM$1,0,IF(SUM(IMshareC!BM$2:BM$78)-IMshareC!BM$65&gt;0,IMshareC!BM33/(SUM(IMshareC!BM$2:BM$78)-IMshareC!BM$65),0))</f>
        <v>0</v>
      </c>
      <c r="BN33" s="8">
        <f>IF($A33=BN$1,0,IF(SUM(IMshareC!BN$2:BN$78)-IMshareC!BN$66&gt;0,IMshareC!BN33/(SUM(IMshareC!BN$2:BN$78)-IMshareC!BN$66),0))</f>
        <v>2.286263643344541E-3</v>
      </c>
      <c r="BO33" s="8">
        <f>IF($A33=BO$1,0,IF(SUM(IMshareC!BO$2:BO$78)-IMshareC!BO$67&gt;0,IMshareC!BO33/(SUM(IMshareC!BO$2:BO$78)-IMshareC!BO$67),0))</f>
        <v>5.9010803052597671E-4</v>
      </c>
      <c r="BP33" s="8">
        <f>IF($A33=BP$1,0,IF(SUM(IMshareC!BP$2:BP$78)-IMshareC!BP$68&gt;0,IMshareC!BP33/(SUM(IMshareC!BP$2:BP$78)-IMshareC!BP$68),0))</f>
        <v>7.2957694324930907E-4</v>
      </c>
      <c r="BQ33" s="8">
        <f>IF($A33=BQ$1,0,IF(SUM(IMshareC!BQ$2:BQ$78)-IMshareC!BQ$69&gt;0,IMshareC!BQ33/(SUM(IMshareC!BQ$2:BQ$78)-IMshareC!BQ$69),0))</f>
        <v>1.0559641620994044E-3</v>
      </c>
      <c r="BR33" s="8">
        <f>IF($A33=BR$1,0,IF(SUM(IMshareC!BR$2:BR$78)-IMshareC!BR$70&gt;0,IMshareC!BR33/(SUM(IMshareC!BR$2:BR$78)-IMshareC!BR$70),0))</f>
        <v>1.8028131570207841E-3</v>
      </c>
      <c r="BS33" s="8">
        <f>IF($A33=BS$1,0,IF(SUM(IMshareC!BS$2:BS$78)-IMshareC!BS$71&gt;0,IMshareC!BS33/(SUM(IMshareC!BS$2:BS$78)-IMshareC!BS$71),0))</f>
        <v>2.0211314507953089E-3</v>
      </c>
      <c r="BT33" s="8">
        <f>IF($A33=BT$1,0,IF(SUM(IMshareC!BT$2:BT$78)-IMshareC!BT$72&gt;0,IMshareC!BT33/(SUM(IMshareC!BT$2:BT$78)-IMshareC!BT$72),0))</f>
        <v>1.1979812992018984E-3</v>
      </c>
      <c r="BU33" s="8">
        <f>IF($A33=BU$1,0,IF(SUM(IMshareC!BU$2:BU$78)-IMshareC!BU$73&gt;0,IMshareC!BU33/(SUM(IMshareC!BU$2:BU$78)-IMshareC!BU$73),0))</f>
        <v>2.6045610628002791E-4</v>
      </c>
      <c r="BV33" s="8">
        <f>IF($A33=BV$1,0,IF(SUM(IMshareC!BV$2:BV$78)-IMshareC!BV$74&gt;0,IMshareC!BV33/(SUM(IMshareC!BV$2:BV$78)-IMshareC!BV$74),0))</f>
        <v>3.1661373113515159E-4</v>
      </c>
      <c r="BW33" s="8">
        <f>IF($A33=BW$1,0,IF(SUM(IMshareC!BW$2:BW$78)-IMshareC!BW$75&gt;0,IMshareC!BW33/(SUM(IMshareC!BW$2:BW$78)-IMshareC!BW$75),0))</f>
        <v>7.862296160213863E-4</v>
      </c>
      <c r="BX33" s="8">
        <f>IF($A33=BX$1,0,IF(SUM(IMshareC!BX$2:BX$78)-IMshareC!BX$76&gt;0,IMshareC!BX33/(SUM(IMshareC!BX$2:BX$78)-IMshareC!BX$76),0))</f>
        <v>4.4519854561650277E-4</v>
      </c>
      <c r="BY33" s="8">
        <f>IF($A33=BY$1,0,IF(SUM(IMshareC!BY$2:BY$78)-IMshareC!BY$77&gt;0,IMshareC!BY33/(SUM(IMshareC!BY$2:BY$78)-IMshareC!BY$77),0))</f>
        <v>4.0886385573468409E-3</v>
      </c>
      <c r="BZ33" s="8">
        <f>IF($A33=BZ$1,0,IF(SUM(IMshareC!BZ$2:BZ$78)-IMshareC!BZ$78&gt;0,IMshareC!BZ33/(SUM(IMshareC!BZ$2:BZ$78)-IMshareC!BZ$78),0))</f>
        <v>4.4307912041054599E-3</v>
      </c>
    </row>
    <row r="34" spans="1:78">
      <c r="A34" s="4" t="s">
        <v>135</v>
      </c>
      <c r="B34" s="8">
        <f>IF($A34=B$1,0,IF(SUM(IMshareC!B$2:B$78)-IMshareC!B$2&gt;0,IMshareC!B34/(SUM(IMshareC!B$2:B$78)-IMshareC!B$2),0))</f>
        <v>2.4257904779623079E-3</v>
      </c>
      <c r="C34" s="8">
        <f>IF($A34=C$1,0,IF(SUM(IMshareC!C$2:C$78)-IMshareC!C$3&gt;0,IMshareC!C34/(SUM(IMshareC!C$2:C$78)-IMshareC!C$3),0))</f>
        <v>2.7850560651107655E-3</v>
      </c>
      <c r="D34" s="8">
        <f>IF($A34=D$1,0,IF(SUM(IMshareC!D$2:D$78)-IMshareC!D$4&gt;0,IMshareC!D34/(SUM(IMshareC!D$2:D$78)-IMshareC!D$4),0))</f>
        <v>1.7377028118251182E-3</v>
      </c>
      <c r="E34" s="8">
        <f>IF($A34=E$1,0,IF(SUM(IMshareC!E$2:E$78)-IMshareC!E$5&gt;0,IMshareC!E34/(SUM(IMshareC!E$2:E$78)-IMshareC!E$5),0))</f>
        <v>9.4008626945805843E-5</v>
      </c>
      <c r="F34" s="8">
        <f>IF($A34=F$1,0,IF(SUM(IMshareC!F$2:F$78)-IMshareC!F$6&gt;0,IMshareC!F34/(SUM(IMshareC!F$2:F$78)-IMshareC!F$6),0))</f>
        <v>2.3898008801807483E-2</v>
      </c>
      <c r="G34" s="8">
        <f>IF($A34=G$1,0,IF(SUM(IMshareC!G$2:G$78)-IMshareC!G$7&gt;0,IMshareC!G34/(SUM(IMshareC!G$2:G$78)-IMshareC!G$7),0))</f>
        <v>3.1110455823885145E-4</v>
      </c>
      <c r="H34" s="8">
        <f>IF($A34=H$1,0,IF(SUM(IMshareC!H$2:H$78)-IMshareC!H$8&gt;0,IMshareC!H34/(SUM(IMshareC!H$2:H$78)-IMshareC!H$8),0))</f>
        <v>1.0550186063250275E-3</v>
      </c>
      <c r="I34" s="8">
        <f>IF($A34=I$1,0,IF(SUM(IMshareC!I$2:I$78)-IMshareC!I$9&gt;0,IMshareC!I34/(SUM(IMshareC!I$2:I$78)-IMshareC!I$9),0))</f>
        <v>4.7683271903650858E-3</v>
      </c>
      <c r="J34" s="8">
        <f>IF($A34=J$1,0,IF(SUM(IMshareC!J$2:J$78)-IMshareC!J$10&gt;0,IMshareC!J34/(SUM(IMshareC!J$2:J$78)-IMshareC!J$10),0))</f>
        <v>3.446062725431138E-4</v>
      </c>
      <c r="K34" s="8">
        <f>IF($A34=K$1,0,IF(SUM(IMshareC!K$2:K$78)-IMshareC!K$11&gt;0,IMshareC!K34/(SUM(IMshareC!K$2:K$78)-IMshareC!K$11),0))</f>
        <v>9.4118089018644399E-4</v>
      </c>
      <c r="L34" s="8">
        <f>IF($A34=L$1,0,IF(SUM(IMshareC!L$2:L$78)-IMshareC!L$12&gt;0,IMshareC!L34/(SUM(IMshareC!L$2:L$78)-IMshareC!L$12),0))</f>
        <v>1.2810351415500848E-3</v>
      </c>
      <c r="M34" s="8">
        <f>IF($A34=M$1,0,IF(SUM(IMshareC!M$2:M$78)-IMshareC!M$13&gt;0,IMshareC!M34/(SUM(IMshareC!M$2:M$78)-IMshareC!M$13),0))</f>
        <v>3.5594676623988742E-3</v>
      </c>
      <c r="N34" s="8">
        <f>IF($A34=N$1,0,IF(SUM(IMshareC!N$2:N$78)-IMshareC!N$14&gt;0,IMshareC!N34/(SUM(IMshareC!N$2:N$78)-IMshareC!N$14),0))</f>
        <v>8.2404002259834646E-5</v>
      </c>
      <c r="O34" s="8">
        <f>IF($A34=O$1,0,IF(SUM(IMshareC!O$2:O$78)-IMshareC!O$15&gt;0,IMshareC!O34/(SUM(IMshareC!O$2:O$78)-IMshareC!O$15),0))</f>
        <v>3.3832927445536479E-3</v>
      </c>
      <c r="P34" s="8">
        <f>IF($A34=P$1,0,IF(SUM(IMshareC!P$2:P$78)-IMshareC!P$16&gt;0,IMshareC!P34/(SUM(IMshareC!P$2:P$78)-IMshareC!P$16),0))</f>
        <v>9.8908887854611931E-3</v>
      </c>
      <c r="Q34" s="8">
        <f>IF($A34=Q$1,0,IF(SUM(IMshareC!Q$2:Q$78)-IMshareC!Q$17&gt;0,IMshareC!Q34/(SUM(IMshareC!Q$2:Q$78)-IMshareC!Q$17),0))</f>
        <v>1.0186610011101679E-2</v>
      </c>
      <c r="R34" s="8">
        <f>IF($A34=R$1,0,IF(SUM(IMshareC!R$2:R$78)-IMshareC!R$18&gt;0,IMshareC!R34/(SUM(IMshareC!R$2:R$78)-IMshareC!R$18),0))</f>
        <v>8.6240630213864251E-3</v>
      </c>
      <c r="S34" s="8">
        <f>IF($A34=S$1,0,IF(SUM(IMshareC!S$2:S$78)-IMshareC!S$19&gt;0,IMshareC!S34/(SUM(IMshareC!S$2:S$78)-IMshareC!S$19),0))</f>
        <v>9.4113457676052188E-4</v>
      </c>
      <c r="T34" s="8">
        <f>IF($A34=T$1,0,IF(SUM(IMshareC!T$2:T$78)-IMshareC!T$20&gt;0,IMshareC!T34/(SUM(IMshareC!T$2:T$78)-IMshareC!T$20),0))</f>
        <v>4.7563123125895829E-4</v>
      </c>
      <c r="U34" s="8">
        <f>IF($A34=U$1,0,IF(SUM(IMshareC!U$2:U$78)-IMshareC!U$21&gt;0,IMshareC!U34/(SUM(IMshareC!U$2:U$78)-IMshareC!U$21),0))</f>
        <v>9.5344896239052174E-4</v>
      </c>
      <c r="V34" s="8">
        <f>IF($A34=V$1,0,IF(SUM(IMshareC!V$2:V$78)-IMshareC!V$22&gt;0,IMshareC!V34/(SUM(IMshareC!V$2:V$78)-IMshareC!V$22),0))</f>
        <v>1.3366272963712574E-3</v>
      </c>
      <c r="W34" s="8">
        <f>IF($A34=W$1,0,IF(SUM(IMshareC!W$2:W$78)-IMshareC!W$23&gt;0,IMshareC!W34/(SUM(IMshareC!W$2:W$78)-IMshareC!W$23),0))</f>
        <v>5.9005846470088184E-3</v>
      </c>
      <c r="X34" s="8">
        <f>IF($A34=X$1,0,IF(SUM(IMshareC!X$2:X$78)-IMshareC!X$24&gt;0,IMshareC!X34/(SUM(IMshareC!X$2:X$78)-IMshareC!X$24),0))</f>
        <v>9.3860925309429105E-4</v>
      </c>
      <c r="Y34" s="8">
        <f>IF($A34=Y$1,0,IF(SUM(IMshareC!Y$2:Y$78)-IMshareC!Y$25&gt;0,IMshareC!Y34/(SUM(IMshareC!Y$2:Y$78)-IMshareC!Y$25),0))</f>
        <v>1.1302399844641123E-3</v>
      </c>
      <c r="Z34" s="8">
        <f>IF($A34=Z$1,0,IF(SUM(IMshareC!Z$2:Z$78)-IMshareC!Z$26&gt;0,IMshareC!Z34/(SUM(IMshareC!Z$2:Z$78)-IMshareC!Z$26),0))</f>
        <v>4.3254542979404958E-4</v>
      </c>
      <c r="AA34" s="8">
        <f>IF($A34=AA$1,0,IF(SUM(IMshareC!AA$2:AA$78)-IMshareC!AA$27&gt;0,IMshareC!AA34/(SUM(IMshareC!AA$2:AA$78)-IMshareC!AA$27),0))</f>
        <v>1.5837989315417304E-3</v>
      </c>
      <c r="AB34" s="8">
        <f>IF($A34=AB$1,0,IF(SUM(IMshareC!AB$2:AB$78)-IMshareC!AB$28&gt;0,IMshareC!AB34/(SUM(IMshareC!AB$2:AB$78)-IMshareC!AB$28),0))</f>
        <v>2.0968456563489777E-3</v>
      </c>
      <c r="AC34" s="8">
        <f>IF($A34=AC$1,0,IF(SUM(IMshareC!AC$2:AC$78)-IMshareC!AC$29&gt;0,IMshareC!AC34/(SUM(IMshareC!AC$2:AC$78)-IMshareC!AC$29),0))</f>
        <v>3.5437764320363774E-3</v>
      </c>
      <c r="AD34" s="8">
        <f>IF($A34=AD$1,0,IF(SUM(IMshareC!AD$2:AD$78)-IMshareC!AD$30&gt;0,IMshareC!AD34/(SUM(IMshareC!AD$2:AD$78)-IMshareC!AD$30),0))</f>
        <v>3.9289237136309738E-4</v>
      </c>
      <c r="AE34" s="8">
        <f>IF($A34=AE$1,0,IF(SUM(IMshareC!AE$2:AE$78)-IMshareC!AE$31&gt;0,IMshareC!AE34/(SUM(IMshareC!AE$2:AE$78)-IMshareC!AE$31),0))</f>
        <v>9.071994462376156E-5</v>
      </c>
      <c r="AF34" s="8">
        <f>IF($A34=AF$1,0,IF(SUM(IMshareC!AF$2:AF$78)-IMshareC!AF$32&gt;0,IMshareC!AF34/(SUM(IMshareC!AF$2:AF$78)-IMshareC!AF$32),0))</f>
        <v>1.2553484946844628E-3</v>
      </c>
      <c r="AG34" s="8">
        <f>IF($A34=AG$1,0,IF(SUM(IMshareC!AG$2:AG$78)-IMshareC!AG$33&gt;0,IMshareC!AG34/(SUM(IMshareC!AG$2:AG$78)-IMshareC!AG$33),0))</f>
        <v>2.4281365513126522E-3</v>
      </c>
      <c r="AH34" s="8">
        <f>IF($A34=AH$1,0,IF(SUM(IMshareC!AH$2:AH$78)-IMshareC!AH$34&gt;0,IMshareC!AH34/(SUM(IMshareC!AH$2:AH$78)-IMshareC!AH$34),0))</f>
        <v>0</v>
      </c>
      <c r="AI34" s="8">
        <f>IF($A34=AI$1,0,IF(SUM(IMshareC!AI$2:AI$78)-IMshareC!AI$35&gt;0,IMshareC!AI34/(SUM(IMshareC!AI$2:AI$78)-IMshareC!AI$35),0))</f>
        <v>1.2565261646087152E-4</v>
      </c>
      <c r="AJ34" s="8">
        <f>IF($A34=AJ$1,0,IF(SUM(IMshareC!AJ$2:AJ$78)-IMshareC!AJ$36&gt;0,IMshareC!AJ34/(SUM(IMshareC!AJ$2:AJ$78)-IMshareC!AJ$36),0))</f>
        <v>1.5565825241964225E-3</v>
      </c>
      <c r="AK34" s="8">
        <f>IF($A34=AK$1,0,IF(SUM(IMshareC!AK$2:AK$78)-IMshareC!AK$37&gt;0,IMshareC!AK34/(SUM(IMshareC!AK$2:AK$78)-IMshareC!AK$37),0))</f>
        <v>6.3135144561868245E-3</v>
      </c>
      <c r="AL34" s="8">
        <f>IF($A34=AL$1,0,IF(SUM(IMshareC!AL$2:AL$78)-IMshareC!AL$38&gt;0,IMshareC!AL34/(SUM(IMshareC!AL$2:AL$78)-IMshareC!AL$38),0))</f>
        <v>1.7841798617535009E-3</v>
      </c>
      <c r="AM34" s="8">
        <f>IF($A34=AM$1,0,IF(SUM(IMshareC!AM$2:AM$78)-IMshareC!AM$39&gt;0,IMshareC!AM34/(SUM(IMshareC!AM$2:AM$78)-IMshareC!AM$39),0))</f>
        <v>4.1134614242312253E-2</v>
      </c>
      <c r="AN34" s="8">
        <f>IF($A34=AN$1,0,IF(SUM(IMshareC!AN$2:AN$78)-IMshareC!AN$40&gt;0,IMshareC!AN34/(SUM(IMshareC!AN$2:AN$78)-IMshareC!AN$40),0))</f>
        <v>9.5195453311349104E-4</v>
      </c>
      <c r="AO34" s="8">
        <f>IF($A34=AO$1,0,IF(SUM(IMshareC!AO$2:AO$78)-IMshareC!AO$41&gt;0,IMshareC!AO34/(SUM(IMshareC!AO$2:AO$78)-IMshareC!AO$41),0))</f>
        <v>3.7285856507950881E-5</v>
      </c>
      <c r="AP34" s="8">
        <f>IF($A34=AP$1,0,IF(SUM(IMshareC!AP$2:AP$78)-IMshareC!AP$42&gt;0,IMshareC!AP34/(SUM(IMshareC!AP$2:AP$78)-IMshareC!AP$42),0))</f>
        <v>1.2423977699493732E-5</v>
      </c>
      <c r="AQ34" s="8">
        <f>IF($A34=AQ$1,0,IF(SUM(IMshareC!AQ$2:AQ$78)-IMshareC!AQ$43&gt;0,IMshareC!AQ34/(SUM(IMshareC!AQ$2:AQ$78)-IMshareC!AQ$43),0))</f>
        <v>2.0529907522884137E-4</v>
      </c>
      <c r="AR34" s="8">
        <f>IF($A34=AR$1,0,IF(SUM(IMshareC!AR$2:AR$78)-IMshareC!AR$44&gt;0,IMshareC!AR34/(SUM(IMshareC!AR$2:AR$78)-IMshareC!AR$44),0))</f>
        <v>1.1696375326145293E-4</v>
      </c>
      <c r="AS34" s="8">
        <f>IF($A34=AS$1,0,IF(SUM(IMshareC!AS$2:AS$78)-IMshareC!AS$45&gt;0,IMshareC!AS34/(SUM(IMshareC!AS$2:AS$78)-IMshareC!AS$45),0))</f>
        <v>8.5510341556550309E-5</v>
      </c>
      <c r="AT34" s="8">
        <f>IF($A34=AT$1,0,IF(SUM(IMshareC!AT$2:AT$78)-IMshareC!AT$46&gt;0,IMshareC!AT34/(SUM(IMshareC!AT$2:AT$78)-IMshareC!AT$46),0))</f>
        <v>2.5517916179752608E-4</v>
      </c>
      <c r="AU34" s="8">
        <f>IF($A34=AU$1,0,IF(SUM(IMshareC!AU$2:AU$78)-IMshareC!AU$47&gt;0,IMshareC!AU34/(SUM(IMshareC!AU$2:AU$78)-IMshareC!AU$47),0))</f>
        <v>2.2670647789531601E-4</v>
      </c>
      <c r="AV34" s="8">
        <f>IF($A34=AV$1,0,IF(SUM(IMshareC!AV$2:AV$78)-IMshareC!AV$48&gt;0,IMshareC!AV34/(SUM(IMshareC!AV$2:AV$78)-IMshareC!AV$48),0))</f>
        <v>1.9635705040565565E-3</v>
      </c>
      <c r="AW34" s="8">
        <f>IF($A34=AW$1,0,IF(SUM(IMshareC!AW$2:AW$78)-IMshareC!AW$49&gt;0,IMshareC!AW34/(SUM(IMshareC!AW$2:AW$78)-IMshareC!AW$49),0))</f>
        <v>8.347395733026595E-4</v>
      </c>
      <c r="AX34" s="8">
        <f>IF($A34=AX$1,0,IF(SUM(IMshareC!AX$2:AX$78)-IMshareC!AX$50&gt;0,IMshareC!AX34/(SUM(IMshareC!AX$2:AX$78)-IMshareC!AX$50),0))</f>
        <v>1.4275644739730059E-4</v>
      </c>
      <c r="AY34" s="8">
        <f>IF($A34=AY$1,0,IF(SUM(IMshareC!AY$2:AY$78)-IMshareC!AY$51&gt;0,IMshareC!AY34/(SUM(IMshareC!AY$2:AY$78)-IMshareC!AY$51),0))</f>
        <v>6.9858847236458511E-3</v>
      </c>
      <c r="AZ34" s="8">
        <f>IF($A34=AZ$1,0,IF(SUM(IMshareC!AZ$2:AZ$78)-IMshareC!AZ$52&gt;0,IMshareC!AZ34/(SUM(IMshareC!AZ$2:AZ$78)-IMshareC!AZ$52),0))</f>
        <v>3.1196093171049322E-4</v>
      </c>
      <c r="BA34" s="8">
        <f>IF($A34=BA$1,0,IF(SUM(IMshareC!BA$2:BA$78)-IMshareC!BA$53&gt;0,IMshareC!BA34/(SUM(IMshareC!BA$2:BA$78)-IMshareC!BA$53),0))</f>
        <v>8.5329827328255781E-2</v>
      </c>
      <c r="BB34" s="8">
        <f>IF($A34=BB$1,0,IF(SUM(IMshareC!BB$2:BB$78)-IMshareC!BB$54&gt;0,IMshareC!BB34/(SUM(IMshareC!BB$2:BB$78)-IMshareC!BB$54),0))</f>
        <v>3.9323743258069869E-4</v>
      </c>
      <c r="BC34" s="8">
        <f>IF($A34=BC$1,0,IF(SUM(IMshareC!BC$2:BC$78)-IMshareC!BC$55&gt;0,IMshareC!BC34/(SUM(IMshareC!BC$2:BC$78)-IMshareC!BC$55),0))</f>
        <v>1.3906731705180398E-3</v>
      </c>
      <c r="BD34" s="8">
        <f>IF($A34=BD$1,0,IF(SUM(IMshareC!BD$2:BD$78)-IMshareC!BD$56&gt;0,IMshareC!BD34/(SUM(IMshareC!BD$2:BD$78)-IMshareC!BD$56),0))</f>
        <v>1.4012451525084652E-3</v>
      </c>
      <c r="BE34" s="8">
        <f>IF($A34=BE$1,0,IF(SUM(IMshareC!BE$2:BE$78)-IMshareC!BE$57&gt;0,IMshareC!BE34/(SUM(IMshareC!BE$2:BE$78)-IMshareC!BE$57),0))</f>
        <v>1.703179192726812E-6</v>
      </c>
      <c r="BF34" s="8">
        <f>IF($A34=BF$1,0,IF(SUM(IMshareC!BF$2:BF$78)-IMshareC!BF$58&gt;0,IMshareC!BF34/(SUM(IMshareC!BF$2:BF$78)-IMshareC!BF$58),0))</f>
        <v>1.1188175583725059E-2</v>
      </c>
      <c r="BG34" s="8">
        <f>IF($A34=BG$1,0,IF(SUM(IMshareC!BG$2:BG$78)-IMshareC!BG$59&gt;0,IMshareC!BG34/(SUM(IMshareC!BG$2:BG$78)-IMshareC!BG$59),0))</f>
        <v>5.6891179773447608E-5</v>
      </c>
      <c r="BH34" s="8">
        <f>IF($A34=BH$1,0,IF(SUM(IMshareC!BH$2:BH$78)-IMshareC!BH$60&gt;0,IMshareC!BH34/(SUM(IMshareC!BH$2:BH$78)-IMshareC!BH$60),0))</f>
        <v>2.7470810008671352E-4</v>
      </c>
      <c r="BI34" s="8">
        <f>IF($A34=BI$1,0,IF(SUM(IMshareC!BI$2:BI$78)-IMshareC!BI$61&gt;0,IMshareC!BI34/(SUM(IMshareC!BI$2:BI$78)-IMshareC!BI$61),0))</f>
        <v>7.6767296746357285E-4</v>
      </c>
      <c r="BJ34" s="8">
        <f>IF($A34=BJ$1,0,IF(SUM(IMshareC!BJ$2:BJ$78)-IMshareC!BJ$62&gt;0,IMshareC!BJ34/(SUM(IMshareC!BJ$2:BJ$78)-IMshareC!BJ$62),0))</f>
        <v>3.3779698008530617E-4</v>
      </c>
      <c r="BK34" s="8">
        <f>IF($A34=BK$1,0,IF(SUM(IMshareC!BK$2:BK$78)-IMshareC!BK$63&gt;0,IMshareC!BK34/(SUM(IMshareC!BK$2:BK$78)-IMshareC!BK$63),0))</f>
        <v>5.4543626326082652E-3</v>
      </c>
      <c r="BL34" s="8">
        <f>IF($A34=BL$1,0,IF(SUM(IMshareC!BL$2:BL$78)-IMshareC!BL$64&gt;0,IMshareC!BL34/(SUM(IMshareC!BL$2:BL$78)-IMshareC!BL$64),0))</f>
        <v>1.9632041998268662E-2</v>
      </c>
      <c r="BM34" s="8">
        <f>IF($A34=BM$1,0,IF(SUM(IMshareC!BM$2:BM$78)-IMshareC!BM$65&gt;0,IMshareC!BM34/(SUM(IMshareC!BM$2:BM$78)-IMshareC!BM$65),0))</f>
        <v>6.9822076013237675E-3</v>
      </c>
      <c r="BN34" s="8">
        <f>IF($A34=BN$1,0,IF(SUM(IMshareC!BN$2:BN$78)-IMshareC!BN$66&gt;0,IMshareC!BN34/(SUM(IMshareC!BN$2:BN$78)-IMshareC!BN$66),0))</f>
        <v>3.0154050272075737E-4</v>
      </c>
      <c r="BO34" s="8">
        <f>IF($A34=BO$1,0,IF(SUM(IMshareC!BO$2:BO$78)-IMshareC!BO$67&gt;0,IMshareC!BO34/(SUM(IMshareC!BO$2:BO$78)-IMshareC!BO$67),0))</f>
        <v>4.5284763579602107E-4</v>
      </c>
      <c r="BP34" s="8">
        <f>IF($A34=BP$1,0,IF(SUM(IMshareC!BP$2:BP$78)-IMshareC!BP$68&gt;0,IMshareC!BP34/(SUM(IMshareC!BP$2:BP$78)-IMshareC!BP$68),0))</f>
        <v>1.3665084128928933E-3</v>
      </c>
      <c r="BQ34" s="8">
        <f>IF($A34=BQ$1,0,IF(SUM(IMshareC!BQ$2:BQ$78)-IMshareC!BQ$69&gt;0,IMshareC!BQ34/(SUM(IMshareC!BQ$2:BQ$78)-IMshareC!BQ$69),0))</f>
        <v>2.1389402272449028E-3</v>
      </c>
      <c r="BR34" s="8">
        <f>IF($A34=BR$1,0,IF(SUM(IMshareC!BR$2:BR$78)-IMshareC!BR$70&gt;0,IMshareC!BR34/(SUM(IMshareC!BR$2:BR$78)-IMshareC!BR$70),0))</f>
        <v>6.3430075176723589E-4</v>
      </c>
      <c r="BS34" s="8">
        <f>IF($A34=BS$1,0,IF(SUM(IMshareC!BS$2:BS$78)-IMshareC!BS$71&gt;0,IMshareC!BS34/(SUM(IMshareC!BS$2:BS$78)-IMshareC!BS$71),0))</f>
        <v>5.0362076729831764E-4</v>
      </c>
      <c r="BT34" s="8">
        <f>IF($A34=BT$1,0,IF(SUM(IMshareC!BT$2:BT$78)-IMshareC!BT$72&gt;0,IMshareC!BT34/(SUM(IMshareC!BT$2:BT$78)-IMshareC!BT$72),0))</f>
        <v>5.8859979950725977E-3</v>
      </c>
      <c r="BU34" s="8">
        <f>IF($A34=BU$1,0,IF(SUM(IMshareC!BU$2:BU$78)-IMshareC!BU$73&gt;0,IMshareC!BU34/(SUM(IMshareC!BU$2:BU$78)-IMshareC!BU$73),0))</f>
        <v>2.4660918294546101E-5</v>
      </c>
      <c r="BV34" s="8">
        <f>IF($A34=BV$1,0,IF(SUM(IMshareC!BV$2:BV$78)-IMshareC!BV$74&gt;0,IMshareC!BV34/(SUM(IMshareC!BV$2:BV$78)-IMshareC!BV$74),0))</f>
        <v>1.5873589053071451E-4</v>
      </c>
      <c r="BW34" s="8">
        <f>IF($A34=BW$1,0,IF(SUM(IMshareC!BW$2:BW$78)-IMshareC!BW$75&gt;0,IMshareC!BW34/(SUM(IMshareC!BW$2:BW$78)-IMshareC!BW$75),0))</f>
        <v>8.5540422152085487E-4</v>
      </c>
      <c r="BX34" s="8">
        <f>IF($A34=BX$1,0,IF(SUM(IMshareC!BX$2:BX$78)-IMshareC!BX$76&gt;0,IMshareC!BX34/(SUM(IMshareC!BX$2:BX$78)-IMshareC!BX$76),0))</f>
        <v>7.1389958307534337E-4</v>
      </c>
      <c r="BY34" s="8">
        <f>IF($A34=BY$1,0,IF(SUM(IMshareC!BY$2:BY$78)-IMshareC!BY$77&gt;0,IMshareC!BY34/(SUM(IMshareC!BY$2:BY$78)-IMshareC!BY$77),0))</f>
        <v>5.3526256790462677E-3</v>
      </c>
      <c r="BZ34" s="8">
        <f>IF($A34=BZ$1,0,IF(SUM(IMshareC!BZ$2:BZ$78)-IMshareC!BZ$78&gt;0,IMshareC!BZ34/(SUM(IMshareC!BZ$2:BZ$78)-IMshareC!BZ$78),0))</f>
        <v>2.3507606045476817E-2</v>
      </c>
    </row>
    <row r="35" spans="1:78">
      <c r="A35" s="4" t="s">
        <v>137</v>
      </c>
      <c r="B35" s="8">
        <f>IF($A35=B$1,0,IF(SUM(IMshareC!B$2:B$78)-IMshareC!B$2&gt;0,IMshareC!B35/(SUM(IMshareC!B$2:B$78)-IMshareC!B$2),0))</f>
        <v>4.8781862469928943E-5</v>
      </c>
      <c r="C35" s="8">
        <f>IF($A35=C$1,0,IF(SUM(IMshareC!C$2:C$78)-IMshareC!C$3&gt;0,IMshareC!C35/(SUM(IMshareC!C$2:C$78)-IMshareC!C$3),0))</f>
        <v>6.82277287762918E-4</v>
      </c>
      <c r="D35" s="8">
        <f>IF($A35=D$1,0,IF(SUM(IMshareC!D$2:D$78)-IMshareC!D$4&gt;0,IMshareC!D35/(SUM(IMshareC!D$2:D$78)-IMshareC!D$4),0))</f>
        <v>1.9104758882371113E-3</v>
      </c>
      <c r="E35" s="8">
        <f>IF($A35=E$1,0,IF(SUM(IMshareC!E$2:E$78)-IMshareC!E$5&gt;0,IMshareC!E35/(SUM(IMshareC!E$2:E$78)-IMshareC!E$5),0))</f>
        <v>1.6610778901829213E-3</v>
      </c>
      <c r="F35" s="8">
        <f>IF($A35=F$1,0,IF(SUM(IMshareC!F$2:F$78)-IMshareC!F$6&gt;0,IMshareC!F35/(SUM(IMshareC!F$2:F$78)-IMshareC!F$6),0))</f>
        <v>0</v>
      </c>
      <c r="G35" s="8">
        <f>IF($A35=G$1,0,IF(SUM(IMshareC!G$2:G$78)-IMshareC!G$7&gt;0,IMshareC!G35/(SUM(IMshareC!G$2:G$78)-IMshareC!G$7),0))</f>
        <v>5.7058221247678848E-4</v>
      </c>
      <c r="H35" s="8">
        <f>IF($A35=H$1,0,IF(SUM(IMshareC!H$2:H$78)-IMshareC!H$8&gt;0,IMshareC!H35/(SUM(IMshareC!H$2:H$78)-IMshareC!H$8),0))</f>
        <v>0</v>
      </c>
      <c r="I35" s="8">
        <f>IF($A35=I$1,0,IF(SUM(IMshareC!I$2:I$78)-IMshareC!I$9&gt;0,IMshareC!I35/(SUM(IMshareC!I$2:I$78)-IMshareC!I$9),0))</f>
        <v>3.4963559416096435E-4</v>
      </c>
      <c r="J35" s="8">
        <f>IF($A35=J$1,0,IF(SUM(IMshareC!J$2:J$78)-IMshareC!J$10&gt;0,IMshareC!J35/(SUM(IMshareC!J$2:J$78)-IMshareC!J$10),0))</f>
        <v>7.0876808006923678E-6</v>
      </c>
      <c r="K35" s="8">
        <f>IF($A35=K$1,0,IF(SUM(IMshareC!K$2:K$78)-IMshareC!K$11&gt;0,IMshareC!K35/(SUM(IMshareC!K$2:K$78)-IMshareC!K$11),0))</f>
        <v>9.7588048538901076E-5</v>
      </c>
      <c r="L35" s="8">
        <f>IF($A35=L$1,0,IF(SUM(IMshareC!L$2:L$78)-IMshareC!L$12&gt;0,IMshareC!L35/(SUM(IMshareC!L$2:L$78)-IMshareC!L$12),0))</f>
        <v>7.3455571857247942E-4</v>
      </c>
      <c r="M35" s="8">
        <f>IF($A35=M$1,0,IF(SUM(IMshareC!M$2:M$78)-IMshareC!M$13&gt;0,IMshareC!M35/(SUM(IMshareC!M$2:M$78)-IMshareC!M$13),0))</f>
        <v>7.2950857198667216E-5</v>
      </c>
      <c r="N35" s="8">
        <f>IF($A35=N$1,0,IF(SUM(IMshareC!N$2:N$78)-IMshareC!N$14&gt;0,IMshareC!N35/(SUM(IMshareC!N$2:N$78)-IMshareC!N$14),0))</f>
        <v>1.8746212279106809E-2</v>
      </c>
      <c r="O35" s="8">
        <f>IF($A35=O$1,0,IF(SUM(IMshareC!O$2:O$78)-IMshareC!O$15&gt;0,IMshareC!O35/(SUM(IMshareC!O$2:O$78)-IMshareC!O$15),0))</f>
        <v>7.269387892371072E-4</v>
      </c>
      <c r="P35" s="8">
        <f>IF($A35=P$1,0,IF(SUM(IMshareC!P$2:P$78)-IMshareC!P$16&gt;0,IMshareC!P35/(SUM(IMshareC!P$2:P$78)-IMshareC!P$16),0))</f>
        <v>0</v>
      </c>
      <c r="Q35" s="8">
        <f>IF($A35=Q$1,0,IF(SUM(IMshareC!Q$2:Q$78)-IMshareC!Q$17&gt;0,IMshareC!Q35/(SUM(IMshareC!Q$2:Q$78)-IMshareC!Q$17),0))</f>
        <v>2.7601169904020343E-4</v>
      </c>
      <c r="R35" s="8">
        <f>IF($A35=R$1,0,IF(SUM(IMshareC!R$2:R$78)-IMshareC!R$18&gt;0,IMshareC!R35/(SUM(IMshareC!R$2:R$78)-IMshareC!R$18),0))</f>
        <v>5.9766333641154718E-4</v>
      </c>
      <c r="S35" s="8">
        <f>IF($A35=S$1,0,IF(SUM(IMshareC!S$2:S$78)-IMshareC!S$19&gt;0,IMshareC!S35/(SUM(IMshareC!S$2:S$78)-IMshareC!S$19),0))</f>
        <v>2.2561426116588205E-6</v>
      </c>
      <c r="T35" s="8">
        <f>IF($A35=T$1,0,IF(SUM(IMshareC!T$2:T$78)-IMshareC!T$20&gt;0,IMshareC!T35/(SUM(IMshareC!T$2:T$78)-IMshareC!T$20),0))</f>
        <v>8.9165681062175137E-3</v>
      </c>
      <c r="U35" s="8">
        <f>IF($A35=U$1,0,IF(SUM(IMshareC!U$2:U$78)-IMshareC!U$21&gt;0,IMshareC!U35/(SUM(IMshareC!U$2:U$78)-IMshareC!U$21),0))</f>
        <v>2.570231611124827E-2</v>
      </c>
      <c r="V35" s="8">
        <f>IF($A35=V$1,0,IF(SUM(IMshareC!V$2:V$78)-IMshareC!V$22&gt;0,IMshareC!V35/(SUM(IMshareC!V$2:V$78)-IMshareC!V$22),0))</f>
        <v>8.0395486516440587E-3</v>
      </c>
      <c r="W35" s="8">
        <f>IF($A35=W$1,0,IF(SUM(IMshareC!W$2:W$78)-IMshareC!W$23&gt;0,IMshareC!W35/(SUM(IMshareC!W$2:W$78)-IMshareC!W$23),0))</f>
        <v>6.5587103886616477E-4</v>
      </c>
      <c r="X35" s="8">
        <f>IF($A35=X$1,0,IF(SUM(IMshareC!X$2:X$78)-IMshareC!X$24&gt;0,IMshareC!X35/(SUM(IMshareC!X$2:X$78)-IMshareC!X$24),0))</f>
        <v>2.4283157009507015E-3</v>
      </c>
      <c r="Y35" s="8">
        <f>IF($A35=Y$1,0,IF(SUM(IMshareC!Y$2:Y$78)-IMshareC!Y$25&gt;0,IMshareC!Y35/(SUM(IMshareC!Y$2:Y$78)-IMshareC!Y$25),0))</f>
        <v>5.6748082541002243E-3</v>
      </c>
      <c r="Z35" s="8">
        <f>IF($A35=Z$1,0,IF(SUM(IMshareC!Z$2:Z$78)-IMshareC!Z$26&gt;0,IMshareC!Z35/(SUM(IMshareC!Z$2:Z$78)-IMshareC!Z$26),0))</f>
        <v>4.9882623644511579E-3</v>
      </c>
      <c r="AA35" s="8">
        <f>IF($A35=AA$1,0,IF(SUM(IMshareC!AA$2:AA$78)-IMshareC!AA$27&gt;0,IMshareC!AA35/(SUM(IMshareC!AA$2:AA$78)-IMshareC!AA$27),0))</f>
        <v>7.1337023719339988E-3</v>
      </c>
      <c r="AB35" s="8">
        <f>IF($A35=AB$1,0,IF(SUM(IMshareC!AB$2:AB$78)-IMshareC!AB$28&gt;0,IMshareC!AB35/(SUM(IMshareC!AB$2:AB$78)-IMshareC!AB$28),0))</f>
        <v>7.3425638364209133E-3</v>
      </c>
      <c r="AC35" s="8">
        <f>IF($A35=AC$1,0,IF(SUM(IMshareC!AC$2:AC$78)-IMshareC!AC$29&gt;0,IMshareC!AC35/(SUM(IMshareC!AC$2:AC$78)-IMshareC!AC$29),0))</f>
        <v>6.1078724843811525E-4</v>
      </c>
      <c r="AD35" s="8">
        <f>IF($A35=AD$1,0,IF(SUM(IMshareC!AD$2:AD$78)-IMshareC!AD$30&gt;0,IMshareC!AD35/(SUM(IMshareC!AD$2:AD$78)-IMshareC!AD$30),0))</f>
        <v>7.9607775966211342E-5</v>
      </c>
      <c r="AE35" s="8">
        <f>IF($A35=AE$1,0,IF(SUM(IMshareC!AE$2:AE$78)-IMshareC!AE$31&gt;0,IMshareC!AE35/(SUM(IMshareC!AE$2:AE$78)-IMshareC!AE$31),0))</f>
        <v>3.9690736373598967E-3</v>
      </c>
      <c r="AF35" s="8">
        <f>IF($A35=AF$1,0,IF(SUM(IMshareC!AF$2:AF$78)-IMshareC!AF$32&gt;0,IMshareC!AF35/(SUM(IMshareC!AF$2:AF$78)-IMshareC!AF$32),0))</f>
        <v>2.2843905316762027E-2</v>
      </c>
      <c r="AG35" s="8">
        <f>IF($A35=AG$1,0,IF(SUM(IMshareC!AG$2:AG$78)-IMshareC!AG$33&gt;0,IMshareC!AG35/(SUM(IMshareC!AG$2:AG$78)-IMshareC!AG$33),0))</f>
        <v>2.6896744252077464E-6</v>
      </c>
      <c r="AH35" s="8">
        <f>IF($A35=AH$1,0,IF(SUM(IMshareC!AH$2:AH$78)-IMshareC!AH$34&gt;0,IMshareC!AH35/(SUM(IMshareC!AH$2:AH$78)-IMshareC!AH$34),0))</f>
        <v>4.4667851506314006E-2</v>
      </c>
      <c r="AI35" s="8">
        <f>IF($A35=AI$1,0,IF(SUM(IMshareC!AI$2:AI$78)-IMshareC!AI$35&gt;0,IMshareC!AI35/(SUM(IMshareC!AI$2:AI$78)-IMshareC!AI$35),0))</f>
        <v>0</v>
      </c>
      <c r="AJ35" s="8">
        <f>IF($A35=AJ$1,0,IF(SUM(IMshareC!AJ$2:AJ$78)-IMshareC!AJ$36&gt;0,IMshareC!AJ35/(SUM(IMshareC!AJ$2:AJ$78)-IMshareC!AJ$36),0))</f>
        <v>2.5791109403013117E-4</v>
      </c>
      <c r="AK35" s="8">
        <f>IF($A35=AK$1,0,IF(SUM(IMshareC!AK$2:AK$78)-IMshareC!AK$37&gt;0,IMshareC!AK35/(SUM(IMshareC!AK$2:AK$78)-IMshareC!AK$37),0))</f>
        <v>1.2802674068113213E-2</v>
      </c>
      <c r="AL35" s="8">
        <f>IF($A35=AL$1,0,IF(SUM(IMshareC!AL$2:AL$78)-IMshareC!AL$38&gt;0,IMshareC!AL35/(SUM(IMshareC!AL$2:AL$78)-IMshareC!AL$38),0))</f>
        <v>1.8140891734659399E-2</v>
      </c>
      <c r="AM35" s="8">
        <f>IF($A35=AM$1,0,IF(SUM(IMshareC!AM$2:AM$78)-IMshareC!AM$39&gt;0,IMshareC!AM35/(SUM(IMshareC!AM$2:AM$78)-IMshareC!AM$39),0))</f>
        <v>1.1402054792016221E-4</v>
      </c>
      <c r="AN35" s="8">
        <f>IF($A35=AN$1,0,IF(SUM(IMshareC!AN$2:AN$78)-IMshareC!AN$40&gt;0,IMshareC!AN35/(SUM(IMshareC!AN$2:AN$78)-IMshareC!AN$40),0))</f>
        <v>1.0549822178523603E-2</v>
      </c>
      <c r="AO35" s="8">
        <f>IF($A35=AO$1,0,IF(SUM(IMshareC!AO$2:AO$78)-IMshareC!AO$41&gt;0,IMshareC!AO35/(SUM(IMshareC!AO$2:AO$78)-IMshareC!AO$41),0))</f>
        <v>3.6815555373066774E-3</v>
      </c>
      <c r="AP35" s="8">
        <f>IF($A35=AP$1,0,IF(SUM(IMshareC!AP$2:AP$78)-IMshareC!AP$42&gt;0,IMshareC!AP35/(SUM(IMshareC!AP$2:AP$78)-IMshareC!AP$42),0))</f>
        <v>0</v>
      </c>
      <c r="AQ35" s="8">
        <f>IF($A35=AQ$1,0,IF(SUM(IMshareC!AQ$2:AQ$78)-IMshareC!AQ$43&gt;0,IMshareC!AQ35/(SUM(IMshareC!AQ$2:AQ$78)-IMshareC!AQ$43),0))</f>
        <v>2.6399452098471379E-4</v>
      </c>
      <c r="AR35" s="8">
        <f>IF($A35=AR$1,0,IF(SUM(IMshareC!AR$2:AR$78)-IMshareC!AR$44&gt;0,IMshareC!AR35/(SUM(IMshareC!AR$2:AR$78)-IMshareC!AR$44),0))</f>
        <v>0</v>
      </c>
      <c r="AS35" s="8">
        <f>IF($A35=AS$1,0,IF(SUM(IMshareC!AS$2:AS$78)-IMshareC!AS$45&gt;0,IMshareC!AS35/(SUM(IMshareC!AS$2:AS$78)-IMshareC!AS$45),0))</f>
        <v>1.807455358602165E-3</v>
      </c>
      <c r="AT35" s="8">
        <f>IF($A35=AT$1,0,IF(SUM(IMshareC!AT$2:AT$78)-IMshareC!AT$46&gt;0,IMshareC!AT35/(SUM(IMshareC!AT$2:AT$78)-IMshareC!AT$46),0))</f>
        <v>2.9228344750573407E-3</v>
      </c>
      <c r="AU35" s="8">
        <f>IF($A35=AU$1,0,IF(SUM(IMshareC!AU$2:AU$78)-IMshareC!AU$47&gt;0,IMshareC!AU35/(SUM(IMshareC!AU$2:AU$78)-IMshareC!AU$47),0))</f>
        <v>1.227015565129436E-3</v>
      </c>
      <c r="AV35" s="8">
        <f>IF($A35=AV$1,0,IF(SUM(IMshareC!AV$2:AV$78)-IMshareC!AV$48&gt;0,IMshareC!AV35/(SUM(IMshareC!AV$2:AV$78)-IMshareC!AV$48),0))</f>
        <v>1.6864398436877332E-4</v>
      </c>
      <c r="AW35" s="8">
        <f>IF($A35=AW$1,0,IF(SUM(IMshareC!AW$2:AW$78)-IMshareC!AW$49&gt;0,IMshareC!AW35/(SUM(IMshareC!AW$2:AW$78)-IMshareC!AW$49),0))</f>
        <v>2.1235219255545295E-5</v>
      </c>
      <c r="AX35" s="8">
        <f>IF($A35=AX$1,0,IF(SUM(IMshareC!AX$2:AX$78)-IMshareC!AX$50&gt;0,IMshareC!AX35/(SUM(IMshareC!AX$2:AX$78)-IMshareC!AX$50),0))</f>
        <v>1.392027286745143E-5</v>
      </c>
      <c r="AY35" s="8">
        <f>IF($A35=AY$1,0,IF(SUM(IMshareC!AY$2:AY$78)-IMshareC!AY$51&gt;0,IMshareC!AY35/(SUM(IMshareC!AY$2:AY$78)-IMshareC!AY$51),0))</f>
        <v>0</v>
      </c>
      <c r="AZ35" s="8">
        <f>IF($A35=AZ$1,0,IF(SUM(IMshareC!AZ$2:AZ$78)-IMshareC!AZ$52&gt;0,IMshareC!AZ35/(SUM(IMshareC!AZ$2:AZ$78)-IMshareC!AZ$52),0))</f>
        <v>4.8267400069460328E-2</v>
      </c>
      <c r="BA35" s="8">
        <f>IF($A35=BA$1,0,IF(SUM(IMshareC!BA$2:BA$78)-IMshareC!BA$53&gt;0,IMshareC!BA35/(SUM(IMshareC!BA$2:BA$78)-IMshareC!BA$53),0))</f>
        <v>1.2160142705863375E-3</v>
      </c>
      <c r="BB35" s="8">
        <f>IF($A35=BB$1,0,IF(SUM(IMshareC!BB$2:BB$78)-IMshareC!BB$54&gt;0,IMshareC!BB35/(SUM(IMshareC!BB$2:BB$78)-IMshareC!BB$54),0))</f>
        <v>2.8087555558845142E-3</v>
      </c>
      <c r="BC35" s="8">
        <f>IF($A35=BC$1,0,IF(SUM(IMshareC!BC$2:BC$78)-IMshareC!BC$55&gt;0,IMshareC!BC35/(SUM(IMshareC!BC$2:BC$78)-IMshareC!BC$55),0))</f>
        <v>7.3936218973596026E-4</v>
      </c>
      <c r="BD35" s="8">
        <f>IF($A35=BD$1,0,IF(SUM(IMshareC!BD$2:BD$78)-IMshareC!BD$56&gt;0,IMshareC!BD35/(SUM(IMshareC!BD$2:BD$78)-IMshareC!BD$56),0))</f>
        <v>5.1994266645115242E-4</v>
      </c>
      <c r="BE35" s="8">
        <f>IF($A35=BE$1,0,IF(SUM(IMshareC!BE$2:BE$78)-IMshareC!BE$57&gt;0,IMshareC!BE35/(SUM(IMshareC!BE$2:BE$78)-IMshareC!BE$57),0))</f>
        <v>0</v>
      </c>
      <c r="BF35" s="8">
        <f>IF($A35=BF$1,0,IF(SUM(IMshareC!BF$2:BF$78)-IMshareC!BF$58&gt;0,IMshareC!BF35/(SUM(IMshareC!BF$2:BF$78)-IMshareC!BF$58),0))</f>
        <v>4.7554861701370183E-5</v>
      </c>
      <c r="BG35" s="8">
        <f>IF($A35=BG$1,0,IF(SUM(IMshareC!BG$2:BG$78)-IMshareC!BG$59&gt;0,IMshareC!BG35/(SUM(IMshareC!BG$2:BG$78)-IMshareC!BG$59),0))</f>
        <v>1.2424615857350241E-3</v>
      </c>
      <c r="BH35" s="8">
        <f>IF($A35=BH$1,0,IF(SUM(IMshareC!BH$2:BH$78)-IMshareC!BH$60&gt;0,IMshareC!BH35/(SUM(IMshareC!BH$2:BH$78)-IMshareC!BH$60),0))</f>
        <v>2.3855151107979949E-3</v>
      </c>
      <c r="BI35" s="8">
        <f>IF($A35=BI$1,0,IF(SUM(IMshareC!BI$2:BI$78)-IMshareC!BI$61&gt;0,IMshareC!BI35/(SUM(IMshareC!BI$2:BI$78)-IMshareC!BI$61),0))</f>
        <v>2.7572490917952715E-2</v>
      </c>
      <c r="BJ35" s="8">
        <f>IF($A35=BJ$1,0,IF(SUM(IMshareC!BJ$2:BJ$78)-IMshareC!BJ$62&gt;0,IMshareC!BJ35/(SUM(IMshareC!BJ$2:BJ$78)-IMshareC!BJ$62),0))</f>
        <v>2.5221152047752604E-2</v>
      </c>
      <c r="BK35" s="8">
        <f>IF($A35=BK$1,0,IF(SUM(IMshareC!BK$2:BK$78)-IMshareC!BK$63&gt;0,IMshareC!BK35/(SUM(IMshareC!BK$2:BK$78)-IMshareC!BK$63),0))</f>
        <v>5.1496977672549285E-5</v>
      </c>
      <c r="BL35" s="8">
        <f>IF($A35=BL$1,0,IF(SUM(IMshareC!BL$2:BL$78)-IMshareC!BL$64&gt;0,IMshareC!BL35/(SUM(IMshareC!BL$2:BL$78)-IMshareC!BL$64),0))</f>
        <v>2.449092680795312E-4</v>
      </c>
      <c r="BM35" s="8">
        <f>IF($A35=BM$1,0,IF(SUM(IMshareC!BM$2:BM$78)-IMshareC!BM$65&gt;0,IMshareC!BM35/(SUM(IMshareC!BM$2:BM$78)-IMshareC!BM$65),0))</f>
        <v>0</v>
      </c>
      <c r="BN35" s="8">
        <f>IF($A35=BN$1,0,IF(SUM(IMshareC!BN$2:BN$78)-IMshareC!BN$66&gt;0,IMshareC!BN35/(SUM(IMshareC!BN$2:BN$78)-IMshareC!BN$66),0))</f>
        <v>9.7597425300991643E-5</v>
      </c>
      <c r="BO35" s="8">
        <f>IF($A35=BO$1,0,IF(SUM(IMshareC!BO$2:BO$78)-IMshareC!BO$67&gt;0,IMshareC!BO35/(SUM(IMshareC!BO$2:BO$78)-IMshareC!BO$67),0))</f>
        <v>8.4777047614221709E-3</v>
      </c>
      <c r="BP35" s="8">
        <f>IF($A35=BP$1,0,IF(SUM(IMshareC!BP$2:BP$78)-IMshareC!BP$68&gt;0,IMshareC!BP35/(SUM(IMshareC!BP$2:BP$78)-IMshareC!BP$68),0))</f>
        <v>1.5093686411117312E-2</v>
      </c>
      <c r="BQ35" s="8">
        <f>IF($A35=BQ$1,0,IF(SUM(IMshareC!BQ$2:BQ$78)-IMshareC!BQ$69&gt;0,IMshareC!BQ35/(SUM(IMshareC!BQ$2:BQ$78)-IMshareC!BQ$69),0))</f>
        <v>1.1421949346320634E-2</v>
      </c>
      <c r="BR35" s="8">
        <f>IF($A35=BR$1,0,IF(SUM(IMshareC!BR$2:BR$78)-IMshareC!BR$70&gt;0,IMshareC!BR35/(SUM(IMshareC!BR$2:BR$78)-IMshareC!BR$70),0))</f>
        <v>6.4665965033771473E-5</v>
      </c>
      <c r="BS35" s="8">
        <f>IF($A35=BS$1,0,IF(SUM(IMshareC!BS$2:BS$78)-IMshareC!BS$71&gt;0,IMshareC!BS35/(SUM(IMshareC!BS$2:BS$78)-IMshareC!BS$71),0))</f>
        <v>4.7962702214152808E-4</v>
      </c>
      <c r="BT35" s="8">
        <f>IF($A35=BT$1,0,IF(SUM(IMshareC!BT$2:BT$78)-IMshareC!BT$72&gt;0,IMshareC!BT35/(SUM(IMshareC!BT$2:BT$78)-IMshareC!BT$72),0))</f>
        <v>1.3985604296017694E-4</v>
      </c>
      <c r="BU35" s="8">
        <f>IF($A35=BU$1,0,IF(SUM(IMshareC!BU$2:BU$78)-IMshareC!BU$73&gt;0,IMshareC!BU35/(SUM(IMshareC!BU$2:BU$78)-IMshareC!BU$73),0))</f>
        <v>5.3367214133624664E-4</v>
      </c>
      <c r="BV35" s="8">
        <f>IF($A35=BV$1,0,IF(SUM(IMshareC!BV$2:BV$78)-IMshareC!BV$74&gt;0,IMshareC!BV35/(SUM(IMshareC!BV$2:BV$78)-IMshareC!BV$74),0))</f>
        <v>1.967077218952864E-4</v>
      </c>
      <c r="BW35" s="8">
        <f>IF($A35=BW$1,0,IF(SUM(IMshareC!BW$2:BW$78)-IMshareC!BW$75&gt;0,IMshareC!BW35/(SUM(IMshareC!BW$2:BW$78)-IMshareC!BW$75),0))</f>
        <v>4.8883768678268207E-2</v>
      </c>
      <c r="BX35" s="8">
        <f>IF($A35=BX$1,0,IF(SUM(IMshareC!BX$2:BX$78)-IMshareC!BX$76&gt;0,IMshareC!BX35/(SUM(IMshareC!BX$2:BX$78)-IMshareC!BX$76),0))</f>
        <v>5.5388411762333903E-2</v>
      </c>
      <c r="BY35" s="8">
        <f>IF($A35=BY$1,0,IF(SUM(IMshareC!BY$2:BY$78)-IMshareC!BY$77&gt;0,IMshareC!BY35/(SUM(IMshareC!BY$2:BY$78)-IMshareC!BY$77),0))</f>
        <v>1.0581562175313061E-3</v>
      </c>
      <c r="BZ35" s="8">
        <f>IF($A35=BZ$1,0,IF(SUM(IMshareC!BZ$2:BZ$78)-IMshareC!BZ$78&gt;0,IMshareC!BZ35/(SUM(IMshareC!BZ$2:BZ$78)-IMshareC!BZ$78),0))</f>
        <v>3.6013807049268171E-4</v>
      </c>
    </row>
    <row r="36" spans="1:78">
      <c r="A36" s="4" t="s">
        <v>139</v>
      </c>
      <c r="B36" s="8">
        <f>IF($A36=B$1,0,IF(SUM(IMshareC!B$2:B$78)-IMshareC!B$2&gt;0,IMshareC!B36/(SUM(IMshareC!B$2:B$78)-IMshareC!B$2),0))</f>
        <v>0</v>
      </c>
      <c r="C36" s="8">
        <f>IF($A36=C$1,0,IF(SUM(IMshareC!C$2:C$78)-IMshareC!C$3&gt;0,IMshareC!C36/(SUM(IMshareC!C$2:C$78)-IMshareC!C$3),0))</f>
        <v>3.019461693742091E-6</v>
      </c>
      <c r="D36" s="8">
        <f>IF($A36=D$1,0,IF(SUM(IMshareC!D$2:D$78)-IMshareC!D$4&gt;0,IMshareC!D36/(SUM(IMshareC!D$2:D$78)-IMshareC!D$4),0))</f>
        <v>9.3077071315038488E-7</v>
      </c>
      <c r="E36" s="8">
        <f>IF($A36=E$1,0,IF(SUM(IMshareC!E$2:E$78)-IMshareC!E$5&gt;0,IMshareC!E36/(SUM(IMshareC!E$2:E$78)-IMshareC!E$5),0))</f>
        <v>2.3378931647954142E-6</v>
      </c>
      <c r="F36" s="8">
        <f>IF($A36=F$1,0,IF(SUM(IMshareC!F$2:F$78)-IMshareC!F$6&gt;0,IMshareC!F36/(SUM(IMshareC!F$2:F$78)-IMshareC!F$6),0))</f>
        <v>0</v>
      </c>
      <c r="G36" s="8">
        <f>IF($A36=G$1,0,IF(SUM(IMshareC!G$2:G$78)-IMshareC!G$7&gt;0,IMshareC!G36/(SUM(IMshareC!G$2:G$78)-IMshareC!G$7),0))</f>
        <v>0</v>
      </c>
      <c r="H36" s="8">
        <f>IF($A36=H$1,0,IF(SUM(IMshareC!H$2:H$78)-IMshareC!H$8&gt;0,IMshareC!H36/(SUM(IMshareC!H$2:H$78)-IMshareC!H$8),0))</f>
        <v>0</v>
      </c>
      <c r="I36" s="8">
        <f>IF($A36=I$1,0,IF(SUM(IMshareC!I$2:I$78)-IMshareC!I$9&gt;0,IMshareC!I36/(SUM(IMshareC!I$2:I$78)-IMshareC!I$9),0))</f>
        <v>3.8120299508268048E-7</v>
      </c>
      <c r="J36" s="8">
        <f>IF($A36=J$1,0,IF(SUM(IMshareC!J$2:J$78)-IMshareC!J$10&gt;0,IMshareC!J36/(SUM(IMshareC!J$2:J$78)-IMshareC!J$10),0))</f>
        <v>0</v>
      </c>
      <c r="K36" s="8">
        <f>IF($A36=K$1,0,IF(SUM(IMshareC!K$2:K$78)-IMshareC!K$11&gt;0,IMshareC!K36/(SUM(IMshareC!K$2:K$78)-IMshareC!K$11),0))</f>
        <v>1.7852706250652987E-7</v>
      </c>
      <c r="L36" s="8">
        <f>IF($A36=L$1,0,IF(SUM(IMshareC!L$2:L$78)-IMshareC!L$12&gt;0,IMshareC!L36/(SUM(IMshareC!L$2:L$78)-IMshareC!L$12),0))</f>
        <v>0</v>
      </c>
      <c r="M36" s="8">
        <f>IF($A36=M$1,0,IF(SUM(IMshareC!M$2:M$78)-IMshareC!M$13&gt;0,IMshareC!M36/(SUM(IMshareC!M$2:M$78)-IMshareC!M$13),0))</f>
        <v>1.4877828957004832E-5</v>
      </c>
      <c r="N36" s="8">
        <f>IF($A36=N$1,0,IF(SUM(IMshareC!N$2:N$78)-IMshareC!N$14&gt;0,IMshareC!N36/(SUM(IMshareC!N$2:N$78)-IMshareC!N$14),0))</f>
        <v>2.516028661764634E-8</v>
      </c>
      <c r="O36" s="8">
        <f>IF($A36=O$1,0,IF(SUM(IMshareC!O$2:O$78)-IMshareC!O$15&gt;0,IMshareC!O36/(SUM(IMshareC!O$2:O$78)-IMshareC!O$15),0))</f>
        <v>5.2539960014521947E-6</v>
      </c>
      <c r="P36" s="8">
        <f>IF($A36=P$1,0,IF(SUM(IMshareC!P$2:P$78)-IMshareC!P$16&gt;0,IMshareC!P36/(SUM(IMshareC!P$2:P$78)-IMshareC!P$16),0))</f>
        <v>0</v>
      </c>
      <c r="Q36" s="8">
        <f>IF($A36=Q$1,0,IF(SUM(IMshareC!Q$2:Q$78)-IMshareC!Q$17&gt;0,IMshareC!Q36/(SUM(IMshareC!Q$2:Q$78)-IMshareC!Q$17),0))</f>
        <v>0</v>
      </c>
      <c r="R36" s="8">
        <f>IF($A36=R$1,0,IF(SUM(IMshareC!R$2:R$78)-IMshareC!R$18&gt;0,IMshareC!R36/(SUM(IMshareC!R$2:R$78)-IMshareC!R$18),0))</f>
        <v>0</v>
      </c>
      <c r="S36" s="8">
        <f>IF($A36=S$1,0,IF(SUM(IMshareC!S$2:S$78)-IMshareC!S$19&gt;0,IMshareC!S36/(SUM(IMshareC!S$2:S$78)-IMshareC!S$19),0))</f>
        <v>0</v>
      </c>
      <c r="T36" s="8">
        <f>IF($A36=T$1,0,IF(SUM(IMshareC!T$2:T$78)-IMshareC!T$20&gt;0,IMshareC!T36/(SUM(IMshareC!T$2:T$78)-IMshareC!T$20),0))</f>
        <v>1.0447190937807408E-6</v>
      </c>
      <c r="U36" s="8">
        <f>IF($A36=U$1,0,IF(SUM(IMshareC!U$2:U$78)-IMshareC!U$21&gt;0,IMshareC!U36/(SUM(IMshareC!U$2:U$78)-IMshareC!U$21),0))</f>
        <v>3.433328853676287E-6</v>
      </c>
      <c r="V36" s="8">
        <f>IF($A36=V$1,0,IF(SUM(IMshareC!V$2:V$78)-IMshareC!V$22&gt;0,IMshareC!V36/(SUM(IMshareC!V$2:V$78)-IMshareC!V$22),0))</f>
        <v>1.8268239109528526E-3</v>
      </c>
      <c r="W36" s="8">
        <f>IF($A36=W$1,0,IF(SUM(IMshareC!W$2:W$78)-IMshareC!W$23&gt;0,IMshareC!W36/(SUM(IMshareC!W$2:W$78)-IMshareC!W$23),0))</f>
        <v>0</v>
      </c>
      <c r="X36" s="8">
        <f>IF($A36=X$1,0,IF(SUM(IMshareC!X$2:X$78)-IMshareC!X$24&gt;0,IMshareC!X36/(SUM(IMshareC!X$2:X$78)-IMshareC!X$24),0))</f>
        <v>1.6342488275587575E-6</v>
      </c>
      <c r="Y36" s="8">
        <f>IF($A36=Y$1,0,IF(SUM(IMshareC!Y$2:Y$78)-IMshareC!Y$25&gt;0,IMshareC!Y36/(SUM(IMshareC!Y$2:Y$78)-IMshareC!Y$25),0))</f>
        <v>3.3163651926220894E-5</v>
      </c>
      <c r="Z36" s="8">
        <f>IF($A36=Z$1,0,IF(SUM(IMshareC!Z$2:Z$78)-IMshareC!Z$26&gt;0,IMshareC!Z36/(SUM(IMshareC!Z$2:Z$78)-IMshareC!Z$26),0))</f>
        <v>3.9328467711302552E-6</v>
      </c>
      <c r="AA36" s="8">
        <f>IF($A36=AA$1,0,IF(SUM(IMshareC!AA$2:AA$78)-IMshareC!AA$27&gt;0,IMshareC!AA36/(SUM(IMshareC!AA$2:AA$78)-IMshareC!AA$27),0))</f>
        <v>2.4849143203200692E-7</v>
      </c>
      <c r="AB36" s="8">
        <f>IF($A36=AB$1,0,IF(SUM(IMshareC!AB$2:AB$78)-IMshareC!AB$28&gt;0,IMshareC!AB36/(SUM(IMshareC!AB$2:AB$78)-IMshareC!AB$28),0))</f>
        <v>4.1304097220069766E-5</v>
      </c>
      <c r="AC36" s="8">
        <f>IF($A36=AC$1,0,IF(SUM(IMshareC!AC$2:AC$78)-IMshareC!AC$29&gt;0,IMshareC!AC36/(SUM(IMshareC!AC$2:AC$78)-IMshareC!AC$29),0))</f>
        <v>0</v>
      </c>
      <c r="AD36" s="8">
        <f>IF($A36=AD$1,0,IF(SUM(IMshareC!AD$2:AD$78)-IMshareC!AD$30&gt;0,IMshareC!AD36/(SUM(IMshareC!AD$2:AD$78)-IMshareC!AD$30),0))</f>
        <v>3.2549225093477211E-7</v>
      </c>
      <c r="AE36" s="8">
        <f>IF($A36=AE$1,0,IF(SUM(IMshareC!AE$2:AE$78)-IMshareC!AE$31&gt;0,IMshareC!AE36/(SUM(IMshareC!AE$2:AE$78)-IMshareC!AE$31),0))</f>
        <v>0</v>
      </c>
      <c r="AF36" s="8">
        <f>IF($A36=AF$1,0,IF(SUM(IMshareC!AF$2:AF$78)-IMshareC!AF$32&gt;0,IMshareC!AF36/(SUM(IMshareC!AF$2:AF$78)-IMshareC!AF$32),0))</f>
        <v>6.7610367409098947E-6</v>
      </c>
      <c r="AG36" s="8">
        <f>IF($A36=AG$1,0,IF(SUM(IMshareC!AG$2:AG$78)-IMshareC!AG$33&gt;0,IMshareC!AG36/(SUM(IMshareC!AG$2:AG$78)-IMshareC!AG$33),0))</f>
        <v>8.3608580221361788E-7</v>
      </c>
      <c r="AH36" s="8">
        <f>IF($A36=AH$1,0,IF(SUM(IMshareC!AH$2:AH$78)-IMshareC!AH$34&gt;0,IMshareC!AH36/(SUM(IMshareC!AH$2:AH$78)-IMshareC!AH$34),0))</f>
        <v>3.2983908316291176E-7</v>
      </c>
      <c r="AI36" s="8">
        <f>IF($A36=AI$1,0,IF(SUM(IMshareC!AI$2:AI$78)-IMshareC!AI$35&gt;0,IMshareC!AI36/(SUM(IMshareC!AI$2:AI$78)-IMshareC!AI$35),0))</f>
        <v>4.8775175593002683E-6</v>
      </c>
      <c r="AJ36" s="8">
        <f>IF($A36=AJ$1,0,IF(SUM(IMshareC!AJ$2:AJ$78)-IMshareC!AJ$36&gt;0,IMshareC!AJ36/(SUM(IMshareC!AJ$2:AJ$78)-IMshareC!AJ$36),0))</f>
        <v>0</v>
      </c>
      <c r="AK36" s="8">
        <f>IF($A36=AK$1,0,IF(SUM(IMshareC!AK$2:AK$78)-IMshareC!AK$37&gt;0,IMshareC!AK36/(SUM(IMshareC!AK$2:AK$78)-IMshareC!AK$37),0))</f>
        <v>0</v>
      </c>
      <c r="AL36" s="8">
        <f>IF($A36=AL$1,0,IF(SUM(IMshareC!AL$2:AL$78)-IMshareC!AL$38&gt;0,IMshareC!AL36/(SUM(IMshareC!AL$2:AL$78)-IMshareC!AL$38),0))</f>
        <v>1.4616269785575301E-5</v>
      </c>
      <c r="AM36" s="8">
        <f>IF($A36=AM$1,0,IF(SUM(IMshareC!AM$2:AM$78)-IMshareC!AM$39&gt;0,IMshareC!AM36/(SUM(IMshareC!AM$2:AM$78)-IMshareC!AM$39),0))</f>
        <v>0</v>
      </c>
      <c r="AN36" s="8">
        <f>IF($A36=AN$1,0,IF(SUM(IMshareC!AN$2:AN$78)-IMshareC!AN$40&gt;0,IMshareC!AN36/(SUM(IMshareC!AN$2:AN$78)-IMshareC!AN$40),0))</f>
        <v>3.1352475364402307E-6</v>
      </c>
      <c r="AO36" s="8">
        <f>IF($A36=AO$1,0,IF(SUM(IMshareC!AO$2:AO$78)-IMshareC!AO$41&gt;0,IMshareC!AO36/(SUM(IMshareC!AO$2:AO$78)-IMshareC!AO$41),0))</f>
        <v>0</v>
      </c>
      <c r="AP36" s="8">
        <f>IF($A36=AP$1,0,IF(SUM(IMshareC!AP$2:AP$78)-IMshareC!AP$42&gt;0,IMshareC!AP36/(SUM(IMshareC!AP$2:AP$78)-IMshareC!AP$42),0))</f>
        <v>0</v>
      </c>
      <c r="AQ36" s="8">
        <f>IF($A36=AQ$1,0,IF(SUM(IMshareC!AQ$2:AQ$78)-IMshareC!AQ$43&gt;0,IMshareC!AQ36/(SUM(IMshareC!AQ$2:AQ$78)-IMshareC!AQ$43),0))</f>
        <v>2.3502923837379896E-8</v>
      </c>
      <c r="AR36" s="8">
        <f>IF($A36=AR$1,0,IF(SUM(IMshareC!AR$2:AR$78)-IMshareC!AR$44&gt;0,IMshareC!AR36/(SUM(IMshareC!AR$2:AR$78)-IMshareC!AR$44),0))</f>
        <v>0</v>
      </c>
      <c r="AS36" s="8">
        <f>IF($A36=AS$1,0,IF(SUM(IMshareC!AS$2:AS$78)-IMshareC!AS$45&gt;0,IMshareC!AS36/(SUM(IMshareC!AS$2:AS$78)-IMshareC!AS$45),0))</f>
        <v>3.5713160318500241E-6</v>
      </c>
      <c r="AT36" s="8">
        <f>IF($A36=AT$1,0,IF(SUM(IMshareC!AT$2:AT$78)-IMshareC!AT$46&gt;0,IMshareC!AT36/(SUM(IMshareC!AT$2:AT$78)-IMshareC!AT$46),0))</f>
        <v>0</v>
      </c>
      <c r="AU36" s="8">
        <f>IF($A36=AU$1,0,IF(SUM(IMshareC!AU$2:AU$78)-IMshareC!AU$47&gt;0,IMshareC!AU36/(SUM(IMshareC!AU$2:AU$78)-IMshareC!AU$47),0))</f>
        <v>0</v>
      </c>
      <c r="AV36" s="8">
        <f>IF($A36=AV$1,0,IF(SUM(IMshareC!AV$2:AV$78)-IMshareC!AV$48&gt;0,IMshareC!AV36/(SUM(IMshareC!AV$2:AV$78)-IMshareC!AV$48),0))</f>
        <v>5.2717906749386869E-8</v>
      </c>
      <c r="AW36" s="8">
        <f>IF($A36=AW$1,0,IF(SUM(IMshareC!AW$2:AW$78)-IMshareC!AW$49&gt;0,IMshareC!AW36/(SUM(IMshareC!AW$2:AW$78)-IMshareC!AW$49),0))</f>
        <v>3.2230988720717499E-6</v>
      </c>
      <c r="AX36" s="8">
        <f>IF($A36=AX$1,0,IF(SUM(IMshareC!AX$2:AX$78)-IMshareC!AX$50&gt;0,IMshareC!AX36/(SUM(IMshareC!AX$2:AX$78)-IMshareC!AX$50),0))</f>
        <v>0</v>
      </c>
      <c r="AY36" s="8">
        <f>IF($A36=AY$1,0,IF(SUM(IMshareC!AY$2:AY$78)-IMshareC!AY$51&gt;0,IMshareC!AY36/(SUM(IMshareC!AY$2:AY$78)-IMshareC!AY$51),0))</f>
        <v>0</v>
      </c>
      <c r="AZ36" s="8">
        <f>IF($A36=AZ$1,0,IF(SUM(IMshareC!AZ$2:AZ$78)-IMshareC!AZ$52&gt;0,IMshareC!AZ36/(SUM(IMshareC!AZ$2:AZ$78)-IMshareC!AZ$52),0))</f>
        <v>0</v>
      </c>
      <c r="BA36" s="8">
        <f>IF($A36=BA$1,0,IF(SUM(IMshareC!BA$2:BA$78)-IMshareC!BA$53&gt;0,IMshareC!BA36/(SUM(IMshareC!BA$2:BA$78)-IMshareC!BA$53),0))</f>
        <v>0</v>
      </c>
      <c r="BB36" s="8">
        <f>IF($A36=BB$1,0,IF(SUM(IMshareC!BB$2:BB$78)-IMshareC!BB$54&gt;0,IMshareC!BB36/(SUM(IMshareC!BB$2:BB$78)-IMshareC!BB$54),0))</f>
        <v>3.9639556591258439E-5</v>
      </c>
      <c r="BC36" s="8">
        <f>IF($A36=BC$1,0,IF(SUM(IMshareC!BC$2:BC$78)-IMshareC!BC$55&gt;0,IMshareC!BC36/(SUM(IMshareC!BC$2:BC$78)-IMshareC!BC$55),0))</f>
        <v>5.9691534872450924E-5</v>
      </c>
      <c r="BD36" s="8">
        <f>IF($A36=BD$1,0,IF(SUM(IMshareC!BD$2:BD$78)-IMshareC!BD$56&gt;0,IMshareC!BD36/(SUM(IMshareC!BD$2:BD$78)-IMshareC!BD$56),0))</f>
        <v>1.2637746718691684E-5</v>
      </c>
      <c r="BE36" s="8">
        <f>IF($A36=BE$1,0,IF(SUM(IMshareC!BE$2:BE$78)-IMshareC!BE$57&gt;0,IMshareC!BE36/(SUM(IMshareC!BE$2:BE$78)-IMshareC!BE$57),0))</f>
        <v>0</v>
      </c>
      <c r="BF36" s="8">
        <f>IF($A36=BF$1,0,IF(SUM(IMshareC!BF$2:BF$78)-IMshareC!BF$58&gt;0,IMshareC!BF36/(SUM(IMshareC!BF$2:BF$78)-IMshareC!BF$58),0))</f>
        <v>6.6993566520738347E-6</v>
      </c>
      <c r="BG36" s="8">
        <f>IF($A36=BG$1,0,IF(SUM(IMshareC!BG$2:BG$78)-IMshareC!BG$59&gt;0,IMshareC!BG36/(SUM(IMshareC!BG$2:BG$78)-IMshareC!BG$59),0))</f>
        <v>3.5288847858237858E-7</v>
      </c>
      <c r="BH36" s="8">
        <f>IF($A36=BH$1,0,IF(SUM(IMshareC!BH$2:BH$78)-IMshareC!BH$60&gt;0,IMshareC!BH36/(SUM(IMshareC!BH$2:BH$78)-IMshareC!BH$60),0))</f>
        <v>2.7154285499023611E-6</v>
      </c>
      <c r="BI36" s="8">
        <f>IF($A36=BI$1,0,IF(SUM(IMshareC!BI$2:BI$78)-IMshareC!BI$61&gt;0,IMshareC!BI36/(SUM(IMshareC!BI$2:BI$78)-IMshareC!BI$61),0))</f>
        <v>8.5929282670144495E-8</v>
      </c>
      <c r="BJ36" s="8">
        <f>IF($A36=BJ$1,0,IF(SUM(IMshareC!BJ$2:BJ$78)-IMshareC!BJ$62&gt;0,IMshareC!BJ36/(SUM(IMshareC!BJ$2:BJ$78)-IMshareC!BJ$62),0))</f>
        <v>2.0153338764242913E-7</v>
      </c>
      <c r="BK36" s="8">
        <f>IF($A36=BK$1,0,IF(SUM(IMshareC!BK$2:BK$78)-IMshareC!BK$63&gt;0,IMshareC!BK36/(SUM(IMshareC!BK$2:BK$78)-IMshareC!BK$63),0))</f>
        <v>0</v>
      </c>
      <c r="BL36" s="8">
        <f>IF($A36=BL$1,0,IF(SUM(IMshareC!BL$2:BL$78)-IMshareC!BL$64&gt;0,IMshareC!BL36/(SUM(IMshareC!BL$2:BL$78)-IMshareC!BL$64),0))</f>
        <v>2.283167433679228E-7</v>
      </c>
      <c r="BM36" s="8">
        <f>IF($A36=BM$1,0,IF(SUM(IMshareC!BM$2:BM$78)-IMshareC!BM$65&gt;0,IMshareC!BM36/(SUM(IMshareC!BM$2:BM$78)-IMshareC!BM$65),0))</f>
        <v>1.0871610509822458E-5</v>
      </c>
      <c r="BN36" s="8">
        <f>IF($A36=BN$1,0,IF(SUM(IMshareC!BN$2:BN$78)-IMshareC!BN$66&gt;0,IMshareC!BN36/(SUM(IMshareC!BN$2:BN$78)-IMshareC!BN$66),0))</f>
        <v>1.0530514789767511E-6</v>
      </c>
      <c r="BO36" s="8">
        <f>IF($A36=BO$1,0,IF(SUM(IMshareC!BO$2:BO$78)-IMshareC!BO$67&gt;0,IMshareC!BO36/(SUM(IMshareC!BO$2:BO$78)-IMshareC!BO$67),0))</f>
        <v>2.0695385748800395E-6</v>
      </c>
      <c r="BP36" s="8">
        <f>IF($A36=BP$1,0,IF(SUM(IMshareC!BP$2:BP$78)-IMshareC!BP$68&gt;0,IMshareC!BP36/(SUM(IMshareC!BP$2:BP$78)-IMshareC!BP$68),0))</f>
        <v>1.8686202447774582E-6</v>
      </c>
      <c r="BQ36" s="8">
        <f>IF($A36=BQ$1,0,IF(SUM(IMshareC!BQ$2:BQ$78)-IMshareC!BQ$69&gt;0,IMshareC!BQ36/(SUM(IMshareC!BQ$2:BQ$78)-IMshareC!BQ$69),0))</f>
        <v>4.2682468428238111E-6</v>
      </c>
      <c r="BR36" s="8">
        <f>IF($A36=BR$1,0,IF(SUM(IMshareC!BR$2:BR$78)-IMshareC!BR$70&gt;0,IMshareC!BR36/(SUM(IMshareC!BR$2:BR$78)-IMshareC!BR$70),0))</f>
        <v>1.0483023180135616E-6</v>
      </c>
      <c r="BS36" s="8">
        <f>IF($A36=BS$1,0,IF(SUM(IMshareC!BS$2:BS$78)-IMshareC!BS$71&gt;0,IMshareC!BS36/(SUM(IMshareC!BS$2:BS$78)-IMshareC!BS$71),0))</f>
        <v>1.180861952743131E-3</v>
      </c>
      <c r="BT36" s="8">
        <f>IF($A36=BT$1,0,IF(SUM(IMshareC!BT$2:BT$78)-IMshareC!BT$72&gt;0,IMshareC!BT36/(SUM(IMshareC!BT$2:BT$78)-IMshareC!BT$72),0))</f>
        <v>1.7488545230971307E-6</v>
      </c>
      <c r="BU36" s="8">
        <f>IF($A36=BU$1,0,IF(SUM(IMshareC!BU$2:BU$78)-IMshareC!BU$73&gt;0,IMshareC!BU36/(SUM(IMshareC!BU$2:BU$78)-IMshareC!BU$73),0))</f>
        <v>3.6413883748633008E-9</v>
      </c>
      <c r="BV36" s="8">
        <f>IF($A36=BV$1,0,IF(SUM(IMshareC!BV$2:BV$78)-IMshareC!BV$74&gt;0,IMshareC!BV36/(SUM(IMshareC!BV$2:BV$78)-IMshareC!BV$74),0))</f>
        <v>2.1109856721744471E-7</v>
      </c>
      <c r="BW36" s="8">
        <f>IF($A36=BW$1,0,IF(SUM(IMshareC!BW$2:BW$78)-IMshareC!BW$75&gt;0,IMshareC!BW36/(SUM(IMshareC!BW$2:BW$78)-IMshareC!BW$75),0))</f>
        <v>9.9452489474226893E-5</v>
      </c>
      <c r="BX36" s="8">
        <f>IF($A36=BX$1,0,IF(SUM(IMshareC!BX$2:BX$78)-IMshareC!BX$76&gt;0,IMshareC!BX36/(SUM(IMshareC!BX$2:BX$78)-IMshareC!BX$76),0))</f>
        <v>0</v>
      </c>
      <c r="BY36" s="8">
        <f>IF($A36=BY$1,0,IF(SUM(IMshareC!BY$2:BY$78)-IMshareC!BY$77&gt;0,IMshareC!BY36/(SUM(IMshareC!BY$2:BY$78)-IMshareC!BY$77),0))</f>
        <v>9.3922768610109298E-6</v>
      </c>
      <c r="BZ36" s="8">
        <f>IF($A36=BZ$1,0,IF(SUM(IMshareC!BZ$2:BZ$78)-IMshareC!BZ$78&gt;0,IMshareC!BZ36/(SUM(IMshareC!BZ$2:BZ$78)-IMshareC!BZ$78),0))</f>
        <v>4.1467539371232678E-6</v>
      </c>
    </row>
    <row r="37" spans="1:78">
      <c r="A37" s="4" t="s">
        <v>141</v>
      </c>
      <c r="B37" s="8">
        <f>IF($A37=B$1,0,IF(SUM(IMshareC!B$2:B$78)-IMshareC!B$2&gt;0,IMshareC!B37/(SUM(IMshareC!B$2:B$78)-IMshareC!B$2),0))</f>
        <v>1.5060264126028091E-3</v>
      </c>
      <c r="C37" s="8">
        <f>IF($A37=C$1,0,IF(SUM(IMshareC!C$2:C$78)-IMshareC!C$3&gt;0,IMshareC!C37/(SUM(IMshareC!C$2:C$78)-IMshareC!C$3),0))</f>
        <v>4.7559603498120483E-3</v>
      </c>
      <c r="D37" s="8">
        <f>IF($A37=D$1,0,IF(SUM(IMshareC!D$2:D$78)-IMshareC!D$4&gt;0,IMshareC!D37/(SUM(IMshareC!D$2:D$78)-IMshareC!D$4),0))</f>
        <v>5.2672975458409495E-3</v>
      </c>
      <c r="E37" s="8">
        <f>IF($A37=E$1,0,IF(SUM(IMshareC!E$2:E$78)-IMshareC!E$5&gt;0,IMshareC!E37/(SUM(IMshareC!E$2:E$78)-IMshareC!E$5),0))</f>
        <v>2.4581185622582005E-3</v>
      </c>
      <c r="F37" s="8">
        <f>IF($A37=F$1,0,IF(SUM(IMshareC!F$2:F$78)-IMshareC!F$6&gt;0,IMshareC!F37/(SUM(IMshareC!F$2:F$78)-IMshareC!F$6),0))</f>
        <v>0</v>
      </c>
      <c r="G37" s="8">
        <f>IF($A37=G$1,0,IF(SUM(IMshareC!G$2:G$78)-IMshareC!G$7&gt;0,IMshareC!G37/(SUM(IMshareC!G$2:G$78)-IMshareC!G$7),0))</f>
        <v>7.5488517825409872E-4</v>
      </c>
      <c r="H37" s="8">
        <f>IF($A37=H$1,0,IF(SUM(IMshareC!H$2:H$78)-IMshareC!H$8&gt;0,IMshareC!H37/(SUM(IMshareC!H$2:H$78)-IMshareC!H$8),0))</f>
        <v>1.4550547728397114E-3</v>
      </c>
      <c r="I37" s="8">
        <f>IF($A37=I$1,0,IF(SUM(IMshareC!I$2:I$78)-IMshareC!I$9&gt;0,IMshareC!I37/(SUM(IMshareC!I$2:I$78)-IMshareC!I$9),0))</f>
        <v>5.7916372968621287E-4</v>
      </c>
      <c r="J37" s="8">
        <f>IF($A37=J$1,0,IF(SUM(IMshareC!J$2:J$78)-IMshareC!J$10&gt;0,IMshareC!J37/(SUM(IMshareC!J$2:J$78)-IMshareC!J$10),0))</f>
        <v>5.4993096438647541E-7</v>
      </c>
      <c r="K37" s="8">
        <f>IF($A37=K$1,0,IF(SUM(IMshareC!K$2:K$78)-IMshareC!K$11&gt;0,IMshareC!K37/(SUM(IMshareC!K$2:K$78)-IMshareC!K$11),0))</f>
        <v>3.0976849843186573E-3</v>
      </c>
      <c r="L37" s="8">
        <f>IF($A37=L$1,0,IF(SUM(IMshareC!L$2:L$78)-IMshareC!L$12&gt;0,IMshareC!L37/(SUM(IMshareC!L$2:L$78)-IMshareC!L$12),0))</f>
        <v>5.3172590275583761E-3</v>
      </c>
      <c r="M37" s="8">
        <f>IF($A37=M$1,0,IF(SUM(IMshareC!M$2:M$78)-IMshareC!M$13&gt;0,IMshareC!M37/(SUM(IMshareC!M$2:M$78)-IMshareC!M$13),0))</f>
        <v>3.7157634573522836E-3</v>
      </c>
      <c r="N37" s="8">
        <f>IF($A37=N$1,0,IF(SUM(IMshareC!N$2:N$78)-IMshareC!N$14&gt;0,IMshareC!N37/(SUM(IMshareC!N$2:N$78)-IMshareC!N$14),0))</f>
        <v>1.16206080261221E-2</v>
      </c>
      <c r="O37" s="8">
        <f>IF($A37=O$1,0,IF(SUM(IMshareC!O$2:O$78)-IMshareC!O$15&gt;0,IMshareC!O37/(SUM(IMshareC!O$2:O$78)-IMshareC!O$15),0))</f>
        <v>4.4392066250357109E-4</v>
      </c>
      <c r="P37" s="8">
        <f>IF($A37=P$1,0,IF(SUM(IMshareC!P$2:P$78)-IMshareC!P$16&gt;0,IMshareC!P37/(SUM(IMshareC!P$2:P$78)-IMshareC!P$16),0))</f>
        <v>1.6124773094309396E-3</v>
      </c>
      <c r="Q37" s="8">
        <f>IF($A37=Q$1,0,IF(SUM(IMshareC!Q$2:Q$78)-IMshareC!Q$17&gt;0,IMshareC!Q37/(SUM(IMshareC!Q$2:Q$78)-IMshareC!Q$17),0))</f>
        <v>2.4129024531089915E-3</v>
      </c>
      <c r="R37" s="8">
        <f>IF($A37=R$1,0,IF(SUM(IMshareC!R$2:R$78)-IMshareC!R$18&gt;0,IMshareC!R37/(SUM(IMshareC!R$2:R$78)-IMshareC!R$18),0))</f>
        <v>4.671976598180627E-3</v>
      </c>
      <c r="S37" s="8">
        <f>IF($A37=S$1,0,IF(SUM(IMshareC!S$2:S$78)-IMshareC!S$19&gt;0,IMshareC!S37/(SUM(IMshareC!S$2:S$78)-IMshareC!S$19),0))</f>
        <v>4.5629561112221689E-2</v>
      </c>
      <c r="T37" s="8">
        <f>IF($A37=T$1,0,IF(SUM(IMshareC!T$2:T$78)-IMshareC!T$20&gt;0,IMshareC!T37/(SUM(IMshareC!T$2:T$78)-IMshareC!T$20),0))</f>
        <v>2.3555318667025185E-4</v>
      </c>
      <c r="U37" s="8">
        <f>IF($A37=U$1,0,IF(SUM(IMshareC!U$2:U$78)-IMshareC!U$21&gt;0,IMshareC!U37/(SUM(IMshareC!U$2:U$78)-IMshareC!U$21),0))</f>
        <v>1.201763148645842E-3</v>
      </c>
      <c r="V37" s="8">
        <f>IF($A37=V$1,0,IF(SUM(IMshareC!V$2:V$78)-IMshareC!V$22&gt;0,IMshareC!V37/(SUM(IMshareC!V$2:V$78)-IMshareC!V$22),0))</f>
        <v>7.0122028471771803E-3</v>
      </c>
      <c r="W37" s="8">
        <f>IF($A37=W$1,0,IF(SUM(IMshareC!W$2:W$78)-IMshareC!W$23&gt;0,IMshareC!W37/(SUM(IMshareC!W$2:W$78)-IMshareC!W$23),0))</f>
        <v>9.4449558904521537E-7</v>
      </c>
      <c r="X37" s="8">
        <f>IF($A37=X$1,0,IF(SUM(IMshareC!X$2:X$78)-IMshareC!X$24&gt;0,IMshareC!X37/(SUM(IMshareC!X$2:X$78)-IMshareC!X$24),0))</f>
        <v>3.6028022983405519E-3</v>
      </c>
      <c r="Y37" s="8">
        <f>IF($A37=Y$1,0,IF(SUM(IMshareC!Y$2:Y$78)-IMshareC!Y$25&gt;0,IMshareC!Y37/(SUM(IMshareC!Y$2:Y$78)-IMshareC!Y$25),0))</f>
        <v>4.5461837218293118E-4</v>
      </c>
      <c r="Z37" s="8">
        <f>IF($A37=Z$1,0,IF(SUM(IMshareC!Z$2:Z$78)-IMshareC!Z$26&gt;0,IMshareC!Z37/(SUM(IMshareC!Z$2:Z$78)-IMshareC!Z$26),0))</f>
        <v>4.9381759932375828E-4</v>
      </c>
      <c r="AA37" s="8">
        <f>IF($A37=AA$1,0,IF(SUM(IMshareC!AA$2:AA$78)-IMshareC!AA$27&gt;0,IMshareC!AA37/(SUM(IMshareC!AA$2:AA$78)-IMshareC!AA$27),0))</f>
        <v>4.0276057596655909E-3</v>
      </c>
      <c r="AB37" s="8">
        <f>IF($A37=AB$1,0,IF(SUM(IMshareC!AB$2:AB$78)-IMshareC!AB$28&gt;0,IMshareC!AB37/(SUM(IMshareC!AB$2:AB$78)-IMshareC!AB$28),0))</f>
        <v>5.8991649521734895E-3</v>
      </c>
      <c r="AC37" s="8">
        <f>IF($A37=AC$1,0,IF(SUM(IMshareC!AC$2:AC$78)-IMshareC!AC$29&gt;0,IMshareC!AC37/(SUM(IMshareC!AC$2:AC$78)-IMshareC!AC$29),0))</f>
        <v>6.0247710533342701E-3</v>
      </c>
      <c r="AD37" s="8">
        <f>IF($A37=AD$1,0,IF(SUM(IMshareC!AD$2:AD$78)-IMshareC!AD$30&gt;0,IMshareC!AD37/(SUM(IMshareC!AD$2:AD$78)-IMshareC!AD$30),0))</f>
        <v>3.9738570906495832E-4</v>
      </c>
      <c r="AE37" s="8">
        <f>IF($A37=AE$1,0,IF(SUM(IMshareC!AE$2:AE$78)-IMshareC!AE$31&gt;0,IMshareC!AE37/(SUM(IMshareC!AE$2:AE$78)-IMshareC!AE$31),0))</f>
        <v>1.3060742304594215E-2</v>
      </c>
      <c r="AF37" s="8">
        <f>IF($A37=AF$1,0,IF(SUM(IMshareC!AF$2:AF$78)-IMshareC!AF$32&gt;0,IMshareC!AF37/(SUM(IMshareC!AF$2:AF$78)-IMshareC!AF$32),0))</f>
        <v>2.0766586982305176E-3</v>
      </c>
      <c r="AG37" s="8">
        <f>IF($A37=AG$1,0,IF(SUM(IMshareC!AG$2:AG$78)-IMshareC!AG$33&gt;0,IMshareC!AG37/(SUM(IMshareC!AG$2:AG$78)-IMshareC!AG$33),0))</f>
        <v>2.4167190355189823E-5</v>
      </c>
      <c r="AH37" s="8">
        <f>IF($A37=AH$1,0,IF(SUM(IMshareC!AH$2:AH$78)-IMshareC!AH$34&gt;0,IMshareC!AH37/(SUM(IMshareC!AH$2:AH$78)-IMshareC!AH$34),0))</f>
        <v>5.7665951000049178E-3</v>
      </c>
      <c r="AI37" s="8">
        <f>IF($A37=AI$1,0,IF(SUM(IMshareC!AI$2:AI$78)-IMshareC!AI$35&gt;0,IMshareC!AI37/(SUM(IMshareC!AI$2:AI$78)-IMshareC!AI$35),0))</f>
        <v>0.71301950105598144</v>
      </c>
      <c r="AJ37" s="8">
        <f>IF($A37=AJ$1,0,IF(SUM(IMshareC!AJ$2:AJ$78)-IMshareC!AJ$36&gt;0,IMshareC!AJ37/(SUM(IMshareC!AJ$2:AJ$78)-IMshareC!AJ$36),0))</f>
        <v>2.3474487023588445E-3</v>
      </c>
      <c r="AK37" s="8">
        <f>IF($A37=AK$1,0,IF(SUM(IMshareC!AK$2:AK$78)-IMshareC!AK$37&gt;0,IMshareC!AK37/(SUM(IMshareC!AK$2:AK$78)-IMshareC!AK$37),0))</f>
        <v>0</v>
      </c>
      <c r="AL37" s="8">
        <f>IF($A37=AL$1,0,IF(SUM(IMshareC!AL$2:AL$78)-IMshareC!AL$38&gt;0,IMshareC!AL37/(SUM(IMshareC!AL$2:AL$78)-IMshareC!AL$38),0))</f>
        <v>1.621178913414648E-3</v>
      </c>
      <c r="AM37" s="8">
        <f>IF($A37=AM$1,0,IF(SUM(IMshareC!AM$2:AM$78)-IMshareC!AM$39&gt;0,IMshareC!AM37/(SUM(IMshareC!AM$2:AM$78)-IMshareC!AM$39),0))</f>
        <v>3.3238412876771943E-3</v>
      </c>
      <c r="AN37" s="8">
        <f>IF($A37=AN$1,0,IF(SUM(IMshareC!AN$2:AN$78)-IMshareC!AN$40&gt;0,IMshareC!AN37/(SUM(IMshareC!AN$2:AN$78)-IMshareC!AN$40),0))</f>
        <v>4.6607408701297304E-3</v>
      </c>
      <c r="AO37" s="8">
        <f>IF($A37=AO$1,0,IF(SUM(IMshareC!AO$2:AO$78)-IMshareC!AO$41&gt;0,IMshareC!AO37/(SUM(IMshareC!AO$2:AO$78)-IMshareC!AO$41),0))</f>
        <v>1.2263490535160035E-3</v>
      </c>
      <c r="AP37" s="8">
        <f>IF($A37=AP$1,0,IF(SUM(IMshareC!AP$2:AP$78)-IMshareC!AP$42&gt;0,IMshareC!AP37/(SUM(IMshareC!AP$2:AP$78)-IMshareC!AP$42),0))</f>
        <v>2.6927581571019175E-5</v>
      </c>
      <c r="AQ37" s="8">
        <f>IF($A37=AQ$1,0,IF(SUM(IMshareC!AQ$2:AQ$78)-IMshareC!AQ$43&gt;0,IMshareC!AQ37/(SUM(IMshareC!AQ$2:AQ$78)-IMshareC!AQ$43),0))</f>
        <v>5.0702041738545525E-4</v>
      </c>
      <c r="AR37" s="8">
        <f>IF($A37=AR$1,0,IF(SUM(IMshareC!AR$2:AR$78)-IMshareC!AR$44&gt;0,IMshareC!AR37/(SUM(IMshareC!AR$2:AR$78)-IMshareC!AR$44),0))</f>
        <v>5.0509353932617305E-5</v>
      </c>
      <c r="AS37" s="8">
        <f>IF($A37=AS$1,0,IF(SUM(IMshareC!AS$2:AS$78)-IMshareC!AS$45&gt;0,IMshareC!AS37/(SUM(IMshareC!AS$2:AS$78)-IMshareC!AS$45),0))</f>
        <v>3.4905183857131307E-5</v>
      </c>
      <c r="AT37" s="8">
        <f>IF($A37=AT$1,0,IF(SUM(IMshareC!AT$2:AT$78)-IMshareC!AT$46&gt;0,IMshareC!AT37/(SUM(IMshareC!AT$2:AT$78)-IMshareC!AT$46),0))</f>
        <v>5.1815651886307892E-2</v>
      </c>
      <c r="AU37" s="8">
        <f>IF($A37=AU$1,0,IF(SUM(IMshareC!AU$2:AU$78)-IMshareC!AU$47&gt;0,IMshareC!AU37/(SUM(IMshareC!AU$2:AU$78)-IMshareC!AU$47),0))</f>
        <v>6.9099505237019587E-4</v>
      </c>
      <c r="AV37" s="8">
        <f>IF($A37=AV$1,0,IF(SUM(IMshareC!AV$2:AV$78)-IMshareC!AV$48&gt;0,IMshareC!AV37/(SUM(IMshareC!AV$2:AV$78)-IMshareC!AV$48),0))</f>
        <v>4.8869524952973205E-3</v>
      </c>
      <c r="AW37" s="8">
        <f>IF($A37=AW$1,0,IF(SUM(IMshareC!AW$2:AW$78)-IMshareC!AW$49&gt;0,IMshareC!AW37/(SUM(IMshareC!AW$2:AW$78)-IMshareC!AW$49),0))</f>
        <v>4.260796134174287E-3</v>
      </c>
      <c r="AX37" s="8">
        <f>IF($A37=AX$1,0,IF(SUM(IMshareC!AX$2:AX$78)-IMshareC!AX$50&gt;0,IMshareC!AX37/(SUM(IMshareC!AX$2:AX$78)-IMshareC!AX$50),0))</f>
        <v>4.0148243074861213E-5</v>
      </c>
      <c r="AY37" s="8">
        <f>IF($A37=AY$1,0,IF(SUM(IMshareC!AY$2:AY$78)-IMshareC!AY$51&gt;0,IMshareC!AY37/(SUM(IMshareC!AY$2:AY$78)-IMshareC!AY$51),0))</f>
        <v>2.2676760821290737E-2</v>
      </c>
      <c r="AZ37" s="8">
        <f>IF($A37=AZ$1,0,IF(SUM(IMshareC!AZ$2:AZ$78)-IMshareC!AZ$52&gt;0,IMshareC!AZ37/(SUM(IMshareC!AZ$2:AZ$78)-IMshareC!AZ$52),0))</f>
        <v>1.4531970887210561E-4</v>
      </c>
      <c r="BA37" s="8">
        <f>IF($A37=BA$1,0,IF(SUM(IMshareC!BA$2:BA$78)-IMshareC!BA$53&gt;0,IMshareC!BA37/(SUM(IMshareC!BA$2:BA$78)-IMshareC!BA$53),0))</f>
        <v>4.2015509907624945E-4</v>
      </c>
      <c r="BB37" s="8">
        <f>IF($A37=BB$1,0,IF(SUM(IMshareC!BB$2:BB$78)-IMshareC!BB$54&gt;0,IMshareC!BB37/(SUM(IMshareC!BB$2:BB$78)-IMshareC!BB$54),0))</f>
        <v>7.4019879395230978E-3</v>
      </c>
      <c r="BC37" s="8">
        <f>IF($A37=BC$1,0,IF(SUM(IMshareC!BC$2:BC$78)-IMshareC!BC$55&gt;0,IMshareC!BC37/(SUM(IMshareC!BC$2:BC$78)-IMshareC!BC$55),0))</f>
        <v>1.2748845006725579E-3</v>
      </c>
      <c r="BD37" s="8">
        <f>IF($A37=BD$1,0,IF(SUM(IMshareC!BD$2:BD$78)-IMshareC!BD$56&gt;0,IMshareC!BD37/(SUM(IMshareC!BD$2:BD$78)-IMshareC!BD$56),0))</f>
        <v>4.1991281989041491E-3</v>
      </c>
      <c r="BE37" s="8">
        <f>IF($A37=BE$1,0,IF(SUM(IMshareC!BE$2:BE$78)-IMshareC!BE$57&gt;0,IMshareC!BE37/(SUM(IMshareC!BE$2:BE$78)-IMshareC!BE$57),0))</f>
        <v>3.5043730026666688E-4</v>
      </c>
      <c r="BF37" s="8">
        <f>IF($A37=BF$1,0,IF(SUM(IMshareC!BF$2:BF$78)-IMshareC!BF$58&gt;0,IMshareC!BF37/(SUM(IMshareC!BF$2:BF$78)-IMshareC!BF$58),0))</f>
        <v>7.6001629233769016E-3</v>
      </c>
      <c r="BG37" s="8">
        <f>IF($A37=BG$1,0,IF(SUM(IMshareC!BG$2:BG$78)-IMshareC!BG$59&gt;0,IMshareC!BG37/(SUM(IMshareC!BG$2:BG$78)-IMshareC!BG$59),0))</f>
        <v>3.5777811844015742E-3</v>
      </c>
      <c r="BH37" s="8">
        <f>IF($A37=BH$1,0,IF(SUM(IMshareC!BH$2:BH$78)-IMshareC!BH$60&gt;0,IMshareC!BH37/(SUM(IMshareC!BH$2:BH$78)-IMshareC!BH$60),0))</f>
        <v>3.4573554328865309E-3</v>
      </c>
      <c r="BI37" s="8">
        <f>IF($A37=BI$1,0,IF(SUM(IMshareC!BI$2:BI$78)-IMshareC!BI$61&gt;0,IMshareC!BI37/(SUM(IMshareC!BI$2:BI$78)-IMshareC!BI$61),0))</f>
        <v>1.8377902036078634E-4</v>
      </c>
      <c r="BJ37" s="8">
        <f>IF($A37=BJ$1,0,IF(SUM(IMshareC!BJ$2:BJ$78)-IMshareC!BJ$62&gt;0,IMshareC!BJ37/(SUM(IMshareC!BJ$2:BJ$78)-IMshareC!BJ$62),0))</f>
        <v>7.8392769809587485E-4</v>
      </c>
      <c r="BK37" s="8">
        <f>IF($A37=BK$1,0,IF(SUM(IMshareC!BK$2:BK$78)-IMshareC!BK$63&gt;0,IMshareC!BK37/(SUM(IMshareC!BK$2:BK$78)-IMshareC!BK$63),0))</f>
        <v>6.6278724026257012E-4</v>
      </c>
      <c r="BL37" s="8">
        <f>IF($A37=BL$1,0,IF(SUM(IMshareC!BL$2:BL$78)-IMshareC!BL$64&gt;0,IMshareC!BL37/(SUM(IMshareC!BL$2:BL$78)-IMshareC!BL$64),0))</f>
        <v>0</v>
      </c>
      <c r="BM37" s="8">
        <f>IF($A37=BM$1,0,IF(SUM(IMshareC!BM$2:BM$78)-IMshareC!BM$65&gt;0,IMshareC!BM37/(SUM(IMshareC!BM$2:BM$78)-IMshareC!BM$65),0))</f>
        <v>0</v>
      </c>
      <c r="BN37" s="8">
        <f>IF($A37=BN$1,0,IF(SUM(IMshareC!BN$2:BN$78)-IMshareC!BN$66&gt;0,IMshareC!BN37/(SUM(IMshareC!BN$2:BN$78)-IMshareC!BN$66),0))</f>
        <v>4.2906369448798099E-4</v>
      </c>
      <c r="BO37" s="8">
        <f>IF($A37=BO$1,0,IF(SUM(IMshareC!BO$2:BO$78)-IMshareC!BO$67&gt;0,IMshareC!BO37/(SUM(IMshareC!BO$2:BO$78)-IMshareC!BO$67),0))</f>
        <v>1.0867656613813223E-3</v>
      </c>
      <c r="BP37" s="8">
        <f>IF($A37=BP$1,0,IF(SUM(IMshareC!BP$2:BP$78)-IMshareC!BP$68&gt;0,IMshareC!BP37/(SUM(IMshareC!BP$2:BP$78)-IMshareC!BP$68),0))</f>
        <v>1.4439468127469582E-2</v>
      </c>
      <c r="BQ37" s="8">
        <f>IF($A37=BQ$1,0,IF(SUM(IMshareC!BQ$2:BQ$78)-IMshareC!BQ$69&gt;0,IMshareC!BQ37/(SUM(IMshareC!BQ$2:BQ$78)-IMshareC!BQ$69),0))</f>
        <v>2.8524081014811801E-3</v>
      </c>
      <c r="BR37" s="8">
        <f>IF($A37=BR$1,0,IF(SUM(IMshareC!BR$2:BR$78)-IMshareC!BR$70&gt;0,IMshareC!BR37/(SUM(IMshareC!BR$2:BR$78)-IMshareC!BR$70),0))</f>
        <v>1.7635965798354991E-3</v>
      </c>
      <c r="BS37" s="8">
        <f>IF($A37=BS$1,0,IF(SUM(IMshareC!BS$2:BS$78)-IMshareC!BS$71&gt;0,IMshareC!BS37/(SUM(IMshareC!BS$2:BS$78)-IMshareC!BS$71),0))</f>
        <v>0</v>
      </c>
      <c r="BT37" s="8">
        <f>IF($A37=BT$1,0,IF(SUM(IMshareC!BT$2:BT$78)-IMshareC!BT$72&gt;0,IMshareC!BT37/(SUM(IMshareC!BT$2:BT$78)-IMshareC!BT$72),0))</f>
        <v>1.2298741274366794E-3</v>
      </c>
      <c r="BU37" s="8">
        <f>IF($A37=BU$1,0,IF(SUM(IMshareC!BU$2:BU$78)-IMshareC!BU$73&gt;0,IMshareC!BU37/(SUM(IMshareC!BU$2:BU$78)-IMshareC!BU$73),0))</f>
        <v>1.3896700517146889E-3</v>
      </c>
      <c r="BV37" s="8">
        <f>IF($A37=BV$1,0,IF(SUM(IMshareC!BV$2:BV$78)-IMshareC!BV$74&gt;0,IMshareC!BV37/(SUM(IMshareC!BV$2:BV$78)-IMshareC!BV$74),0))</f>
        <v>3.6042224335825152E-3</v>
      </c>
      <c r="BW37" s="8">
        <f>IF($A37=BW$1,0,IF(SUM(IMshareC!BW$2:BW$78)-IMshareC!BW$75&gt;0,IMshareC!BW37/(SUM(IMshareC!BW$2:BW$78)-IMshareC!BW$75),0))</f>
        <v>2.7301398189674551E-2</v>
      </c>
      <c r="BX37" s="8">
        <f>IF($A37=BX$1,0,IF(SUM(IMshareC!BX$2:BX$78)-IMshareC!BX$76&gt;0,IMshareC!BX37/(SUM(IMshareC!BX$2:BX$78)-IMshareC!BX$76),0))</f>
        <v>2.1859748442642078E-2</v>
      </c>
      <c r="BY37" s="8">
        <f>IF($A37=BY$1,0,IF(SUM(IMshareC!BY$2:BY$78)-IMshareC!BY$77&gt;0,IMshareC!BY37/(SUM(IMshareC!BY$2:BY$78)-IMshareC!BY$77),0))</f>
        <v>5.643656775531981E-3</v>
      </c>
      <c r="BZ37" s="8">
        <f>IF($A37=BZ$1,0,IF(SUM(IMshareC!BZ$2:BZ$78)-IMshareC!BZ$78&gt;0,IMshareC!BZ37/(SUM(IMshareC!BZ$2:BZ$78)-IMshareC!BZ$78),0))</f>
        <v>2.854879581841194E-3</v>
      </c>
    </row>
    <row r="38" spans="1:78">
      <c r="A38" s="4" t="s">
        <v>143</v>
      </c>
      <c r="B38" s="8">
        <f>IF($A38=B$1,0,IF(SUM(IMshareC!B$2:B$78)-IMshareC!B$2&gt;0,IMshareC!B38/(SUM(IMshareC!B$2:B$78)-IMshareC!B$2),0))</f>
        <v>1.246246468486467E-2</v>
      </c>
      <c r="C38" s="8">
        <f>IF($A38=C$1,0,IF(SUM(IMshareC!C$2:C$78)-IMshareC!C$3&gt;0,IMshareC!C38/(SUM(IMshareC!C$2:C$78)-IMshareC!C$3),0))</f>
        <v>1.1806045244900337E-2</v>
      </c>
      <c r="D38" s="8">
        <f>IF($A38=D$1,0,IF(SUM(IMshareC!D$2:D$78)-IMshareC!D$4&gt;0,IMshareC!D38/(SUM(IMshareC!D$2:D$78)-IMshareC!D$4),0))</f>
        <v>6.5057180011369193E-3</v>
      </c>
      <c r="E38" s="8">
        <f>IF($A38=E$1,0,IF(SUM(IMshareC!E$2:E$78)-IMshareC!E$5&gt;0,IMshareC!E38/(SUM(IMshareC!E$2:E$78)-IMshareC!E$5),0))</f>
        <v>2.3522862774471771E-3</v>
      </c>
      <c r="F38" s="8">
        <f>IF($A38=F$1,0,IF(SUM(IMshareC!F$2:F$78)-IMshareC!F$6&gt;0,IMshareC!F38/(SUM(IMshareC!F$2:F$78)-IMshareC!F$6),0))</f>
        <v>5.4004570449186747E-3</v>
      </c>
      <c r="G38" s="8">
        <f>IF($A38=G$1,0,IF(SUM(IMshareC!G$2:G$78)-IMshareC!G$7&gt;0,IMshareC!G38/(SUM(IMshareC!G$2:G$78)-IMshareC!G$7),0))</f>
        <v>2.8171464301960943E-2</v>
      </c>
      <c r="H38" s="8">
        <f>IF($A38=H$1,0,IF(SUM(IMshareC!H$2:H$78)-IMshareC!H$8&gt;0,IMshareC!H38/(SUM(IMshareC!H$2:H$78)-IMshareC!H$8),0))</f>
        <v>8.9917958531711556E-3</v>
      </c>
      <c r="I38" s="8">
        <f>IF($A38=I$1,0,IF(SUM(IMshareC!I$2:I$78)-IMshareC!I$9&gt;0,IMshareC!I38/(SUM(IMshareC!I$2:I$78)-IMshareC!I$9),0))</f>
        <v>4.5272203890639991E-3</v>
      </c>
      <c r="J38" s="8">
        <f>IF($A38=J$1,0,IF(SUM(IMshareC!J$2:J$78)-IMshareC!J$10&gt;0,IMshareC!J38/(SUM(IMshareC!J$2:J$78)-IMshareC!J$10),0))</f>
        <v>9.8465733169613972E-3</v>
      </c>
      <c r="K38" s="8">
        <f>IF($A38=K$1,0,IF(SUM(IMshareC!K$2:K$78)-IMshareC!K$11&gt;0,IMshareC!K38/(SUM(IMshareC!K$2:K$78)-IMshareC!K$11),0))</f>
        <v>2.4772096315746985E-3</v>
      </c>
      <c r="L38" s="8">
        <f>IF($A38=L$1,0,IF(SUM(IMshareC!L$2:L$78)-IMshareC!L$12&gt;0,IMshareC!L38/(SUM(IMshareC!L$2:L$78)-IMshareC!L$12),0))</f>
        <v>1.8248865271556735E-2</v>
      </c>
      <c r="M38" s="8">
        <f>IF($A38=M$1,0,IF(SUM(IMshareC!M$2:M$78)-IMshareC!M$13&gt;0,IMshareC!M38/(SUM(IMshareC!M$2:M$78)-IMshareC!M$13),0))</f>
        <v>2.9782003352606362E-2</v>
      </c>
      <c r="N38" s="8">
        <f>IF($A38=N$1,0,IF(SUM(IMshareC!N$2:N$78)-IMshareC!N$14&gt;0,IMshareC!N38/(SUM(IMshareC!N$2:N$78)-IMshareC!N$14),0))</f>
        <v>4.8491494502064911E-4</v>
      </c>
      <c r="O38" s="8">
        <f>IF($A38=O$1,0,IF(SUM(IMshareC!O$2:O$78)-IMshareC!O$15&gt;0,IMshareC!O38/(SUM(IMshareC!O$2:O$78)-IMshareC!O$15),0))</f>
        <v>2.6949180271762217E-2</v>
      </c>
      <c r="P38" s="8">
        <f>IF($A38=P$1,0,IF(SUM(IMshareC!P$2:P$78)-IMshareC!P$16&gt;0,IMshareC!P38/(SUM(IMshareC!P$2:P$78)-IMshareC!P$16),0))</f>
        <v>8.1162384518577643E-3</v>
      </c>
      <c r="Q38" s="8">
        <f>IF($A38=Q$1,0,IF(SUM(IMshareC!Q$2:Q$78)-IMshareC!Q$17&gt;0,IMshareC!Q38/(SUM(IMshareC!Q$2:Q$78)-IMshareC!Q$17),0))</f>
        <v>2.3798895829608094E-2</v>
      </c>
      <c r="R38" s="8">
        <f>IF($A38=R$1,0,IF(SUM(IMshareC!R$2:R$78)-IMshareC!R$18&gt;0,IMshareC!R38/(SUM(IMshareC!R$2:R$78)-IMshareC!R$18),0))</f>
        <v>3.3061739030667823E-3</v>
      </c>
      <c r="S38" s="8">
        <f>IF($A38=S$1,0,IF(SUM(IMshareC!S$2:S$78)-IMshareC!S$19&gt;0,IMshareC!S38/(SUM(IMshareC!S$2:S$78)-IMshareC!S$19),0))</f>
        <v>8.3536124062097872E-2</v>
      </c>
      <c r="T38" s="8">
        <f>IF($A38=T$1,0,IF(SUM(IMshareC!T$2:T$78)-IMshareC!T$20&gt;0,IMshareC!T38/(SUM(IMshareC!T$2:T$78)-IMshareC!T$20),0))</f>
        <v>5.0783829021000745E-3</v>
      </c>
      <c r="U38" s="8">
        <f>IF($A38=U$1,0,IF(SUM(IMshareC!U$2:U$78)-IMshareC!U$21&gt;0,IMshareC!U38/(SUM(IMshareC!U$2:U$78)-IMshareC!U$21),0))</f>
        <v>4.2014743770175467E-3</v>
      </c>
      <c r="V38" s="8">
        <f>IF($A38=V$1,0,IF(SUM(IMshareC!V$2:V$78)-IMshareC!V$22&gt;0,IMshareC!V38/(SUM(IMshareC!V$2:V$78)-IMshareC!V$22),0))</f>
        <v>1.0909686814580384E-2</v>
      </c>
      <c r="W38" s="8">
        <f>IF($A38=W$1,0,IF(SUM(IMshareC!W$2:W$78)-IMshareC!W$23&gt;0,IMshareC!W38/(SUM(IMshareC!W$2:W$78)-IMshareC!W$23),0))</f>
        <v>5.9657433893352374E-2</v>
      </c>
      <c r="X38" s="8">
        <f>IF($A38=X$1,0,IF(SUM(IMshareC!X$2:X$78)-IMshareC!X$24&gt;0,IMshareC!X38/(SUM(IMshareC!X$2:X$78)-IMshareC!X$24),0))</f>
        <v>3.4360993361768385E-2</v>
      </c>
      <c r="Y38" s="8">
        <f>IF($A38=Y$1,0,IF(SUM(IMshareC!Y$2:Y$78)-IMshareC!Y$25&gt;0,IMshareC!Y38/(SUM(IMshareC!Y$2:Y$78)-IMshareC!Y$25),0))</f>
        <v>6.0619400091585325E-3</v>
      </c>
      <c r="Z38" s="8">
        <f>IF($A38=Z$1,0,IF(SUM(IMshareC!Z$2:Z$78)-IMshareC!Z$26&gt;0,IMshareC!Z38/(SUM(IMshareC!Z$2:Z$78)-IMshareC!Z$26),0))</f>
        <v>6.5484357995407591E-3</v>
      </c>
      <c r="AA38" s="8">
        <f>IF($A38=AA$1,0,IF(SUM(IMshareC!AA$2:AA$78)-IMshareC!AA$27&gt;0,IMshareC!AA38/(SUM(IMshareC!AA$2:AA$78)-IMshareC!AA$27),0))</f>
        <v>1.7761090721784768E-2</v>
      </c>
      <c r="AB38" s="8">
        <f>IF($A38=AB$1,0,IF(SUM(IMshareC!AB$2:AB$78)-IMshareC!AB$28&gt;0,IMshareC!AB38/(SUM(IMshareC!AB$2:AB$78)-IMshareC!AB$28),0))</f>
        <v>1.1517399192676869E-2</v>
      </c>
      <c r="AC38" s="8">
        <f>IF($A38=AC$1,0,IF(SUM(IMshareC!AC$2:AC$78)-IMshareC!AC$29&gt;0,IMshareC!AC38/(SUM(IMshareC!AC$2:AC$78)-IMshareC!AC$29),0))</f>
        <v>9.7195514038142625E-2</v>
      </c>
      <c r="AD38" s="8">
        <f>IF($A38=AD$1,0,IF(SUM(IMshareC!AD$2:AD$78)-IMshareC!AD$30&gt;0,IMshareC!AD38/(SUM(IMshareC!AD$2:AD$78)-IMshareC!AD$30),0))</f>
        <v>3.3963775149567868E-4</v>
      </c>
      <c r="AE38" s="8">
        <f>IF($A38=AE$1,0,IF(SUM(IMshareC!AE$2:AE$78)-IMshareC!AE$31&gt;0,IMshareC!AE38/(SUM(IMshareC!AE$2:AE$78)-IMshareC!AE$31),0))</f>
        <v>0.24009189408674647</v>
      </c>
      <c r="AF38" s="8">
        <f>IF($A38=AF$1,0,IF(SUM(IMshareC!AF$2:AF$78)-IMshareC!AF$32&gt;0,IMshareC!AF38/(SUM(IMshareC!AF$2:AF$78)-IMshareC!AF$32),0))</f>
        <v>5.2271162674834932E-3</v>
      </c>
      <c r="AG38" s="8">
        <f>IF($A38=AG$1,0,IF(SUM(IMshareC!AG$2:AG$78)-IMshareC!AG$33&gt;0,IMshareC!AG38/(SUM(IMshareC!AG$2:AG$78)-IMshareC!AG$33),0))</f>
        <v>3.9977141807927714E-4</v>
      </c>
      <c r="AH38" s="8">
        <f>IF($A38=AH$1,0,IF(SUM(IMshareC!AH$2:AH$78)-IMshareC!AH$34&gt;0,IMshareC!AH38/(SUM(IMshareC!AH$2:AH$78)-IMshareC!AH$34),0))</f>
        <v>9.2694454506907133E-4</v>
      </c>
      <c r="AI38" s="8">
        <f>IF($A38=AI$1,0,IF(SUM(IMshareC!AI$2:AI$78)-IMshareC!AI$35&gt;0,IMshareC!AI38/(SUM(IMshareC!AI$2:AI$78)-IMshareC!AI$35),0))</f>
        <v>7.1645260860743454E-4</v>
      </c>
      <c r="AJ38" s="8">
        <f>IF($A38=AJ$1,0,IF(SUM(IMshareC!AJ$2:AJ$78)-IMshareC!AJ$36&gt;0,IMshareC!AJ38/(SUM(IMshareC!AJ$2:AJ$78)-IMshareC!AJ$36),0))</f>
        <v>5.1357412054810175E-2</v>
      </c>
      <c r="AK38" s="8">
        <f>IF($A38=AK$1,0,IF(SUM(IMshareC!AK$2:AK$78)-IMshareC!AK$37&gt;0,IMshareC!AK38/(SUM(IMshareC!AK$2:AK$78)-IMshareC!AK$37),0))</f>
        <v>4.6170186971445813E-3</v>
      </c>
      <c r="AL38" s="8">
        <f>IF($A38=AL$1,0,IF(SUM(IMshareC!AL$2:AL$78)-IMshareC!AL$38&gt;0,IMshareC!AL38/(SUM(IMshareC!AL$2:AL$78)-IMshareC!AL$38),0))</f>
        <v>0</v>
      </c>
      <c r="AM38" s="8">
        <f>IF($A38=AM$1,0,IF(SUM(IMshareC!AM$2:AM$78)-IMshareC!AM$39&gt;0,IMshareC!AM38/(SUM(IMshareC!AM$2:AM$78)-IMshareC!AM$39),0))</f>
        <v>0.19990161383456143</v>
      </c>
      <c r="AN38" s="8">
        <f>IF($A38=AN$1,0,IF(SUM(IMshareC!AN$2:AN$78)-IMshareC!AN$40&gt;0,IMshareC!AN38/(SUM(IMshareC!AN$2:AN$78)-IMshareC!AN$40),0))</f>
        <v>1.4991627850887963E-4</v>
      </c>
      <c r="AO38" s="8">
        <f>IF($A38=AO$1,0,IF(SUM(IMshareC!AO$2:AO$78)-IMshareC!AO$41&gt;0,IMshareC!AO38/(SUM(IMshareC!AO$2:AO$78)-IMshareC!AO$41),0))</f>
        <v>1.1777286165865073E-2</v>
      </c>
      <c r="AP38" s="8">
        <f>IF($A38=AP$1,0,IF(SUM(IMshareC!AP$2:AP$78)-IMshareC!AP$42&gt;0,IMshareC!AP38/(SUM(IMshareC!AP$2:AP$78)-IMshareC!AP$42),0))</f>
        <v>1.2103078483627862E-4</v>
      </c>
      <c r="AQ38" s="8">
        <f>IF($A38=AQ$1,0,IF(SUM(IMshareC!AQ$2:AQ$78)-IMshareC!AQ$43&gt;0,IMshareC!AQ38/(SUM(IMshareC!AQ$2:AQ$78)-IMshareC!AQ$43),0))</f>
        <v>2.6085196982788352E-4</v>
      </c>
      <c r="AR38" s="8">
        <f>IF($A38=AR$1,0,IF(SUM(IMshareC!AR$2:AR$78)-IMshareC!AR$44&gt;0,IMshareC!AR38/(SUM(IMshareC!AR$2:AR$78)-IMshareC!AR$44),0))</f>
        <v>0</v>
      </c>
      <c r="AS38" s="8">
        <f>IF($A38=AS$1,0,IF(SUM(IMshareC!AS$2:AS$78)-IMshareC!AS$45&gt;0,IMshareC!AS38/(SUM(IMshareC!AS$2:AS$78)-IMshareC!AS$45),0))</f>
        <v>1.801168160353327E-2</v>
      </c>
      <c r="AT38" s="8">
        <f>IF($A38=AT$1,0,IF(SUM(IMshareC!AT$2:AT$78)-IMshareC!AT$46&gt;0,IMshareC!AT38/(SUM(IMshareC!AT$2:AT$78)-IMshareC!AT$46),0))</f>
        <v>0.12361705339608214</v>
      </c>
      <c r="AU38" s="8">
        <f>IF($A38=AU$1,0,IF(SUM(IMshareC!AU$2:AU$78)-IMshareC!AU$47&gt;0,IMshareC!AU38/(SUM(IMshareC!AU$2:AU$78)-IMshareC!AU$47),0))</f>
        <v>7.7331384516641398E-3</v>
      </c>
      <c r="AV38" s="8">
        <f>IF($A38=AV$1,0,IF(SUM(IMshareC!AV$2:AV$78)-IMshareC!AV$48&gt;0,IMshareC!AV38/(SUM(IMshareC!AV$2:AV$78)-IMshareC!AV$48),0))</f>
        <v>2.0251986379032454E-2</v>
      </c>
      <c r="AW38" s="8">
        <f>IF($A38=AW$1,0,IF(SUM(IMshareC!AW$2:AW$78)-IMshareC!AW$49&gt;0,IMshareC!AW38/(SUM(IMshareC!AW$2:AW$78)-IMshareC!AW$49),0))</f>
        <v>1.0838886560537411E-3</v>
      </c>
      <c r="AX38" s="8">
        <f>IF($A38=AX$1,0,IF(SUM(IMshareC!AX$2:AX$78)-IMshareC!AX$50&gt;0,IMshareC!AX38/(SUM(IMshareC!AX$2:AX$78)-IMshareC!AX$50),0))</f>
        <v>0.2464349192483532</v>
      </c>
      <c r="AY38" s="8">
        <f>IF($A38=AY$1,0,IF(SUM(IMshareC!AY$2:AY$78)-IMshareC!AY$51&gt;0,IMshareC!AY38/(SUM(IMshareC!AY$2:AY$78)-IMshareC!AY$51),0))</f>
        <v>7.4738328539934176E-4</v>
      </c>
      <c r="AZ38" s="8">
        <f>IF($A38=AZ$1,0,IF(SUM(IMshareC!AZ$2:AZ$78)-IMshareC!AZ$52&gt;0,IMshareC!AZ38/(SUM(IMshareC!AZ$2:AZ$78)-IMshareC!AZ$52),0))</f>
        <v>1.0330196178100409E-2</v>
      </c>
      <c r="BA38" s="8">
        <f>IF($A38=BA$1,0,IF(SUM(IMshareC!BA$2:BA$78)-IMshareC!BA$53&gt;0,IMshareC!BA38/(SUM(IMshareC!BA$2:BA$78)-IMshareC!BA$53),0))</f>
        <v>6.1027870382326906E-3</v>
      </c>
      <c r="BB38" s="8">
        <f>IF($A38=BB$1,0,IF(SUM(IMshareC!BB$2:BB$78)-IMshareC!BB$54&gt;0,IMshareC!BB38/(SUM(IMshareC!BB$2:BB$78)-IMshareC!BB$54),0))</f>
        <v>6.2349816993497792E-3</v>
      </c>
      <c r="BC38" s="8">
        <f>IF($A38=BC$1,0,IF(SUM(IMshareC!BC$2:BC$78)-IMshareC!BC$55&gt;0,IMshareC!BC38/(SUM(IMshareC!BC$2:BC$78)-IMshareC!BC$55),0))</f>
        <v>1.0990152794333578E-2</v>
      </c>
      <c r="BD38" s="8">
        <f>IF($A38=BD$1,0,IF(SUM(IMshareC!BD$2:BD$78)-IMshareC!BD$56&gt;0,IMshareC!BD38/(SUM(IMshareC!BD$2:BD$78)-IMshareC!BD$56),0))</f>
        <v>2.0377029033128782E-2</v>
      </c>
      <c r="BE38" s="8">
        <f>IF($A38=BE$1,0,IF(SUM(IMshareC!BE$2:BE$78)-IMshareC!BE$57&gt;0,IMshareC!BE38/(SUM(IMshareC!BE$2:BE$78)-IMshareC!BE$57),0))</f>
        <v>1.373968281392356E-2</v>
      </c>
      <c r="BF38" s="8">
        <f>IF($A38=BF$1,0,IF(SUM(IMshareC!BF$2:BF$78)-IMshareC!BF$58&gt;0,IMshareC!BF38/(SUM(IMshareC!BF$2:BF$78)-IMshareC!BF$58),0))</f>
        <v>4.6464340278404459E-2</v>
      </c>
      <c r="BG38" s="8">
        <f>IF($A38=BG$1,0,IF(SUM(IMshareC!BG$2:BG$78)-IMshareC!BG$59&gt;0,IMshareC!BG38/(SUM(IMshareC!BG$2:BG$78)-IMshareC!BG$59),0))</f>
        <v>1.0337040202709822E-2</v>
      </c>
      <c r="BH38" s="8">
        <f>IF($A38=BH$1,0,IF(SUM(IMshareC!BH$2:BH$78)-IMshareC!BH$60&gt;0,IMshareC!BH38/(SUM(IMshareC!BH$2:BH$78)-IMshareC!BH$60),0))</f>
        <v>1.1250294427354439E-2</v>
      </c>
      <c r="BI38" s="8">
        <f>IF($A38=BI$1,0,IF(SUM(IMshareC!BI$2:BI$78)-IMshareC!BI$61&gt;0,IMshareC!BI38/(SUM(IMshareC!BI$2:BI$78)-IMshareC!BI$61),0))</f>
        <v>1.1556409516556582E-2</v>
      </c>
      <c r="BJ38" s="8">
        <f>IF($A38=BJ$1,0,IF(SUM(IMshareC!BJ$2:BJ$78)-IMshareC!BJ$62&gt;0,IMshareC!BJ38/(SUM(IMshareC!BJ$2:BJ$78)-IMshareC!BJ$62),0))</f>
        <v>3.5549290368008704E-2</v>
      </c>
      <c r="BK38" s="8">
        <f>IF($A38=BK$1,0,IF(SUM(IMshareC!BK$2:BK$78)-IMshareC!BK$63&gt;0,IMshareC!BK38/(SUM(IMshareC!BK$2:BK$78)-IMshareC!BK$63),0))</f>
        <v>1.3361320641064286E-2</v>
      </c>
      <c r="BL38" s="8">
        <f>IF($A38=BL$1,0,IF(SUM(IMshareC!BL$2:BL$78)-IMshareC!BL$64&gt;0,IMshareC!BL38/(SUM(IMshareC!BL$2:BL$78)-IMshareC!BL$64),0))</f>
        <v>5.2477797970289029E-2</v>
      </c>
      <c r="BM38" s="8">
        <f>IF($A38=BM$1,0,IF(SUM(IMshareC!BM$2:BM$78)-IMshareC!BM$65&gt;0,IMshareC!BM38/(SUM(IMshareC!BM$2:BM$78)-IMshareC!BM$65),0))</f>
        <v>2.7460321390180363E-2</v>
      </c>
      <c r="BN38" s="8">
        <f>IF($A38=BN$1,0,IF(SUM(IMshareC!BN$2:BN$78)-IMshareC!BN$66&gt;0,IMshareC!BN38/(SUM(IMshareC!BN$2:BN$78)-IMshareC!BN$66),0))</f>
        <v>6.6641836047053541E-3</v>
      </c>
      <c r="BO38" s="8">
        <f>IF($A38=BO$1,0,IF(SUM(IMshareC!BO$2:BO$78)-IMshareC!BO$67&gt;0,IMshareC!BO38/(SUM(IMshareC!BO$2:BO$78)-IMshareC!BO$67),0))</f>
        <v>8.174293886729472E-3</v>
      </c>
      <c r="BP38" s="8">
        <f>IF($A38=BP$1,0,IF(SUM(IMshareC!BP$2:BP$78)-IMshareC!BP$68&gt;0,IMshareC!BP38/(SUM(IMshareC!BP$2:BP$78)-IMshareC!BP$68),0))</f>
        <v>2.7277801917184728E-2</v>
      </c>
      <c r="BQ38" s="8">
        <f>IF($A38=BQ$1,0,IF(SUM(IMshareC!BQ$2:BQ$78)-IMshareC!BQ$69&gt;0,IMshareC!BQ38/(SUM(IMshareC!BQ$2:BQ$78)-IMshareC!BQ$69),0))</f>
        <v>9.6363589469371253E-3</v>
      </c>
      <c r="BR38" s="8">
        <f>IF($A38=BR$1,0,IF(SUM(IMshareC!BR$2:BR$78)-IMshareC!BR$70&gt;0,IMshareC!BR38/(SUM(IMshareC!BR$2:BR$78)-IMshareC!BR$70),0))</f>
        <v>4.3143895591867395E-3</v>
      </c>
      <c r="BS38" s="8">
        <f>IF($A38=BS$1,0,IF(SUM(IMshareC!BS$2:BS$78)-IMshareC!BS$71&gt;0,IMshareC!BS38/(SUM(IMshareC!BS$2:BS$78)-IMshareC!BS$71),0))</f>
        <v>4.9351358301247428E-2</v>
      </c>
      <c r="BT38" s="8">
        <f>IF($A38=BT$1,0,IF(SUM(IMshareC!BT$2:BT$78)-IMshareC!BT$72&gt;0,IMshareC!BT38/(SUM(IMshareC!BT$2:BT$78)-IMshareC!BT$72),0))</f>
        <v>2.4883665587799957E-2</v>
      </c>
      <c r="BU38" s="8">
        <f>IF($A38=BU$1,0,IF(SUM(IMshareC!BU$2:BU$78)-IMshareC!BU$73&gt;0,IMshareC!BU38/(SUM(IMshareC!BU$2:BU$78)-IMshareC!BU$73),0))</f>
        <v>5.1372423844835537E-3</v>
      </c>
      <c r="BV38" s="8">
        <f>IF($A38=BV$1,0,IF(SUM(IMshareC!BV$2:BV$78)-IMshareC!BV$74&gt;0,IMshareC!BV38/(SUM(IMshareC!BV$2:BV$78)-IMshareC!BV$74),0))</f>
        <v>1.511674773988257E-2</v>
      </c>
      <c r="BW38" s="8">
        <f>IF($A38=BW$1,0,IF(SUM(IMshareC!BW$2:BW$78)-IMshareC!BW$75&gt;0,IMshareC!BW38/(SUM(IMshareC!BW$2:BW$78)-IMshareC!BW$75),0))</f>
        <v>1.6956727787802556E-3</v>
      </c>
      <c r="BX38" s="8">
        <f>IF($A38=BX$1,0,IF(SUM(IMshareC!BX$2:BX$78)-IMshareC!BX$76&gt;0,IMshareC!BX38/(SUM(IMshareC!BX$2:BX$78)-IMshareC!BX$76),0))</f>
        <v>1.4784455704770799E-4</v>
      </c>
      <c r="BY38" s="8">
        <f>IF($A38=BY$1,0,IF(SUM(IMshareC!BY$2:BY$78)-IMshareC!BY$77&gt;0,IMshareC!BY38/(SUM(IMshareC!BY$2:BY$78)-IMshareC!BY$77),0))</f>
        <v>2.2079250712455822E-2</v>
      </c>
      <c r="BZ38" s="8">
        <f>IF($A38=BZ$1,0,IF(SUM(IMshareC!BZ$2:BZ$78)-IMshareC!BZ$78&gt;0,IMshareC!BZ38/(SUM(IMshareC!BZ$2:BZ$78)-IMshareC!BZ$78),0))</f>
        <v>3.5871447150876937E-2</v>
      </c>
    </row>
    <row r="39" spans="1:78">
      <c r="A39" s="4" t="s">
        <v>145</v>
      </c>
      <c r="B39" s="8">
        <f>IF($A39=B$1,0,IF(SUM(IMshareC!B$2:B$78)-IMshareC!B$2&gt;0,IMshareC!B39/(SUM(IMshareC!B$2:B$78)-IMshareC!B$2),0))</f>
        <v>0</v>
      </c>
      <c r="C39" s="8">
        <f>IF($A39=C$1,0,IF(SUM(IMshareC!C$2:C$78)-IMshareC!C$3&gt;0,IMshareC!C39/(SUM(IMshareC!C$2:C$78)-IMshareC!C$3),0))</f>
        <v>2.4962671993003773E-5</v>
      </c>
      <c r="D39" s="8">
        <f>IF($A39=D$1,0,IF(SUM(IMshareC!D$2:D$78)-IMshareC!D$4&gt;0,IMshareC!D39/(SUM(IMshareC!D$2:D$78)-IMshareC!D$4),0))</f>
        <v>3.4164625324216974E-7</v>
      </c>
      <c r="E39" s="8">
        <f>IF($A39=E$1,0,IF(SUM(IMshareC!E$2:E$78)-IMshareC!E$5&gt;0,IMshareC!E39/(SUM(IMshareC!E$2:E$78)-IMshareC!E$5),0))</f>
        <v>1.0914313070078905E-7</v>
      </c>
      <c r="F39" s="8">
        <f>IF($A39=F$1,0,IF(SUM(IMshareC!F$2:F$78)-IMshareC!F$6&gt;0,IMshareC!F39/(SUM(IMshareC!F$2:F$78)-IMshareC!F$6),0))</f>
        <v>0</v>
      </c>
      <c r="G39" s="8">
        <f>IF($A39=G$1,0,IF(SUM(IMshareC!G$2:G$78)-IMshareC!G$7&gt;0,IMshareC!G39/(SUM(IMshareC!G$2:G$78)-IMshareC!G$7),0))</f>
        <v>0</v>
      </c>
      <c r="H39" s="8">
        <f>IF($A39=H$1,0,IF(SUM(IMshareC!H$2:H$78)-IMshareC!H$8&gt;0,IMshareC!H39/(SUM(IMshareC!H$2:H$78)-IMshareC!H$8),0))</f>
        <v>0</v>
      </c>
      <c r="I39" s="8">
        <f>IF($A39=I$1,0,IF(SUM(IMshareC!I$2:I$78)-IMshareC!I$9&gt;0,IMshareC!I39/(SUM(IMshareC!I$2:I$78)-IMshareC!I$9),0))</f>
        <v>0</v>
      </c>
      <c r="J39" s="8">
        <f>IF($A39=J$1,0,IF(SUM(IMshareC!J$2:J$78)-IMshareC!J$10&gt;0,IMshareC!J39/(SUM(IMshareC!J$2:J$78)-IMshareC!J$10),0))</f>
        <v>0</v>
      </c>
      <c r="K39" s="8">
        <f>IF($A39=K$1,0,IF(SUM(IMshareC!K$2:K$78)-IMshareC!K$11&gt;0,IMshareC!K39/(SUM(IMshareC!K$2:K$78)-IMshareC!K$11),0))</f>
        <v>0</v>
      </c>
      <c r="L39" s="8">
        <f>IF($A39=L$1,0,IF(SUM(IMshareC!L$2:L$78)-IMshareC!L$12&gt;0,IMshareC!L39/(SUM(IMshareC!L$2:L$78)-IMshareC!L$12),0))</f>
        <v>1.1788281111196318E-4</v>
      </c>
      <c r="M39" s="8">
        <f>IF($A39=M$1,0,IF(SUM(IMshareC!M$2:M$78)-IMshareC!M$13&gt;0,IMshareC!M39/(SUM(IMshareC!M$2:M$78)-IMshareC!M$13),0))</f>
        <v>2.3982079743067095E-6</v>
      </c>
      <c r="N39" s="8">
        <f>IF($A39=N$1,0,IF(SUM(IMshareC!N$2:N$78)-IMshareC!N$14&gt;0,IMshareC!N39/(SUM(IMshareC!N$2:N$78)-IMshareC!N$14),0))</f>
        <v>5.3664679017931553E-8</v>
      </c>
      <c r="O39" s="8">
        <f>IF($A39=O$1,0,IF(SUM(IMshareC!O$2:O$78)-IMshareC!O$15&gt;0,IMshareC!O39/(SUM(IMshareC!O$2:O$78)-IMshareC!O$15),0))</f>
        <v>0</v>
      </c>
      <c r="P39" s="8">
        <f>IF($A39=P$1,0,IF(SUM(IMshareC!P$2:P$78)-IMshareC!P$16&gt;0,IMshareC!P39/(SUM(IMshareC!P$2:P$78)-IMshareC!P$16),0))</f>
        <v>0</v>
      </c>
      <c r="Q39" s="8">
        <f>IF($A39=Q$1,0,IF(SUM(IMshareC!Q$2:Q$78)-IMshareC!Q$17&gt;0,IMshareC!Q39/(SUM(IMshareC!Q$2:Q$78)-IMshareC!Q$17),0))</f>
        <v>0</v>
      </c>
      <c r="R39" s="8">
        <f>IF($A39=R$1,0,IF(SUM(IMshareC!R$2:R$78)-IMshareC!R$18&gt;0,IMshareC!R39/(SUM(IMshareC!R$2:R$78)-IMshareC!R$18),0))</f>
        <v>1.6687261143369686E-8</v>
      </c>
      <c r="S39" s="8">
        <f>IF($A39=S$1,0,IF(SUM(IMshareC!S$2:S$78)-IMshareC!S$19&gt;0,IMshareC!S39/(SUM(IMshareC!S$2:S$78)-IMshareC!S$19),0))</f>
        <v>0</v>
      </c>
      <c r="T39" s="8">
        <f>IF($A39=T$1,0,IF(SUM(IMshareC!T$2:T$78)-IMshareC!T$20&gt;0,IMshareC!T39/(SUM(IMshareC!T$2:T$78)-IMshareC!T$20),0))</f>
        <v>2.4968737952332666E-6</v>
      </c>
      <c r="U39" s="8">
        <f>IF($A39=U$1,0,IF(SUM(IMshareC!U$2:U$78)-IMshareC!U$21&gt;0,IMshareC!U39/(SUM(IMshareC!U$2:U$78)-IMshareC!U$21),0))</f>
        <v>8.5278819159892295E-5</v>
      </c>
      <c r="V39" s="8">
        <f>IF($A39=V$1,0,IF(SUM(IMshareC!V$2:V$78)-IMshareC!V$22&gt;0,IMshareC!V39/(SUM(IMshareC!V$2:V$78)-IMshareC!V$22),0))</f>
        <v>0</v>
      </c>
      <c r="W39" s="8">
        <f>IF($A39=W$1,0,IF(SUM(IMshareC!W$2:W$78)-IMshareC!W$23&gt;0,IMshareC!W39/(SUM(IMshareC!W$2:W$78)-IMshareC!W$23),0))</f>
        <v>4.7019129185445698E-8</v>
      </c>
      <c r="X39" s="8">
        <f>IF($A39=X$1,0,IF(SUM(IMshareC!X$2:X$78)-IMshareC!X$24&gt;0,IMshareC!X39/(SUM(IMshareC!X$2:X$78)-IMshareC!X$24),0))</f>
        <v>1.3920446091033782E-6</v>
      </c>
      <c r="Y39" s="8">
        <f>IF($A39=Y$1,0,IF(SUM(IMshareC!Y$2:Y$78)-IMshareC!Y$25&gt;0,IMshareC!Y39/(SUM(IMshareC!Y$2:Y$78)-IMshareC!Y$25),0))</f>
        <v>0</v>
      </c>
      <c r="Z39" s="8">
        <f>IF($A39=Z$1,0,IF(SUM(IMshareC!Z$2:Z$78)-IMshareC!Z$26&gt;0,IMshareC!Z39/(SUM(IMshareC!Z$2:Z$78)-IMshareC!Z$26),0))</f>
        <v>7.7713043652485018E-6</v>
      </c>
      <c r="AA39" s="8">
        <f>IF($A39=AA$1,0,IF(SUM(IMshareC!AA$2:AA$78)-IMshareC!AA$27&gt;0,IMshareC!AA39/(SUM(IMshareC!AA$2:AA$78)-IMshareC!AA$27),0))</f>
        <v>6.6915701104313564E-6</v>
      </c>
      <c r="AB39" s="8">
        <f>IF($A39=AB$1,0,IF(SUM(IMshareC!AB$2:AB$78)-IMshareC!AB$28&gt;0,IMshareC!AB39/(SUM(IMshareC!AB$2:AB$78)-IMshareC!AB$28),0))</f>
        <v>1.8842780699918126E-4</v>
      </c>
      <c r="AC39" s="8">
        <f>IF($A39=AC$1,0,IF(SUM(IMshareC!AC$2:AC$78)-IMshareC!AC$29&gt;0,IMshareC!AC39/(SUM(IMshareC!AC$2:AC$78)-IMshareC!AC$29),0))</f>
        <v>5.4783461009885616E-6</v>
      </c>
      <c r="AD39" s="8">
        <f>IF($A39=AD$1,0,IF(SUM(IMshareC!AD$2:AD$78)-IMshareC!AD$30&gt;0,IMshareC!AD39/(SUM(IMshareC!AD$2:AD$78)-IMshareC!AD$30),0))</f>
        <v>0</v>
      </c>
      <c r="AE39" s="8">
        <f>IF($A39=AE$1,0,IF(SUM(IMshareC!AE$2:AE$78)-IMshareC!AE$31&gt;0,IMshareC!AE39/(SUM(IMshareC!AE$2:AE$78)-IMshareC!AE$31),0))</f>
        <v>0</v>
      </c>
      <c r="AF39" s="8">
        <f>IF($A39=AF$1,0,IF(SUM(IMshareC!AF$2:AF$78)-IMshareC!AF$32&gt;0,IMshareC!AF39/(SUM(IMshareC!AF$2:AF$78)-IMshareC!AF$32),0))</f>
        <v>1.9235480284317925E-8</v>
      </c>
      <c r="AG39" s="8">
        <f>IF($A39=AG$1,0,IF(SUM(IMshareC!AG$2:AG$78)-IMshareC!AG$33&gt;0,IMshareC!AG39/(SUM(IMshareC!AG$2:AG$78)-IMshareC!AG$33),0))</f>
        <v>0</v>
      </c>
      <c r="AH39" s="8">
        <f>IF($A39=AH$1,0,IF(SUM(IMshareC!AH$2:AH$78)-IMshareC!AH$34&gt;0,IMshareC!AH39/(SUM(IMshareC!AH$2:AH$78)-IMshareC!AH$34),0))</f>
        <v>8.636143298772524E-7</v>
      </c>
      <c r="AI39" s="8">
        <f>IF($A39=AI$1,0,IF(SUM(IMshareC!AI$2:AI$78)-IMshareC!AI$35&gt;0,IMshareC!AI39/(SUM(IMshareC!AI$2:AI$78)-IMshareC!AI$35),0))</f>
        <v>1.4954471809197512E-7</v>
      </c>
      <c r="AJ39" s="8">
        <f>IF($A39=AJ$1,0,IF(SUM(IMshareC!AJ$2:AJ$78)-IMshareC!AJ$36&gt;0,IMshareC!AJ39/(SUM(IMshareC!AJ$2:AJ$78)-IMshareC!AJ$36),0))</f>
        <v>0</v>
      </c>
      <c r="AK39" s="8">
        <f>IF($A39=AK$1,0,IF(SUM(IMshareC!AK$2:AK$78)-IMshareC!AK$37&gt;0,IMshareC!AK39/(SUM(IMshareC!AK$2:AK$78)-IMshareC!AK$37),0))</f>
        <v>1.6044509418517973E-5</v>
      </c>
      <c r="AL39" s="8">
        <f>IF($A39=AL$1,0,IF(SUM(IMshareC!AL$2:AL$78)-IMshareC!AL$38&gt;0,IMshareC!AL39/(SUM(IMshareC!AL$2:AL$78)-IMshareC!AL$38),0))</f>
        <v>7.6884119023037779E-7</v>
      </c>
      <c r="AM39" s="8">
        <f>IF($A39=AM$1,0,IF(SUM(IMshareC!AM$2:AM$78)-IMshareC!AM$39&gt;0,IMshareC!AM39/(SUM(IMshareC!AM$2:AM$78)-IMshareC!AM$39),0))</f>
        <v>0</v>
      </c>
      <c r="AN39" s="8">
        <f>IF($A39=AN$1,0,IF(SUM(IMshareC!AN$2:AN$78)-IMshareC!AN$40&gt;0,IMshareC!AN39/(SUM(IMshareC!AN$2:AN$78)-IMshareC!AN$40),0))</f>
        <v>3.4282569734145816E-7</v>
      </c>
      <c r="AO39" s="8">
        <f>IF($A39=AO$1,0,IF(SUM(IMshareC!AO$2:AO$78)-IMshareC!AO$41&gt;0,IMshareC!AO39/(SUM(IMshareC!AO$2:AO$78)-IMshareC!AO$41),0))</f>
        <v>0</v>
      </c>
      <c r="AP39" s="8">
        <f>IF($A39=AP$1,0,IF(SUM(IMshareC!AP$2:AP$78)-IMshareC!AP$42&gt;0,IMshareC!AP39/(SUM(IMshareC!AP$2:AP$78)-IMshareC!AP$42),0))</f>
        <v>0</v>
      </c>
      <c r="AQ39" s="8">
        <f>IF($A39=AQ$1,0,IF(SUM(IMshareC!AQ$2:AQ$78)-IMshareC!AQ$43&gt;0,IMshareC!AQ39/(SUM(IMshareC!AQ$2:AQ$78)-IMshareC!AQ$43),0))</f>
        <v>0</v>
      </c>
      <c r="AR39" s="8">
        <f>IF($A39=AR$1,0,IF(SUM(IMshareC!AR$2:AR$78)-IMshareC!AR$44&gt;0,IMshareC!AR39/(SUM(IMshareC!AR$2:AR$78)-IMshareC!AR$44),0))</f>
        <v>0</v>
      </c>
      <c r="AS39" s="8">
        <f>IF($A39=AS$1,0,IF(SUM(IMshareC!AS$2:AS$78)-IMshareC!AS$45&gt;0,IMshareC!AS39/(SUM(IMshareC!AS$2:AS$78)-IMshareC!AS$45),0))</f>
        <v>0</v>
      </c>
      <c r="AT39" s="8">
        <f>IF($A39=AT$1,0,IF(SUM(IMshareC!AT$2:AT$78)-IMshareC!AT$46&gt;0,IMshareC!AT39/(SUM(IMshareC!AT$2:AT$78)-IMshareC!AT$46),0))</f>
        <v>0</v>
      </c>
      <c r="AU39" s="8">
        <f>IF($A39=AU$1,0,IF(SUM(IMshareC!AU$2:AU$78)-IMshareC!AU$47&gt;0,IMshareC!AU39/(SUM(IMshareC!AU$2:AU$78)-IMshareC!AU$47),0))</f>
        <v>0</v>
      </c>
      <c r="AV39" s="8">
        <f>IF($A39=AV$1,0,IF(SUM(IMshareC!AV$2:AV$78)-IMshareC!AV$48&gt;0,IMshareC!AV39/(SUM(IMshareC!AV$2:AV$78)-IMshareC!AV$48),0))</f>
        <v>0</v>
      </c>
      <c r="AW39" s="8">
        <f>IF($A39=AW$1,0,IF(SUM(IMshareC!AW$2:AW$78)-IMshareC!AW$49&gt;0,IMshareC!AW39/(SUM(IMshareC!AW$2:AW$78)-IMshareC!AW$49),0))</f>
        <v>0</v>
      </c>
      <c r="AX39" s="8">
        <f>IF($A39=AX$1,0,IF(SUM(IMshareC!AX$2:AX$78)-IMshareC!AX$50&gt;0,IMshareC!AX39/(SUM(IMshareC!AX$2:AX$78)-IMshareC!AX$50),0))</f>
        <v>0</v>
      </c>
      <c r="AY39" s="8">
        <f>IF($A39=AY$1,0,IF(SUM(IMshareC!AY$2:AY$78)-IMshareC!AY$51&gt;0,IMshareC!AY39/(SUM(IMshareC!AY$2:AY$78)-IMshareC!AY$51),0))</f>
        <v>0</v>
      </c>
      <c r="AZ39" s="8">
        <f>IF($A39=AZ$1,0,IF(SUM(IMshareC!AZ$2:AZ$78)-IMshareC!AZ$52&gt;0,IMshareC!AZ39/(SUM(IMshareC!AZ$2:AZ$78)-IMshareC!AZ$52),0))</f>
        <v>0</v>
      </c>
      <c r="BA39" s="8">
        <f>IF($A39=BA$1,0,IF(SUM(IMshareC!BA$2:BA$78)-IMshareC!BA$53&gt;0,IMshareC!BA39/(SUM(IMshareC!BA$2:BA$78)-IMshareC!BA$53),0))</f>
        <v>0</v>
      </c>
      <c r="BB39" s="8">
        <f>IF($A39=BB$1,0,IF(SUM(IMshareC!BB$2:BB$78)-IMshareC!BB$54&gt;0,IMshareC!BB39/(SUM(IMshareC!BB$2:BB$78)-IMshareC!BB$54),0))</f>
        <v>9.0567670523439589E-7</v>
      </c>
      <c r="BC39" s="8">
        <f>IF($A39=BC$1,0,IF(SUM(IMshareC!BC$2:BC$78)-IMshareC!BC$55&gt;0,IMshareC!BC39/(SUM(IMshareC!BC$2:BC$78)-IMshareC!BC$55),0))</f>
        <v>0</v>
      </c>
      <c r="BD39" s="8">
        <f>IF($A39=BD$1,0,IF(SUM(IMshareC!BD$2:BD$78)-IMshareC!BD$56&gt;0,IMshareC!BD39/(SUM(IMshareC!BD$2:BD$78)-IMshareC!BD$56),0))</f>
        <v>0</v>
      </c>
      <c r="BE39" s="8">
        <f>IF($A39=BE$1,0,IF(SUM(IMshareC!BE$2:BE$78)-IMshareC!BE$57&gt;0,IMshareC!BE39/(SUM(IMshareC!BE$2:BE$78)-IMshareC!BE$57),0))</f>
        <v>0</v>
      </c>
      <c r="BF39" s="8">
        <f>IF($A39=BF$1,0,IF(SUM(IMshareC!BF$2:BF$78)-IMshareC!BF$58&gt;0,IMshareC!BF39/(SUM(IMshareC!BF$2:BF$78)-IMshareC!BF$58),0))</f>
        <v>0</v>
      </c>
      <c r="BG39" s="8">
        <f>IF($A39=BG$1,0,IF(SUM(IMshareC!BG$2:BG$78)-IMshareC!BG$59&gt;0,IMshareC!BG39/(SUM(IMshareC!BG$2:BG$78)-IMshareC!BG$59),0))</f>
        <v>0</v>
      </c>
      <c r="BH39" s="8">
        <f>IF($A39=BH$1,0,IF(SUM(IMshareC!BH$2:BH$78)-IMshareC!BH$60&gt;0,IMshareC!BH39/(SUM(IMshareC!BH$2:BH$78)-IMshareC!BH$60),0))</f>
        <v>5.5963701946003282E-6</v>
      </c>
      <c r="BI39" s="8">
        <f>IF($A39=BI$1,0,IF(SUM(IMshareC!BI$2:BI$78)-IMshareC!BI$61&gt;0,IMshareC!BI39/(SUM(IMshareC!BI$2:BI$78)-IMshareC!BI$61),0))</f>
        <v>1.7548921013381264E-7</v>
      </c>
      <c r="BJ39" s="8">
        <f>IF($A39=BJ$1,0,IF(SUM(IMshareC!BJ$2:BJ$78)-IMshareC!BJ$62&gt;0,IMshareC!BJ39/(SUM(IMshareC!BJ$2:BJ$78)-IMshareC!BJ$62),0))</f>
        <v>0</v>
      </c>
      <c r="BK39" s="8">
        <f>IF($A39=BK$1,0,IF(SUM(IMshareC!BK$2:BK$78)-IMshareC!BK$63&gt;0,IMshareC!BK39/(SUM(IMshareC!BK$2:BK$78)-IMshareC!BK$63),0))</f>
        <v>0</v>
      </c>
      <c r="BL39" s="8">
        <f>IF($A39=BL$1,0,IF(SUM(IMshareC!BL$2:BL$78)-IMshareC!BL$64&gt;0,IMshareC!BL39/(SUM(IMshareC!BL$2:BL$78)-IMshareC!BL$64),0))</f>
        <v>2.0881843891511461E-4</v>
      </c>
      <c r="BM39" s="8">
        <f>IF($A39=BM$1,0,IF(SUM(IMshareC!BM$2:BM$78)-IMshareC!BM$65&gt;0,IMshareC!BM39/(SUM(IMshareC!BM$2:BM$78)-IMshareC!BM$65),0))</f>
        <v>0</v>
      </c>
      <c r="BN39" s="8">
        <f>IF($A39=BN$1,0,IF(SUM(IMshareC!BN$2:BN$78)-IMshareC!BN$66&gt;0,IMshareC!BN39/(SUM(IMshareC!BN$2:BN$78)-IMshareC!BN$66),0))</f>
        <v>5.7600646963655567E-7</v>
      </c>
      <c r="BO39" s="8">
        <f>IF($A39=BO$1,0,IF(SUM(IMshareC!BO$2:BO$78)-IMshareC!BO$67&gt;0,IMshareC!BO39/(SUM(IMshareC!BO$2:BO$78)-IMshareC!BO$67),0))</f>
        <v>0</v>
      </c>
      <c r="BP39" s="8">
        <f>IF($A39=BP$1,0,IF(SUM(IMshareC!BP$2:BP$78)-IMshareC!BP$68&gt;0,IMshareC!BP39/(SUM(IMshareC!BP$2:BP$78)-IMshareC!BP$68),0))</f>
        <v>3.4083399393888463E-6</v>
      </c>
      <c r="BQ39" s="8">
        <f>IF($A39=BQ$1,0,IF(SUM(IMshareC!BQ$2:BQ$78)-IMshareC!BQ$69&gt;0,IMshareC!BQ39/(SUM(IMshareC!BQ$2:BQ$78)-IMshareC!BQ$69),0))</f>
        <v>8.5364899853517865E-7</v>
      </c>
      <c r="BR39" s="8">
        <f>IF($A39=BR$1,0,IF(SUM(IMshareC!BR$2:BR$78)-IMshareC!BR$70&gt;0,IMshareC!BR39/(SUM(IMshareC!BR$2:BR$78)-IMshareC!BR$70),0))</f>
        <v>6.9226661907024178E-8</v>
      </c>
      <c r="BS39" s="8">
        <f>IF($A39=BS$1,0,IF(SUM(IMshareC!BS$2:BS$78)-IMshareC!BS$71&gt;0,IMshareC!BS39/(SUM(IMshareC!BS$2:BS$78)-IMshareC!BS$71),0))</f>
        <v>0</v>
      </c>
      <c r="BT39" s="8">
        <f>IF($A39=BT$1,0,IF(SUM(IMshareC!BT$2:BT$78)-IMshareC!BT$72&gt;0,IMshareC!BT39/(SUM(IMshareC!BT$2:BT$78)-IMshareC!BT$72),0))</f>
        <v>0</v>
      </c>
      <c r="BU39" s="8">
        <f>IF($A39=BU$1,0,IF(SUM(IMshareC!BU$2:BU$78)-IMshareC!BU$73&gt;0,IMshareC!BU39/(SUM(IMshareC!BU$2:BU$78)-IMshareC!BU$73),0))</f>
        <v>3.5553714878267451E-6</v>
      </c>
      <c r="BV39" s="8">
        <f>IF($A39=BV$1,0,IF(SUM(IMshareC!BV$2:BV$78)-IMshareC!BV$74&gt;0,IMshareC!BV39/(SUM(IMshareC!BV$2:BV$78)-IMshareC!BV$74),0))</f>
        <v>0</v>
      </c>
      <c r="BW39" s="8">
        <f>IF($A39=BW$1,0,IF(SUM(IMshareC!BW$2:BW$78)-IMshareC!BW$75&gt;0,IMshareC!BW39/(SUM(IMshareC!BW$2:BW$78)-IMshareC!BW$75),0))</f>
        <v>5.7965178244137643E-6</v>
      </c>
      <c r="BX39" s="8">
        <f>IF($A39=BX$1,0,IF(SUM(IMshareC!BX$2:BX$78)-IMshareC!BX$76&gt;0,IMshareC!BX39/(SUM(IMshareC!BX$2:BX$78)-IMshareC!BX$76),0))</f>
        <v>0</v>
      </c>
      <c r="BY39" s="8">
        <f>IF($A39=BY$1,0,IF(SUM(IMshareC!BY$2:BY$78)-IMshareC!BY$77&gt;0,IMshareC!BY39/(SUM(IMshareC!BY$2:BY$78)-IMshareC!BY$77),0))</f>
        <v>1.131415415398089E-5</v>
      </c>
      <c r="BZ39" s="8">
        <f>IF($A39=BZ$1,0,IF(SUM(IMshareC!BZ$2:BZ$78)-IMshareC!BZ$78&gt;0,IMshareC!BZ39/(SUM(IMshareC!BZ$2:BZ$78)-IMshareC!BZ$78),0))</f>
        <v>4.750944607834664E-6</v>
      </c>
    </row>
    <row r="40" spans="1:78">
      <c r="A40" s="4" t="s">
        <v>147</v>
      </c>
      <c r="B40" s="8">
        <f>IF($A40=B$1,0,IF(SUM(IMshareC!B$2:B$78)-IMshareC!B$2&gt;0,IMshareC!B40/(SUM(IMshareC!B$2:B$78)-IMshareC!B$2),0))</f>
        <v>7.2822757820809617E-2</v>
      </c>
      <c r="C40" s="8">
        <f>IF($A40=C$1,0,IF(SUM(IMshareC!C$2:C$78)-IMshareC!C$3&gt;0,IMshareC!C40/(SUM(IMshareC!C$2:C$78)-IMshareC!C$3),0))</f>
        <v>1.8471285062532948E-2</v>
      </c>
      <c r="D40" s="8">
        <f>IF($A40=D$1,0,IF(SUM(IMshareC!D$2:D$78)-IMshareC!D$4&gt;0,IMshareC!D40/(SUM(IMshareC!D$2:D$78)-IMshareC!D$4),0))</f>
        <v>2.0513264604479463E-2</v>
      </c>
      <c r="E40" s="8">
        <f>IF($A40=E$1,0,IF(SUM(IMshareC!E$2:E$78)-IMshareC!E$5&gt;0,IMshareC!E40/(SUM(IMshareC!E$2:E$78)-IMshareC!E$5),0))</f>
        <v>3.8769417823463909E-2</v>
      </c>
      <c r="F40" s="8">
        <f>IF($A40=F$1,0,IF(SUM(IMshareC!F$2:F$78)-IMshareC!F$6&gt;0,IMshareC!F40/(SUM(IMshareC!F$2:F$78)-IMshareC!F$6),0))</f>
        <v>6.7341113389291244E-3</v>
      </c>
      <c r="G40" s="8">
        <f>IF($A40=G$1,0,IF(SUM(IMshareC!G$2:G$78)-IMshareC!G$7&gt;0,IMshareC!G40/(SUM(IMshareC!G$2:G$78)-IMshareC!G$7),0))</f>
        <v>3.6847740849507765E-3</v>
      </c>
      <c r="H40" s="8">
        <f>IF($A40=H$1,0,IF(SUM(IMshareC!H$2:H$78)-IMshareC!H$8&gt;0,IMshareC!H40/(SUM(IMshareC!H$2:H$78)-IMshareC!H$8),0))</f>
        <v>0</v>
      </c>
      <c r="I40" s="8">
        <f>IF($A40=I$1,0,IF(SUM(IMshareC!I$2:I$78)-IMshareC!I$9&gt;0,IMshareC!I40/(SUM(IMshareC!I$2:I$78)-IMshareC!I$9),0))</f>
        <v>3.5115416554537704E-2</v>
      </c>
      <c r="J40" s="8">
        <f>IF($A40=J$1,0,IF(SUM(IMshareC!J$2:J$78)-IMshareC!J$10&gt;0,IMshareC!J40/(SUM(IMshareC!J$2:J$78)-IMshareC!J$10),0))</f>
        <v>8.4294105740182913E-3</v>
      </c>
      <c r="K40" s="8">
        <f>IF($A40=K$1,0,IF(SUM(IMshareC!K$2:K$78)-IMshareC!K$11&gt;0,IMshareC!K40/(SUM(IMshareC!K$2:K$78)-IMshareC!K$11),0))</f>
        <v>2.4640308322023342E-2</v>
      </c>
      <c r="L40" s="8">
        <f>IF($A40=L$1,0,IF(SUM(IMshareC!L$2:L$78)-IMshareC!L$12&gt;0,IMshareC!L40/(SUM(IMshareC!L$2:L$78)-IMshareC!L$12),0))</f>
        <v>1.7224267132338846E-2</v>
      </c>
      <c r="M40" s="8">
        <f>IF($A40=M$1,0,IF(SUM(IMshareC!M$2:M$78)-IMshareC!M$13&gt;0,IMshareC!M40/(SUM(IMshareC!M$2:M$78)-IMshareC!M$13),0))</f>
        <v>1.6720803526864402E-2</v>
      </c>
      <c r="N40" s="8">
        <f>IF($A40=N$1,0,IF(SUM(IMshareC!N$2:N$78)-IMshareC!N$14&gt;0,IMshareC!N40/(SUM(IMshareC!N$2:N$78)-IMshareC!N$14),0))</f>
        <v>5.8224252747251813E-2</v>
      </c>
      <c r="O40" s="8">
        <f>IF($A40=O$1,0,IF(SUM(IMshareC!O$2:O$78)-IMshareC!O$15&gt;0,IMshareC!O40/(SUM(IMshareC!O$2:O$78)-IMshareC!O$15),0))</f>
        <v>6.1285697060794791E-3</v>
      </c>
      <c r="P40" s="8">
        <f>IF($A40=P$1,0,IF(SUM(IMshareC!P$2:P$78)-IMshareC!P$16&gt;0,IMshareC!P40/(SUM(IMshareC!P$2:P$78)-IMshareC!P$16),0))</f>
        <v>0</v>
      </c>
      <c r="Q40" s="8">
        <f>IF($A40=Q$1,0,IF(SUM(IMshareC!Q$2:Q$78)-IMshareC!Q$17&gt;0,IMshareC!Q40/(SUM(IMshareC!Q$2:Q$78)-IMshareC!Q$17),0))</f>
        <v>1.9437332703949758E-2</v>
      </c>
      <c r="R40" s="8">
        <f>IF($A40=R$1,0,IF(SUM(IMshareC!R$2:R$78)-IMshareC!R$18&gt;0,IMshareC!R40/(SUM(IMshareC!R$2:R$78)-IMshareC!R$18),0))</f>
        <v>7.5567549636807538E-3</v>
      </c>
      <c r="S40" s="8">
        <f>IF($A40=S$1,0,IF(SUM(IMshareC!S$2:S$78)-IMshareC!S$19&gt;0,IMshareC!S40/(SUM(IMshareC!S$2:S$78)-IMshareC!S$19),0))</f>
        <v>7.7026931849104039E-3</v>
      </c>
      <c r="T40" s="8">
        <f>IF($A40=T$1,0,IF(SUM(IMshareC!T$2:T$78)-IMshareC!T$20&gt;0,IMshareC!T40/(SUM(IMshareC!T$2:T$78)-IMshareC!T$20),0))</f>
        <v>3.1960884372943615E-2</v>
      </c>
      <c r="U40" s="8">
        <f>IF($A40=U$1,0,IF(SUM(IMshareC!U$2:U$78)-IMshareC!U$21&gt;0,IMshareC!U40/(SUM(IMshareC!U$2:U$78)-IMshareC!U$21),0))</f>
        <v>3.7916833838393608E-2</v>
      </c>
      <c r="V40" s="8">
        <f>IF($A40=V$1,0,IF(SUM(IMshareC!V$2:V$78)-IMshareC!V$22&gt;0,IMshareC!V40/(SUM(IMshareC!V$2:V$78)-IMshareC!V$22),0))</f>
        <v>2.6890926551666498E-3</v>
      </c>
      <c r="W40" s="8">
        <f>IF($A40=W$1,0,IF(SUM(IMshareC!W$2:W$78)-IMshareC!W$23&gt;0,IMshareC!W40/(SUM(IMshareC!W$2:W$78)-IMshareC!W$23),0))</f>
        <v>1.0311709625980011E-2</v>
      </c>
      <c r="X40" s="8">
        <f>IF($A40=X$1,0,IF(SUM(IMshareC!X$2:X$78)-IMshareC!X$24&gt;0,IMshareC!X40/(SUM(IMshareC!X$2:X$78)-IMshareC!X$24),0))</f>
        <v>4.302931819528031E-2</v>
      </c>
      <c r="Y40" s="8">
        <f>IF($A40=Y$1,0,IF(SUM(IMshareC!Y$2:Y$78)-IMshareC!Y$25&gt;0,IMshareC!Y40/(SUM(IMshareC!Y$2:Y$78)-IMshareC!Y$25),0))</f>
        <v>5.8687538553355047E-3</v>
      </c>
      <c r="Z40" s="8">
        <f>IF($A40=Z$1,0,IF(SUM(IMshareC!Z$2:Z$78)-IMshareC!Z$26&gt;0,IMshareC!Z40/(SUM(IMshareC!Z$2:Z$78)-IMshareC!Z$26),0))</f>
        <v>1.129020152773889E-2</v>
      </c>
      <c r="AA40" s="8">
        <f>IF($A40=AA$1,0,IF(SUM(IMshareC!AA$2:AA$78)-IMshareC!AA$27&gt;0,IMshareC!AA40/(SUM(IMshareC!AA$2:AA$78)-IMshareC!AA$27),0))</f>
        <v>2.3303602165340866E-2</v>
      </c>
      <c r="AB40" s="8">
        <f>IF($A40=AB$1,0,IF(SUM(IMshareC!AB$2:AB$78)-IMshareC!AB$28&gt;0,IMshareC!AB40/(SUM(IMshareC!AB$2:AB$78)-IMshareC!AB$28),0))</f>
        <v>2.5190478338200595E-2</v>
      </c>
      <c r="AC40" s="8">
        <f>IF($A40=AC$1,0,IF(SUM(IMshareC!AC$2:AC$78)-IMshareC!AC$29&gt;0,IMshareC!AC40/(SUM(IMshareC!AC$2:AC$78)-IMshareC!AC$29),0))</f>
        <v>2.4004867179071225E-3</v>
      </c>
      <c r="AD40" s="8">
        <f>IF($A40=AD$1,0,IF(SUM(IMshareC!AD$2:AD$78)-IMshareC!AD$30&gt;0,IMshareC!AD40/(SUM(IMshareC!AD$2:AD$78)-IMshareC!AD$30),0))</f>
        <v>2.800405687676652E-2</v>
      </c>
      <c r="AE40" s="8">
        <f>IF($A40=AE$1,0,IF(SUM(IMshareC!AE$2:AE$78)-IMshareC!AE$31&gt;0,IMshareC!AE40/(SUM(IMshareC!AE$2:AE$78)-IMshareC!AE$31),0))</f>
        <v>8.2996748741867869E-4</v>
      </c>
      <c r="AF40" s="8">
        <f>IF($A40=AF$1,0,IF(SUM(IMshareC!AF$2:AF$78)-IMshareC!AF$32&gt;0,IMshareC!AF40/(SUM(IMshareC!AF$2:AF$78)-IMshareC!AF$32),0))</f>
        <v>1.2437562559490217E-2</v>
      </c>
      <c r="AG40" s="8">
        <f>IF($A40=AG$1,0,IF(SUM(IMshareC!AG$2:AG$78)-IMshareC!AG$33&gt;0,IMshareC!AG40/(SUM(IMshareC!AG$2:AG$78)-IMshareC!AG$33),0))</f>
        <v>6.5773004023594761E-2</v>
      </c>
      <c r="AH40" s="8">
        <f>IF($A40=AH$1,0,IF(SUM(IMshareC!AH$2:AH$78)-IMshareC!AH$34&gt;0,IMshareC!AH40/(SUM(IMshareC!AH$2:AH$78)-IMshareC!AH$34),0))</f>
        <v>1.8378023364711255E-2</v>
      </c>
      <c r="AI40" s="8">
        <f>IF($A40=AI$1,0,IF(SUM(IMshareC!AI$2:AI$78)-IMshareC!AI$35&gt;0,IMshareC!AI40/(SUM(IMshareC!AI$2:AI$78)-IMshareC!AI$35),0))</f>
        <v>4.0824238170607758E-3</v>
      </c>
      <c r="AJ40" s="8">
        <f>IF($A40=AJ$1,0,IF(SUM(IMshareC!AJ$2:AJ$78)-IMshareC!AJ$36&gt;0,IMshareC!AJ40/(SUM(IMshareC!AJ$2:AJ$78)-IMshareC!AJ$36),0))</f>
        <v>3.0948986088187334E-2</v>
      </c>
      <c r="AK40" s="8">
        <f>IF($A40=AK$1,0,IF(SUM(IMshareC!AK$2:AK$78)-IMshareC!AK$37&gt;0,IMshareC!AK40/(SUM(IMshareC!AK$2:AK$78)-IMshareC!AK$37),0))</f>
        <v>3.3503469009457938E-3</v>
      </c>
      <c r="AL40" s="8">
        <f>IF($A40=AL$1,0,IF(SUM(IMshareC!AL$2:AL$78)-IMshareC!AL$38&gt;0,IMshareC!AL40/(SUM(IMshareC!AL$2:AL$78)-IMshareC!AL$38),0))</f>
        <v>1.217695603265794E-2</v>
      </c>
      <c r="AM40" s="8">
        <f>IF($A40=AM$1,0,IF(SUM(IMshareC!AM$2:AM$78)-IMshareC!AM$39&gt;0,IMshareC!AM40/(SUM(IMshareC!AM$2:AM$78)-IMshareC!AM$39),0))</f>
        <v>1.4345779877752771E-2</v>
      </c>
      <c r="AN40" s="8">
        <f>IF($A40=AN$1,0,IF(SUM(IMshareC!AN$2:AN$78)-IMshareC!AN$40&gt;0,IMshareC!AN40/(SUM(IMshareC!AN$2:AN$78)-IMshareC!AN$40),0))</f>
        <v>0</v>
      </c>
      <c r="AO40" s="8">
        <f>IF($A40=AO$1,0,IF(SUM(IMshareC!AO$2:AO$78)-IMshareC!AO$41&gt;0,IMshareC!AO40/(SUM(IMshareC!AO$2:AO$78)-IMshareC!AO$41),0))</f>
        <v>2.3829707132380909E-3</v>
      </c>
      <c r="AP40" s="8">
        <f>IF($A40=AP$1,0,IF(SUM(IMshareC!AP$2:AP$78)-IMshareC!AP$42&gt;0,IMshareC!AP40/(SUM(IMshareC!AP$2:AP$78)-IMshareC!AP$42),0))</f>
        <v>5.043125274717325E-2</v>
      </c>
      <c r="AQ40" s="8">
        <f>IF($A40=AQ$1,0,IF(SUM(IMshareC!AQ$2:AQ$78)-IMshareC!AQ$43&gt;0,IMshareC!AQ40/(SUM(IMshareC!AQ$2:AQ$78)-IMshareC!AQ$43),0))</f>
        <v>8.6888481266454071E-2</v>
      </c>
      <c r="AR40" s="8">
        <f>IF($A40=AR$1,0,IF(SUM(IMshareC!AR$2:AR$78)-IMshareC!AR$44&gt;0,IMshareC!AR40/(SUM(IMshareC!AR$2:AR$78)-IMshareC!AR$44),0))</f>
        <v>5.2507423159225356E-4</v>
      </c>
      <c r="AS40" s="8">
        <f>IF($A40=AS$1,0,IF(SUM(IMshareC!AS$2:AS$78)-IMshareC!AS$45&gt;0,IMshareC!AS40/(SUM(IMshareC!AS$2:AS$78)-IMshareC!AS$45),0))</f>
        <v>1.1753714681542939E-3</v>
      </c>
      <c r="AT40" s="8">
        <f>IF($A40=AT$1,0,IF(SUM(IMshareC!AT$2:AT$78)-IMshareC!AT$46&gt;0,IMshareC!AT40/(SUM(IMshareC!AT$2:AT$78)-IMshareC!AT$46),0))</f>
        <v>3.6653486479371118E-2</v>
      </c>
      <c r="AU40" s="8">
        <f>IF($A40=AU$1,0,IF(SUM(IMshareC!AU$2:AU$78)-IMshareC!AU$47&gt;0,IMshareC!AU40/(SUM(IMshareC!AU$2:AU$78)-IMshareC!AU$47),0))</f>
        <v>7.7030357599201641E-4</v>
      </c>
      <c r="AV40" s="8">
        <f>IF($A40=AV$1,0,IF(SUM(IMshareC!AV$2:AV$78)-IMshareC!AV$48&gt;0,IMshareC!AV40/(SUM(IMshareC!AV$2:AV$78)-IMshareC!AV$48),0))</f>
        <v>2.0892269340641662E-2</v>
      </c>
      <c r="AW40" s="8">
        <f>IF($A40=AW$1,0,IF(SUM(IMshareC!AW$2:AW$78)-IMshareC!AW$49&gt;0,IMshareC!AW40/(SUM(IMshareC!AW$2:AW$78)-IMshareC!AW$49),0))</f>
        <v>2.1954955167182672E-2</v>
      </c>
      <c r="AX40" s="8">
        <f>IF($A40=AX$1,0,IF(SUM(IMshareC!AX$2:AX$78)-IMshareC!AX$50&gt;0,IMshareC!AX40/(SUM(IMshareC!AX$2:AX$78)-IMshareC!AX$50),0))</f>
        <v>2.0223287622125451E-2</v>
      </c>
      <c r="AY40" s="8">
        <f>IF($A40=AY$1,0,IF(SUM(IMshareC!AY$2:AY$78)-IMshareC!AY$51&gt;0,IMshareC!AY40/(SUM(IMshareC!AY$2:AY$78)-IMshareC!AY$51),0))</f>
        <v>4.2085636838155423E-2</v>
      </c>
      <c r="AZ40" s="8">
        <f>IF($A40=AZ$1,0,IF(SUM(IMshareC!AZ$2:AZ$78)-IMshareC!AZ$52&gt;0,IMshareC!AZ40/(SUM(IMshareC!AZ$2:AZ$78)-IMshareC!AZ$52),0))</f>
        <v>6.7634283627306072E-2</v>
      </c>
      <c r="BA40" s="8">
        <f>IF($A40=BA$1,0,IF(SUM(IMshareC!BA$2:BA$78)-IMshareC!BA$53&gt;0,IMshareC!BA40/(SUM(IMshareC!BA$2:BA$78)-IMshareC!BA$53),0))</f>
        <v>5.4786720494199063E-4</v>
      </c>
      <c r="BB40" s="8">
        <f>IF($A40=BB$1,0,IF(SUM(IMshareC!BB$2:BB$78)-IMshareC!BB$54&gt;0,IMshareC!BB40/(SUM(IMshareC!BB$2:BB$78)-IMshareC!BB$54),0))</f>
        <v>1.2033751209419694E-2</v>
      </c>
      <c r="BC40" s="8">
        <f>IF($A40=BC$1,0,IF(SUM(IMshareC!BC$2:BC$78)-IMshareC!BC$55&gt;0,IMshareC!BC40/(SUM(IMshareC!BC$2:BC$78)-IMshareC!BC$55),0))</f>
        <v>7.4595017400685736E-3</v>
      </c>
      <c r="BD40" s="8">
        <f>IF($A40=BD$1,0,IF(SUM(IMshareC!BD$2:BD$78)-IMshareC!BD$56&gt;0,IMshareC!BD40/(SUM(IMshareC!BD$2:BD$78)-IMshareC!BD$56),0))</f>
        <v>3.1832910203009775E-2</v>
      </c>
      <c r="BE40" s="8">
        <f>IF($A40=BE$1,0,IF(SUM(IMshareC!BE$2:BE$78)-IMshareC!BE$57&gt;0,IMshareC!BE40/(SUM(IMshareC!BE$2:BE$78)-IMshareC!BE$57),0))</f>
        <v>4.6666939029052397E-2</v>
      </c>
      <c r="BF40" s="8">
        <f>IF($A40=BF$1,0,IF(SUM(IMshareC!BF$2:BF$78)-IMshareC!BF$58&gt;0,IMshareC!BF40/(SUM(IMshareC!BF$2:BF$78)-IMshareC!BF$58),0))</f>
        <v>1.8196677102449991E-2</v>
      </c>
      <c r="BG40" s="8">
        <f>IF($A40=BG$1,0,IF(SUM(IMshareC!BG$2:BG$78)-IMshareC!BG$59&gt;0,IMshareC!BG40/(SUM(IMshareC!BG$2:BG$78)-IMshareC!BG$59),0))</f>
        <v>9.7155352208666293E-2</v>
      </c>
      <c r="BH40" s="8">
        <f>IF($A40=BH$1,0,IF(SUM(IMshareC!BH$2:BH$78)-IMshareC!BH$60&gt;0,IMshareC!BH40/(SUM(IMshareC!BH$2:BH$78)-IMshareC!BH$60),0))</f>
        <v>2.0919511242281811E-2</v>
      </c>
      <c r="BI40" s="8">
        <f>IF($A40=BI$1,0,IF(SUM(IMshareC!BI$2:BI$78)-IMshareC!BI$61&gt;0,IMshareC!BI40/(SUM(IMshareC!BI$2:BI$78)-IMshareC!BI$61),0))</f>
        <v>4.1307608178482525E-3</v>
      </c>
      <c r="BJ40" s="8">
        <f>IF($A40=BJ$1,0,IF(SUM(IMshareC!BJ$2:BJ$78)-IMshareC!BJ$62&gt;0,IMshareC!BJ40/(SUM(IMshareC!BJ$2:BJ$78)-IMshareC!BJ$62),0))</f>
        <v>2.4169348463052394E-3</v>
      </c>
      <c r="BK40" s="8">
        <f>IF($A40=BK$1,0,IF(SUM(IMshareC!BK$2:BK$78)-IMshareC!BK$63&gt;0,IMshareC!BK40/(SUM(IMshareC!BK$2:BK$78)-IMshareC!BK$63),0))</f>
        <v>1.2616632935346926E-2</v>
      </c>
      <c r="BL40" s="8">
        <f>IF($A40=BL$1,0,IF(SUM(IMshareC!BL$2:BL$78)-IMshareC!BL$64&gt;0,IMshareC!BL40/(SUM(IMshareC!BL$2:BL$78)-IMshareC!BL$64),0))</f>
        <v>2.6215029500724941E-2</v>
      </c>
      <c r="BM40" s="8">
        <f>IF($A40=BM$1,0,IF(SUM(IMshareC!BM$2:BM$78)-IMshareC!BM$65&gt;0,IMshareC!BM40/(SUM(IMshareC!BM$2:BM$78)-IMshareC!BM$65),0))</f>
        <v>3.1462973806188361E-3</v>
      </c>
      <c r="BN40" s="8">
        <f>IF($A40=BN$1,0,IF(SUM(IMshareC!BN$2:BN$78)-IMshareC!BN$66&gt;0,IMshareC!BN40/(SUM(IMshareC!BN$2:BN$78)-IMshareC!BN$66),0))</f>
        <v>4.1070040493014819E-2</v>
      </c>
      <c r="BO40" s="8">
        <f>IF($A40=BO$1,0,IF(SUM(IMshareC!BO$2:BO$78)-IMshareC!BO$67&gt;0,IMshareC!BO40/(SUM(IMshareC!BO$2:BO$78)-IMshareC!BO$67),0))</f>
        <v>3.3123042059673126E-2</v>
      </c>
      <c r="BP40" s="8">
        <f>IF($A40=BP$1,0,IF(SUM(IMshareC!BP$2:BP$78)-IMshareC!BP$68&gt;0,IMshareC!BP40/(SUM(IMshareC!BP$2:BP$78)-IMshareC!BP$68),0))</f>
        <v>2.462047183003125E-2</v>
      </c>
      <c r="BQ40" s="8">
        <f>IF($A40=BQ$1,0,IF(SUM(IMshareC!BQ$2:BQ$78)-IMshareC!BQ$69&gt;0,IMshareC!BQ40/(SUM(IMshareC!BQ$2:BQ$78)-IMshareC!BQ$69),0))</f>
        <v>2.7966160233004267E-3</v>
      </c>
      <c r="BR40" s="8">
        <f>IF($A40=BR$1,0,IF(SUM(IMshareC!BR$2:BR$78)-IMshareC!BR$70&gt;0,IMshareC!BR40/(SUM(IMshareC!BR$2:BR$78)-IMshareC!BR$70),0))</f>
        <v>0.14101844450654435</v>
      </c>
      <c r="BS40" s="8">
        <f>IF($A40=BS$1,0,IF(SUM(IMshareC!BS$2:BS$78)-IMshareC!BS$71&gt;0,IMshareC!BS40/(SUM(IMshareC!BS$2:BS$78)-IMshareC!BS$71),0))</f>
        <v>1.2555143050795629E-2</v>
      </c>
      <c r="BT40" s="8">
        <f>IF($A40=BT$1,0,IF(SUM(IMshareC!BT$2:BT$78)-IMshareC!BT$72&gt;0,IMshareC!BT40/(SUM(IMshareC!BT$2:BT$78)-IMshareC!BT$72),0))</f>
        <v>3.6173574292495951E-2</v>
      </c>
      <c r="BU40" s="8">
        <f>IF($A40=BU$1,0,IF(SUM(IMshareC!BU$2:BU$78)-IMshareC!BU$73&gt;0,IMshareC!BU40/(SUM(IMshareC!BU$2:BU$78)-IMshareC!BU$73),0))</f>
        <v>0.12698942882508471</v>
      </c>
      <c r="BV40" s="8">
        <f>IF($A40=BV$1,0,IF(SUM(IMshareC!BV$2:BV$78)-IMshareC!BV$74&gt;0,IMshareC!BV40/(SUM(IMshareC!BV$2:BV$78)-IMshareC!BV$74),0))</f>
        <v>1.181299408206879E-2</v>
      </c>
      <c r="BW40" s="8">
        <f>IF($A40=BW$1,0,IF(SUM(IMshareC!BW$2:BW$78)-IMshareC!BW$75&gt;0,IMshareC!BW40/(SUM(IMshareC!BW$2:BW$78)-IMshareC!BW$75),0))</f>
        <v>2.7795606483245205E-2</v>
      </c>
      <c r="BX40" s="8">
        <f>IF($A40=BX$1,0,IF(SUM(IMshareC!BX$2:BX$78)-IMshareC!BX$76&gt;0,IMshareC!BX40/(SUM(IMshareC!BX$2:BX$78)-IMshareC!BX$76),0))</f>
        <v>7.8556319508011466E-2</v>
      </c>
      <c r="BY40" s="8">
        <f>IF($A40=BY$1,0,IF(SUM(IMshareC!BY$2:BY$78)-IMshareC!BY$77&gt;0,IMshareC!BY40/(SUM(IMshareC!BY$2:BY$78)-IMshareC!BY$77),0))</f>
        <v>3.8679676451966377E-2</v>
      </c>
      <c r="BZ40" s="8">
        <f>IF($A40=BZ$1,0,IF(SUM(IMshareC!BZ$2:BZ$78)-IMshareC!BZ$78&gt;0,IMshareC!BZ40/(SUM(IMshareC!BZ$2:BZ$78)-IMshareC!BZ$78),0))</f>
        <v>1.5972375294206226E-2</v>
      </c>
    </row>
    <row r="41" spans="1:78">
      <c r="A41" s="4" t="s">
        <v>149</v>
      </c>
      <c r="B41" s="8">
        <f>IF($A41=B$1,0,IF(SUM(IMshareC!B$2:B$78)-IMshareC!B$2&gt;0,IMshareC!B41/(SUM(IMshareC!B$2:B$78)-IMshareC!B$2),0))</f>
        <v>0</v>
      </c>
      <c r="C41" s="8">
        <f>IF($A41=C$1,0,IF(SUM(IMshareC!C$2:C$78)-IMshareC!C$3&gt;0,IMshareC!C41/(SUM(IMshareC!C$2:C$78)-IMshareC!C$3),0))</f>
        <v>1.1066984043744469E-6</v>
      </c>
      <c r="D41" s="8">
        <f>IF($A41=D$1,0,IF(SUM(IMshareC!D$2:D$78)-IMshareC!D$4&gt;0,IMshareC!D41/(SUM(IMshareC!D$2:D$78)-IMshareC!D$4),0))</f>
        <v>3.0317530733521045E-7</v>
      </c>
      <c r="E41" s="8">
        <f>IF($A41=E$1,0,IF(SUM(IMshareC!E$2:E$78)-IMshareC!E$5&gt;0,IMshareC!E41/(SUM(IMshareC!E$2:E$78)-IMshareC!E$5),0))</f>
        <v>8.4923278104164315E-8</v>
      </c>
      <c r="F41" s="8">
        <f>IF($A41=F$1,0,IF(SUM(IMshareC!F$2:F$78)-IMshareC!F$6&gt;0,IMshareC!F41/(SUM(IMshareC!F$2:F$78)-IMshareC!F$6),0))</f>
        <v>0</v>
      </c>
      <c r="G41" s="8">
        <f>IF($A41=G$1,0,IF(SUM(IMshareC!G$2:G$78)-IMshareC!G$7&gt;0,IMshareC!G41/(SUM(IMshareC!G$2:G$78)-IMshareC!G$7),0))</f>
        <v>7.8832104603363903E-8</v>
      </c>
      <c r="H41" s="8">
        <f>IF($A41=H$1,0,IF(SUM(IMshareC!H$2:H$78)-IMshareC!H$8&gt;0,IMshareC!H41/(SUM(IMshareC!H$2:H$78)-IMshareC!H$8),0))</f>
        <v>1.6676898913051148E-2</v>
      </c>
      <c r="I41" s="8">
        <f>IF($A41=I$1,0,IF(SUM(IMshareC!I$2:I$78)-IMshareC!I$9&gt;0,IMshareC!I41/(SUM(IMshareC!I$2:I$78)-IMshareC!I$9),0))</f>
        <v>0</v>
      </c>
      <c r="J41" s="8">
        <f>IF($A41=J$1,0,IF(SUM(IMshareC!J$2:J$78)-IMshareC!J$10&gt;0,IMshareC!J41/(SUM(IMshareC!J$2:J$78)-IMshareC!J$10),0))</f>
        <v>0</v>
      </c>
      <c r="K41" s="8">
        <f>IF($A41=K$1,0,IF(SUM(IMshareC!K$2:K$78)-IMshareC!K$11&gt;0,IMshareC!K41/(SUM(IMshareC!K$2:K$78)-IMshareC!K$11),0))</f>
        <v>0</v>
      </c>
      <c r="L41" s="8">
        <f>IF($A41=L$1,0,IF(SUM(IMshareC!L$2:L$78)-IMshareC!L$12&gt;0,IMshareC!L41/(SUM(IMshareC!L$2:L$78)-IMshareC!L$12),0))</f>
        <v>0</v>
      </c>
      <c r="M41" s="8">
        <f>IF($A41=M$1,0,IF(SUM(IMshareC!M$2:M$78)-IMshareC!M$13&gt;0,IMshareC!M41/(SUM(IMshareC!M$2:M$78)-IMshareC!M$13),0))</f>
        <v>0</v>
      </c>
      <c r="N41" s="8">
        <f>IF($A41=N$1,0,IF(SUM(IMshareC!N$2:N$78)-IMshareC!N$14&gt;0,IMshareC!N41/(SUM(IMshareC!N$2:N$78)-IMshareC!N$14),0))</f>
        <v>4.2012855162870741E-8</v>
      </c>
      <c r="O41" s="8">
        <f>IF($A41=O$1,0,IF(SUM(IMshareC!O$2:O$78)-IMshareC!O$15&gt;0,IMshareC!O41/(SUM(IMshareC!O$2:O$78)-IMshareC!O$15),0))</f>
        <v>0</v>
      </c>
      <c r="P41" s="8">
        <f>IF($A41=P$1,0,IF(SUM(IMshareC!P$2:P$78)-IMshareC!P$16&gt;0,IMshareC!P41/(SUM(IMshareC!P$2:P$78)-IMshareC!P$16),0))</f>
        <v>0</v>
      </c>
      <c r="Q41" s="8">
        <f>IF($A41=Q$1,0,IF(SUM(IMshareC!Q$2:Q$78)-IMshareC!Q$17&gt;0,IMshareC!Q41/(SUM(IMshareC!Q$2:Q$78)-IMshareC!Q$17),0))</f>
        <v>0</v>
      </c>
      <c r="R41" s="8">
        <f>IF($A41=R$1,0,IF(SUM(IMshareC!R$2:R$78)-IMshareC!R$18&gt;0,IMshareC!R41/(SUM(IMshareC!R$2:R$78)-IMshareC!R$18),0))</f>
        <v>0</v>
      </c>
      <c r="S41" s="8">
        <f>IF($A41=S$1,0,IF(SUM(IMshareC!S$2:S$78)-IMshareC!S$19&gt;0,IMshareC!S41/(SUM(IMshareC!S$2:S$78)-IMshareC!S$19),0))</f>
        <v>0</v>
      </c>
      <c r="T41" s="8">
        <f>IF($A41=T$1,0,IF(SUM(IMshareC!T$2:T$78)-IMshareC!T$20&gt;0,IMshareC!T41/(SUM(IMshareC!T$2:T$78)-IMshareC!T$20),0))</f>
        <v>2.8428553385650077E-7</v>
      </c>
      <c r="U41" s="8">
        <f>IF($A41=U$1,0,IF(SUM(IMshareC!U$2:U$78)-IMshareC!U$21&gt;0,IMshareC!U41/(SUM(IMshareC!U$2:U$78)-IMshareC!U$21),0))</f>
        <v>1.432236624544327E-7</v>
      </c>
      <c r="V41" s="8">
        <f>IF($A41=V$1,0,IF(SUM(IMshareC!V$2:V$78)-IMshareC!V$22&gt;0,IMshareC!V41/(SUM(IMshareC!V$2:V$78)-IMshareC!V$22),0))</f>
        <v>0</v>
      </c>
      <c r="W41" s="8">
        <f>IF($A41=W$1,0,IF(SUM(IMshareC!W$2:W$78)-IMshareC!W$23&gt;0,IMshareC!W41/(SUM(IMshareC!W$2:W$78)-IMshareC!W$23),0))</f>
        <v>0</v>
      </c>
      <c r="X41" s="8">
        <f>IF($A41=X$1,0,IF(SUM(IMshareC!X$2:X$78)-IMshareC!X$24&gt;0,IMshareC!X41/(SUM(IMshareC!X$2:X$78)-IMshareC!X$24),0))</f>
        <v>0</v>
      </c>
      <c r="Y41" s="8">
        <f>IF($A41=Y$1,0,IF(SUM(IMshareC!Y$2:Y$78)-IMshareC!Y$25&gt;0,IMshareC!Y41/(SUM(IMshareC!Y$2:Y$78)-IMshareC!Y$25),0))</f>
        <v>0</v>
      </c>
      <c r="Z41" s="8">
        <f>IF($A41=Z$1,0,IF(SUM(IMshareC!Z$2:Z$78)-IMshareC!Z$26&gt;0,IMshareC!Z41/(SUM(IMshareC!Z$2:Z$78)-IMshareC!Z$26),0))</f>
        <v>2.4147680549118251E-7</v>
      </c>
      <c r="AA41" s="8">
        <f>IF($A41=AA$1,0,IF(SUM(IMshareC!AA$2:AA$78)-IMshareC!AA$27&gt;0,IMshareC!AA41/(SUM(IMshareC!AA$2:AA$78)-IMshareC!AA$27),0))</f>
        <v>3.3207896613331367E-5</v>
      </c>
      <c r="AB41" s="8">
        <f>IF($A41=AB$1,0,IF(SUM(IMshareC!AB$2:AB$78)-IMshareC!AB$28&gt;0,IMshareC!AB41/(SUM(IMshareC!AB$2:AB$78)-IMshareC!AB$28),0))</f>
        <v>0</v>
      </c>
      <c r="AC41" s="8">
        <f>IF($A41=AC$1,0,IF(SUM(IMshareC!AC$2:AC$78)-IMshareC!AC$29&gt;0,IMshareC!AC41/(SUM(IMshareC!AC$2:AC$78)-IMshareC!AC$29),0))</f>
        <v>0</v>
      </c>
      <c r="AD41" s="8">
        <f>IF($A41=AD$1,0,IF(SUM(IMshareC!AD$2:AD$78)-IMshareC!AD$30&gt;0,IMshareC!AD41/(SUM(IMshareC!AD$2:AD$78)-IMshareC!AD$30),0))</f>
        <v>2.2528246374434161E-8</v>
      </c>
      <c r="AE41" s="8">
        <f>IF($A41=AE$1,0,IF(SUM(IMshareC!AE$2:AE$78)-IMshareC!AE$31&gt;0,IMshareC!AE41/(SUM(IMshareC!AE$2:AE$78)-IMshareC!AE$31),0))</f>
        <v>1.2394974423815395E-7</v>
      </c>
      <c r="AF41" s="8">
        <f>IF($A41=AF$1,0,IF(SUM(IMshareC!AF$2:AF$78)-IMshareC!AF$32&gt;0,IMshareC!AF41/(SUM(IMshareC!AF$2:AF$78)-IMshareC!AF$32),0))</f>
        <v>5.2660645963738195E-6</v>
      </c>
      <c r="AG41" s="8">
        <f>IF($A41=AG$1,0,IF(SUM(IMshareC!AG$2:AG$78)-IMshareC!AG$33&gt;0,IMshareC!AG41/(SUM(IMshareC!AG$2:AG$78)-IMshareC!AG$33),0))</f>
        <v>0</v>
      </c>
      <c r="AH41" s="8">
        <f>IF($A41=AH$1,0,IF(SUM(IMshareC!AH$2:AH$78)-IMshareC!AH$34&gt;0,IMshareC!AH41/(SUM(IMshareC!AH$2:AH$78)-IMshareC!AH$34),0))</f>
        <v>1.7077143508640483E-7</v>
      </c>
      <c r="AI41" s="8">
        <f>IF($A41=AI$1,0,IF(SUM(IMshareC!AI$2:AI$78)-IMshareC!AI$35&gt;0,IMshareC!AI41/(SUM(IMshareC!AI$2:AI$78)-IMshareC!AI$35),0))</f>
        <v>0</v>
      </c>
      <c r="AJ41" s="8">
        <f>IF($A41=AJ$1,0,IF(SUM(IMshareC!AJ$2:AJ$78)-IMshareC!AJ$36&gt;0,IMshareC!AJ41/(SUM(IMshareC!AJ$2:AJ$78)-IMshareC!AJ$36),0))</f>
        <v>0</v>
      </c>
      <c r="AK41" s="8">
        <f>IF($A41=AK$1,0,IF(SUM(IMshareC!AK$2:AK$78)-IMshareC!AK$37&gt;0,IMshareC!AK41/(SUM(IMshareC!AK$2:AK$78)-IMshareC!AK$37),0))</f>
        <v>0</v>
      </c>
      <c r="AL41" s="8">
        <f>IF($A41=AL$1,0,IF(SUM(IMshareC!AL$2:AL$78)-IMshareC!AL$38&gt;0,IMshareC!AL41/(SUM(IMshareC!AL$2:AL$78)-IMshareC!AL$38),0))</f>
        <v>1.2539835106020099E-4</v>
      </c>
      <c r="AM41" s="8">
        <f>IF($A41=AM$1,0,IF(SUM(IMshareC!AM$2:AM$78)-IMshareC!AM$39&gt;0,IMshareC!AM41/(SUM(IMshareC!AM$2:AM$78)-IMshareC!AM$39),0))</f>
        <v>0</v>
      </c>
      <c r="AN41" s="8">
        <f>IF($A41=AN$1,0,IF(SUM(IMshareC!AN$2:AN$78)-IMshareC!AN$40&gt;0,IMshareC!AN41/(SUM(IMshareC!AN$2:AN$78)-IMshareC!AN$40),0))</f>
        <v>0</v>
      </c>
      <c r="AO41" s="8">
        <f>IF($A41=AO$1,0,IF(SUM(IMshareC!AO$2:AO$78)-IMshareC!AO$41&gt;0,IMshareC!AO41/(SUM(IMshareC!AO$2:AO$78)-IMshareC!AO$41),0))</f>
        <v>0</v>
      </c>
      <c r="AP41" s="8">
        <f>IF($A41=AP$1,0,IF(SUM(IMshareC!AP$2:AP$78)-IMshareC!AP$42&gt;0,IMshareC!AP41/(SUM(IMshareC!AP$2:AP$78)-IMshareC!AP$42),0))</f>
        <v>0</v>
      </c>
      <c r="AQ41" s="8">
        <f>IF($A41=AQ$1,0,IF(SUM(IMshareC!AQ$2:AQ$78)-IMshareC!AQ$43&gt;0,IMshareC!AQ41/(SUM(IMshareC!AQ$2:AQ$78)-IMshareC!AQ$43),0))</f>
        <v>0</v>
      </c>
      <c r="AR41" s="8">
        <f>IF($A41=AR$1,0,IF(SUM(IMshareC!AR$2:AR$78)-IMshareC!AR$44&gt;0,IMshareC!AR41/(SUM(IMshareC!AR$2:AR$78)-IMshareC!AR$44),0))</f>
        <v>0</v>
      </c>
      <c r="AS41" s="8">
        <f>IF($A41=AS$1,0,IF(SUM(IMshareC!AS$2:AS$78)-IMshareC!AS$45&gt;0,IMshareC!AS41/(SUM(IMshareC!AS$2:AS$78)-IMshareC!AS$45),0))</f>
        <v>7.8695105159352916E-7</v>
      </c>
      <c r="AT41" s="8">
        <f>IF($A41=AT$1,0,IF(SUM(IMshareC!AT$2:AT$78)-IMshareC!AT$46&gt;0,IMshareC!AT41/(SUM(IMshareC!AT$2:AT$78)-IMshareC!AT$46),0))</f>
        <v>0</v>
      </c>
      <c r="AU41" s="8">
        <f>IF($A41=AU$1,0,IF(SUM(IMshareC!AU$2:AU$78)-IMshareC!AU$47&gt;0,IMshareC!AU41/(SUM(IMshareC!AU$2:AU$78)-IMshareC!AU$47),0))</f>
        <v>9.6334876979971041E-5</v>
      </c>
      <c r="AV41" s="8">
        <f>IF($A41=AV$1,0,IF(SUM(IMshareC!AV$2:AV$78)-IMshareC!AV$48&gt;0,IMshareC!AV41/(SUM(IMshareC!AV$2:AV$78)-IMshareC!AV$48),0))</f>
        <v>0</v>
      </c>
      <c r="AW41" s="8">
        <f>IF($A41=AW$1,0,IF(SUM(IMshareC!AW$2:AW$78)-IMshareC!AW$49&gt;0,IMshareC!AW41/(SUM(IMshareC!AW$2:AW$78)-IMshareC!AW$49),0))</f>
        <v>0</v>
      </c>
      <c r="AX41" s="8">
        <f>IF($A41=AX$1,0,IF(SUM(IMshareC!AX$2:AX$78)-IMshareC!AX$50&gt;0,IMshareC!AX41/(SUM(IMshareC!AX$2:AX$78)-IMshareC!AX$50),0))</f>
        <v>0</v>
      </c>
      <c r="AY41" s="8">
        <f>IF($A41=AY$1,0,IF(SUM(IMshareC!AY$2:AY$78)-IMshareC!AY$51&gt;0,IMshareC!AY41/(SUM(IMshareC!AY$2:AY$78)-IMshareC!AY$51),0))</f>
        <v>0</v>
      </c>
      <c r="AZ41" s="8">
        <f>IF($A41=AZ$1,0,IF(SUM(IMshareC!AZ$2:AZ$78)-IMshareC!AZ$52&gt;0,IMshareC!AZ41/(SUM(IMshareC!AZ$2:AZ$78)-IMshareC!AZ$52),0))</f>
        <v>0</v>
      </c>
      <c r="BA41" s="8">
        <f>IF($A41=BA$1,0,IF(SUM(IMshareC!BA$2:BA$78)-IMshareC!BA$53&gt;0,IMshareC!BA41/(SUM(IMshareC!BA$2:BA$78)-IMshareC!BA$53),0))</f>
        <v>0</v>
      </c>
      <c r="BB41" s="8">
        <f>IF($A41=BB$1,0,IF(SUM(IMshareC!BB$2:BB$78)-IMshareC!BB$54&gt;0,IMshareC!BB41/(SUM(IMshareC!BB$2:BB$78)-IMshareC!BB$54),0))</f>
        <v>4.5142703513335902E-6</v>
      </c>
      <c r="BC41" s="8">
        <f>IF($A41=BC$1,0,IF(SUM(IMshareC!BC$2:BC$78)-IMshareC!BC$55&gt;0,IMshareC!BC41/(SUM(IMshareC!BC$2:BC$78)-IMshareC!BC$55),0))</f>
        <v>9.3935855623295476E-6</v>
      </c>
      <c r="BD41" s="8">
        <f>IF($A41=BD$1,0,IF(SUM(IMshareC!BD$2:BD$78)-IMshareC!BD$56&gt;0,IMshareC!BD41/(SUM(IMshareC!BD$2:BD$78)-IMshareC!BD$56),0))</f>
        <v>0</v>
      </c>
      <c r="BE41" s="8">
        <f>IF($A41=BE$1,0,IF(SUM(IMshareC!BE$2:BE$78)-IMshareC!BE$57&gt;0,IMshareC!BE41/(SUM(IMshareC!BE$2:BE$78)-IMshareC!BE$57),0))</f>
        <v>0</v>
      </c>
      <c r="BF41" s="8">
        <f>IF($A41=BF$1,0,IF(SUM(IMshareC!BF$2:BF$78)-IMshareC!BF$58&gt;0,IMshareC!BF41/(SUM(IMshareC!BF$2:BF$78)-IMshareC!BF$58),0))</f>
        <v>0</v>
      </c>
      <c r="BG41" s="8">
        <f>IF($A41=BG$1,0,IF(SUM(IMshareC!BG$2:BG$78)-IMshareC!BG$59&gt;0,IMshareC!BG41/(SUM(IMshareC!BG$2:BG$78)-IMshareC!BG$59),0))</f>
        <v>0</v>
      </c>
      <c r="BH41" s="8">
        <f>IF($A41=BH$1,0,IF(SUM(IMshareC!BH$2:BH$78)-IMshareC!BH$60&gt;0,IMshareC!BH41/(SUM(IMshareC!BH$2:BH$78)-IMshareC!BH$60),0))</f>
        <v>0</v>
      </c>
      <c r="BI41" s="8">
        <f>IF($A41=BI$1,0,IF(SUM(IMshareC!BI$2:BI$78)-IMshareC!BI$61&gt;0,IMshareC!BI41/(SUM(IMshareC!BI$2:BI$78)-IMshareC!BI$61),0))</f>
        <v>6.7774909400597281E-8</v>
      </c>
      <c r="BJ41" s="8">
        <f>IF($A41=BJ$1,0,IF(SUM(IMshareC!BJ$2:BJ$78)-IMshareC!BJ$62&gt;0,IMshareC!BJ41/(SUM(IMshareC!BJ$2:BJ$78)-IMshareC!BJ$62),0))</f>
        <v>0</v>
      </c>
      <c r="BK41" s="8">
        <f>IF($A41=BK$1,0,IF(SUM(IMshareC!BK$2:BK$78)-IMshareC!BK$63&gt;0,IMshareC!BK41/(SUM(IMshareC!BK$2:BK$78)-IMshareC!BK$63),0))</f>
        <v>2.1164069711217336E-2</v>
      </c>
      <c r="BL41" s="8">
        <f>IF($A41=BL$1,0,IF(SUM(IMshareC!BL$2:BL$78)-IMshareC!BL$64&gt;0,IMshareC!BL41/(SUM(IMshareC!BL$2:BL$78)-IMshareC!BL$64),0))</f>
        <v>0</v>
      </c>
      <c r="BM41" s="8">
        <f>IF($A41=BM$1,0,IF(SUM(IMshareC!BM$2:BM$78)-IMshareC!BM$65&gt;0,IMshareC!BM41/(SUM(IMshareC!BM$2:BM$78)-IMshareC!BM$65),0))</f>
        <v>0</v>
      </c>
      <c r="BN41" s="8">
        <f>IF($A41=BN$1,0,IF(SUM(IMshareC!BN$2:BN$78)-IMshareC!BN$66&gt;0,IMshareC!BN41/(SUM(IMshareC!BN$2:BN$78)-IMshareC!BN$66),0))</f>
        <v>0</v>
      </c>
      <c r="BO41" s="8">
        <f>IF($A41=BO$1,0,IF(SUM(IMshareC!BO$2:BO$78)-IMshareC!BO$67&gt;0,IMshareC!BO41/(SUM(IMshareC!BO$2:BO$78)-IMshareC!BO$67),0))</f>
        <v>0</v>
      </c>
      <c r="BP41" s="8">
        <f>IF($A41=BP$1,0,IF(SUM(IMshareC!BP$2:BP$78)-IMshareC!BP$68&gt;0,IMshareC!BP41/(SUM(IMshareC!BP$2:BP$78)-IMshareC!BP$68),0))</f>
        <v>0</v>
      </c>
      <c r="BQ41" s="8">
        <f>IF($A41=BQ$1,0,IF(SUM(IMshareC!BQ$2:BQ$78)-IMshareC!BQ$69&gt;0,IMshareC!BQ41/(SUM(IMshareC!BQ$2:BQ$78)-IMshareC!BQ$69),0))</f>
        <v>4.2682480762557557E-7</v>
      </c>
      <c r="BR41" s="8">
        <f>IF($A41=BR$1,0,IF(SUM(IMshareC!BR$2:BR$78)-IMshareC!BR$70&gt;0,IMshareC!BR41/(SUM(IMshareC!BR$2:BR$78)-IMshareC!BR$70),0))</f>
        <v>0</v>
      </c>
      <c r="BS41" s="8">
        <f>IF($A41=BS$1,0,IF(SUM(IMshareC!BS$2:BS$78)-IMshareC!BS$71&gt;0,IMshareC!BS41/(SUM(IMshareC!BS$2:BS$78)-IMshareC!BS$71),0))</f>
        <v>0</v>
      </c>
      <c r="BT41" s="8">
        <f>IF($A41=BT$1,0,IF(SUM(IMshareC!BT$2:BT$78)-IMshareC!BT$72&gt;0,IMshareC!BT41/(SUM(IMshareC!BT$2:BT$78)-IMshareC!BT$72),0))</f>
        <v>0</v>
      </c>
      <c r="BU41" s="8">
        <f>IF($A41=BU$1,0,IF(SUM(IMshareC!BU$2:BU$78)-IMshareC!BU$73&gt;0,IMshareC!BU41/(SUM(IMshareC!BU$2:BU$78)-IMshareC!BU$73),0))</f>
        <v>2.7037390024872468E-7</v>
      </c>
      <c r="BV41" s="8">
        <f>IF($A41=BV$1,0,IF(SUM(IMshareC!BV$2:BV$78)-IMshareC!BV$74&gt;0,IMshareC!BV41/(SUM(IMshareC!BV$2:BV$78)-IMshareC!BV$74),0))</f>
        <v>0</v>
      </c>
      <c r="BW41" s="8">
        <f>IF($A41=BW$1,0,IF(SUM(IMshareC!BW$2:BW$78)-IMshareC!BW$75&gt;0,IMshareC!BW41/(SUM(IMshareC!BW$2:BW$78)-IMshareC!BW$75),0))</f>
        <v>9.614662713365643E-8</v>
      </c>
      <c r="BX41" s="8">
        <f>IF($A41=BX$1,0,IF(SUM(IMshareC!BX$2:BX$78)-IMshareC!BX$76&gt;0,IMshareC!BX41/(SUM(IMshareC!BX$2:BX$78)-IMshareC!BX$76),0))</f>
        <v>0</v>
      </c>
      <c r="BY41" s="8">
        <f>IF($A41=BY$1,0,IF(SUM(IMshareC!BY$2:BY$78)-IMshareC!BY$77&gt;0,IMshareC!BY41/(SUM(IMshareC!BY$2:BY$78)-IMshareC!BY$77),0))</f>
        <v>0</v>
      </c>
      <c r="BZ41" s="8">
        <f>IF($A41=BZ$1,0,IF(SUM(IMshareC!BZ$2:BZ$78)-IMshareC!BZ$78&gt;0,IMshareC!BZ41/(SUM(IMshareC!BZ$2:BZ$78)-IMshareC!BZ$78),0))</f>
        <v>1.9883000416546891E-4</v>
      </c>
    </row>
    <row r="42" spans="1:78">
      <c r="A42" s="4" t="s">
        <v>151</v>
      </c>
      <c r="B42" s="8">
        <f>IF($A42=B$1,0,IF(SUM(IMshareC!B$2:B$78)-IMshareC!B$2&gt;0,IMshareC!B42/(SUM(IMshareC!B$2:B$78)-IMshareC!B$2),0))</f>
        <v>0</v>
      </c>
      <c r="C42" s="8">
        <f>IF($A42=C$1,0,IF(SUM(IMshareC!C$2:C$78)-IMshareC!C$3&gt;0,IMshareC!C42/(SUM(IMshareC!C$2:C$78)-IMshareC!C$3),0))</f>
        <v>1.5009576870585887E-6</v>
      </c>
      <c r="D42" s="8">
        <f>IF($A42=D$1,0,IF(SUM(IMshareC!D$2:D$78)-IMshareC!D$4&gt;0,IMshareC!D42/(SUM(IMshareC!D$2:D$78)-IMshareC!D$4),0))</f>
        <v>2.2966752297546926E-9</v>
      </c>
      <c r="E42" s="8">
        <f>IF($A42=E$1,0,IF(SUM(IMshareC!E$2:E$78)-IMshareC!E$5&gt;0,IMshareC!E42/(SUM(IMshareC!E$2:E$78)-IMshareC!E$5),0))</f>
        <v>2.9543907752760778E-6</v>
      </c>
      <c r="F42" s="8">
        <f>IF($A42=F$1,0,IF(SUM(IMshareC!F$2:F$78)-IMshareC!F$6&gt;0,IMshareC!F42/(SUM(IMshareC!F$2:F$78)-IMshareC!F$6),0))</f>
        <v>0</v>
      </c>
      <c r="G42" s="8">
        <f>IF($A42=G$1,0,IF(SUM(IMshareC!G$2:G$78)-IMshareC!G$7&gt;0,IMshareC!G42/(SUM(IMshareC!G$2:G$78)-IMshareC!G$7),0))</f>
        <v>0</v>
      </c>
      <c r="H42" s="8">
        <f>IF($A42=H$1,0,IF(SUM(IMshareC!H$2:H$78)-IMshareC!H$8&gt;0,IMshareC!H42/(SUM(IMshareC!H$2:H$78)-IMshareC!H$8),0))</f>
        <v>0</v>
      </c>
      <c r="I42" s="8">
        <f>IF($A42=I$1,0,IF(SUM(IMshareC!I$2:I$78)-IMshareC!I$9&gt;0,IMshareC!I42/(SUM(IMshareC!I$2:I$78)-IMshareC!I$9),0))</f>
        <v>1.0896893633236761E-5</v>
      </c>
      <c r="J42" s="8">
        <f>IF($A42=J$1,0,IF(SUM(IMshareC!J$2:J$78)-IMshareC!J$10&gt;0,IMshareC!J42/(SUM(IMshareC!J$2:J$78)-IMshareC!J$10),0))</f>
        <v>0</v>
      </c>
      <c r="K42" s="8">
        <f>IF($A42=K$1,0,IF(SUM(IMshareC!K$2:K$78)-IMshareC!K$11&gt;0,IMshareC!K42/(SUM(IMshareC!K$2:K$78)-IMshareC!K$11),0))</f>
        <v>1.2734927341144048E-6</v>
      </c>
      <c r="L42" s="8">
        <f>IF($A42=L$1,0,IF(SUM(IMshareC!L$2:L$78)-IMshareC!L$12&gt;0,IMshareC!L42/(SUM(IMshareC!L$2:L$78)-IMshareC!L$12),0))</f>
        <v>2.2147186220366877E-6</v>
      </c>
      <c r="M42" s="8">
        <f>IF($A42=M$1,0,IF(SUM(IMshareC!M$2:M$78)-IMshareC!M$13&gt;0,IMshareC!M42/(SUM(IMshareC!M$2:M$78)-IMshareC!M$13),0))</f>
        <v>0</v>
      </c>
      <c r="N42" s="8">
        <f>IF($A42=N$1,0,IF(SUM(IMshareC!N$2:N$78)-IMshareC!N$14&gt;0,IMshareC!N42/(SUM(IMshareC!N$2:N$78)-IMshareC!N$14),0))</f>
        <v>1.4275801652725941E-6</v>
      </c>
      <c r="O42" s="8">
        <f>IF($A42=O$1,0,IF(SUM(IMshareC!O$2:O$78)-IMshareC!O$15&gt;0,IMshareC!O42/(SUM(IMshareC!O$2:O$78)-IMshareC!O$15),0))</f>
        <v>0</v>
      </c>
      <c r="P42" s="8">
        <f>IF($A42=P$1,0,IF(SUM(IMshareC!P$2:P$78)-IMshareC!P$16&gt;0,IMshareC!P42/(SUM(IMshareC!P$2:P$78)-IMshareC!P$16),0))</f>
        <v>0</v>
      </c>
      <c r="Q42" s="8">
        <f>IF($A42=Q$1,0,IF(SUM(IMshareC!Q$2:Q$78)-IMshareC!Q$17&gt;0,IMshareC!Q42/(SUM(IMshareC!Q$2:Q$78)-IMshareC!Q$17),0))</f>
        <v>9.3549399770075069E-7</v>
      </c>
      <c r="R42" s="8">
        <f>IF($A42=R$1,0,IF(SUM(IMshareC!R$2:R$78)-IMshareC!R$18&gt;0,IMshareC!R42/(SUM(IMshareC!R$2:R$78)-IMshareC!R$18),0))</f>
        <v>9.6232754676530873E-8</v>
      </c>
      <c r="S42" s="8">
        <f>IF($A42=S$1,0,IF(SUM(IMshareC!S$2:S$78)-IMshareC!S$19&gt;0,IMshareC!S42/(SUM(IMshareC!S$2:S$78)-IMshareC!S$19),0))</f>
        <v>0</v>
      </c>
      <c r="T42" s="8">
        <f>IF($A42=T$1,0,IF(SUM(IMshareC!T$2:T$78)-IMshareC!T$20&gt;0,IMshareC!T42/(SUM(IMshareC!T$2:T$78)-IMshareC!T$20),0))</f>
        <v>2.1293591348689907E-6</v>
      </c>
      <c r="U42" s="8">
        <f>IF($A42=U$1,0,IF(SUM(IMshareC!U$2:U$78)-IMshareC!U$21&gt;0,IMshareC!U42/(SUM(IMshareC!U$2:U$78)-IMshareC!U$21),0))</f>
        <v>1.7739588628830871E-8</v>
      </c>
      <c r="V42" s="8">
        <f>IF($A42=V$1,0,IF(SUM(IMshareC!V$2:V$78)-IMshareC!V$22&gt;0,IMshareC!V42/(SUM(IMshareC!V$2:V$78)-IMshareC!V$22),0))</f>
        <v>7.0364527818493844E-4</v>
      </c>
      <c r="W42" s="8">
        <f>IF($A42=W$1,0,IF(SUM(IMshareC!W$2:W$78)-IMshareC!W$23&gt;0,IMshareC!W42/(SUM(IMshareC!W$2:W$78)-IMshareC!W$23),0))</f>
        <v>0</v>
      </c>
      <c r="X42" s="8">
        <f>IF($A42=X$1,0,IF(SUM(IMshareC!X$2:X$78)-IMshareC!X$24&gt;0,IMshareC!X42/(SUM(IMshareC!X$2:X$78)-IMshareC!X$24),0))</f>
        <v>4.2835879120494742E-4</v>
      </c>
      <c r="Y42" s="8">
        <f>IF($A42=Y$1,0,IF(SUM(IMshareC!Y$2:Y$78)-IMshareC!Y$25&gt;0,IMshareC!Y42/(SUM(IMshareC!Y$2:Y$78)-IMshareC!Y$25),0))</f>
        <v>0</v>
      </c>
      <c r="Z42" s="8">
        <f>IF($A42=Z$1,0,IF(SUM(IMshareC!Z$2:Z$78)-IMshareC!Z$26&gt;0,IMshareC!Z42/(SUM(IMshareC!Z$2:Z$78)-IMshareC!Z$26),0))</f>
        <v>0</v>
      </c>
      <c r="AA42" s="8">
        <f>IF($A42=AA$1,0,IF(SUM(IMshareC!AA$2:AA$78)-IMshareC!AA$27&gt;0,IMshareC!AA42/(SUM(IMshareC!AA$2:AA$78)-IMshareC!AA$27),0))</f>
        <v>5.5041059834942901E-6</v>
      </c>
      <c r="AB42" s="8">
        <f>IF($A42=AB$1,0,IF(SUM(IMshareC!AB$2:AB$78)-IMshareC!AB$28&gt;0,IMshareC!AB42/(SUM(IMshareC!AB$2:AB$78)-IMshareC!AB$28),0))</f>
        <v>5.1149282841465263E-5</v>
      </c>
      <c r="AC42" s="8">
        <f>IF($A42=AC$1,0,IF(SUM(IMshareC!AC$2:AC$78)-IMshareC!AC$29&gt;0,IMshareC!AC42/(SUM(IMshareC!AC$2:AC$78)-IMshareC!AC$29),0))</f>
        <v>0</v>
      </c>
      <c r="AD42" s="8">
        <f>IF($A42=AD$1,0,IF(SUM(IMshareC!AD$2:AD$78)-IMshareC!AD$30&gt;0,IMshareC!AD42/(SUM(IMshareC!AD$2:AD$78)-IMshareC!AD$30),0))</f>
        <v>5.0588997364386587E-6</v>
      </c>
      <c r="AE42" s="8">
        <f>IF($A42=AE$1,0,IF(SUM(IMshareC!AE$2:AE$78)-IMshareC!AE$31&gt;0,IMshareC!AE42/(SUM(IMshareC!AE$2:AE$78)-IMshareC!AE$31),0))</f>
        <v>0</v>
      </c>
      <c r="AF42" s="8">
        <f>IF($A42=AF$1,0,IF(SUM(IMshareC!AF$2:AF$78)-IMshareC!AF$32&gt;0,IMshareC!AF42/(SUM(IMshareC!AF$2:AF$78)-IMshareC!AF$32),0))</f>
        <v>5.7523469211224909E-8</v>
      </c>
      <c r="AG42" s="8">
        <f>IF($A42=AG$1,0,IF(SUM(IMshareC!AG$2:AG$78)-IMshareC!AG$33&gt;0,IMshareC!AG42/(SUM(IMshareC!AG$2:AG$78)-IMshareC!AG$33),0))</f>
        <v>1.9132925719252905E-8</v>
      </c>
      <c r="AH42" s="8">
        <f>IF($A42=AH$1,0,IF(SUM(IMshareC!AH$2:AH$78)-IMshareC!AH$34&gt;0,IMshareC!AH42/(SUM(IMshareC!AH$2:AH$78)-IMshareC!AH$34),0))</f>
        <v>2.1519271536028761E-5</v>
      </c>
      <c r="AI42" s="8">
        <f>IF($A42=AI$1,0,IF(SUM(IMshareC!AI$2:AI$78)-IMshareC!AI$35&gt;0,IMshareC!AI42/(SUM(IMshareC!AI$2:AI$78)-IMshareC!AI$35),0))</f>
        <v>2.8919412314347826E-7</v>
      </c>
      <c r="AJ42" s="8">
        <f>IF($A42=AJ$1,0,IF(SUM(IMshareC!AJ$2:AJ$78)-IMshareC!AJ$36&gt;0,IMshareC!AJ42/(SUM(IMshareC!AJ$2:AJ$78)-IMshareC!AJ$36),0))</f>
        <v>0</v>
      </c>
      <c r="AK42" s="8">
        <f>IF($A42=AK$1,0,IF(SUM(IMshareC!AK$2:AK$78)-IMshareC!AK$37&gt;0,IMshareC!AK42/(SUM(IMshareC!AK$2:AK$78)-IMshareC!AK$37),0))</f>
        <v>0</v>
      </c>
      <c r="AL42" s="8">
        <f>IF($A42=AL$1,0,IF(SUM(IMshareC!AL$2:AL$78)-IMshareC!AL$38&gt;0,IMshareC!AL42/(SUM(IMshareC!AL$2:AL$78)-IMshareC!AL$38),0))</f>
        <v>5.4571472558281168E-7</v>
      </c>
      <c r="AM42" s="8">
        <f>IF($A42=AM$1,0,IF(SUM(IMshareC!AM$2:AM$78)-IMshareC!AM$39&gt;0,IMshareC!AM42/(SUM(IMshareC!AM$2:AM$78)-IMshareC!AM$39),0))</f>
        <v>0</v>
      </c>
      <c r="AN42" s="8">
        <f>IF($A42=AN$1,0,IF(SUM(IMshareC!AN$2:AN$78)-IMshareC!AN$40&gt;0,IMshareC!AN42/(SUM(IMshareC!AN$2:AN$78)-IMshareC!AN$40),0))</f>
        <v>1.9473586554047514E-7</v>
      </c>
      <c r="AO42" s="8">
        <f>IF($A42=AO$1,0,IF(SUM(IMshareC!AO$2:AO$78)-IMshareC!AO$41&gt;0,IMshareC!AO42/(SUM(IMshareC!AO$2:AO$78)-IMshareC!AO$41),0))</f>
        <v>0</v>
      </c>
      <c r="AP42" s="8">
        <f>IF($A42=AP$1,0,IF(SUM(IMshareC!AP$2:AP$78)-IMshareC!AP$42&gt;0,IMshareC!AP42/(SUM(IMshareC!AP$2:AP$78)-IMshareC!AP$42),0))</f>
        <v>0</v>
      </c>
      <c r="AQ42" s="8">
        <f>IF($A42=AQ$1,0,IF(SUM(IMshareC!AQ$2:AQ$78)-IMshareC!AQ$43&gt;0,IMshareC!AQ42/(SUM(IMshareC!AQ$2:AQ$78)-IMshareC!AQ$43),0))</f>
        <v>6.5111571378589184E-9</v>
      </c>
      <c r="AR42" s="8">
        <f>IF($A42=AR$1,0,IF(SUM(IMshareC!AR$2:AR$78)-IMshareC!AR$44&gt;0,IMshareC!AR42/(SUM(IMshareC!AR$2:AR$78)-IMshareC!AR$44),0))</f>
        <v>0</v>
      </c>
      <c r="AS42" s="8">
        <f>IF($A42=AS$1,0,IF(SUM(IMshareC!AS$2:AS$78)-IMshareC!AS$45&gt;0,IMshareC!AS42/(SUM(IMshareC!AS$2:AS$78)-IMshareC!AS$45),0))</f>
        <v>0</v>
      </c>
      <c r="AT42" s="8">
        <f>IF($A42=AT$1,0,IF(SUM(IMshareC!AT$2:AT$78)-IMshareC!AT$46&gt;0,IMshareC!AT42/(SUM(IMshareC!AT$2:AT$78)-IMshareC!AT$46),0))</f>
        <v>0</v>
      </c>
      <c r="AU42" s="8">
        <f>IF($A42=AU$1,0,IF(SUM(IMshareC!AU$2:AU$78)-IMshareC!AU$47&gt;0,IMshareC!AU42/(SUM(IMshareC!AU$2:AU$78)-IMshareC!AU$47),0))</f>
        <v>0</v>
      </c>
      <c r="AV42" s="8">
        <f>IF($A42=AV$1,0,IF(SUM(IMshareC!AV$2:AV$78)-IMshareC!AV$48&gt;0,IMshareC!AV42/(SUM(IMshareC!AV$2:AV$78)-IMshareC!AV$48),0))</f>
        <v>0</v>
      </c>
      <c r="AW42" s="8">
        <f>IF($A42=AW$1,0,IF(SUM(IMshareC!AW$2:AW$78)-IMshareC!AW$49&gt;0,IMshareC!AW42/(SUM(IMshareC!AW$2:AW$78)-IMshareC!AW$49),0))</f>
        <v>3.1177029873234965E-5</v>
      </c>
      <c r="AX42" s="8">
        <f>IF($A42=AX$1,0,IF(SUM(IMshareC!AX$2:AX$78)-IMshareC!AX$50&gt;0,IMshareC!AX42/(SUM(IMshareC!AX$2:AX$78)-IMshareC!AX$50),0))</f>
        <v>0</v>
      </c>
      <c r="AY42" s="8">
        <f>IF($A42=AY$1,0,IF(SUM(IMshareC!AY$2:AY$78)-IMshareC!AY$51&gt;0,IMshareC!AY42/(SUM(IMshareC!AY$2:AY$78)-IMshareC!AY$51),0))</f>
        <v>0</v>
      </c>
      <c r="AZ42" s="8">
        <f>IF($A42=AZ$1,0,IF(SUM(IMshareC!AZ$2:AZ$78)-IMshareC!AZ$52&gt;0,IMshareC!AZ42/(SUM(IMshareC!AZ$2:AZ$78)-IMshareC!AZ$52),0))</f>
        <v>0</v>
      </c>
      <c r="BA42" s="8">
        <f>IF($A42=BA$1,0,IF(SUM(IMshareC!BA$2:BA$78)-IMshareC!BA$53&gt;0,IMshareC!BA42/(SUM(IMshareC!BA$2:BA$78)-IMshareC!BA$53),0))</f>
        <v>0</v>
      </c>
      <c r="BB42" s="8">
        <f>IF($A42=BB$1,0,IF(SUM(IMshareC!BB$2:BB$78)-IMshareC!BB$54&gt;0,IMshareC!BB42/(SUM(IMshareC!BB$2:BB$78)-IMshareC!BB$54),0))</f>
        <v>0</v>
      </c>
      <c r="BC42" s="8">
        <f>IF($A42=BC$1,0,IF(SUM(IMshareC!BC$2:BC$78)-IMshareC!BC$55&gt;0,IMshareC!BC42/(SUM(IMshareC!BC$2:BC$78)-IMshareC!BC$55),0))</f>
        <v>0</v>
      </c>
      <c r="BD42" s="8">
        <f>IF($A42=BD$1,0,IF(SUM(IMshareC!BD$2:BD$78)-IMshareC!BD$56&gt;0,IMshareC!BD42/(SUM(IMshareC!BD$2:BD$78)-IMshareC!BD$56),0))</f>
        <v>0</v>
      </c>
      <c r="BE42" s="8">
        <f>IF($A42=BE$1,0,IF(SUM(IMshareC!BE$2:BE$78)-IMshareC!BE$57&gt;0,IMshareC!BE42/(SUM(IMshareC!BE$2:BE$78)-IMshareC!BE$57),0))</f>
        <v>0</v>
      </c>
      <c r="BF42" s="8">
        <f>IF($A42=BF$1,0,IF(SUM(IMshareC!BF$2:BF$78)-IMshareC!BF$58&gt;0,IMshareC!BF42/(SUM(IMshareC!BF$2:BF$78)-IMshareC!BF$58),0))</f>
        <v>0</v>
      </c>
      <c r="BG42" s="8">
        <f>IF($A42=BG$1,0,IF(SUM(IMshareC!BG$2:BG$78)-IMshareC!BG$59&gt;0,IMshareC!BG42/(SUM(IMshareC!BG$2:BG$78)-IMshareC!BG$59),0))</f>
        <v>6.0890447744914922E-7</v>
      </c>
      <c r="BH42" s="8">
        <f>IF($A42=BH$1,0,IF(SUM(IMshareC!BH$2:BH$78)-IMshareC!BH$60&gt;0,IMshareC!BH42/(SUM(IMshareC!BH$2:BH$78)-IMshareC!BH$60),0))</f>
        <v>9.9175622713745831E-7</v>
      </c>
      <c r="BI42" s="8">
        <f>IF($A42=BI$1,0,IF(SUM(IMshareC!BI$2:BI$78)-IMshareC!BI$61&gt;0,IMshareC!BI42/(SUM(IMshareC!BI$2:BI$78)-IMshareC!BI$61),0))</f>
        <v>0</v>
      </c>
      <c r="BJ42" s="8">
        <f>IF($A42=BJ$1,0,IF(SUM(IMshareC!BJ$2:BJ$78)-IMshareC!BJ$62&gt;0,IMshareC!BJ42/(SUM(IMshareC!BJ$2:BJ$78)-IMshareC!BJ$62),0))</f>
        <v>2.7298874249613944E-5</v>
      </c>
      <c r="BK42" s="8">
        <f>IF($A42=BK$1,0,IF(SUM(IMshareC!BK$2:BK$78)-IMshareC!BK$63&gt;0,IMshareC!BK42/(SUM(IMshareC!BK$2:BK$78)-IMshareC!BK$63),0))</f>
        <v>0</v>
      </c>
      <c r="BL42" s="8">
        <f>IF($A42=BL$1,0,IF(SUM(IMshareC!BL$2:BL$78)-IMshareC!BL$64&gt;0,IMshareC!BL42/(SUM(IMshareC!BL$2:BL$78)-IMshareC!BL$64),0))</f>
        <v>0</v>
      </c>
      <c r="BM42" s="8">
        <f>IF($A42=BM$1,0,IF(SUM(IMshareC!BM$2:BM$78)-IMshareC!BM$65&gt;0,IMshareC!BM42/(SUM(IMshareC!BM$2:BM$78)-IMshareC!BM$65),0))</f>
        <v>0</v>
      </c>
      <c r="BN42" s="8">
        <f>IF($A42=BN$1,0,IF(SUM(IMshareC!BN$2:BN$78)-IMshareC!BN$66&gt;0,IMshareC!BN42/(SUM(IMshareC!BN$2:BN$78)-IMshareC!BN$66),0))</f>
        <v>2.8459771177599679E-8</v>
      </c>
      <c r="BO42" s="8">
        <f>IF($A42=BO$1,0,IF(SUM(IMshareC!BO$2:BO$78)-IMshareC!BO$67&gt;0,IMshareC!BO42/(SUM(IMshareC!BO$2:BO$78)-IMshareC!BO$67),0))</f>
        <v>2.0072173260161963E-8</v>
      </c>
      <c r="BP42" s="8">
        <f>IF($A42=BP$1,0,IF(SUM(IMshareC!BP$2:BP$78)-IMshareC!BP$68&gt;0,IMshareC!BP42/(SUM(IMshareC!BP$2:BP$78)-IMshareC!BP$68),0))</f>
        <v>0</v>
      </c>
      <c r="BQ42" s="8">
        <f>IF($A42=BQ$1,0,IF(SUM(IMshareC!BQ$2:BQ$78)-IMshareC!BQ$69&gt;0,IMshareC!BQ42/(SUM(IMshareC!BQ$2:BQ$78)-IMshareC!BQ$69),0))</f>
        <v>1.2588778929185894E-3</v>
      </c>
      <c r="BR42" s="8">
        <f>IF($A42=BR$1,0,IF(SUM(IMshareC!BR$2:BR$78)-IMshareC!BR$70&gt;0,IMshareC!BR42/(SUM(IMshareC!BR$2:BR$78)-IMshareC!BR$70),0))</f>
        <v>4.4113011614022098E-5</v>
      </c>
      <c r="BS42" s="8">
        <f>IF($A42=BS$1,0,IF(SUM(IMshareC!BS$2:BS$78)-IMshareC!BS$71&gt;0,IMshareC!BS42/(SUM(IMshareC!BS$2:BS$78)-IMshareC!BS$71),0))</f>
        <v>0</v>
      </c>
      <c r="BT42" s="8">
        <f>IF($A42=BT$1,0,IF(SUM(IMshareC!BT$2:BT$78)-IMshareC!BT$72&gt;0,IMshareC!BT42/(SUM(IMshareC!BT$2:BT$78)-IMshareC!BT$72),0))</f>
        <v>0</v>
      </c>
      <c r="BU42" s="8">
        <f>IF($A42=BU$1,0,IF(SUM(IMshareC!BU$2:BU$78)-IMshareC!BU$73&gt;0,IMshareC!BU42/(SUM(IMshareC!BU$2:BU$78)-IMshareC!BU$73),0))</f>
        <v>3.9892589098558261E-7</v>
      </c>
      <c r="BV42" s="8">
        <f>IF($A42=BV$1,0,IF(SUM(IMshareC!BV$2:BV$78)-IMshareC!BV$74&gt;0,IMshareC!BV42/(SUM(IMshareC!BV$2:BV$78)-IMshareC!BV$74),0))</f>
        <v>0</v>
      </c>
      <c r="BW42" s="8">
        <f>IF($A42=BW$1,0,IF(SUM(IMshareC!BW$2:BW$78)-IMshareC!BW$75&gt;0,IMshareC!BW42/(SUM(IMshareC!BW$2:BW$78)-IMshareC!BW$75),0))</f>
        <v>1.1942451637912827E-5</v>
      </c>
      <c r="BX42" s="8">
        <f>IF($A42=BX$1,0,IF(SUM(IMshareC!BX$2:BX$78)-IMshareC!BX$76&gt;0,IMshareC!BX42/(SUM(IMshareC!BX$2:BX$78)-IMshareC!BX$76),0))</f>
        <v>3.1657198595004192E-6</v>
      </c>
      <c r="BY42" s="8">
        <f>IF($A42=BY$1,0,IF(SUM(IMshareC!BY$2:BY$78)-IMshareC!BY$77&gt;0,IMshareC!BY42/(SUM(IMshareC!BY$2:BY$78)-IMshareC!BY$77),0))</f>
        <v>0</v>
      </c>
      <c r="BZ42" s="8">
        <f>IF($A42=BZ$1,0,IF(SUM(IMshareC!BZ$2:BZ$78)-IMshareC!BZ$78&gt;0,IMshareC!BZ42/(SUM(IMshareC!BZ$2:BZ$78)-IMshareC!BZ$78),0))</f>
        <v>6.9881589561585261E-7</v>
      </c>
    </row>
    <row r="43" spans="1:78">
      <c r="A43" s="4" t="s">
        <v>153</v>
      </c>
      <c r="B43" s="8">
        <f>IF($A43=B$1,0,IF(SUM(IMshareC!B$2:B$78)-IMshareC!B$2&gt;0,IMshareC!B43/(SUM(IMshareC!B$2:B$78)-IMshareC!B$2),0))</f>
        <v>2.0009855575999078E-2</v>
      </c>
      <c r="C43" s="8">
        <f>IF($A43=C$1,0,IF(SUM(IMshareC!C$2:C$78)-IMshareC!C$3&gt;0,IMshareC!C43/(SUM(IMshareC!C$2:C$78)-IMshareC!C$3),0))</f>
        <v>4.0054625728988991E-2</v>
      </c>
      <c r="D43" s="8">
        <f>IF($A43=D$1,0,IF(SUM(IMshareC!D$2:D$78)-IMshareC!D$4&gt;0,IMshareC!D43/(SUM(IMshareC!D$2:D$78)-IMshareC!D$4),0))</f>
        <v>3.5531055054240424E-2</v>
      </c>
      <c r="E43" s="8">
        <f>IF($A43=E$1,0,IF(SUM(IMshareC!E$2:E$78)-IMshareC!E$5&gt;0,IMshareC!E43/(SUM(IMshareC!E$2:E$78)-IMshareC!E$5),0))</f>
        <v>9.0900446202271373E-3</v>
      </c>
      <c r="F43" s="8">
        <f>IF($A43=F$1,0,IF(SUM(IMshareC!F$2:F$78)-IMshareC!F$6&gt;0,IMshareC!F43/(SUM(IMshareC!F$2:F$78)-IMshareC!F$6),0))</f>
        <v>1.9166957067150022E-3</v>
      </c>
      <c r="G43" s="8">
        <f>IF($A43=G$1,0,IF(SUM(IMshareC!G$2:G$78)-IMshareC!G$7&gt;0,IMshareC!G43/(SUM(IMshareC!G$2:G$78)-IMshareC!G$7),0))</f>
        <v>3.6473418935136696E-4</v>
      </c>
      <c r="H43" s="8">
        <f>IF($A43=H$1,0,IF(SUM(IMshareC!H$2:H$78)-IMshareC!H$8&gt;0,IMshareC!H43/(SUM(IMshareC!H$2:H$78)-IMshareC!H$8),0))</f>
        <v>1.0057747026295553E-4</v>
      </c>
      <c r="I43" s="8">
        <f>IF($A43=I$1,0,IF(SUM(IMshareC!I$2:I$78)-IMshareC!I$9&gt;0,IMshareC!I43/(SUM(IMshareC!I$2:I$78)-IMshareC!I$9),0))</f>
        <v>0.18959955144779525</v>
      </c>
      <c r="J43" s="8">
        <f>IF($A43=J$1,0,IF(SUM(IMshareC!J$2:J$78)-IMshareC!J$10&gt;0,IMshareC!J43/(SUM(IMshareC!J$2:J$78)-IMshareC!J$10),0))</f>
        <v>3.097056752408585E-3</v>
      </c>
      <c r="K43" s="8">
        <f>IF($A43=K$1,0,IF(SUM(IMshareC!K$2:K$78)-IMshareC!K$11&gt;0,IMshareC!K43/(SUM(IMshareC!K$2:K$78)-IMshareC!K$11),0))</f>
        <v>5.7168996992169735E-2</v>
      </c>
      <c r="L43" s="8">
        <f>IF($A43=L$1,0,IF(SUM(IMshareC!L$2:L$78)-IMshareC!L$12&gt;0,IMshareC!L43/(SUM(IMshareC!L$2:L$78)-IMshareC!L$12),0))</f>
        <v>2.1888331990011157E-2</v>
      </c>
      <c r="M43" s="8">
        <f>IF($A43=M$1,0,IF(SUM(IMshareC!M$2:M$78)-IMshareC!M$13&gt;0,IMshareC!M43/(SUM(IMshareC!M$2:M$78)-IMshareC!M$13),0))</f>
        <v>1.2003198279015862E-2</v>
      </c>
      <c r="N43" s="8">
        <f>IF($A43=N$1,0,IF(SUM(IMshareC!N$2:N$78)-IMshareC!N$14&gt;0,IMshareC!N43/(SUM(IMshareC!N$2:N$78)-IMshareC!N$14),0))</f>
        <v>0.22854267498573899</v>
      </c>
      <c r="O43" s="8">
        <f>IF($A43=O$1,0,IF(SUM(IMshareC!O$2:O$78)-IMshareC!O$15&gt;0,IMshareC!O43/(SUM(IMshareC!O$2:O$78)-IMshareC!O$15),0))</f>
        <v>2.0395916509316405E-3</v>
      </c>
      <c r="P43" s="8">
        <f>IF($A43=P$1,0,IF(SUM(IMshareC!P$2:P$78)-IMshareC!P$16&gt;0,IMshareC!P43/(SUM(IMshareC!P$2:P$78)-IMshareC!P$16),0))</f>
        <v>0</v>
      </c>
      <c r="Q43" s="8">
        <f>IF($A43=Q$1,0,IF(SUM(IMshareC!Q$2:Q$78)-IMshareC!Q$17&gt;0,IMshareC!Q43/(SUM(IMshareC!Q$2:Q$78)-IMshareC!Q$17),0))</f>
        <v>1.5798552174258827E-2</v>
      </c>
      <c r="R43" s="8">
        <f>IF($A43=R$1,0,IF(SUM(IMshareC!R$2:R$78)-IMshareC!R$18&gt;0,IMshareC!R43/(SUM(IMshareC!R$2:R$78)-IMshareC!R$18),0))</f>
        <v>5.760513273010465E-3</v>
      </c>
      <c r="S43" s="8">
        <f>IF($A43=S$1,0,IF(SUM(IMshareC!S$2:S$78)-IMshareC!S$19&gt;0,IMshareC!S43/(SUM(IMshareC!S$2:S$78)-IMshareC!S$19),0))</f>
        <v>3.0914554891684838E-3</v>
      </c>
      <c r="T43" s="8">
        <f>IF($A43=T$1,0,IF(SUM(IMshareC!T$2:T$78)-IMshareC!T$20&gt;0,IMshareC!T43/(SUM(IMshareC!T$2:T$78)-IMshareC!T$20),0))</f>
        <v>3.6571481356738621E-2</v>
      </c>
      <c r="U43" s="8">
        <f>IF($A43=U$1,0,IF(SUM(IMshareC!U$2:U$78)-IMshareC!U$21&gt;0,IMshareC!U43/(SUM(IMshareC!U$2:U$78)-IMshareC!U$21),0))</f>
        <v>4.3559174095051792E-2</v>
      </c>
      <c r="V43" s="8">
        <f>IF($A43=V$1,0,IF(SUM(IMshareC!V$2:V$78)-IMshareC!V$22&gt;0,IMshareC!V43/(SUM(IMshareC!V$2:V$78)-IMshareC!V$22),0))</f>
        <v>2.0938007764890857E-2</v>
      </c>
      <c r="W43" s="8">
        <f>IF($A43=W$1,0,IF(SUM(IMshareC!W$2:W$78)-IMshareC!W$23&gt;0,IMshareC!W43/(SUM(IMshareC!W$2:W$78)-IMshareC!W$23),0))</f>
        <v>0.20207872905453433</v>
      </c>
      <c r="X43" s="8">
        <f>IF($A43=X$1,0,IF(SUM(IMshareC!X$2:X$78)-IMshareC!X$24&gt;0,IMshareC!X43/(SUM(IMshareC!X$2:X$78)-IMshareC!X$24),0))</f>
        <v>5.3019808774577007E-3</v>
      </c>
      <c r="Y43" s="8">
        <f>IF($A43=Y$1,0,IF(SUM(IMshareC!Y$2:Y$78)-IMshareC!Y$25&gt;0,IMshareC!Y43/(SUM(IMshareC!Y$2:Y$78)-IMshareC!Y$25),0))</f>
        <v>3.8095944931512631E-2</v>
      </c>
      <c r="Z43" s="8">
        <f>IF($A43=Z$1,0,IF(SUM(IMshareC!Z$2:Z$78)-IMshareC!Z$26&gt;0,IMshareC!Z43/(SUM(IMshareC!Z$2:Z$78)-IMshareC!Z$26),0))</f>
        <v>3.5437739940725917E-2</v>
      </c>
      <c r="AA43" s="8">
        <f>IF($A43=AA$1,0,IF(SUM(IMshareC!AA$2:AA$78)-IMshareC!AA$27&gt;0,IMshareC!AA43/(SUM(IMshareC!AA$2:AA$78)-IMshareC!AA$27),0))</f>
        <v>5.231860727652448E-2</v>
      </c>
      <c r="AB43" s="8">
        <f>IF($A43=AB$1,0,IF(SUM(IMshareC!AB$2:AB$78)-IMshareC!AB$28&gt;0,IMshareC!AB43/(SUM(IMshareC!AB$2:AB$78)-IMshareC!AB$28),0))</f>
        <v>6.0256682191687075E-2</v>
      </c>
      <c r="AC43" s="8">
        <f>IF($A43=AC$1,0,IF(SUM(IMshareC!AC$2:AC$78)-IMshareC!AC$29&gt;0,IMshareC!AC43/(SUM(IMshareC!AC$2:AC$78)-IMshareC!AC$29),0))</f>
        <v>7.9705990429963672E-4</v>
      </c>
      <c r="AD43" s="8">
        <f>IF($A43=AD$1,0,IF(SUM(IMshareC!AD$2:AD$78)-IMshareC!AD$30&gt;0,IMshareC!AD43/(SUM(IMshareC!AD$2:AD$78)-IMshareC!AD$30),0))</f>
        <v>8.904323999633873E-2</v>
      </c>
      <c r="AE43" s="8">
        <f>IF($A43=AE$1,0,IF(SUM(IMshareC!AE$2:AE$78)-IMshareC!AE$31&gt;0,IMshareC!AE43/(SUM(IMshareC!AE$2:AE$78)-IMshareC!AE$31),0))</f>
        <v>4.3684397132952285E-4</v>
      </c>
      <c r="AF43" s="8">
        <f>IF($A43=AF$1,0,IF(SUM(IMshareC!AF$2:AF$78)-IMshareC!AF$32&gt;0,IMshareC!AF43/(SUM(IMshareC!AF$2:AF$78)-IMshareC!AF$32),0))</f>
        <v>3.2939134354231396E-2</v>
      </c>
      <c r="AG43" s="8">
        <f>IF($A43=AG$1,0,IF(SUM(IMshareC!AG$2:AG$78)-IMshareC!AG$33&gt;0,IMshareC!AG43/(SUM(IMshareC!AG$2:AG$78)-IMshareC!AG$33),0))</f>
        <v>0.21354736487883974</v>
      </c>
      <c r="AH43" s="8">
        <f>IF($A43=AH$1,0,IF(SUM(IMshareC!AH$2:AH$78)-IMshareC!AH$34&gt;0,IMshareC!AH43/(SUM(IMshareC!AH$2:AH$78)-IMshareC!AH$34),0))</f>
        <v>0.13817211602513343</v>
      </c>
      <c r="AI43" s="8">
        <f>IF($A43=AI$1,0,IF(SUM(IMshareC!AI$2:AI$78)-IMshareC!AI$35&gt;0,IMshareC!AI43/(SUM(IMshareC!AI$2:AI$78)-IMshareC!AI$35),0))</f>
        <v>2.2896208109089954E-3</v>
      </c>
      <c r="AJ43" s="8">
        <f>IF($A43=AJ$1,0,IF(SUM(IMshareC!AJ$2:AJ$78)-IMshareC!AJ$36&gt;0,IMshareC!AJ43/(SUM(IMshareC!AJ$2:AJ$78)-IMshareC!AJ$36),0))</f>
        <v>1.0423268670711269E-2</v>
      </c>
      <c r="AK43" s="8">
        <f>IF($A43=AK$1,0,IF(SUM(IMshareC!AK$2:AK$78)-IMshareC!AK$37&gt;0,IMshareC!AK43/(SUM(IMshareC!AK$2:AK$78)-IMshareC!AK$37),0))</f>
        <v>4.8793042037441441E-2</v>
      </c>
      <c r="AL43" s="8">
        <f>IF($A43=AL$1,0,IF(SUM(IMshareC!AL$2:AL$78)-IMshareC!AL$38&gt;0,IMshareC!AL43/(SUM(IMshareC!AL$2:AL$78)-IMshareC!AL$38),0))</f>
        <v>7.6338241312013666E-3</v>
      </c>
      <c r="AM43" s="8">
        <f>IF($A43=AM$1,0,IF(SUM(IMshareC!AM$2:AM$78)-IMshareC!AM$39&gt;0,IMshareC!AM43/(SUM(IMshareC!AM$2:AM$78)-IMshareC!AM$39),0))</f>
        <v>1.6456358057615052E-2</v>
      </c>
      <c r="AN43" s="8">
        <f>IF($A43=AN$1,0,IF(SUM(IMshareC!AN$2:AN$78)-IMshareC!AN$40&gt;0,IMshareC!AN43/(SUM(IMshareC!AN$2:AN$78)-IMshareC!AN$40),0))</f>
        <v>6.9547259945081014E-2</v>
      </c>
      <c r="AO43" s="8">
        <f>IF($A43=AO$1,0,IF(SUM(IMshareC!AO$2:AO$78)-IMshareC!AO$41&gt;0,IMshareC!AO43/(SUM(IMshareC!AO$2:AO$78)-IMshareC!AO$41),0))</f>
        <v>0.12627023677529944</v>
      </c>
      <c r="AP43" s="8">
        <f>IF($A43=AP$1,0,IF(SUM(IMshareC!AP$2:AP$78)-IMshareC!AP$42&gt;0,IMshareC!AP43/(SUM(IMshareC!AP$2:AP$78)-IMshareC!AP$42),0))</f>
        <v>1.0940805891034532E-2</v>
      </c>
      <c r="AQ43" s="8">
        <f>IF($A43=AQ$1,0,IF(SUM(IMshareC!AQ$2:AQ$78)-IMshareC!AQ$43&gt;0,IMshareC!AQ43/(SUM(IMshareC!AQ$2:AQ$78)-IMshareC!AQ$43),0))</f>
        <v>0</v>
      </c>
      <c r="AR43" s="8">
        <f>IF($A43=AR$1,0,IF(SUM(IMshareC!AR$2:AR$78)-IMshareC!AR$44&gt;0,IMshareC!AR43/(SUM(IMshareC!AR$2:AR$78)-IMshareC!AR$44),0))</f>
        <v>2.9315629022491087E-4</v>
      </c>
      <c r="AS43" s="8">
        <f>IF($A43=AS$1,0,IF(SUM(IMshareC!AS$2:AS$78)-IMshareC!AS$45&gt;0,IMshareC!AS43/(SUM(IMshareC!AS$2:AS$78)-IMshareC!AS$45),0))</f>
        <v>1.466954854549504E-3</v>
      </c>
      <c r="AT43" s="8">
        <f>IF($A43=AT$1,0,IF(SUM(IMshareC!AT$2:AT$78)-IMshareC!AT$46&gt;0,IMshareC!AT43/(SUM(IMshareC!AT$2:AT$78)-IMshareC!AT$46),0))</f>
        <v>4.4799752729558877E-3</v>
      </c>
      <c r="AU43" s="8">
        <f>IF($A43=AU$1,0,IF(SUM(IMshareC!AU$2:AU$78)-IMshareC!AU$47&gt;0,IMshareC!AU43/(SUM(IMshareC!AU$2:AU$78)-IMshareC!AU$47),0))</f>
        <v>1.153493924798134E-2</v>
      </c>
      <c r="AV43" s="8">
        <f>IF($A43=AV$1,0,IF(SUM(IMshareC!AV$2:AV$78)-IMshareC!AV$48&gt;0,IMshareC!AV43/(SUM(IMshareC!AV$2:AV$78)-IMshareC!AV$48),0))</f>
        <v>1.8875412476175753E-3</v>
      </c>
      <c r="AW43" s="8">
        <f>IF($A43=AW$1,0,IF(SUM(IMshareC!AW$2:AW$78)-IMshareC!AW$49&gt;0,IMshareC!AW43/(SUM(IMshareC!AW$2:AW$78)-IMshareC!AW$49),0))</f>
        <v>6.0868955174873431E-2</v>
      </c>
      <c r="AX43" s="8">
        <f>IF($A43=AX$1,0,IF(SUM(IMshareC!AX$2:AX$78)-IMshareC!AX$50&gt;0,IMshareC!AX43/(SUM(IMshareC!AX$2:AX$78)-IMshareC!AX$50),0))</f>
        <v>0.18102268611466091</v>
      </c>
      <c r="AY43" s="8">
        <f>IF($A43=AY$1,0,IF(SUM(IMshareC!AY$2:AY$78)-IMshareC!AY$51&gt;0,IMshareC!AY43/(SUM(IMshareC!AY$2:AY$78)-IMshareC!AY$51),0))</f>
        <v>4.3726371116109509E-4</v>
      </c>
      <c r="AZ43" s="8">
        <f>IF($A43=AZ$1,0,IF(SUM(IMshareC!AZ$2:AZ$78)-IMshareC!AZ$52&gt;0,IMshareC!AZ43/(SUM(IMshareC!AZ$2:AZ$78)-IMshareC!AZ$52),0))</f>
        <v>4.6037919583826283E-2</v>
      </c>
      <c r="BA43" s="8">
        <f>IF($A43=BA$1,0,IF(SUM(IMshareC!BA$2:BA$78)-IMshareC!BA$53&gt;0,IMshareC!BA43/(SUM(IMshareC!BA$2:BA$78)-IMshareC!BA$53),0))</f>
        <v>2.0416092755425386E-2</v>
      </c>
      <c r="BB43" s="8">
        <f>IF($A43=BB$1,0,IF(SUM(IMshareC!BB$2:BB$78)-IMshareC!BB$54&gt;0,IMshareC!BB43/(SUM(IMshareC!BB$2:BB$78)-IMshareC!BB$54),0))</f>
        <v>2.7552140026801956E-2</v>
      </c>
      <c r="BC43" s="8">
        <f>IF($A43=BC$1,0,IF(SUM(IMshareC!BC$2:BC$78)-IMshareC!BC$55&gt;0,IMshareC!BC43/(SUM(IMshareC!BC$2:BC$78)-IMshareC!BC$55),0))</f>
        <v>4.8913509890707377E-2</v>
      </c>
      <c r="BD43" s="8">
        <f>IF($A43=BD$1,0,IF(SUM(IMshareC!BD$2:BD$78)-IMshareC!BD$56&gt;0,IMshareC!BD43/(SUM(IMshareC!BD$2:BD$78)-IMshareC!BD$56),0))</f>
        <v>1.9784963942154402E-2</v>
      </c>
      <c r="BE43" s="8">
        <f>IF($A43=BE$1,0,IF(SUM(IMshareC!BE$2:BE$78)-IMshareC!BE$57&gt;0,IMshareC!BE43/(SUM(IMshareC!BE$2:BE$78)-IMshareC!BE$57),0))</f>
        <v>9.8644981672228668E-3</v>
      </c>
      <c r="BF43" s="8">
        <f>IF($A43=BF$1,0,IF(SUM(IMshareC!BF$2:BF$78)-IMshareC!BF$58&gt;0,IMshareC!BF43/(SUM(IMshareC!BF$2:BF$78)-IMshareC!BF$58),0))</f>
        <v>1.318345331887421E-2</v>
      </c>
      <c r="BG43" s="8">
        <f>IF($A43=BG$1,0,IF(SUM(IMshareC!BG$2:BG$78)-IMshareC!BG$59&gt;0,IMshareC!BG43/(SUM(IMshareC!BG$2:BG$78)-IMshareC!BG$59),0))</f>
        <v>0.22391288799668774</v>
      </c>
      <c r="BH43" s="8">
        <f>IF($A43=BH$1,0,IF(SUM(IMshareC!BH$2:BH$78)-IMshareC!BH$60&gt;0,IMshareC!BH43/(SUM(IMshareC!BH$2:BH$78)-IMshareC!BH$60),0))</f>
        <v>6.1954442241202647E-2</v>
      </c>
      <c r="BI43" s="8">
        <f>IF($A43=BI$1,0,IF(SUM(IMshareC!BI$2:BI$78)-IMshareC!BI$61&gt;0,IMshareC!BI43/(SUM(IMshareC!BI$2:BI$78)-IMshareC!BI$61),0))</f>
        <v>1.6214781848925924E-2</v>
      </c>
      <c r="BJ43" s="8">
        <f>IF($A43=BJ$1,0,IF(SUM(IMshareC!BJ$2:BJ$78)-IMshareC!BJ$62&gt;0,IMshareC!BJ43/(SUM(IMshareC!BJ$2:BJ$78)-IMshareC!BJ$62),0))</f>
        <v>3.6106310932667715E-3</v>
      </c>
      <c r="BK43" s="8">
        <f>IF($A43=BK$1,0,IF(SUM(IMshareC!BK$2:BK$78)-IMshareC!BK$63&gt;0,IMshareC!BK43/(SUM(IMshareC!BK$2:BK$78)-IMshareC!BK$63),0))</f>
        <v>2.4788031148149942E-2</v>
      </c>
      <c r="BL43" s="8">
        <f>IF($A43=BL$1,0,IF(SUM(IMshareC!BL$2:BL$78)-IMshareC!BL$64&gt;0,IMshareC!BL43/(SUM(IMshareC!BL$2:BL$78)-IMshareC!BL$64),0))</f>
        <v>3.1970538411719741E-3</v>
      </c>
      <c r="BM43" s="8">
        <f>IF($A43=BM$1,0,IF(SUM(IMshareC!BM$2:BM$78)-IMshareC!BM$65&gt;0,IMshareC!BM43/(SUM(IMshareC!BM$2:BM$78)-IMshareC!BM$65),0))</f>
        <v>1.3562548067446216E-2</v>
      </c>
      <c r="BN43" s="8">
        <f>IF($A43=BN$1,0,IF(SUM(IMshareC!BN$2:BN$78)-IMshareC!BN$66&gt;0,IMshareC!BN43/(SUM(IMshareC!BN$2:BN$78)-IMshareC!BN$66),0))</f>
        <v>0.1539147544073772</v>
      </c>
      <c r="BO43" s="8">
        <f>IF($A43=BO$1,0,IF(SUM(IMshareC!BO$2:BO$78)-IMshareC!BO$67&gt;0,IMshareC!BO43/(SUM(IMshareC!BO$2:BO$78)-IMshareC!BO$67),0))</f>
        <v>9.0725510742320173E-2</v>
      </c>
      <c r="BP43" s="8">
        <f>IF($A43=BP$1,0,IF(SUM(IMshareC!BP$2:BP$78)-IMshareC!BP$68&gt;0,IMshareC!BP43/(SUM(IMshareC!BP$2:BP$78)-IMshareC!BP$68),0))</f>
        <v>6.8012860553050107E-3</v>
      </c>
      <c r="BQ43" s="8">
        <f>IF($A43=BQ$1,0,IF(SUM(IMshareC!BQ$2:BQ$78)-IMshareC!BQ$69&gt;0,IMshareC!BQ43/(SUM(IMshareC!BQ$2:BQ$78)-IMshareC!BQ$69),0))</f>
        <v>2.2696339316590548E-2</v>
      </c>
      <c r="BR43" s="8">
        <f>IF($A43=BR$1,0,IF(SUM(IMshareC!BR$2:BR$78)-IMshareC!BR$70&gt;0,IMshareC!BR43/(SUM(IMshareC!BR$2:BR$78)-IMshareC!BR$70),0))</f>
        <v>8.9286750405246154E-2</v>
      </c>
      <c r="BS43" s="8">
        <f>IF($A43=BS$1,0,IF(SUM(IMshareC!BS$2:BS$78)-IMshareC!BS$71&gt;0,IMshareC!BS43/(SUM(IMshareC!BS$2:BS$78)-IMshareC!BS$71),0))</f>
        <v>1.6614414611090911E-2</v>
      </c>
      <c r="BT43" s="8">
        <f>IF($A43=BT$1,0,IF(SUM(IMshareC!BT$2:BT$78)-IMshareC!BT$72&gt;0,IMshareC!BT43/(SUM(IMshareC!BT$2:BT$78)-IMshareC!BT$72),0))</f>
        <v>3.9874967148444115E-2</v>
      </c>
      <c r="BU43" s="8">
        <f>IF($A43=BU$1,0,IF(SUM(IMshareC!BU$2:BU$78)-IMshareC!BU$73&gt;0,IMshareC!BU43/(SUM(IMshareC!BU$2:BU$78)-IMshareC!BU$73),0))</f>
        <v>0.26193720521164482</v>
      </c>
      <c r="BV43" s="8">
        <f>IF($A43=BV$1,0,IF(SUM(IMshareC!BV$2:BV$78)-IMshareC!BV$74&gt;0,IMshareC!BV43/(SUM(IMshareC!BV$2:BV$78)-IMshareC!BV$74),0))</f>
        <v>2.959112522416793E-2</v>
      </c>
      <c r="BW43" s="8">
        <f>IF($A43=BW$1,0,IF(SUM(IMshareC!BW$2:BW$78)-IMshareC!BW$75&gt;0,IMshareC!BW43/(SUM(IMshareC!BW$2:BW$78)-IMshareC!BW$75),0))</f>
        <v>6.7552393530338747E-2</v>
      </c>
      <c r="BX43" s="8">
        <f>IF($A43=BX$1,0,IF(SUM(IMshareC!BX$2:BX$78)-IMshareC!BX$76&gt;0,IMshareC!BX43/(SUM(IMshareC!BX$2:BX$78)-IMshareC!BX$76),0))</f>
        <v>0.35842354215908834</v>
      </c>
      <c r="BY43" s="8">
        <f>IF($A43=BY$1,0,IF(SUM(IMshareC!BY$2:BY$78)-IMshareC!BY$77&gt;0,IMshareC!BY43/(SUM(IMshareC!BY$2:BY$78)-IMshareC!BY$77),0))</f>
        <v>4.6859550411132767E-2</v>
      </c>
      <c r="BZ43" s="8">
        <f>IF($A43=BZ$1,0,IF(SUM(IMshareC!BZ$2:BZ$78)-IMshareC!BZ$78&gt;0,IMshareC!BZ43/(SUM(IMshareC!BZ$2:BZ$78)-IMshareC!BZ$78),0))</f>
        <v>5.0527806879257148E-2</v>
      </c>
    </row>
    <row r="44" spans="1:78">
      <c r="A44" s="4" t="s">
        <v>155</v>
      </c>
      <c r="B44" s="8">
        <f>IF($A44=B$1,0,IF(SUM(IMshareC!B$2:B$78)-IMshareC!B$2&gt;0,IMshareC!B44/(SUM(IMshareC!B$2:B$78)-IMshareC!B$2),0))</f>
        <v>0</v>
      </c>
      <c r="C44" s="8">
        <f>IF($A44=C$1,0,IF(SUM(IMshareC!C$2:C$78)-IMshareC!C$3&gt;0,IMshareC!C44/(SUM(IMshareC!C$2:C$78)-IMshareC!C$3),0))</f>
        <v>4.9971176293881387E-6</v>
      </c>
      <c r="D44" s="8">
        <f>IF($A44=D$1,0,IF(SUM(IMshareC!D$2:D$78)-IMshareC!D$4&gt;0,IMshareC!D44/(SUM(IMshareC!D$2:D$78)-IMshareC!D$4),0))</f>
        <v>0</v>
      </c>
      <c r="E44" s="8">
        <f>IF($A44=E$1,0,IF(SUM(IMshareC!E$2:E$78)-IMshareC!E$5&gt;0,IMshareC!E44/(SUM(IMshareC!E$2:E$78)-IMshareC!E$5),0))</f>
        <v>0</v>
      </c>
      <c r="F44" s="8">
        <f>IF($A44=F$1,0,IF(SUM(IMshareC!F$2:F$78)-IMshareC!F$6&gt;0,IMshareC!F44/(SUM(IMshareC!F$2:F$78)-IMshareC!F$6),0))</f>
        <v>0</v>
      </c>
      <c r="G44" s="8">
        <f>IF($A44=G$1,0,IF(SUM(IMshareC!G$2:G$78)-IMshareC!G$7&gt;0,IMshareC!G44/(SUM(IMshareC!G$2:G$78)-IMshareC!G$7),0))</f>
        <v>0</v>
      </c>
      <c r="H44" s="8">
        <f>IF($A44=H$1,0,IF(SUM(IMshareC!H$2:H$78)-IMshareC!H$8&gt;0,IMshareC!H44/(SUM(IMshareC!H$2:H$78)-IMshareC!H$8),0))</f>
        <v>0</v>
      </c>
      <c r="I44" s="8">
        <f>IF($A44=I$1,0,IF(SUM(IMshareC!I$2:I$78)-IMshareC!I$9&gt;0,IMshareC!I44/(SUM(IMshareC!I$2:I$78)-IMshareC!I$9),0))</f>
        <v>0</v>
      </c>
      <c r="J44" s="8">
        <f>IF($A44=J$1,0,IF(SUM(IMshareC!J$2:J$78)-IMshareC!J$10&gt;0,IMshareC!J44/(SUM(IMshareC!J$2:J$78)-IMshareC!J$10),0))</f>
        <v>0</v>
      </c>
      <c r="K44" s="8">
        <f>IF($A44=K$1,0,IF(SUM(IMshareC!K$2:K$78)-IMshareC!K$11&gt;0,IMshareC!K44/(SUM(IMshareC!K$2:K$78)-IMshareC!K$11),0))</f>
        <v>0</v>
      </c>
      <c r="L44" s="8">
        <f>IF($A44=L$1,0,IF(SUM(IMshareC!L$2:L$78)-IMshareC!L$12&gt;0,IMshareC!L44/(SUM(IMshareC!L$2:L$78)-IMshareC!L$12),0))</f>
        <v>0</v>
      </c>
      <c r="M44" s="8">
        <f>IF($A44=M$1,0,IF(SUM(IMshareC!M$2:M$78)-IMshareC!M$13&gt;0,IMshareC!M44/(SUM(IMshareC!M$2:M$78)-IMshareC!M$13),0))</f>
        <v>0</v>
      </c>
      <c r="N44" s="8">
        <f>IF($A44=N$1,0,IF(SUM(IMshareC!N$2:N$78)-IMshareC!N$14&gt;0,IMshareC!N44/(SUM(IMshareC!N$2:N$78)-IMshareC!N$14),0))</f>
        <v>5.9857876697414954E-7</v>
      </c>
      <c r="O44" s="8">
        <f>IF($A44=O$1,0,IF(SUM(IMshareC!O$2:O$78)-IMshareC!O$15&gt;0,IMshareC!O44/(SUM(IMshareC!O$2:O$78)-IMshareC!O$15),0))</f>
        <v>0</v>
      </c>
      <c r="P44" s="8">
        <f>IF($A44=P$1,0,IF(SUM(IMshareC!P$2:P$78)-IMshareC!P$16&gt;0,IMshareC!P44/(SUM(IMshareC!P$2:P$78)-IMshareC!P$16),0))</f>
        <v>0</v>
      </c>
      <c r="Q44" s="8">
        <f>IF($A44=Q$1,0,IF(SUM(IMshareC!Q$2:Q$78)-IMshareC!Q$17&gt;0,IMshareC!Q44/(SUM(IMshareC!Q$2:Q$78)-IMshareC!Q$17),0))</f>
        <v>0</v>
      </c>
      <c r="R44" s="8">
        <f>IF($A44=R$1,0,IF(SUM(IMshareC!R$2:R$78)-IMshareC!R$18&gt;0,IMshareC!R44/(SUM(IMshareC!R$2:R$78)-IMshareC!R$18),0))</f>
        <v>0</v>
      </c>
      <c r="S44" s="8">
        <f>IF($A44=S$1,0,IF(SUM(IMshareC!S$2:S$78)-IMshareC!S$19&gt;0,IMshareC!S44/(SUM(IMshareC!S$2:S$78)-IMshareC!S$19),0))</f>
        <v>0</v>
      </c>
      <c r="T44" s="8">
        <f>IF($A44=T$1,0,IF(SUM(IMshareC!T$2:T$78)-IMshareC!T$20&gt;0,IMshareC!T44/(SUM(IMshareC!T$2:T$78)-IMshareC!T$20),0))</f>
        <v>0</v>
      </c>
      <c r="U44" s="8">
        <f>IF($A44=U$1,0,IF(SUM(IMshareC!U$2:U$78)-IMshareC!U$21&gt;0,IMshareC!U44/(SUM(IMshareC!U$2:U$78)-IMshareC!U$21),0))</f>
        <v>2.5540284739478319E-8</v>
      </c>
      <c r="V44" s="8">
        <f>IF($A44=V$1,0,IF(SUM(IMshareC!V$2:V$78)-IMshareC!V$22&gt;0,IMshareC!V44/(SUM(IMshareC!V$2:V$78)-IMshareC!V$22),0))</f>
        <v>0</v>
      </c>
      <c r="W44" s="8">
        <f>IF($A44=W$1,0,IF(SUM(IMshareC!W$2:W$78)-IMshareC!W$23&gt;0,IMshareC!W44/(SUM(IMshareC!W$2:W$78)-IMshareC!W$23),0))</f>
        <v>0</v>
      </c>
      <c r="X44" s="8">
        <f>IF($A44=X$1,0,IF(SUM(IMshareC!X$2:X$78)-IMshareC!X$24&gt;0,IMshareC!X44/(SUM(IMshareC!X$2:X$78)-IMshareC!X$24),0))</f>
        <v>0</v>
      </c>
      <c r="Y44" s="8">
        <f>IF($A44=Y$1,0,IF(SUM(IMshareC!Y$2:Y$78)-IMshareC!Y$25&gt;0,IMshareC!Y44/(SUM(IMshareC!Y$2:Y$78)-IMshareC!Y$25),0))</f>
        <v>0</v>
      </c>
      <c r="Z44" s="8">
        <f>IF($A44=Z$1,0,IF(SUM(IMshareC!Z$2:Z$78)-IMshareC!Z$26&gt;0,IMshareC!Z44/(SUM(IMshareC!Z$2:Z$78)-IMshareC!Z$26),0))</f>
        <v>0</v>
      </c>
      <c r="AA44" s="8">
        <f>IF($A44=AA$1,0,IF(SUM(IMshareC!AA$2:AA$78)-IMshareC!AA$27&gt;0,IMshareC!AA44/(SUM(IMshareC!AA$2:AA$78)-IMshareC!AA$27),0))</f>
        <v>0</v>
      </c>
      <c r="AB44" s="8">
        <f>IF($A44=AB$1,0,IF(SUM(IMshareC!AB$2:AB$78)-IMshareC!AB$28&gt;0,IMshareC!AB44/(SUM(IMshareC!AB$2:AB$78)-IMshareC!AB$28),0))</f>
        <v>3.3706720379158072E-7</v>
      </c>
      <c r="AC44" s="8">
        <f>IF($A44=AC$1,0,IF(SUM(IMshareC!AC$2:AC$78)-IMshareC!AC$29&gt;0,IMshareC!AC44/(SUM(IMshareC!AC$2:AC$78)-IMshareC!AC$29),0))</f>
        <v>0</v>
      </c>
      <c r="AD44" s="8">
        <f>IF($A44=AD$1,0,IF(SUM(IMshareC!AD$2:AD$78)-IMshareC!AD$30&gt;0,IMshareC!AD44/(SUM(IMshareC!AD$2:AD$78)-IMshareC!AD$30),0))</f>
        <v>0</v>
      </c>
      <c r="AE44" s="8">
        <f>IF($A44=AE$1,0,IF(SUM(IMshareC!AE$2:AE$78)-IMshareC!AE$31&gt;0,IMshareC!AE44/(SUM(IMshareC!AE$2:AE$78)-IMshareC!AE$31),0))</f>
        <v>0</v>
      </c>
      <c r="AF44" s="8">
        <f>IF($A44=AF$1,0,IF(SUM(IMshareC!AF$2:AF$78)-IMshareC!AF$32&gt;0,IMshareC!AF44/(SUM(IMshareC!AF$2:AF$78)-IMshareC!AF$32),0))</f>
        <v>0</v>
      </c>
      <c r="AG44" s="8">
        <f>IF($A44=AG$1,0,IF(SUM(IMshareC!AG$2:AG$78)-IMshareC!AG$33&gt;0,IMshareC!AG44/(SUM(IMshareC!AG$2:AG$78)-IMshareC!AG$33),0))</f>
        <v>3.7395879611223157E-5</v>
      </c>
      <c r="AH44" s="8">
        <f>IF($A44=AH$1,0,IF(SUM(IMshareC!AH$2:AH$78)-IMshareC!AH$34&gt;0,IMshareC!AH44/(SUM(IMshareC!AH$2:AH$78)-IMshareC!AH$34),0))</f>
        <v>0</v>
      </c>
      <c r="AI44" s="8">
        <f>IF($A44=AI$1,0,IF(SUM(IMshareC!AI$2:AI$78)-IMshareC!AI$35&gt;0,IMshareC!AI44/(SUM(IMshareC!AI$2:AI$78)-IMshareC!AI$35),0))</f>
        <v>0</v>
      </c>
      <c r="AJ44" s="8">
        <f>IF($A44=AJ$1,0,IF(SUM(IMshareC!AJ$2:AJ$78)-IMshareC!AJ$36&gt;0,IMshareC!AJ44/(SUM(IMshareC!AJ$2:AJ$78)-IMshareC!AJ$36),0))</f>
        <v>4.5284544946359737E-6</v>
      </c>
      <c r="AK44" s="8">
        <f>IF($A44=AK$1,0,IF(SUM(IMshareC!AK$2:AK$78)-IMshareC!AK$37&gt;0,IMshareC!AK44/(SUM(IMshareC!AK$2:AK$78)-IMshareC!AK$37),0))</f>
        <v>0</v>
      </c>
      <c r="AL44" s="8">
        <f>IF($A44=AL$1,0,IF(SUM(IMshareC!AL$2:AL$78)-IMshareC!AL$38&gt;0,IMshareC!AL44/(SUM(IMshareC!AL$2:AL$78)-IMshareC!AL$38),0))</f>
        <v>0</v>
      </c>
      <c r="AM44" s="8">
        <f>IF($A44=AM$1,0,IF(SUM(IMshareC!AM$2:AM$78)-IMshareC!AM$39&gt;0,IMshareC!AM44/(SUM(IMshareC!AM$2:AM$78)-IMshareC!AM$39),0))</f>
        <v>0</v>
      </c>
      <c r="AN44" s="8">
        <f>IF($A44=AN$1,0,IF(SUM(IMshareC!AN$2:AN$78)-IMshareC!AN$40&gt;0,IMshareC!AN44/(SUM(IMshareC!AN$2:AN$78)-IMshareC!AN$40),0))</f>
        <v>2.8526540904757762E-6</v>
      </c>
      <c r="AO44" s="8">
        <f>IF($A44=AO$1,0,IF(SUM(IMshareC!AO$2:AO$78)-IMshareC!AO$41&gt;0,IMshareC!AO44/(SUM(IMshareC!AO$2:AO$78)-IMshareC!AO$41),0))</f>
        <v>0</v>
      </c>
      <c r="AP44" s="8">
        <f>IF($A44=AP$1,0,IF(SUM(IMshareC!AP$2:AP$78)-IMshareC!AP$42&gt;0,IMshareC!AP44/(SUM(IMshareC!AP$2:AP$78)-IMshareC!AP$42),0))</f>
        <v>0</v>
      </c>
      <c r="AQ44" s="8">
        <f>IF($A44=AQ$1,0,IF(SUM(IMshareC!AQ$2:AQ$78)-IMshareC!AQ$43&gt;0,IMshareC!AQ44/(SUM(IMshareC!AQ$2:AQ$78)-IMshareC!AQ$43),0))</f>
        <v>0</v>
      </c>
      <c r="AR44" s="8">
        <f>IF($A44=AR$1,0,IF(SUM(IMshareC!AR$2:AR$78)-IMshareC!AR$44&gt;0,IMshareC!AR44/(SUM(IMshareC!AR$2:AR$78)-IMshareC!AR$44),0))</f>
        <v>0</v>
      </c>
      <c r="AS44" s="8">
        <f>IF($A44=AS$1,0,IF(SUM(IMshareC!AS$2:AS$78)-IMshareC!AS$45&gt;0,IMshareC!AS44/(SUM(IMshareC!AS$2:AS$78)-IMshareC!AS$45),0))</f>
        <v>0</v>
      </c>
      <c r="AT44" s="8">
        <f>IF($A44=AT$1,0,IF(SUM(IMshareC!AT$2:AT$78)-IMshareC!AT$46&gt;0,IMshareC!AT44/(SUM(IMshareC!AT$2:AT$78)-IMshareC!AT$46),0))</f>
        <v>0</v>
      </c>
      <c r="AU44" s="8">
        <f>IF($A44=AU$1,0,IF(SUM(IMshareC!AU$2:AU$78)-IMshareC!AU$47&gt;0,IMshareC!AU44/(SUM(IMshareC!AU$2:AU$78)-IMshareC!AU$47),0))</f>
        <v>0</v>
      </c>
      <c r="AV44" s="8">
        <f>IF($A44=AV$1,0,IF(SUM(IMshareC!AV$2:AV$78)-IMshareC!AV$48&gt;0,IMshareC!AV44/(SUM(IMshareC!AV$2:AV$78)-IMshareC!AV$48),0))</f>
        <v>0</v>
      </c>
      <c r="AW44" s="8">
        <f>IF($A44=AW$1,0,IF(SUM(IMshareC!AW$2:AW$78)-IMshareC!AW$49&gt;0,IMshareC!AW44/(SUM(IMshareC!AW$2:AW$78)-IMshareC!AW$49),0))</f>
        <v>0</v>
      </c>
      <c r="AX44" s="8">
        <f>IF($A44=AX$1,0,IF(SUM(IMshareC!AX$2:AX$78)-IMshareC!AX$50&gt;0,IMshareC!AX44/(SUM(IMshareC!AX$2:AX$78)-IMshareC!AX$50),0))</f>
        <v>0</v>
      </c>
      <c r="AY44" s="8">
        <f>IF($A44=AY$1,0,IF(SUM(IMshareC!AY$2:AY$78)-IMshareC!AY$51&gt;0,IMshareC!AY44/(SUM(IMshareC!AY$2:AY$78)-IMshareC!AY$51),0))</f>
        <v>0</v>
      </c>
      <c r="AZ44" s="8">
        <f>IF($A44=AZ$1,0,IF(SUM(IMshareC!AZ$2:AZ$78)-IMshareC!AZ$52&gt;0,IMshareC!AZ44/(SUM(IMshareC!AZ$2:AZ$78)-IMshareC!AZ$52),0))</f>
        <v>0</v>
      </c>
      <c r="BA44" s="8">
        <f>IF($A44=BA$1,0,IF(SUM(IMshareC!BA$2:BA$78)-IMshareC!BA$53&gt;0,IMshareC!BA44/(SUM(IMshareC!BA$2:BA$78)-IMshareC!BA$53),0))</f>
        <v>0</v>
      </c>
      <c r="BB44" s="8">
        <f>IF($A44=BB$1,0,IF(SUM(IMshareC!BB$2:BB$78)-IMshareC!BB$54&gt;0,IMshareC!BB44/(SUM(IMshareC!BB$2:BB$78)-IMshareC!BB$54),0))</f>
        <v>0</v>
      </c>
      <c r="BC44" s="8">
        <f>IF($A44=BC$1,0,IF(SUM(IMshareC!BC$2:BC$78)-IMshareC!BC$55&gt;0,IMshareC!BC44/(SUM(IMshareC!BC$2:BC$78)-IMshareC!BC$55),0))</f>
        <v>0</v>
      </c>
      <c r="BD44" s="8">
        <f>IF($A44=BD$1,0,IF(SUM(IMshareC!BD$2:BD$78)-IMshareC!BD$56&gt;0,IMshareC!BD44/(SUM(IMshareC!BD$2:BD$78)-IMshareC!BD$56),0))</f>
        <v>0</v>
      </c>
      <c r="BE44" s="8">
        <f>IF($A44=BE$1,0,IF(SUM(IMshareC!BE$2:BE$78)-IMshareC!BE$57&gt;0,IMshareC!BE44/(SUM(IMshareC!BE$2:BE$78)-IMshareC!BE$57),0))</f>
        <v>0</v>
      </c>
      <c r="BF44" s="8">
        <f>IF($A44=BF$1,0,IF(SUM(IMshareC!BF$2:BF$78)-IMshareC!BF$58&gt;0,IMshareC!BF44/(SUM(IMshareC!BF$2:BF$78)-IMshareC!BF$58),0))</f>
        <v>0</v>
      </c>
      <c r="BG44" s="8">
        <f>IF($A44=BG$1,0,IF(SUM(IMshareC!BG$2:BG$78)-IMshareC!BG$59&gt;0,IMshareC!BG44/(SUM(IMshareC!BG$2:BG$78)-IMshareC!BG$59),0))</f>
        <v>0</v>
      </c>
      <c r="BH44" s="8">
        <f>IF($A44=BH$1,0,IF(SUM(IMshareC!BH$2:BH$78)-IMshareC!BH$60&gt;0,IMshareC!BH44/(SUM(IMshareC!BH$2:BH$78)-IMshareC!BH$60),0))</f>
        <v>0</v>
      </c>
      <c r="BI44" s="8">
        <f>IF($A44=BI$1,0,IF(SUM(IMshareC!BI$2:BI$78)-IMshareC!BI$61&gt;0,IMshareC!BI44/(SUM(IMshareC!BI$2:BI$78)-IMshareC!BI$61),0))</f>
        <v>0</v>
      </c>
      <c r="BJ44" s="8">
        <f>IF($A44=BJ$1,0,IF(SUM(IMshareC!BJ$2:BJ$78)-IMshareC!BJ$62&gt;0,IMshareC!BJ44/(SUM(IMshareC!BJ$2:BJ$78)-IMshareC!BJ$62),0))</f>
        <v>0</v>
      </c>
      <c r="BK44" s="8">
        <f>IF($A44=BK$1,0,IF(SUM(IMshareC!BK$2:BK$78)-IMshareC!BK$63&gt;0,IMshareC!BK44/(SUM(IMshareC!BK$2:BK$78)-IMshareC!BK$63),0))</f>
        <v>0</v>
      </c>
      <c r="BL44" s="8">
        <f>IF($A44=BL$1,0,IF(SUM(IMshareC!BL$2:BL$78)-IMshareC!BL$64&gt;0,IMshareC!BL44/(SUM(IMshareC!BL$2:BL$78)-IMshareC!BL$64),0))</f>
        <v>0</v>
      </c>
      <c r="BM44" s="8">
        <f>IF($A44=BM$1,0,IF(SUM(IMshareC!BM$2:BM$78)-IMshareC!BM$65&gt;0,IMshareC!BM44/(SUM(IMshareC!BM$2:BM$78)-IMshareC!BM$65),0))</f>
        <v>0</v>
      </c>
      <c r="BN44" s="8">
        <f>IF($A44=BN$1,0,IF(SUM(IMshareC!BN$2:BN$78)-IMshareC!BN$66&gt;0,IMshareC!BN44/(SUM(IMshareC!BN$2:BN$78)-IMshareC!BN$66),0))</f>
        <v>2.1833623804479941E-7</v>
      </c>
      <c r="BO44" s="8">
        <f>IF($A44=BO$1,0,IF(SUM(IMshareC!BO$2:BO$78)-IMshareC!BO$67&gt;0,IMshareC!BO44/(SUM(IMshareC!BO$2:BO$78)-IMshareC!BO$67),0))</f>
        <v>0</v>
      </c>
      <c r="BP44" s="8">
        <f>IF($A44=BP$1,0,IF(SUM(IMshareC!BP$2:BP$78)-IMshareC!BP$68&gt;0,IMshareC!BP44/(SUM(IMshareC!BP$2:BP$78)-IMshareC!BP$68),0))</f>
        <v>7.0814101474234578E-7</v>
      </c>
      <c r="BQ44" s="8">
        <f>IF($A44=BQ$1,0,IF(SUM(IMshareC!BQ$2:BQ$78)-IMshareC!BQ$69&gt;0,IMshareC!BQ44/(SUM(IMshareC!BQ$2:BQ$78)-IMshareC!BQ$69),0))</f>
        <v>0</v>
      </c>
      <c r="BR44" s="8">
        <f>IF($A44=BR$1,0,IF(SUM(IMshareC!BR$2:BR$78)-IMshareC!BR$70&gt;0,IMshareC!BR44/(SUM(IMshareC!BR$2:BR$78)-IMshareC!BR$70),0))</f>
        <v>3.8204367616028541E-4</v>
      </c>
      <c r="BS44" s="8">
        <f>IF($A44=BS$1,0,IF(SUM(IMshareC!BS$2:BS$78)-IMshareC!BS$71&gt;0,IMshareC!BS44/(SUM(IMshareC!BS$2:BS$78)-IMshareC!BS$71),0))</f>
        <v>0</v>
      </c>
      <c r="BT44" s="8">
        <f>IF($A44=BT$1,0,IF(SUM(IMshareC!BT$2:BT$78)-IMshareC!BT$72&gt;0,IMshareC!BT44/(SUM(IMshareC!BT$2:BT$78)-IMshareC!BT$72),0))</f>
        <v>2.3415892374193618E-7</v>
      </c>
      <c r="BU44" s="8">
        <f>IF($A44=BU$1,0,IF(SUM(IMshareC!BU$2:BU$78)-IMshareC!BU$73&gt;0,IMshareC!BU44/(SUM(IMshareC!BU$2:BU$78)-IMshareC!BU$73),0))</f>
        <v>2.294081454623251E-7</v>
      </c>
      <c r="BV44" s="8">
        <f>IF($A44=BV$1,0,IF(SUM(IMshareC!BV$2:BV$78)-IMshareC!BV$74&gt;0,IMshareC!BV44/(SUM(IMshareC!BV$2:BV$78)-IMshareC!BV$74),0))</f>
        <v>0</v>
      </c>
      <c r="BW44" s="8">
        <f>IF($A44=BW$1,0,IF(SUM(IMshareC!BW$2:BW$78)-IMshareC!BW$75&gt;0,IMshareC!BW44/(SUM(IMshareC!BW$2:BW$78)-IMshareC!BW$75),0))</f>
        <v>0</v>
      </c>
      <c r="BX44" s="8">
        <f>IF($A44=BX$1,0,IF(SUM(IMshareC!BX$2:BX$78)-IMshareC!BX$76&gt;0,IMshareC!BX44/(SUM(IMshareC!BX$2:BX$78)-IMshareC!BX$76),0))</f>
        <v>0</v>
      </c>
      <c r="BY44" s="8">
        <f>IF($A44=BY$1,0,IF(SUM(IMshareC!BY$2:BY$78)-IMshareC!BY$77&gt;0,IMshareC!BY44/(SUM(IMshareC!BY$2:BY$78)-IMshareC!BY$77),0))</f>
        <v>0</v>
      </c>
      <c r="BZ44" s="8">
        <f>IF($A44=BZ$1,0,IF(SUM(IMshareC!BZ$2:BZ$78)-IMshareC!BZ$78&gt;0,IMshareC!BZ44/(SUM(IMshareC!BZ$2:BZ$78)-IMshareC!BZ$78),0))</f>
        <v>3.9701667595507153E-6</v>
      </c>
    </row>
    <row r="45" spans="1:78">
      <c r="A45" s="4" t="s">
        <v>157</v>
      </c>
      <c r="B45" s="8">
        <f>IF($A45=B$1,0,IF(SUM(IMshareC!B$2:B$78)-IMshareC!B$2&gt;0,IMshareC!B45/(SUM(IMshareC!B$2:B$78)-IMshareC!B$2),0))</f>
        <v>1.7110741420060149E-3</v>
      </c>
      <c r="C45" s="8">
        <f>IF($A45=C$1,0,IF(SUM(IMshareC!C$2:C$78)-IMshareC!C$3&gt;0,IMshareC!C45/(SUM(IMshareC!C$2:C$78)-IMshareC!C$3),0))</f>
        <v>2.4481261414577185E-4</v>
      </c>
      <c r="D45" s="8">
        <f>IF($A45=D$1,0,IF(SUM(IMshareC!D$2:D$78)-IMshareC!D$4&gt;0,IMshareC!D45/(SUM(IMshareC!D$2:D$78)-IMshareC!D$4),0))</f>
        <v>1.0470107192845542E-4</v>
      </c>
      <c r="E45" s="8">
        <f>IF($A45=E$1,0,IF(SUM(IMshareC!E$2:E$78)-IMshareC!E$5&gt;0,IMshareC!E45/(SUM(IMshareC!E$2:E$78)-IMshareC!E$5),0))</f>
        <v>2.195827507525278E-5</v>
      </c>
      <c r="F45" s="8">
        <f>IF($A45=F$1,0,IF(SUM(IMshareC!F$2:F$78)-IMshareC!F$6&gt;0,IMshareC!F45/(SUM(IMshareC!F$2:F$78)-IMshareC!F$6),0))</f>
        <v>0</v>
      </c>
      <c r="G45" s="8">
        <f>IF($A45=G$1,0,IF(SUM(IMshareC!G$2:G$78)-IMshareC!G$7&gt;0,IMshareC!G45/(SUM(IMshareC!G$2:G$78)-IMshareC!G$7),0))</f>
        <v>2.4794524867068367E-4</v>
      </c>
      <c r="H45" s="8">
        <f>IF($A45=H$1,0,IF(SUM(IMshareC!H$2:H$78)-IMshareC!H$8&gt;0,IMshareC!H45/(SUM(IMshareC!H$2:H$78)-IMshareC!H$8),0))</f>
        <v>5.5141010944300892E-2</v>
      </c>
      <c r="I45" s="8">
        <f>IF($A45=I$1,0,IF(SUM(IMshareC!I$2:I$78)-IMshareC!I$9&gt;0,IMshareC!I45/(SUM(IMshareC!I$2:I$78)-IMshareC!I$9),0))</f>
        <v>5.4971136413664123E-5</v>
      </c>
      <c r="J45" s="8">
        <f>IF($A45=J$1,0,IF(SUM(IMshareC!J$2:J$78)-IMshareC!J$10&gt;0,IMshareC!J45/(SUM(IMshareC!J$2:J$78)-IMshareC!J$10),0))</f>
        <v>0</v>
      </c>
      <c r="K45" s="8">
        <f>IF($A45=K$1,0,IF(SUM(IMshareC!K$2:K$78)-IMshareC!K$11&gt;0,IMshareC!K45/(SUM(IMshareC!K$2:K$78)-IMshareC!K$11),0))</f>
        <v>2.3487422672850622E-5</v>
      </c>
      <c r="L45" s="8">
        <f>IF($A45=L$1,0,IF(SUM(IMshareC!L$2:L$78)-IMshareC!L$12&gt;0,IMshareC!L45/(SUM(IMshareC!L$2:L$78)-IMshareC!L$12),0))</f>
        <v>2.9934936571088662E-4</v>
      </c>
      <c r="M45" s="8">
        <f>IF($A45=M$1,0,IF(SUM(IMshareC!M$2:M$78)-IMshareC!M$13&gt;0,IMshareC!M45/(SUM(IMshareC!M$2:M$78)-IMshareC!M$13),0))</f>
        <v>7.1137747125801188E-5</v>
      </c>
      <c r="N45" s="8">
        <f>IF($A45=N$1,0,IF(SUM(IMshareC!N$2:N$78)-IMshareC!N$14&gt;0,IMshareC!N45/(SUM(IMshareC!N$2:N$78)-IMshareC!N$14),0))</f>
        <v>1.663896614620891E-5</v>
      </c>
      <c r="O45" s="8">
        <f>IF($A45=O$1,0,IF(SUM(IMshareC!O$2:O$78)-IMshareC!O$15&gt;0,IMshareC!O45/(SUM(IMshareC!O$2:O$78)-IMshareC!O$15),0))</f>
        <v>2.0895053138376693E-5</v>
      </c>
      <c r="P45" s="8">
        <f>IF($A45=P$1,0,IF(SUM(IMshareC!P$2:P$78)-IMshareC!P$16&gt;0,IMshareC!P45/(SUM(IMshareC!P$2:P$78)-IMshareC!P$16),0))</f>
        <v>0</v>
      </c>
      <c r="Q45" s="8">
        <f>IF($A45=Q$1,0,IF(SUM(IMshareC!Q$2:Q$78)-IMshareC!Q$17&gt;0,IMshareC!Q45/(SUM(IMshareC!Q$2:Q$78)-IMshareC!Q$17),0))</f>
        <v>2.6207715492694523E-4</v>
      </c>
      <c r="R45" s="8">
        <f>IF($A45=R$1,0,IF(SUM(IMshareC!R$2:R$78)-IMshareC!R$18&gt;0,IMshareC!R45/(SUM(IMshareC!R$2:R$78)-IMshareC!R$18),0))</f>
        <v>3.6471522322461436E-5</v>
      </c>
      <c r="S45" s="8">
        <f>IF($A45=S$1,0,IF(SUM(IMshareC!S$2:S$78)-IMshareC!S$19&gt;0,IMshareC!S45/(SUM(IMshareC!S$2:S$78)-IMshareC!S$19),0))</f>
        <v>1.3256462053967562E-3</v>
      </c>
      <c r="T45" s="8">
        <f>IF($A45=T$1,0,IF(SUM(IMshareC!T$2:T$78)-IMshareC!T$20&gt;0,IMshareC!T45/(SUM(IMshareC!T$2:T$78)-IMshareC!T$20),0))</f>
        <v>6.1808030072836814E-5</v>
      </c>
      <c r="U45" s="8">
        <f>IF($A45=U$1,0,IF(SUM(IMshareC!U$2:U$78)-IMshareC!U$21&gt;0,IMshareC!U45/(SUM(IMshareC!U$2:U$78)-IMshareC!U$21),0))</f>
        <v>1.508127304788176E-4</v>
      </c>
      <c r="V45" s="8">
        <f>IF($A45=V$1,0,IF(SUM(IMshareC!V$2:V$78)-IMshareC!V$22&gt;0,IMshareC!V45/(SUM(IMshareC!V$2:V$78)-IMshareC!V$22),0))</f>
        <v>1.1799372695066304E-3</v>
      </c>
      <c r="W45" s="8">
        <f>IF($A45=W$1,0,IF(SUM(IMshareC!W$2:W$78)-IMshareC!W$23&gt;0,IMshareC!W45/(SUM(IMshareC!W$2:W$78)-IMshareC!W$23),0))</f>
        <v>3.1284323428270943E-4</v>
      </c>
      <c r="X45" s="8">
        <f>IF($A45=X$1,0,IF(SUM(IMshareC!X$2:X$78)-IMshareC!X$24&gt;0,IMshareC!X45/(SUM(IMshareC!X$2:X$78)-IMshareC!X$24),0))</f>
        <v>1.2598877531975062E-4</v>
      </c>
      <c r="Y45" s="8">
        <f>IF($A45=Y$1,0,IF(SUM(IMshareC!Y$2:Y$78)-IMshareC!Y$25&gt;0,IMshareC!Y45/(SUM(IMshareC!Y$2:Y$78)-IMshareC!Y$25),0))</f>
        <v>4.3468023119696067E-3</v>
      </c>
      <c r="Z45" s="8">
        <f>IF($A45=Z$1,0,IF(SUM(IMshareC!Z$2:Z$78)-IMshareC!Z$26&gt;0,IMshareC!Z45/(SUM(IMshareC!Z$2:Z$78)-IMshareC!Z$26),0))</f>
        <v>1.342170258918841E-4</v>
      </c>
      <c r="AA45" s="8">
        <f>IF($A45=AA$1,0,IF(SUM(IMshareC!AA$2:AA$78)-IMshareC!AA$27&gt;0,IMshareC!AA45/(SUM(IMshareC!AA$2:AA$78)-IMshareC!AA$27),0))</f>
        <v>6.8527604147233532E-5</v>
      </c>
      <c r="AB45" s="8">
        <f>IF($A45=AB$1,0,IF(SUM(IMshareC!AB$2:AB$78)-IMshareC!AB$28&gt;0,IMshareC!AB45/(SUM(IMshareC!AB$2:AB$78)-IMshareC!AB$28),0))</f>
        <v>2.3782452009231224E-4</v>
      </c>
      <c r="AC45" s="8">
        <f>IF($A45=AC$1,0,IF(SUM(IMshareC!AC$2:AC$78)-IMshareC!AC$29&gt;0,IMshareC!AC45/(SUM(IMshareC!AC$2:AC$78)-IMshareC!AC$29),0))</f>
        <v>8.6326763405759086E-4</v>
      </c>
      <c r="AD45" s="8">
        <f>IF($A45=AD$1,0,IF(SUM(IMshareC!AD$2:AD$78)-IMshareC!AD$30&gt;0,IMshareC!AD45/(SUM(IMshareC!AD$2:AD$78)-IMshareC!AD$30),0))</f>
        <v>2.294861145357529E-6</v>
      </c>
      <c r="AE45" s="8">
        <f>IF($A45=AE$1,0,IF(SUM(IMshareC!AE$2:AE$78)-IMshareC!AE$31&gt;0,IMshareC!AE45/(SUM(IMshareC!AE$2:AE$78)-IMshareC!AE$31),0))</f>
        <v>1.5502845238208594E-3</v>
      </c>
      <c r="AF45" s="8">
        <f>IF($A45=AF$1,0,IF(SUM(IMshareC!AF$2:AF$78)-IMshareC!AF$32&gt;0,IMshareC!AF45/(SUM(IMshareC!AF$2:AF$78)-IMshareC!AF$32),0))</f>
        <v>1.3950602449909938E-4</v>
      </c>
      <c r="AG45" s="8">
        <f>IF($A45=AG$1,0,IF(SUM(IMshareC!AG$2:AG$78)-IMshareC!AG$33&gt;0,IMshareC!AG45/(SUM(IMshareC!AG$2:AG$78)-IMshareC!AG$33),0))</f>
        <v>2.8063161169419863E-6</v>
      </c>
      <c r="AH45" s="8">
        <f>IF($A45=AH$1,0,IF(SUM(IMshareC!AH$2:AH$78)-IMshareC!AH$34&gt;0,IMshareC!AH45/(SUM(IMshareC!AH$2:AH$78)-IMshareC!AH$34),0))</f>
        <v>2.7139628985324547E-5</v>
      </c>
      <c r="AI45" s="8">
        <f>IF($A45=AI$1,0,IF(SUM(IMshareC!AI$2:AI$78)-IMshareC!AI$35&gt;0,IMshareC!AI45/(SUM(IMshareC!AI$2:AI$78)-IMshareC!AI$35),0))</f>
        <v>7.9911419928894946E-7</v>
      </c>
      <c r="AJ45" s="8">
        <f>IF($A45=AJ$1,0,IF(SUM(IMshareC!AJ$2:AJ$78)-IMshareC!AJ$36&gt;0,IMshareC!AJ45/(SUM(IMshareC!AJ$2:AJ$78)-IMshareC!AJ$36),0))</f>
        <v>1.6591075066798406E-3</v>
      </c>
      <c r="AK45" s="8">
        <f>IF($A45=AK$1,0,IF(SUM(IMshareC!AK$2:AK$78)-IMshareC!AK$37&gt;0,IMshareC!AK45/(SUM(IMshareC!AK$2:AK$78)-IMshareC!AK$37),0))</f>
        <v>4.1377945342493726E-5</v>
      </c>
      <c r="AL45" s="8">
        <f>IF($A45=AL$1,0,IF(SUM(IMshareC!AL$2:AL$78)-IMshareC!AL$38&gt;0,IMshareC!AL45/(SUM(IMshareC!AL$2:AL$78)-IMshareC!AL$38),0))</f>
        <v>4.5399322086632E-4</v>
      </c>
      <c r="AM45" s="8">
        <f>IF($A45=AM$1,0,IF(SUM(IMshareC!AM$2:AM$78)-IMshareC!AM$39&gt;0,IMshareC!AM45/(SUM(IMshareC!AM$2:AM$78)-IMshareC!AM$39),0))</f>
        <v>0</v>
      </c>
      <c r="AN45" s="8">
        <f>IF($A45=AN$1,0,IF(SUM(IMshareC!AN$2:AN$78)-IMshareC!AN$40&gt;0,IMshareC!AN45/(SUM(IMshareC!AN$2:AN$78)-IMshareC!AN$40),0))</f>
        <v>1.2870682400132613E-6</v>
      </c>
      <c r="AO45" s="8">
        <f>IF($A45=AO$1,0,IF(SUM(IMshareC!AO$2:AO$78)-IMshareC!AO$41&gt;0,IMshareC!AO45/(SUM(IMshareC!AO$2:AO$78)-IMshareC!AO$41),0))</f>
        <v>2.3465936655400057E-2</v>
      </c>
      <c r="AP45" s="8">
        <f>IF($A45=AP$1,0,IF(SUM(IMshareC!AP$2:AP$78)-IMshareC!AP$42&gt;0,IMshareC!AP45/(SUM(IMshareC!AP$2:AP$78)-IMshareC!AP$42),0))</f>
        <v>0</v>
      </c>
      <c r="AQ45" s="8">
        <f>IF($A45=AQ$1,0,IF(SUM(IMshareC!AQ$2:AQ$78)-IMshareC!AQ$43&gt;0,IMshareC!AQ45/(SUM(IMshareC!AQ$2:AQ$78)-IMshareC!AQ$43),0))</f>
        <v>3.4545987549006074E-5</v>
      </c>
      <c r="AR45" s="8">
        <f>IF($A45=AR$1,0,IF(SUM(IMshareC!AR$2:AR$78)-IMshareC!AR$44&gt;0,IMshareC!AR45/(SUM(IMshareC!AR$2:AR$78)-IMshareC!AR$44),0))</f>
        <v>0</v>
      </c>
      <c r="AS45" s="8">
        <f>IF($A45=AS$1,0,IF(SUM(IMshareC!AS$2:AS$78)-IMshareC!AS$45&gt;0,IMshareC!AS45/(SUM(IMshareC!AS$2:AS$78)-IMshareC!AS$45),0))</f>
        <v>0</v>
      </c>
      <c r="AT45" s="8">
        <f>IF($A45=AT$1,0,IF(SUM(IMshareC!AT$2:AT$78)-IMshareC!AT$46&gt;0,IMshareC!AT45/(SUM(IMshareC!AT$2:AT$78)-IMshareC!AT$46),0))</f>
        <v>7.7312653694808564E-6</v>
      </c>
      <c r="AU45" s="8">
        <f>IF($A45=AU$1,0,IF(SUM(IMshareC!AU$2:AU$78)-IMshareC!AU$47&gt;0,IMshareC!AU45/(SUM(IMshareC!AU$2:AU$78)-IMshareC!AU$47),0))</f>
        <v>4.5442519343715133E-2</v>
      </c>
      <c r="AV45" s="8">
        <f>IF($A45=AV$1,0,IF(SUM(IMshareC!AV$2:AV$78)-IMshareC!AV$48&gt;0,IMshareC!AV45/(SUM(IMshareC!AV$2:AV$78)-IMshareC!AV$48),0))</f>
        <v>1.2338473622029172E-5</v>
      </c>
      <c r="AW45" s="8">
        <f>IF($A45=AW$1,0,IF(SUM(IMshareC!AW$2:AW$78)-IMshareC!AW$49&gt;0,IMshareC!AW45/(SUM(IMshareC!AW$2:AW$78)-IMshareC!AW$49),0))</f>
        <v>2.8012651627105274E-7</v>
      </c>
      <c r="AX45" s="8">
        <f>IF($A45=AX$1,0,IF(SUM(IMshareC!AX$2:AX$78)-IMshareC!AX$50&gt;0,IMshareC!AX45/(SUM(IMshareC!AX$2:AX$78)-IMshareC!AX$50),0))</f>
        <v>1.232657909650149E-5</v>
      </c>
      <c r="AY45" s="8">
        <f>IF($A45=AY$1,0,IF(SUM(IMshareC!AY$2:AY$78)-IMshareC!AY$51&gt;0,IMshareC!AY45/(SUM(IMshareC!AY$2:AY$78)-IMshareC!AY$51),0))</f>
        <v>0</v>
      </c>
      <c r="AZ45" s="8">
        <f>IF($A45=AZ$1,0,IF(SUM(IMshareC!AZ$2:AZ$78)-IMshareC!AZ$52&gt;0,IMshareC!AZ45/(SUM(IMshareC!AZ$2:AZ$78)-IMshareC!AZ$52),0))</f>
        <v>3.8816643897933623E-6</v>
      </c>
      <c r="BA45" s="8">
        <f>IF($A45=BA$1,0,IF(SUM(IMshareC!BA$2:BA$78)-IMshareC!BA$53&gt;0,IMshareC!BA45/(SUM(IMshareC!BA$2:BA$78)-IMshareC!BA$53),0))</f>
        <v>6.9542523647777201E-7</v>
      </c>
      <c r="BB45" s="8">
        <f>IF($A45=BB$1,0,IF(SUM(IMshareC!BB$2:BB$78)-IMshareC!BB$54&gt;0,IMshareC!BB45/(SUM(IMshareC!BB$2:BB$78)-IMshareC!BB$54),0))</f>
        <v>4.1830870749438192E-4</v>
      </c>
      <c r="BC45" s="8">
        <f>IF($A45=BC$1,0,IF(SUM(IMshareC!BC$2:BC$78)-IMshareC!BC$55&gt;0,IMshareC!BC45/(SUM(IMshareC!BC$2:BC$78)-IMshareC!BC$55),0))</f>
        <v>4.3830261435196423E-3</v>
      </c>
      <c r="BD45" s="8">
        <f>IF($A45=BD$1,0,IF(SUM(IMshareC!BD$2:BD$78)-IMshareC!BD$56&gt;0,IMshareC!BD45/(SUM(IMshareC!BD$2:BD$78)-IMshareC!BD$56),0))</f>
        <v>2.8377242417599186E-4</v>
      </c>
      <c r="BE45" s="8">
        <f>IF($A45=BE$1,0,IF(SUM(IMshareC!BE$2:BE$78)-IMshareC!BE$57&gt;0,IMshareC!BE45/(SUM(IMshareC!BE$2:BE$78)-IMshareC!BE$57),0))</f>
        <v>0</v>
      </c>
      <c r="BF45" s="8">
        <f>IF($A45=BF$1,0,IF(SUM(IMshareC!BF$2:BF$78)-IMshareC!BF$58&gt;0,IMshareC!BF45/(SUM(IMshareC!BF$2:BF$78)-IMshareC!BF$58),0))</f>
        <v>4.3610182959452917E-5</v>
      </c>
      <c r="BG45" s="8">
        <f>IF($A45=BG$1,0,IF(SUM(IMshareC!BG$2:BG$78)-IMshareC!BG$59&gt;0,IMshareC!BG45/(SUM(IMshareC!BG$2:BG$78)-IMshareC!BG$59),0))</f>
        <v>1.6165053502454213E-6</v>
      </c>
      <c r="BH45" s="8">
        <f>IF($A45=BH$1,0,IF(SUM(IMshareC!BH$2:BH$78)-IMshareC!BH$60&gt;0,IMshareC!BH45/(SUM(IMshareC!BH$2:BH$78)-IMshareC!BH$60),0))</f>
        <v>6.6410884081696537E-4</v>
      </c>
      <c r="BI45" s="8">
        <f>IF($A45=BI$1,0,IF(SUM(IMshareC!BI$2:BI$78)-IMshareC!BI$61&gt;0,IMshareC!BI45/(SUM(IMshareC!BI$2:BI$78)-IMshareC!BI$61),0))</f>
        <v>4.0918046635102576E-5</v>
      </c>
      <c r="BJ45" s="8">
        <f>IF($A45=BJ$1,0,IF(SUM(IMshareC!BJ$2:BJ$78)-IMshareC!BJ$62&gt;0,IMshareC!BJ45/(SUM(IMshareC!BJ$2:BJ$78)-IMshareC!BJ$62),0))</f>
        <v>2.9400802484360906E-4</v>
      </c>
      <c r="BK45" s="8">
        <f>IF($A45=BK$1,0,IF(SUM(IMshareC!BK$2:BK$78)-IMshareC!BK$63&gt;0,IMshareC!BK45/(SUM(IMshareC!BK$2:BK$78)-IMshareC!BK$63),0))</f>
        <v>4.4800958972505385E-3</v>
      </c>
      <c r="BL45" s="8">
        <f>IF($A45=BL$1,0,IF(SUM(IMshareC!BL$2:BL$78)-IMshareC!BL$64&gt;0,IMshareC!BL45/(SUM(IMshareC!BL$2:BL$78)-IMshareC!BL$64),0))</f>
        <v>6.3418245012810606E-6</v>
      </c>
      <c r="BM45" s="8">
        <f>IF($A45=BM$1,0,IF(SUM(IMshareC!BM$2:BM$78)-IMshareC!BM$65&gt;0,IMshareC!BM45/(SUM(IMshareC!BM$2:BM$78)-IMshareC!BM$65),0))</f>
        <v>1.7864267472542737E-4</v>
      </c>
      <c r="BN45" s="8">
        <f>IF($A45=BN$1,0,IF(SUM(IMshareC!BN$2:BN$78)-IMshareC!BN$66&gt;0,IMshareC!BN45/(SUM(IMshareC!BN$2:BN$78)-IMshareC!BN$66),0))</f>
        <v>6.3058885133024835E-7</v>
      </c>
      <c r="BO45" s="8">
        <f>IF($A45=BO$1,0,IF(SUM(IMshareC!BO$2:BO$78)-IMshareC!BO$67&gt;0,IMshareC!BO45/(SUM(IMshareC!BO$2:BO$78)-IMshareC!BO$67),0))</f>
        <v>5.1933909233783522E-6</v>
      </c>
      <c r="BP45" s="8">
        <f>IF($A45=BP$1,0,IF(SUM(IMshareC!BP$2:BP$78)-IMshareC!BP$68&gt;0,IMshareC!BP45/(SUM(IMshareC!BP$2:BP$78)-IMshareC!BP$68),0))</f>
        <v>1.8304263641431953E-4</v>
      </c>
      <c r="BQ45" s="8">
        <f>IF($A45=BQ$1,0,IF(SUM(IMshareC!BQ$2:BQ$78)-IMshareC!BQ$69&gt;0,IMshareC!BQ45/(SUM(IMshareC!BQ$2:BQ$78)-IMshareC!BQ$69),0))</f>
        <v>5.9785937233165559E-4</v>
      </c>
      <c r="BR45" s="8">
        <f>IF($A45=BR$1,0,IF(SUM(IMshareC!BR$2:BR$78)-IMshareC!BR$70&gt;0,IMshareC!BR45/(SUM(IMshareC!BR$2:BR$78)-IMshareC!BR$70),0))</f>
        <v>4.9203168077451271E-6</v>
      </c>
      <c r="BS45" s="8">
        <f>IF($A45=BS$1,0,IF(SUM(IMshareC!BS$2:BS$78)-IMshareC!BS$71&gt;0,IMshareC!BS45/(SUM(IMshareC!BS$2:BS$78)-IMshareC!BS$71),0))</f>
        <v>1.695380726632993E-5</v>
      </c>
      <c r="BT45" s="8">
        <f>IF($A45=BT$1,0,IF(SUM(IMshareC!BT$2:BT$78)-IMshareC!BT$72&gt;0,IMshareC!BT45/(SUM(IMshareC!BT$2:BT$78)-IMshareC!BT$72),0))</f>
        <v>4.7926015141350232E-5</v>
      </c>
      <c r="BU45" s="8">
        <f>IF($A45=BU$1,0,IF(SUM(IMshareC!BU$2:BU$78)-IMshareC!BU$73&gt;0,IMshareC!BU45/(SUM(IMshareC!BU$2:BU$78)-IMshareC!BU$73),0))</f>
        <v>3.8462198601790481E-7</v>
      </c>
      <c r="BV45" s="8">
        <f>IF($A45=BV$1,0,IF(SUM(IMshareC!BV$2:BV$78)-IMshareC!BV$74&gt;0,IMshareC!BV45/(SUM(IMshareC!BV$2:BV$78)-IMshareC!BV$74),0))</f>
        <v>2.9733735067165561E-5</v>
      </c>
      <c r="BW45" s="8">
        <f>IF($A45=BW$1,0,IF(SUM(IMshareC!BW$2:BW$78)-IMshareC!BW$75&gt;0,IMshareC!BW45/(SUM(IMshareC!BW$2:BW$78)-IMshareC!BW$75),0))</f>
        <v>2.4184123233602224E-5</v>
      </c>
      <c r="BX45" s="8">
        <f>IF($A45=BX$1,0,IF(SUM(IMshareC!BX$2:BX$78)-IMshareC!BX$76&gt;0,IMshareC!BX45/(SUM(IMshareC!BX$2:BX$78)-IMshareC!BX$76),0))</f>
        <v>3.2232600669723492E-7</v>
      </c>
      <c r="BY45" s="8">
        <f>IF($A45=BY$1,0,IF(SUM(IMshareC!BY$2:BY$78)-IMshareC!BY$77&gt;0,IMshareC!BY45/(SUM(IMshareC!BY$2:BY$78)-IMshareC!BY$77),0))</f>
        <v>5.6093881576049559E-4</v>
      </c>
      <c r="BZ45" s="8">
        <f>IF($A45=BZ$1,0,IF(SUM(IMshareC!BZ$2:BZ$78)-IMshareC!BZ$78&gt;0,IMshareC!BZ45/(SUM(IMshareC!BZ$2:BZ$78)-IMshareC!BZ$78),0))</f>
        <v>4.4674931923876013E-4</v>
      </c>
    </row>
    <row r="46" spans="1:78">
      <c r="A46" s="4" t="s">
        <v>159</v>
      </c>
      <c r="B46" s="8">
        <f>IF($A46=B$1,0,IF(SUM(IMshareC!B$2:B$78)-IMshareC!B$2&gt;0,IMshareC!B46/(SUM(IMshareC!B$2:B$78)-IMshareC!B$2),0))</f>
        <v>3.7963022463014951E-5</v>
      </c>
      <c r="C46" s="8">
        <f>IF($A46=C$1,0,IF(SUM(IMshareC!C$2:C$78)-IMshareC!C$3&gt;0,IMshareC!C46/(SUM(IMshareC!C$2:C$78)-IMshareC!C$3),0))</f>
        <v>2.7530270921851412E-5</v>
      </c>
      <c r="D46" s="8">
        <f>IF($A46=D$1,0,IF(SUM(IMshareC!D$2:D$78)-IMshareC!D$4&gt;0,IMshareC!D46/(SUM(IMshareC!D$2:D$78)-IMshareC!D$4),0))</f>
        <v>1.6874509574563403E-4</v>
      </c>
      <c r="E46" s="8">
        <f>IF($A46=E$1,0,IF(SUM(IMshareC!E$2:E$78)-IMshareC!E$5&gt;0,IMshareC!E46/(SUM(IMshareC!E$2:E$78)-IMshareC!E$5),0))</f>
        <v>3.0857382706053315E-4</v>
      </c>
      <c r="F46" s="8">
        <f>IF($A46=F$1,0,IF(SUM(IMshareC!F$2:F$78)-IMshareC!F$6&gt;0,IMshareC!F46/(SUM(IMshareC!F$2:F$78)-IMshareC!F$6),0))</f>
        <v>3.7890083051229695E-4</v>
      </c>
      <c r="G46" s="8">
        <f>IF($A46=G$1,0,IF(SUM(IMshareC!G$2:G$78)-IMshareC!G$7&gt;0,IMshareC!G46/(SUM(IMshareC!G$2:G$78)-IMshareC!G$7),0))</f>
        <v>4.9271927128948859E-5</v>
      </c>
      <c r="H46" s="8">
        <f>IF($A46=H$1,0,IF(SUM(IMshareC!H$2:H$78)-IMshareC!H$8&gt;0,IMshareC!H46/(SUM(IMshareC!H$2:H$78)-IMshareC!H$8),0))</f>
        <v>3.8988881874711433E-5</v>
      </c>
      <c r="I46" s="8">
        <f>IF($A46=I$1,0,IF(SUM(IMshareC!I$2:I$78)-IMshareC!I$9&gt;0,IMshareC!I46/(SUM(IMshareC!I$2:I$78)-IMshareC!I$9),0))</f>
        <v>1.7117201474937913E-4</v>
      </c>
      <c r="J46" s="8">
        <f>IF($A46=J$1,0,IF(SUM(IMshareC!J$2:J$78)-IMshareC!J$10&gt;0,IMshareC!J46/(SUM(IMshareC!J$2:J$78)-IMshareC!J$10),0))</f>
        <v>0</v>
      </c>
      <c r="K46" s="8">
        <f>IF($A46=K$1,0,IF(SUM(IMshareC!K$2:K$78)-IMshareC!K$11&gt;0,IMshareC!K46/(SUM(IMshareC!K$2:K$78)-IMshareC!K$11),0))</f>
        <v>5.7935507579081034E-5</v>
      </c>
      <c r="L46" s="8">
        <f>IF($A46=L$1,0,IF(SUM(IMshareC!L$2:L$78)-IMshareC!L$12&gt;0,IMshareC!L46/(SUM(IMshareC!L$2:L$78)-IMshareC!L$12),0))</f>
        <v>1.5878559764746187E-4</v>
      </c>
      <c r="M46" s="8">
        <f>IF($A46=M$1,0,IF(SUM(IMshareC!M$2:M$78)-IMshareC!M$13&gt;0,IMshareC!M46/(SUM(IMshareC!M$2:M$78)-IMshareC!M$13),0))</f>
        <v>1.9808440726350662E-4</v>
      </c>
      <c r="N46" s="8">
        <f>IF($A46=N$1,0,IF(SUM(IMshareC!N$2:N$78)-IMshareC!N$14&gt;0,IMshareC!N46/(SUM(IMshareC!N$2:N$78)-IMshareC!N$14),0))</f>
        <v>2.8605658713993161E-6</v>
      </c>
      <c r="O46" s="8">
        <f>IF($A46=O$1,0,IF(SUM(IMshareC!O$2:O$78)-IMshareC!O$15&gt;0,IMshareC!O46/(SUM(IMshareC!O$2:O$78)-IMshareC!O$15),0))</f>
        <v>4.3016867167653772E-4</v>
      </c>
      <c r="P46" s="8">
        <f>IF($A46=P$1,0,IF(SUM(IMshareC!P$2:P$78)-IMshareC!P$16&gt;0,IMshareC!P46/(SUM(IMshareC!P$2:P$78)-IMshareC!P$16),0))</f>
        <v>1.2378827056770374E-4</v>
      </c>
      <c r="Q46" s="8">
        <f>IF($A46=Q$1,0,IF(SUM(IMshareC!Q$2:Q$78)-IMshareC!Q$17&gt;0,IMshareC!Q46/(SUM(IMshareC!Q$2:Q$78)-IMshareC!Q$17),0))</f>
        <v>2.7917880459928453E-5</v>
      </c>
      <c r="R46" s="8">
        <f>IF($A46=R$1,0,IF(SUM(IMshareC!R$2:R$78)-IMshareC!R$18&gt;0,IMshareC!R46/(SUM(IMshareC!R$2:R$78)-IMshareC!R$18),0))</f>
        <v>8.5457798802506382E-6</v>
      </c>
      <c r="S46" s="8">
        <f>IF($A46=S$1,0,IF(SUM(IMshareC!S$2:S$78)-IMshareC!S$19&gt;0,IMshareC!S46/(SUM(IMshareC!S$2:S$78)-IMshareC!S$19),0))</f>
        <v>6.2265312318370101E-5</v>
      </c>
      <c r="T46" s="8">
        <f>IF($A46=T$1,0,IF(SUM(IMshareC!T$2:T$78)-IMshareC!T$20&gt;0,IMshareC!T46/(SUM(IMshareC!T$2:T$78)-IMshareC!T$20),0))</f>
        <v>1.6362265603104198E-4</v>
      </c>
      <c r="U46" s="8">
        <f>IF($A46=U$1,0,IF(SUM(IMshareC!U$2:U$78)-IMshareC!U$21&gt;0,IMshareC!U46/(SUM(IMshareC!U$2:U$78)-IMshareC!U$21),0))</f>
        <v>7.7908403762699761E-5</v>
      </c>
      <c r="V46" s="8">
        <f>IF($A46=V$1,0,IF(SUM(IMshareC!V$2:V$78)-IMshareC!V$22&gt;0,IMshareC!V46/(SUM(IMshareC!V$2:V$78)-IMshareC!V$22),0))</f>
        <v>7.5855309857737285E-4</v>
      </c>
      <c r="W46" s="8">
        <f>IF($A46=W$1,0,IF(SUM(IMshareC!W$2:W$78)-IMshareC!W$23&gt;0,IMshareC!W46/(SUM(IMshareC!W$2:W$78)-IMshareC!W$23),0))</f>
        <v>9.7131224362180963E-5</v>
      </c>
      <c r="X46" s="8">
        <f>IF($A46=X$1,0,IF(SUM(IMshareC!X$2:X$78)-IMshareC!X$24&gt;0,IMshareC!X46/(SUM(IMshareC!X$2:X$78)-IMshareC!X$24),0))</f>
        <v>3.3236414032710424E-4</v>
      </c>
      <c r="Y46" s="8">
        <f>IF($A46=Y$1,0,IF(SUM(IMshareC!Y$2:Y$78)-IMshareC!Y$25&gt;0,IMshareC!Y46/(SUM(IMshareC!Y$2:Y$78)-IMshareC!Y$25),0))</f>
        <v>1.8711252258003717E-6</v>
      </c>
      <c r="Z46" s="8">
        <f>IF($A46=Z$1,0,IF(SUM(IMshareC!Z$2:Z$78)-IMshareC!Z$26&gt;0,IMshareC!Z46/(SUM(IMshareC!Z$2:Z$78)-IMshareC!Z$26),0))</f>
        <v>1.699304188230591E-5</v>
      </c>
      <c r="AA46" s="8">
        <f>IF($A46=AA$1,0,IF(SUM(IMshareC!AA$2:AA$78)-IMshareC!AA$27&gt;0,IMshareC!AA46/(SUM(IMshareC!AA$2:AA$78)-IMshareC!AA$27),0))</f>
        <v>9.6701246709554622E-4</v>
      </c>
      <c r="AB46" s="8">
        <f>IF($A46=AB$1,0,IF(SUM(IMshareC!AB$2:AB$78)-IMshareC!AB$28&gt;0,IMshareC!AB46/(SUM(IMshareC!AB$2:AB$78)-IMshareC!AB$28),0))</f>
        <v>2.4635415289296175E-4</v>
      </c>
      <c r="AC46" s="8">
        <f>IF($A46=AC$1,0,IF(SUM(IMshareC!AC$2:AC$78)-IMshareC!AC$29&gt;0,IMshareC!AC46/(SUM(IMshareC!AC$2:AC$78)-IMshareC!AC$29),0))</f>
        <v>6.6004837358739043E-5</v>
      </c>
      <c r="AD46" s="8">
        <f>IF($A46=AD$1,0,IF(SUM(IMshareC!AD$2:AD$78)-IMshareC!AD$30&gt;0,IMshareC!AD46/(SUM(IMshareC!AD$2:AD$78)-IMshareC!AD$30),0))</f>
        <v>5.5984802515671922E-8</v>
      </c>
      <c r="AE46" s="8">
        <f>IF($A46=AE$1,0,IF(SUM(IMshareC!AE$2:AE$78)-IMshareC!AE$31&gt;0,IMshareC!AE46/(SUM(IMshareC!AE$2:AE$78)-IMshareC!AE$31),0))</f>
        <v>1.8644295165131774E-4</v>
      </c>
      <c r="AF46" s="8">
        <f>IF($A46=AF$1,0,IF(SUM(IMshareC!AF$2:AF$78)-IMshareC!AF$32&gt;0,IMshareC!AF46/(SUM(IMshareC!AF$2:AF$78)-IMshareC!AF$32),0))</f>
        <v>5.2730245561303526E-4</v>
      </c>
      <c r="AG46" s="8">
        <f>IF($A46=AG$1,0,IF(SUM(IMshareC!AG$2:AG$78)-IMshareC!AG$33&gt;0,IMshareC!AG46/(SUM(IMshareC!AG$2:AG$78)-IMshareC!AG$33),0))</f>
        <v>3.1949680779378946E-6</v>
      </c>
      <c r="AH46" s="8">
        <f>IF($A46=AH$1,0,IF(SUM(IMshareC!AH$2:AH$78)-IMshareC!AH$34&gt;0,IMshareC!AH46/(SUM(IMshareC!AH$2:AH$78)-IMshareC!AH$34),0))</f>
        <v>5.8619792807137694E-6</v>
      </c>
      <c r="AI46" s="8">
        <f>IF($A46=AI$1,0,IF(SUM(IMshareC!AI$2:AI$78)-IMshareC!AI$35&gt;0,IMshareC!AI46/(SUM(IMshareC!AI$2:AI$78)-IMshareC!AI$35),0))</f>
        <v>2.6802646323861423E-5</v>
      </c>
      <c r="AJ46" s="8">
        <f>IF($A46=AJ$1,0,IF(SUM(IMshareC!AJ$2:AJ$78)-IMshareC!AJ$36&gt;0,IMshareC!AJ46/(SUM(IMshareC!AJ$2:AJ$78)-IMshareC!AJ$36),0))</f>
        <v>5.2454183133038664E-5</v>
      </c>
      <c r="AK46" s="8">
        <f>IF($A46=AK$1,0,IF(SUM(IMshareC!AK$2:AK$78)-IMshareC!AK$37&gt;0,IMshareC!AK46/(SUM(IMshareC!AK$2:AK$78)-IMshareC!AK$37),0))</f>
        <v>3.3777914565301006E-5</v>
      </c>
      <c r="AL46" s="8">
        <f>IF($A46=AL$1,0,IF(SUM(IMshareC!AL$2:AL$78)-IMshareC!AL$38&gt;0,IMshareC!AL46/(SUM(IMshareC!AL$2:AL$78)-IMshareC!AL$38),0))</f>
        <v>8.6667291864477567E-4</v>
      </c>
      <c r="AM46" s="8">
        <f>IF($A46=AM$1,0,IF(SUM(IMshareC!AM$2:AM$78)-IMshareC!AM$39&gt;0,IMshareC!AM46/(SUM(IMshareC!AM$2:AM$78)-IMshareC!AM$39),0))</f>
        <v>0</v>
      </c>
      <c r="AN46" s="8">
        <f>IF($A46=AN$1,0,IF(SUM(IMshareC!AN$2:AN$78)-IMshareC!AN$40&gt;0,IMshareC!AN46/(SUM(IMshareC!AN$2:AN$78)-IMshareC!AN$40),0))</f>
        <v>3.1483129500608394E-5</v>
      </c>
      <c r="AO46" s="8">
        <f>IF($A46=AO$1,0,IF(SUM(IMshareC!AO$2:AO$78)-IMshareC!AO$41&gt;0,IMshareC!AO46/(SUM(IMshareC!AO$2:AO$78)-IMshareC!AO$41),0))</f>
        <v>3.4877066506246723E-5</v>
      </c>
      <c r="AP46" s="8">
        <f>IF($A46=AP$1,0,IF(SUM(IMshareC!AP$2:AP$78)-IMshareC!AP$42&gt;0,IMshareC!AP46/(SUM(IMshareC!AP$2:AP$78)-IMshareC!AP$42),0))</f>
        <v>0</v>
      </c>
      <c r="AQ46" s="8">
        <f>IF($A46=AQ$1,0,IF(SUM(IMshareC!AQ$2:AQ$78)-IMshareC!AQ$43&gt;0,IMshareC!AQ46/(SUM(IMshareC!AQ$2:AQ$78)-IMshareC!AQ$43),0))</f>
        <v>1.1061436157429625E-6</v>
      </c>
      <c r="AR46" s="8">
        <f>IF($A46=AR$1,0,IF(SUM(IMshareC!AR$2:AR$78)-IMshareC!AR$44&gt;0,IMshareC!AR46/(SUM(IMshareC!AR$2:AR$78)-IMshareC!AR$44),0))</f>
        <v>8.1822476375081597E-5</v>
      </c>
      <c r="AS46" s="8">
        <f>IF($A46=AS$1,0,IF(SUM(IMshareC!AS$2:AS$78)-IMshareC!AS$45&gt;0,IMshareC!AS46/(SUM(IMshareC!AS$2:AS$78)-IMshareC!AS$45),0))</f>
        <v>2.0049230035827511E-5</v>
      </c>
      <c r="AT46" s="8">
        <f>IF($A46=AT$1,0,IF(SUM(IMshareC!AT$2:AT$78)-IMshareC!AT$46&gt;0,IMshareC!AT46/(SUM(IMshareC!AT$2:AT$78)-IMshareC!AT$46),0))</f>
        <v>0</v>
      </c>
      <c r="AU46" s="8">
        <f>IF($A46=AU$1,0,IF(SUM(IMshareC!AU$2:AU$78)-IMshareC!AU$47&gt;0,IMshareC!AU46/(SUM(IMshareC!AU$2:AU$78)-IMshareC!AU$47),0))</f>
        <v>4.0299288769608762E-6</v>
      </c>
      <c r="AV46" s="8">
        <f>IF($A46=AV$1,0,IF(SUM(IMshareC!AV$2:AV$78)-IMshareC!AV$48&gt;0,IMshareC!AV46/(SUM(IMshareC!AV$2:AV$78)-IMshareC!AV$48),0))</f>
        <v>1.1104792609281902E-3</v>
      </c>
      <c r="AW46" s="8">
        <f>IF($A46=AW$1,0,IF(SUM(IMshareC!AW$2:AW$78)-IMshareC!AW$49&gt;0,IMshareC!AW46/(SUM(IMshareC!AW$2:AW$78)-IMshareC!AW$49),0))</f>
        <v>1.1584221461969603E-4</v>
      </c>
      <c r="AX46" s="8">
        <f>IF($A46=AX$1,0,IF(SUM(IMshareC!AX$2:AX$78)-IMshareC!AX$50&gt;0,IMshareC!AX46/(SUM(IMshareC!AX$2:AX$78)-IMshareC!AX$50),0))</f>
        <v>3.4744045864695552E-7</v>
      </c>
      <c r="AY46" s="8">
        <f>IF($A46=AY$1,0,IF(SUM(IMshareC!AY$2:AY$78)-IMshareC!AY$51&gt;0,IMshareC!AY46/(SUM(IMshareC!AY$2:AY$78)-IMshareC!AY$51),0))</f>
        <v>9.8067696797647459E-7</v>
      </c>
      <c r="AZ46" s="8">
        <f>IF($A46=AZ$1,0,IF(SUM(IMshareC!AZ$2:AZ$78)-IMshareC!AZ$52&gt;0,IMshareC!AZ46/(SUM(IMshareC!AZ$2:AZ$78)-IMshareC!AZ$52),0))</f>
        <v>5.9410840397039098E-6</v>
      </c>
      <c r="BA46" s="8">
        <f>IF($A46=BA$1,0,IF(SUM(IMshareC!BA$2:BA$78)-IMshareC!BA$53&gt;0,IMshareC!BA46/(SUM(IMshareC!BA$2:BA$78)-IMshareC!BA$53),0))</f>
        <v>7.2136544012498666E-4</v>
      </c>
      <c r="BB46" s="8">
        <f>IF($A46=BB$1,0,IF(SUM(IMshareC!BB$2:BB$78)-IMshareC!BB$54&gt;0,IMshareC!BB46/(SUM(IMshareC!BB$2:BB$78)-IMshareC!BB$54),0))</f>
        <v>3.5342770209642257E-4</v>
      </c>
      <c r="BC46" s="8">
        <f>IF($A46=BC$1,0,IF(SUM(IMshareC!BC$2:BC$78)-IMshareC!BC$55&gt;0,IMshareC!BC46/(SUM(IMshareC!BC$2:BC$78)-IMshareC!BC$55),0))</f>
        <v>1.0565475993998478E-4</v>
      </c>
      <c r="BD46" s="8">
        <f>IF($A46=BD$1,0,IF(SUM(IMshareC!BD$2:BD$78)-IMshareC!BD$56&gt;0,IMshareC!BD46/(SUM(IMshareC!BD$2:BD$78)-IMshareC!BD$56),0))</f>
        <v>1.6470816092118572E-5</v>
      </c>
      <c r="BE46" s="8">
        <f>IF($A46=BE$1,0,IF(SUM(IMshareC!BE$2:BE$78)-IMshareC!BE$57&gt;0,IMshareC!BE46/(SUM(IMshareC!BE$2:BE$78)-IMshareC!BE$57),0))</f>
        <v>2.5657428679316449E-5</v>
      </c>
      <c r="BF46" s="8">
        <f>IF($A46=BF$1,0,IF(SUM(IMshareC!BF$2:BF$78)-IMshareC!BF$58&gt;0,IMshareC!BF46/(SUM(IMshareC!BF$2:BF$78)-IMshareC!BF$58),0))</f>
        <v>9.4769824817007931E-6</v>
      </c>
      <c r="BG46" s="8">
        <f>IF($A46=BG$1,0,IF(SUM(IMshareC!BG$2:BG$78)-IMshareC!BG$59&gt;0,IMshareC!BG46/(SUM(IMshareC!BG$2:BG$78)-IMshareC!BG$59),0))</f>
        <v>1.4181391633978381E-7</v>
      </c>
      <c r="BH46" s="8">
        <f>IF($A46=BH$1,0,IF(SUM(IMshareC!BH$2:BH$78)-IMshareC!BH$60&gt;0,IMshareC!BH46/(SUM(IMshareC!BH$2:BH$78)-IMshareC!BH$60),0))</f>
        <v>1.402878633144748E-3</v>
      </c>
      <c r="BI46" s="8">
        <f>IF($A46=BI$1,0,IF(SUM(IMshareC!BI$2:BI$78)-IMshareC!BI$61&gt;0,IMshareC!BI46/(SUM(IMshareC!BI$2:BI$78)-IMshareC!BI$61),0))</f>
        <v>7.7575334040003575E-4</v>
      </c>
      <c r="BJ46" s="8">
        <f>IF($A46=BJ$1,0,IF(SUM(IMshareC!BJ$2:BJ$78)-IMshareC!BJ$62&gt;0,IMshareC!BJ46/(SUM(IMshareC!BJ$2:BJ$78)-IMshareC!BJ$62),0))</f>
        <v>4.4528728193760575E-3</v>
      </c>
      <c r="BK46" s="8">
        <f>IF($A46=BK$1,0,IF(SUM(IMshareC!BK$2:BK$78)-IMshareC!BK$63&gt;0,IMshareC!BK46/(SUM(IMshareC!BK$2:BK$78)-IMshareC!BK$63),0))</f>
        <v>7.2547578414709448E-5</v>
      </c>
      <c r="BL46" s="8">
        <f>IF($A46=BL$1,0,IF(SUM(IMshareC!BL$2:BL$78)-IMshareC!BL$64&gt;0,IMshareC!BL46/(SUM(IMshareC!BL$2:BL$78)-IMshareC!BL$64),0))</f>
        <v>2.4052387800135901E-4</v>
      </c>
      <c r="BM46" s="8">
        <f>IF($A46=BM$1,0,IF(SUM(IMshareC!BM$2:BM$78)-IMshareC!BM$65&gt;0,IMshareC!BM46/(SUM(IMshareC!BM$2:BM$78)-IMshareC!BM$65),0))</f>
        <v>3.0728020383939567E-4</v>
      </c>
      <c r="BN46" s="8">
        <f>IF($A46=BN$1,0,IF(SUM(IMshareC!BN$2:BN$78)-IMshareC!BN$66&gt;0,IMshareC!BN46/(SUM(IMshareC!BN$2:BN$78)-IMshareC!BN$66),0))</f>
        <v>8.6794949614575334E-8</v>
      </c>
      <c r="BO46" s="8">
        <f>IF($A46=BO$1,0,IF(SUM(IMshareC!BO$2:BO$78)-IMshareC!BO$67&gt;0,IMshareC!BO46/(SUM(IMshareC!BO$2:BO$78)-IMshareC!BO$67),0))</f>
        <v>9.6655599095955708E-5</v>
      </c>
      <c r="BP46" s="8">
        <f>IF($A46=BP$1,0,IF(SUM(IMshareC!BP$2:BP$78)-IMshareC!BP$68&gt;0,IMshareC!BP46/(SUM(IMshareC!BP$2:BP$78)-IMshareC!BP$68),0))</f>
        <v>3.1350691459410826E-4</v>
      </c>
      <c r="BQ46" s="8">
        <f>IF($A46=BQ$1,0,IF(SUM(IMshareC!BQ$2:BQ$78)-IMshareC!BQ$69&gt;0,IMshareC!BQ46/(SUM(IMshareC!BQ$2:BQ$78)-IMshareC!BQ$69),0))</f>
        <v>4.6279986080148215E-5</v>
      </c>
      <c r="BR46" s="8">
        <f>IF($A46=BR$1,0,IF(SUM(IMshareC!BR$2:BR$78)-IMshareC!BR$70&gt;0,IMshareC!BR46/(SUM(IMshareC!BR$2:BR$78)-IMshareC!BR$70),0))</f>
        <v>1.9601401771388021E-5</v>
      </c>
      <c r="BS46" s="8">
        <f>IF($A46=BS$1,0,IF(SUM(IMshareC!BS$2:BS$78)-IMshareC!BS$71&gt;0,IMshareC!BS46/(SUM(IMshareC!BS$2:BS$78)-IMshareC!BS$71),0))</f>
        <v>5.0962491412227264E-4</v>
      </c>
      <c r="BT46" s="8">
        <f>IF($A46=BT$1,0,IF(SUM(IMshareC!BT$2:BT$78)-IMshareC!BT$72&gt;0,IMshareC!BT46/(SUM(IMshareC!BT$2:BT$78)-IMshareC!BT$72),0))</f>
        <v>5.1108726202118353E-4</v>
      </c>
      <c r="BU46" s="8">
        <f>IF($A46=BU$1,0,IF(SUM(IMshareC!BU$2:BU$78)-IMshareC!BU$73&gt;0,IMshareC!BU46/(SUM(IMshareC!BU$2:BU$78)-IMshareC!BU$73),0))</f>
        <v>7.6938214415165674E-6</v>
      </c>
      <c r="BV46" s="8">
        <f>IF($A46=BV$1,0,IF(SUM(IMshareC!BV$2:BV$78)-IMshareC!BV$74&gt;0,IMshareC!BV46/(SUM(IMshareC!BV$2:BV$78)-IMshareC!BV$74),0))</f>
        <v>1.877936900087101E-3</v>
      </c>
      <c r="BW46" s="8">
        <f>IF($A46=BW$1,0,IF(SUM(IMshareC!BW$2:BW$78)-IMshareC!BW$75&gt;0,IMshareC!BW46/(SUM(IMshareC!BW$2:BW$78)-IMshareC!BW$75),0))</f>
        <v>4.1770215396594653E-5</v>
      </c>
      <c r="BX46" s="8">
        <f>IF($A46=BX$1,0,IF(SUM(IMshareC!BX$2:BX$78)-IMshareC!BX$76&gt;0,IMshareC!BX46/(SUM(IMshareC!BX$2:BX$78)-IMshareC!BX$76),0))</f>
        <v>5.6680941255895834E-8</v>
      </c>
      <c r="BY46" s="8">
        <f>IF($A46=BY$1,0,IF(SUM(IMshareC!BY$2:BY$78)-IMshareC!BY$77&gt;0,IMshareC!BY46/(SUM(IMshareC!BY$2:BY$78)-IMshareC!BY$77),0))</f>
        <v>6.9617274801448721E-5</v>
      </c>
      <c r="BZ46" s="8">
        <f>IF($A46=BZ$1,0,IF(SUM(IMshareC!BZ$2:BZ$78)-IMshareC!BZ$78&gt;0,IMshareC!BZ46/(SUM(IMshareC!BZ$2:BZ$78)-IMshareC!BZ$78),0))</f>
        <v>9.7334005131010021E-4</v>
      </c>
    </row>
    <row r="47" spans="1:78">
      <c r="A47" s="4" t="s">
        <v>161</v>
      </c>
      <c r="B47" s="8">
        <f>IF($A47=B$1,0,IF(SUM(IMshareC!B$2:B$78)-IMshareC!B$2&gt;0,IMshareC!B47/(SUM(IMshareC!B$2:B$78)-IMshareC!B$2),0))</f>
        <v>1.3118809141908869E-5</v>
      </c>
      <c r="C47" s="8">
        <f>IF($A47=C$1,0,IF(SUM(IMshareC!C$2:C$78)-IMshareC!C$3&gt;0,IMshareC!C47/(SUM(IMshareC!C$2:C$78)-IMshareC!C$3),0))</f>
        <v>9.6959537975922674E-4</v>
      </c>
      <c r="D47" s="8">
        <f>IF($A47=D$1,0,IF(SUM(IMshareC!D$2:D$78)-IMshareC!D$4&gt;0,IMshareC!D47/(SUM(IMshareC!D$2:D$78)-IMshareC!D$4),0))</f>
        <v>9.7214713316192647E-5</v>
      </c>
      <c r="E47" s="8">
        <f>IF($A47=E$1,0,IF(SUM(IMshareC!E$2:E$78)-IMshareC!E$5&gt;0,IMshareC!E47/(SUM(IMshareC!E$2:E$78)-IMshareC!E$5),0))</f>
        <v>5.731690523357021E-5</v>
      </c>
      <c r="F47" s="8">
        <f>IF($A47=F$1,0,IF(SUM(IMshareC!F$2:F$78)-IMshareC!F$6&gt;0,IMshareC!F47/(SUM(IMshareC!F$2:F$78)-IMshareC!F$6),0))</f>
        <v>0</v>
      </c>
      <c r="G47" s="8">
        <f>IF($A47=G$1,0,IF(SUM(IMshareC!G$2:G$78)-IMshareC!G$7&gt;0,IMshareC!G47/(SUM(IMshareC!G$2:G$78)-IMshareC!G$7),0))</f>
        <v>2.4768280848293803E-4</v>
      </c>
      <c r="H47" s="8">
        <f>IF($A47=H$1,0,IF(SUM(IMshareC!H$2:H$78)-IMshareC!H$8&gt;0,IMshareC!H47/(SUM(IMshareC!H$2:H$78)-IMshareC!H$8),0))</f>
        <v>2.0218328465970398E-2</v>
      </c>
      <c r="I47" s="8">
        <f>IF($A47=I$1,0,IF(SUM(IMshareC!I$2:I$78)-IMshareC!I$9&gt;0,IMshareC!I47/(SUM(IMshareC!I$2:I$78)-IMshareC!I$9),0))</f>
        <v>2.4296574575634845E-5</v>
      </c>
      <c r="J47" s="8">
        <f>IF($A47=J$1,0,IF(SUM(IMshareC!J$2:J$78)-IMshareC!J$10&gt;0,IMshareC!J47/(SUM(IMshareC!J$2:J$78)-IMshareC!J$10),0))</f>
        <v>0</v>
      </c>
      <c r="K47" s="8">
        <f>IF($A47=K$1,0,IF(SUM(IMshareC!K$2:K$78)-IMshareC!K$11&gt;0,IMshareC!K47/(SUM(IMshareC!K$2:K$78)-IMshareC!K$11),0))</f>
        <v>2.6698214477978384E-4</v>
      </c>
      <c r="L47" s="8">
        <f>IF($A47=L$1,0,IF(SUM(IMshareC!L$2:L$78)-IMshareC!L$12&gt;0,IMshareC!L47/(SUM(IMshareC!L$2:L$78)-IMshareC!L$12),0))</f>
        <v>4.9390651311622866E-4</v>
      </c>
      <c r="M47" s="8">
        <f>IF($A47=M$1,0,IF(SUM(IMshareC!M$2:M$78)-IMshareC!M$13&gt;0,IMshareC!M47/(SUM(IMshareC!M$2:M$78)-IMshareC!M$13),0))</f>
        <v>1.8692798462268282E-4</v>
      </c>
      <c r="N47" s="8">
        <f>IF($A47=N$1,0,IF(SUM(IMshareC!N$2:N$78)-IMshareC!N$14&gt;0,IMshareC!N47/(SUM(IMshareC!N$2:N$78)-IMshareC!N$14),0))</f>
        <v>8.0244553361083107E-6</v>
      </c>
      <c r="O47" s="8">
        <f>IF($A47=O$1,0,IF(SUM(IMshareC!O$2:O$78)-IMshareC!O$15&gt;0,IMshareC!O47/(SUM(IMshareC!O$2:O$78)-IMshareC!O$15),0))</f>
        <v>2.2709986616025585E-6</v>
      </c>
      <c r="P47" s="8">
        <f>IF($A47=P$1,0,IF(SUM(IMshareC!P$2:P$78)-IMshareC!P$16&gt;0,IMshareC!P47/(SUM(IMshareC!P$2:P$78)-IMshareC!P$16),0))</f>
        <v>1.9498908738915457E-4</v>
      </c>
      <c r="Q47" s="8">
        <f>IF($A47=Q$1,0,IF(SUM(IMshareC!Q$2:Q$78)-IMshareC!Q$17&gt;0,IMshareC!Q47/(SUM(IMshareC!Q$2:Q$78)-IMshareC!Q$17),0))</f>
        <v>1.7832047458452518E-4</v>
      </c>
      <c r="R47" s="8">
        <f>IF($A47=R$1,0,IF(SUM(IMshareC!R$2:R$78)-IMshareC!R$18&gt;0,IMshareC!R47/(SUM(IMshareC!R$2:R$78)-IMshareC!R$18),0))</f>
        <v>2.8695249983401862E-4</v>
      </c>
      <c r="S47" s="8">
        <f>IF($A47=S$1,0,IF(SUM(IMshareC!S$2:S$78)-IMshareC!S$19&gt;0,IMshareC!S47/(SUM(IMshareC!S$2:S$78)-IMshareC!S$19),0))</f>
        <v>9.7868767060036124E-2</v>
      </c>
      <c r="T47" s="8">
        <f>IF($A47=T$1,0,IF(SUM(IMshareC!T$2:T$78)-IMshareC!T$20&gt;0,IMshareC!T47/(SUM(IMshareC!T$2:T$78)-IMshareC!T$20),0))</f>
        <v>5.6738311709918413E-5</v>
      </c>
      <c r="U47" s="8">
        <f>IF($A47=U$1,0,IF(SUM(IMshareC!U$2:U$78)-IMshareC!U$21&gt;0,IMshareC!U47/(SUM(IMshareC!U$2:U$78)-IMshareC!U$21),0))</f>
        <v>3.8051045418348551E-5</v>
      </c>
      <c r="V47" s="8">
        <f>IF($A47=V$1,0,IF(SUM(IMshareC!V$2:V$78)-IMshareC!V$22&gt;0,IMshareC!V47/(SUM(IMshareC!V$2:V$78)-IMshareC!V$22),0))</f>
        <v>2.6191377560715839E-3</v>
      </c>
      <c r="W47" s="8">
        <f>IF($A47=W$1,0,IF(SUM(IMshareC!W$2:W$78)-IMshareC!W$23&gt;0,IMshareC!W47/(SUM(IMshareC!W$2:W$78)-IMshareC!W$23),0))</f>
        <v>6.3627173181601208E-4</v>
      </c>
      <c r="X47" s="8">
        <f>IF($A47=X$1,0,IF(SUM(IMshareC!X$2:X$78)-IMshareC!X$24&gt;0,IMshareC!X47/(SUM(IMshareC!X$2:X$78)-IMshareC!X$24),0))</f>
        <v>3.3042702844905939E-5</v>
      </c>
      <c r="Y47" s="8">
        <f>IF($A47=Y$1,0,IF(SUM(IMshareC!Y$2:Y$78)-IMshareC!Y$25&gt;0,IMshareC!Y47/(SUM(IMshareC!Y$2:Y$78)-IMshareC!Y$25),0))</f>
        <v>4.186404791103329E-3</v>
      </c>
      <c r="Z47" s="8">
        <f>IF($A47=Z$1,0,IF(SUM(IMshareC!Z$2:Z$78)-IMshareC!Z$26&gt;0,IMshareC!Z47/(SUM(IMshareC!Z$2:Z$78)-IMshareC!Z$26),0))</f>
        <v>3.3713143402153407E-5</v>
      </c>
      <c r="AA47" s="8">
        <f>IF($A47=AA$1,0,IF(SUM(IMshareC!AA$2:AA$78)-IMshareC!AA$27&gt;0,IMshareC!AA47/(SUM(IMshareC!AA$2:AA$78)-IMshareC!AA$27),0))</f>
        <v>6.9260646441137881E-5</v>
      </c>
      <c r="AB47" s="8">
        <f>IF($A47=AB$1,0,IF(SUM(IMshareC!AB$2:AB$78)-IMshareC!AB$28&gt;0,IMshareC!AB47/(SUM(IMshareC!AB$2:AB$78)-IMshareC!AB$28),0))</f>
        <v>3.2528942437127443E-4</v>
      </c>
      <c r="AC47" s="8">
        <f>IF($A47=AC$1,0,IF(SUM(IMshareC!AC$2:AC$78)-IMshareC!AC$29&gt;0,IMshareC!AC47/(SUM(IMshareC!AC$2:AC$78)-IMshareC!AC$29),0))</f>
        <v>2.8913978493834282E-2</v>
      </c>
      <c r="AD47" s="8">
        <f>IF($A47=AD$1,0,IF(SUM(IMshareC!AD$2:AD$78)-IMshareC!AD$30&gt;0,IMshareC!AD47/(SUM(IMshareC!AD$2:AD$78)-IMshareC!AD$30),0))</f>
        <v>3.5260708705869832E-5</v>
      </c>
      <c r="AE47" s="8">
        <f>IF($A47=AE$1,0,IF(SUM(IMshareC!AE$2:AE$78)-IMshareC!AE$31&gt;0,IMshareC!AE47/(SUM(IMshareC!AE$2:AE$78)-IMshareC!AE$31),0))</f>
        <v>2.5132388186485098E-3</v>
      </c>
      <c r="AF47" s="8">
        <f>IF($A47=AF$1,0,IF(SUM(IMshareC!AF$2:AF$78)-IMshareC!AF$32&gt;0,IMshareC!AF47/(SUM(IMshareC!AF$2:AF$78)-IMshareC!AF$32),0))</f>
        <v>1.0349720540685617E-4</v>
      </c>
      <c r="AG47" s="8">
        <f>IF($A47=AG$1,0,IF(SUM(IMshareC!AG$2:AG$78)-IMshareC!AG$33&gt;0,IMshareC!AG47/(SUM(IMshareC!AG$2:AG$78)-IMshareC!AG$33),0))</f>
        <v>6.1745409053689236E-5</v>
      </c>
      <c r="AH47" s="8">
        <f>IF($A47=AH$1,0,IF(SUM(IMshareC!AH$2:AH$78)-IMshareC!AH$34&gt;0,IMshareC!AH47/(SUM(IMshareC!AH$2:AH$78)-IMshareC!AH$34),0))</f>
        <v>4.2863998620406651E-6</v>
      </c>
      <c r="AI47" s="8">
        <f>IF($A47=AI$1,0,IF(SUM(IMshareC!AI$2:AI$78)-IMshareC!AI$35&gt;0,IMshareC!AI47/(SUM(IMshareC!AI$2:AI$78)-IMshareC!AI$35),0))</f>
        <v>6.9467239078395667E-6</v>
      </c>
      <c r="AJ47" s="8">
        <f>IF($A47=AJ$1,0,IF(SUM(IMshareC!AJ$2:AJ$78)-IMshareC!AJ$36&gt;0,IMshareC!AJ47/(SUM(IMshareC!AJ$2:AJ$78)-IMshareC!AJ$36),0))</f>
        <v>5.3280630928929764E-3</v>
      </c>
      <c r="AK47" s="8">
        <f>IF($A47=AK$1,0,IF(SUM(IMshareC!AK$2:AK$78)-IMshareC!AK$37&gt;0,IMshareC!AK47/(SUM(IMshareC!AK$2:AK$78)-IMshareC!AK$37),0))</f>
        <v>8.7400353937716344E-5</v>
      </c>
      <c r="AL47" s="8">
        <f>IF($A47=AL$1,0,IF(SUM(IMshareC!AL$2:AL$78)-IMshareC!AL$38&gt;0,IMshareC!AL47/(SUM(IMshareC!AL$2:AL$78)-IMshareC!AL$38),0))</f>
        <v>3.189148956385744E-5</v>
      </c>
      <c r="AM47" s="8">
        <f>IF($A47=AM$1,0,IF(SUM(IMshareC!AM$2:AM$78)-IMshareC!AM$39&gt;0,IMshareC!AM47/(SUM(IMshareC!AM$2:AM$78)-IMshareC!AM$39),0))</f>
        <v>2.3274989114235975E-3</v>
      </c>
      <c r="AN47" s="8">
        <f>IF($A47=AN$1,0,IF(SUM(IMshareC!AN$2:AN$78)-IMshareC!AN$40&gt;0,IMshareC!AN47/(SUM(IMshareC!AN$2:AN$78)-IMshareC!AN$40),0))</f>
        <v>1.2127969070028462E-6</v>
      </c>
      <c r="AO47" s="8">
        <f>IF($A47=AO$1,0,IF(SUM(IMshareC!AO$2:AO$78)-IMshareC!AO$41&gt;0,IMshareC!AO47/(SUM(IMshareC!AO$2:AO$78)-IMshareC!AO$41),0))</f>
        <v>4.6795219215897792E-2</v>
      </c>
      <c r="AP47" s="8">
        <f>IF($A47=AP$1,0,IF(SUM(IMshareC!AP$2:AP$78)-IMshareC!AP$42&gt;0,IMshareC!AP47/(SUM(IMshareC!AP$2:AP$78)-IMshareC!AP$42),0))</f>
        <v>0</v>
      </c>
      <c r="AQ47" s="8">
        <f>IF($A47=AQ$1,0,IF(SUM(IMshareC!AQ$2:AQ$78)-IMshareC!AQ$43&gt;0,IMshareC!AQ47/(SUM(IMshareC!AQ$2:AQ$78)-IMshareC!AQ$43),0))</f>
        <v>3.967491231894154E-6</v>
      </c>
      <c r="AR47" s="8">
        <f>IF($A47=AR$1,0,IF(SUM(IMshareC!AR$2:AR$78)-IMshareC!AR$44&gt;0,IMshareC!AR47/(SUM(IMshareC!AR$2:AR$78)-IMshareC!AR$44),0))</f>
        <v>0</v>
      </c>
      <c r="AS47" s="8">
        <f>IF($A47=AS$1,0,IF(SUM(IMshareC!AS$2:AS$78)-IMshareC!AS$45&gt;0,IMshareC!AS47/(SUM(IMshareC!AS$2:AS$78)-IMshareC!AS$45),0))</f>
        <v>2.635460925686137E-2</v>
      </c>
      <c r="AT47" s="8">
        <f>IF($A47=AT$1,0,IF(SUM(IMshareC!AT$2:AT$78)-IMshareC!AT$46&gt;0,IMshareC!AT47/(SUM(IMshareC!AT$2:AT$78)-IMshareC!AT$46),0))</f>
        <v>4.477193094959276E-4</v>
      </c>
      <c r="AU47" s="8">
        <f>IF($A47=AU$1,0,IF(SUM(IMshareC!AU$2:AU$78)-IMshareC!AU$47&gt;0,IMshareC!AU47/(SUM(IMshareC!AU$2:AU$78)-IMshareC!AU$47),0))</f>
        <v>0</v>
      </c>
      <c r="AV47" s="8">
        <f>IF($A47=AV$1,0,IF(SUM(IMshareC!AV$2:AV$78)-IMshareC!AV$48&gt;0,IMshareC!AV47/(SUM(IMshareC!AV$2:AV$78)-IMshareC!AV$48),0))</f>
        <v>1.2655994690618914E-4</v>
      </c>
      <c r="AW47" s="8">
        <f>IF($A47=AW$1,0,IF(SUM(IMshareC!AW$2:AW$78)-IMshareC!AW$49&gt;0,IMshareC!AW47/(SUM(IMshareC!AW$2:AW$78)-IMshareC!AW$49),0))</f>
        <v>0</v>
      </c>
      <c r="AX47" s="8">
        <f>IF($A47=AX$1,0,IF(SUM(IMshareC!AX$2:AX$78)-IMshareC!AX$50&gt;0,IMshareC!AX47/(SUM(IMshareC!AX$2:AX$78)-IMshareC!AX$50),0))</f>
        <v>2.616188226636958E-5</v>
      </c>
      <c r="AY47" s="8">
        <f>IF($A47=AY$1,0,IF(SUM(IMshareC!AY$2:AY$78)-IMshareC!AY$51&gt;0,IMshareC!AY47/(SUM(IMshareC!AY$2:AY$78)-IMshareC!AY$51),0))</f>
        <v>0</v>
      </c>
      <c r="AZ47" s="8">
        <f>IF($A47=AZ$1,0,IF(SUM(IMshareC!AZ$2:AZ$78)-IMshareC!AZ$52&gt;0,IMshareC!AZ47/(SUM(IMshareC!AZ$2:AZ$78)-IMshareC!AZ$52),0))</f>
        <v>1.1207167376061939E-6</v>
      </c>
      <c r="BA47" s="8">
        <f>IF($A47=BA$1,0,IF(SUM(IMshareC!BA$2:BA$78)-IMshareC!BA$53&gt;0,IMshareC!BA47/(SUM(IMshareC!BA$2:BA$78)-IMshareC!BA$53),0))</f>
        <v>5.2715101868444418E-5</v>
      </c>
      <c r="BB47" s="8">
        <f>IF($A47=BB$1,0,IF(SUM(IMshareC!BB$2:BB$78)-IMshareC!BB$54&gt;0,IMshareC!BB47/(SUM(IMshareC!BB$2:BB$78)-IMshareC!BB$54),0))</f>
        <v>6.9119584770436203E-4</v>
      </c>
      <c r="BC47" s="8">
        <f>IF($A47=BC$1,0,IF(SUM(IMshareC!BC$2:BC$78)-IMshareC!BC$55&gt;0,IMshareC!BC47/(SUM(IMshareC!BC$2:BC$78)-IMshareC!BC$55),0))</f>
        <v>1.0063212997319458E-3</v>
      </c>
      <c r="BD47" s="8">
        <f>IF($A47=BD$1,0,IF(SUM(IMshareC!BD$2:BD$78)-IMshareC!BD$56&gt;0,IMshareC!BD47/(SUM(IMshareC!BD$2:BD$78)-IMshareC!BD$56),0))</f>
        <v>6.6057834341203068E-5</v>
      </c>
      <c r="BE47" s="8">
        <f>IF($A47=BE$1,0,IF(SUM(IMshareC!BE$2:BE$78)-IMshareC!BE$57&gt;0,IMshareC!BE47/(SUM(IMshareC!BE$2:BE$78)-IMshareC!BE$57),0))</f>
        <v>3.3801667016316922E-4</v>
      </c>
      <c r="BF47" s="8">
        <f>IF($A47=BF$1,0,IF(SUM(IMshareC!BF$2:BF$78)-IMshareC!BF$58&gt;0,IMshareC!BF47/(SUM(IMshareC!BF$2:BF$78)-IMshareC!BF$58),0))</f>
        <v>2.5251124383911689E-4</v>
      </c>
      <c r="BG47" s="8">
        <f>IF($A47=BG$1,0,IF(SUM(IMshareC!BG$2:BG$78)-IMshareC!BG$59&gt;0,IMshareC!BG47/(SUM(IMshareC!BG$2:BG$78)-IMshareC!BG$59),0))</f>
        <v>2.5006616856819726E-7</v>
      </c>
      <c r="BH47" s="8">
        <f>IF($A47=BH$1,0,IF(SUM(IMshareC!BH$2:BH$78)-IMshareC!BH$60&gt;0,IMshareC!BH47/(SUM(IMshareC!BH$2:BH$78)-IMshareC!BH$60),0))</f>
        <v>4.6058128905463429E-4</v>
      </c>
      <c r="BI47" s="8">
        <f>IF($A47=BI$1,0,IF(SUM(IMshareC!BI$2:BI$78)-IMshareC!BI$61&gt;0,IMshareC!BI47/(SUM(IMshareC!BI$2:BI$78)-IMshareC!BI$61),0))</f>
        <v>5.4840517634605534E-4</v>
      </c>
      <c r="BJ47" s="8">
        <f>IF($A47=BJ$1,0,IF(SUM(IMshareC!BJ$2:BJ$78)-IMshareC!BJ$62&gt;0,IMshareC!BJ47/(SUM(IMshareC!BJ$2:BJ$78)-IMshareC!BJ$62),0))</f>
        <v>5.2776917033614936E-4</v>
      </c>
      <c r="BK47" s="8">
        <f>IF($A47=BK$1,0,IF(SUM(IMshareC!BK$2:BK$78)-IMshareC!BK$63&gt;0,IMshareC!BK47/(SUM(IMshareC!BK$2:BK$78)-IMshareC!BK$63),0))</f>
        <v>2.0348530876451395E-3</v>
      </c>
      <c r="BL47" s="8">
        <f>IF($A47=BL$1,0,IF(SUM(IMshareC!BL$2:BL$78)-IMshareC!BL$64&gt;0,IMshareC!BL47/(SUM(IMshareC!BL$2:BL$78)-IMshareC!BL$64),0))</f>
        <v>2.7878896556238859E-3</v>
      </c>
      <c r="BM47" s="8">
        <f>IF($A47=BM$1,0,IF(SUM(IMshareC!BM$2:BM$78)-IMshareC!BM$65&gt;0,IMshareC!BM47/(SUM(IMshareC!BM$2:BM$78)-IMshareC!BM$65),0))</f>
        <v>0</v>
      </c>
      <c r="BN47" s="8">
        <f>IF($A47=BN$1,0,IF(SUM(IMshareC!BN$2:BN$78)-IMshareC!BN$66&gt;0,IMshareC!BN47/(SUM(IMshareC!BN$2:BN$78)-IMshareC!BN$66),0))</f>
        <v>2.62776073434412E-6</v>
      </c>
      <c r="BO47" s="8">
        <f>IF($A47=BO$1,0,IF(SUM(IMshareC!BO$2:BO$78)-IMshareC!BO$67&gt;0,IMshareC!BO47/(SUM(IMshareC!BO$2:BO$78)-IMshareC!BO$67),0))</f>
        <v>7.4550936712666576E-5</v>
      </c>
      <c r="BP47" s="8">
        <f>IF($A47=BP$1,0,IF(SUM(IMshareC!BP$2:BP$78)-IMshareC!BP$68&gt;0,IMshareC!BP47/(SUM(IMshareC!BP$2:BP$78)-IMshareC!BP$68),0))</f>
        <v>2.5362773934561429E-5</v>
      </c>
      <c r="BQ47" s="8">
        <f>IF($A47=BQ$1,0,IF(SUM(IMshareC!BQ$2:BQ$78)-IMshareC!BQ$69&gt;0,IMshareC!BQ47/(SUM(IMshareC!BQ$2:BQ$78)-IMshareC!BQ$69),0))</f>
        <v>6.7740119291644302E-3</v>
      </c>
      <c r="BR47" s="8">
        <f>IF($A47=BR$1,0,IF(SUM(IMshareC!BR$2:BR$78)-IMshareC!BR$70&gt;0,IMshareC!BR47/(SUM(IMshareC!BR$2:BR$78)-IMshareC!BR$70),0))</f>
        <v>1.9964456884301389E-5</v>
      </c>
      <c r="BS47" s="8">
        <f>IF($A47=BS$1,0,IF(SUM(IMshareC!BS$2:BS$78)-IMshareC!BS$71&gt;0,IMshareC!BS47/(SUM(IMshareC!BS$2:BS$78)-IMshareC!BS$71),0))</f>
        <v>8.4556351082776398E-5</v>
      </c>
      <c r="BT47" s="8">
        <f>IF($A47=BT$1,0,IF(SUM(IMshareC!BT$2:BT$78)-IMshareC!BT$72&gt;0,IMshareC!BT47/(SUM(IMshareC!BT$2:BT$78)-IMshareC!BT$72),0))</f>
        <v>1.6085250580077535E-4</v>
      </c>
      <c r="BU47" s="8">
        <f>IF($A47=BU$1,0,IF(SUM(IMshareC!BU$2:BU$78)-IMshareC!BU$73&gt;0,IMshareC!BU47/(SUM(IMshareC!BU$2:BU$78)-IMshareC!BU$73),0))</f>
        <v>1.4724908300839389E-6</v>
      </c>
      <c r="BV47" s="8">
        <f>IF($A47=BV$1,0,IF(SUM(IMshareC!BV$2:BV$78)-IMshareC!BV$74&gt;0,IMshareC!BV47/(SUM(IMshareC!BV$2:BV$78)-IMshareC!BV$74),0))</f>
        <v>8.2931212048074118E-4</v>
      </c>
      <c r="BW47" s="8">
        <f>IF($A47=BW$1,0,IF(SUM(IMshareC!BW$2:BW$78)-IMshareC!BW$75&gt;0,IMshareC!BW47/(SUM(IMshareC!BW$2:BW$78)-IMshareC!BW$75),0))</f>
        <v>1.5788364588463076E-4</v>
      </c>
      <c r="BX47" s="8">
        <f>IF($A47=BX$1,0,IF(SUM(IMshareC!BX$2:BX$78)-IMshareC!BX$76&gt;0,IMshareC!BX47/(SUM(IMshareC!BX$2:BX$78)-IMshareC!BX$76),0))</f>
        <v>2.7602937700669276E-6</v>
      </c>
      <c r="BY47" s="8">
        <f>IF($A47=BY$1,0,IF(SUM(IMshareC!BY$2:BY$78)-IMshareC!BY$77&gt;0,IMshareC!BY47/(SUM(IMshareC!BY$2:BY$78)-IMshareC!BY$77),0))</f>
        <v>2.5586744314266961E-5</v>
      </c>
      <c r="BZ47" s="8">
        <f>IF($A47=BZ$1,0,IF(SUM(IMshareC!BZ$2:BZ$78)-IMshareC!BZ$78&gt;0,IMshareC!BZ47/(SUM(IMshareC!BZ$2:BZ$78)-IMshareC!BZ$78),0))</f>
        <v>3.4062136578008416E-4</v>
      </c>
    </row>
    <row r="48" spans="1:78">
      <c r="A48" s="4" t="s">
        <v>163</v>
      </c>
      <c r="B48" s="8">
        <f>IF($A48=B$1,0,IF(SUM(IMshareC!B$2:B$78)-IMshareC!B$2&gt;0,IMshareC!B48/(SUM(IMshareC!B$2:B$78)-IMshareC!B$2),0))</f>
        <v>2.2554920503667499E-4</v>
      </c>
      <c r="C48" s="8">
        <f>IF($A48=C$1,0,IF(SUM(IMshareC!C$2:C$78)-IMshareC!C$3&gt;0,IMshareC!C48/(SUM(IMshareC!C$2:C$78)-IMshareC!C$3),0))</f>
        <v>5.5631692454089811E-4</v>
      </c>
      <c r="D48" s="8">
        <f>IF($A48=D$1,0,IF(SUM(IMshareC!D$2:D$78)-IMshareC!D$4&gt;0,IMshareC!D48/(SUM(IMshareC!D$2:D$78)-IMshareC!D$4),0))</f>
        <v>1.0607161892430333E-3</v>
      </c>
      <c r="E48" s="8">
        <f>IF($A48=E$1,0,IF(SUM(IMshareC!E$2:E$78)-IMshareC!E$5&gt;0,IMshareC!E48/(SUM(IMshareC!E$2:E$78)-IMshareC!E$5),0))</f>
        <v>6.5238892186321347E-6</v>
      </c>
      <c r="F48" s="8">
        <f>IF($A48=F$1,0,IF(SUM(IMshareC!F$2:F$78)-IMshareC!F$6&gt;0,IMshareC!F48/(SUM(IMshareC!F$2:F$78)-IMshareC!F$6),0))</f>
        <v>0</v>
      </c>
      <c r="G48" s="8">
        <f>IF($A48=G$1,0,IF(SUM(IMshareC!G$2:G$78)-IMshareC!G$7&gt;0,IMshareC!G48/(SUM(IMshareC!G$2:G$78)-IMshareC!G$7),0))</f>
        <v>9.5646025443763933E-6</v>
      </c>
      <c r="H48" s="8">
        <f>IF($A48=H$1,0,IF(SUM(IMshareC!H$2:H$78)-IMshareC!H$8&gt;0,IMshareC!H48/(SUM(IMshareC!H$2:H$78)-IMshareC!H$8),0))</f>
        <v>0</v>
      </c>
      <c r="I48" s="8">
        <f>IF($A48=I$1,0,IF(SUM(IMshareC!I$2:I$78)-IMshareC!I$9&gt;0,IMshareC!I48/(SUM(IMshareC!I$2:I$78)-IMshareC!I$9),0))</f>
        <v>1.0072421410253563E-3</v>
      </c>
      <c r="J48" s="8">
        <f>IF($A48=J$1,0,IF(SUM(IMshareC!J$2:J$78)-IMshareC!J$10&gt;0,IMshareC!J48/(SUM(IMshareC!J$2:J$78)-IMshareC!J$10),0))</f>
        <v>0</v>
      </c>
      <c r="K48" s="8">
        <f>IF($A48=K$1,0,IF(SUM(IMshareC!K$2:K$78)-IMshareC!K$11&gt;0,IMshareC!K48/(SUM(IMshareC!K$2:K$78)-IMshareC!K$11),0))</f>
        <v>2.0803729760447724E-3</v>
      </c>
      <c r="L48" s="8">
        <f>IF($A48=L$1,0,IF(SUM(IMshareC!L$2:L$78)-IMshareC!L$12&gt;0,IMshareC!L48/(SUM(IMshareC!L$2:L$78)-IMshareC!L$12),0))</f>
        <v>6.9058998152800896E-4</v>
      </c>
      <c r="M48" s="8">
        <f>IF($A48=M$1,0,IF(SUM(IMshareC!M$2:M$78)-IMshareC!M$13&gt;0,IMshareC!M48/(SUM(IMshareC!M$2:M$78)-IMshareC!M$13),0))</f>
        <v>6.5760731145585201E-6</v>
      </c>
      <c r="N48" s="8">
        <f>IF($A48=N$1,0,IF(SUM(IMshareC!N$2:N$78)-IMshareC!N$14&gt;0,IMshareC!N48/(SUM(IMshareC!N$2:N$78)-IMshareC!N$14),0))</f>
        <v>7.0830645785528387E-4</v>
      </c>
      <c r="O48" s="8">
        <f>IF($A48=O$1,0,IF(SUM(IMshareC!O$2:O$78)-IMshareC!O$15&gt;0,IMshareC!O48/(SUM(IMshareC!O$2:O$78)-IMshareC!O$15),0))</f>
        <v>1.6524849892739833E-3</v>
      </c>
      <c r="P48" s="8">
        <f>IF($A48=P$1,0,IF(SUM(IMshareC!P$2:P$78)-IMshareC!P$16&gt;0,IMshareC!P48/(SUM(IMshareC!P$2:P$78)-IMshareC!P$16),0))</f>
        <v>1.5329176789836167E-2</v>
      </c>
      <c r="Q48" s="8">
        <f>IF($A48=Q$1,0,IF(SUM(IMshareC!Q$2:Q$78)-IMshareC!Q$17&gt;0,IMshareC!Q48/(SUM(IMshareC!Q$2:Q$78)-IMshareC!Q$17),0))</f>
        <v>1.5904962463898756E-4</v>
      </c>
      <c r="R48" s="8">
        <f>IF($A48=R$1,0,IF(SUM(IMshareC!R$2:R$78)-IMshareC!R$18&gt;0,IMshareC!R48/(SUM(IMshareC!R$2:R$78)-IMshareC!R$18),0))</f>
        <v>3.5924128279463132E-5</v>
      </c>
      <c r="S48" s="8">
        <f>IF($A48=S$1,0,IF(SUM(IMshareC!S$2:S$78)-IMshareC!S$19&gt;0,IMshareC!S48/(SUM(IMshareC!S$2:S$78)-IMshareC!S$19),0))</f>
        <v>0</v>
      </c>
      <c r="T48" s="8">
        <f>IF($A48=T$1,0,IF(SUM(IMshareC!T$2:T$78)-IMshareC!T$20&gt;0,IMshareC!T48/(SUM(IMshareC!T$2:T$78)-IMshareC!T$20),0))</f>
        <v>5.4265221121475025E-4</v>
      </c>
      <c r="U48" s="8">
        <f>IF($A48=U$1,0,IF(SUM(IMshareC!U$2:U$78)-IMshareC!U$21&gt;0,IMshareC!U48/(SUM(IMshareC!U$2:U$78)-IMshareC!U$21),0))</f>
        <v>3.381244443230509E-3</v>
      </c>
      <c r="V48" s="8">
        <f>IF($A48=V$1,0,IF(SUM(IMshareC!V$2:V$78)-IMshareC!V$22&gt;0,IMshareC!V48/(SUM(IMshareC!V$2:V$78)-IMshareC!V$22),0))</f>
        <v>8.4952294574314251E-5</v>
      </c>
      <c r="W48" s="8">
        <f>IF($A48=W$1,0,IF(SUM(IMshareC!W$2:W$78)-IMshareC!W$23&gt;0,IMshareC!W48/(SUM(IMshareC!W$2:W$78)-IMshareC!W$23),0))</f>
        <v>2.0974205278293254E-5</v>
      </c>
      <c r="X48" s="8">
        <f>IF($A48=X$1,0,IF(SUM(IMshareC!X$2:X$78)-IMshareC!X$24&gt;0,IMshareC!X48/(SUM(IMshareC!X$2:X$78)-IMshareC!X$24),0))</f>
        <v>1.4697999997802694E-3</v>
      </c>
      <c r="Y48" s="8">
        <f>IF($A48=Y$1,0,IF(SUM(IMshareC!Y$2:Y$78)-IMshareC!Y$25&gt;0,IMshareC!Y48/(SUM(IMshareC!Y$2:Y$78)-IMshareC!Y$25),0))</f>
        <v>3.1735315931178022E-4</v>
      </c>
      <c r="Z48" s="8">
        <f>IF($A48=Z$1,0,IF(SUM(IMshareC!Z$2:Z$78)-IMshareC!Z$26&gt;0,IMshareC!Z48/(SUM(IMshareC!Z$2:Z$78)-IMshareC!Z$26),0))</f>
        <v>3.4623046941789458E-4</v>
      </c>
      <c r="AA48" s="8">
        <f>IF($A48=AA$1,0,IF(SUM(IMshareC!AA$2:AA$78)-IMshareC!AA$27&gt;0,IMshareC!AA48/(SUM(IMshareC!AA$2:AA$78)-IMshareC!AA$27),0))</f>
        <v>7.1412151775257738E-3</v>
      </c>
      <c r="AB48" s="8">
        <f>IF($A48=AB$1,0,IF(SUM(IMshareC!AB$2:AB$78)-IMshareC!AB$28&gt;0,IMshareC!AB48/(SUM(IMshareC!AB$2:AB$78)-IMshareC!AB$28),0))</f>
        <v>3.8202123747535449E-3</v>
      </c>
      <c r="AC48" s="8">
        <f>IF($A48=AC$1,0,IF(SUM(IMshareC!AC$2:AC$78)-IMshareC!AC$29&gt;0,IMshareC!AC48/(SUM(IMshareC!AC$2:AC$78)-IMshareC!AC$29),0))</f>
        <v>0</v>
      </c>
      <c r="AD48" s="8">
        <f>IF($A48=AD$1,0,IF(SUM(IMshareC!AD$2:AD$78)-IMshareC!AD$30&gt;0,IMshareC!AD48/(SUM(IMshareC!AD$2:AD$78)-IMshareC!AD$30),0))</f>
        <v>7.3127913581780887E-4</v>
      </c>
      <c r="AE48" s="8">
        <f>IF($A48=AE$1,0,IF(SUM(IMshareC!AE$2:AE$78)-IMshareC!AE$31&gt;0,IMshareC!AE48/(SUM(IMshareC!AE$2:AE$78)-IMshareC!AE$31),0))</f>
        <v>4.1016097184261843E-6</v>
      </c>
      <c r="AF48" s="8">
        <f>IF($A48=AF$1,0,IF(SUM(IMshareC!AF$2:AF$78)-IMshareC!AF$32&gt;0,IMshareC!AF48/(SUM(IMshareC!AF$2:AF$78)-IMshareC!AF$32),0))</f>
        <v>1.3193193684763527E-5</v>
      </c>
      <c r="AG48" s="8">
        <f>IF($A48=AG$1,0,IF(SUM(IMshareC!AG$2:AG$78)-IMshareC!AG$33&gt;0,IMshareC!AG48/(SUM(IMshareC!AG$2:AG$78)-IMshareC!AG$33),0))</f>
        <v>1.6815859259498183E-4</v>
      </c>
      <c r="AH48" s="8">
        <f>IF($A48=AH$1,0,IF(SUM(IMshareC!AH$2:AH$78)-IMshareC!AH$34&gt;0,IMshareC!AH48/(SUM(IMshareC!AH$2:AH$78)-IMshareC!AH$34),0))</f>
        <v>5.7105073336516885E-7</v>
      </c>
      <c r="AI48" s="8">
        <f>IF($A48=AI$1,0,IF(SUM(IMshareC!AI$2:AI$78)-IMshareC!AI$35&gt;0,IMshareC!AI48/(SUM(IMshareC!AI$2:AI$78)-IMshareC!AI$35),0))</f>
        <v>3.5826396893574279E-5</v>
      </c>
      <c r="AJ48" s="8">
        <f>IF($A48=AJ$1,0,IF(SUM(IMshareC!AJ$2:AJ$78)-IMshareC!AJ$36&gt;0,IMshareC!AJ48/(SUM(IMshareC!AJ$2:AJ$78)-IMshareC!AJ$36),0))</f>
        <v>5.2837280884505489E-4</v>
      </c>
      <c r="AK48" s="8">
        <f>IF($A48=AK$1,0,IF(SUM(IMshareC!AK$2:AK$78)-IMshareC!AK$37&gt;0,IMshareC!AK48/(SUM(IMshareC!AK$2:AK$78)-IMshareC!AK$37),0))</f>
        <v>0</v>
      </c>
      <c r="AL48" s="8">
        <f>IF($A48=AL$1,0,IF(SUM(IMshareC!AL$2:AL$78)-IMshareC!AL$38&gt;0,IMshareC!AL48/(SUM(IMshareC!AL$2:AL$78)-IMshareC!AL$38),0))</f>
        <v>8.496102159133524E-4</v>
      </c>
      <c r="AM48" s="8">
        <f>IF($A48=AM$1,0,IF(SUM(IMshareC!AM$2:AM$78)-IMshareC!AM$39&gt;0,IMshareC!AM48/(SUM(IMshareC!AM$2:AM$78)-IMshareC!AM$39),0))</f>
        <v>0</v>
      </c>
      <c r="AN48" s="8">
        <f>IF($A48=AN$1,0,IF(SUM(IMshareC!AN$2:AN$78)-IMshareC!AN$40&gt;0,IMshareC!AN48/(SUM(IMshareC!AN$2:AN$78)-IMshareC!AN$40),0))</f>
        <v>7.036395772065562E-5</v>
      </c>
      <c r="AO48" s="8">
        <f>IF($A48=AO$1,0,IF(SUM(IMshareC!AO$2:AO$78)-IMshareC!AO$41&gt;0,IMshareC!AO48/(SUM(IMshareC!AO$2:AO$78)-IMshareC!AO$41),0))</f>
        <v>1.5378068463222526E-5</v>
      </c>
      <c r="AP48" s="8">
        <f>IF($A48=AP$1,0,IF(SUM(IMshareC!AP$2:AP$78)-IMshareC!AP$42&gt;0,IMshareC!AP48/(SUM(IMshareC!AP$2:AP$78)-IMshareC!AP$42),0))</f>
        <v>0</v>
      </c>
      <c r="AQ48" s="8">
        <f>IF($A48=AQ$1,0,IF(SUM(IMshareC!AQ$2:AQ$78)-IMshareC!AQ$43&gt;0,IMshareC!AQ48/(SUM(IMshareC!AQ$2:AQ$78)-IMshareC!AQ$43),0))</f>
        <v>3.829974181084399E-4</v>
      </c>
      <c r="AR48" s="8">
        <f>IF($A48=AR$1,0,IF(SUM(IMshareC!AR$2:AR$78)-IMshareC!AR$44&gt;0,IMshareC!AR48/(SUM(IMshareC!AR$2:AR$78)-IMshareC!AR$44),0))</f>
        <v>0</v>
      </c>
      <c r="AS48" s="8">
        <f>IF($A48=AS$1,0,IF(SUM(IMshareC!AS$2:AS$78)-IMshareC!AS$45&gt;0,IMshareC!AS48/(SUM(IMshareC!AS$2:AS$78)-IMshareC!AS$45),0))</f>
        <v>3.6602234789002848E-5</v>
      </c>
      <c r="AT48" s="8">
        <f>IF($A48=AT$1,0,IF(SUM(IMshareC!AT$2:AT$78)-IMshareC!AT$46&gt;0,IMshareC!AT48/(SUM(IMshareC!AT$2:AT$78)-IMshareC!AT$46),0))</f>
        <v>2.0713032875681603E-7</v>
      </c>
      <c r="AU48" s="8">
        <f>IF($A48=AU$1,0,IF(SUM(IMshareC!AU$2:AU$78)-IMshareC!AU$47&gt;0,IMshareC!AU48/(SUM(IMshareC!AU$2:AU$78)-IMshareC!AU$47),0))</f>
        <v>9.8491630759264148E-6</v>
      </c>
      <c r="AV48" s="8">
        <f>IF($A48=AV$1,0,IF(SUM(IMshareC!AV$2:AV$78)-IMshareC!AV$48&gt;0,IMshareC!AV48/(SUM(IMshareC!AV$2:AV$78)-IMshareC!AV$48),0))</f>
        <v>0</v>
      </c>
      <c r="AW48" s="8">
        <f>IF($A48=AW$1,0,IF(SUM(IMshareC!AW$2:AW$78)-IMshareC!AW$49&gt;0,IMshareC!AW48/(SUM(IMshareC!AW$2:AW$78)-IMshareC!AW$49),0))</f>
        <v>1.4634854752630952E-3</v>
      </c>
      <c r="AX48" s="8">
        <f>IF($A48=AX$1,0,IF(SUM(IMshareC!AX$2:AX$78)-IMshareC!AX$50&gt;0,IMshareC!AX48/(SUM(IMshareC!AX$2:AX$78)-IMshareC!AX$50),0))</f>
        <v>2.870152514304098E-7</v>
      </c>
      <c r="AY48" s="8">
        <f>IF($A48=AY$1,0,IF(SUM(IMshareC!AY$2:AY$78)-IMshareC!AY$51&gt;0,IMshareC!AY48/(SUM(IMshareC!AY$2:AY$78)-IMshareC!AY$51),0))</f>
        <v>0</v>
      </c>
      <c r="AZ48" s="8">
        <f>IF($A48=AZ$1,0,IF(SUM(IMshareC!AZ$2:AZ$78)-IMshareC!AZ$52&gt;0,IMshareC!AZ48/(SUM(IMshareC!AZ$2:AZ$78)-IMshareC!AZ$52),0))</f>
        <v>2.6632529848852462E-4</v>
      </c>
      <c r="BA48" s="8">
        <f>IF($A48=BA$1,0,IF(SUM(IMshareC!BA$2:BA$78)-IMshareC!BA$53&gt;0,IMshareC!BA48/(SUM(IMshareC!BA$2:BA$78)-IMshareC!BA$53),0))</f>
        <v>0</v>
      </c>
      <c r="BB48" s="8">
        <f>IF($A48=BB$1,0,IF(SUM(IMshareC!BB$2:BB$78)-IMshareC!BB$54&gt;0,IMshareC!BB48/(SUM(IMshareC!BB$2:BB$78)-IMshareC!BB$54),0))</f>
        <v>7.7063742579026421E-6</v>
      </c>
      <c r="BC48" s="8">
        <f>IF($A48=BC$1,0,IF(SUM(IMshareC!BC$2:BC$78)-IMshareC!BC$55&gt;0,IMshareC!BC48/(SUM(IMshareC!BC$2:BC$78)-IMshareC!BC$55),0))</f>
        <v>7.6670918355576723E-4</v>
      </c>
      <c r="BD48" s="8">
        <f>IF($A48=BD$1,0,IF(SUM(IMshareC!BD$2:BD$78)-IMshareC!BD$56&gt;0,IMshareC!BD48/(SUM(IMshareC!BD$2:BD$78)-IMshareC!BD$56),0))</f>
        <v>2.0093825863287994E-3</v>
      </c>
      <c r="BE48" s="8">
        <f>IF($A48=BE$1,0,IF(SUM(IMshareC!BE$2:BE$78)-IMshareC!BE$57&gt;0,IMshareC!BE48/(SUM(IMshareC!BE$2:BE$78)-IMshareC!BE$57),0))</f>
        <v>2.2234896264619749E-5</v>
      </c>
      <c r="BF48" s="8">
        <f>IF($A48=BF$1,0,IF(SUM(IMshareC!BF$2:BF$78)-IMshareC!BF$58&gt;0,IMshareC!BF48/(SUM(IMshareC!BF$2:BF$78)-IMshareC!BF$58),0))</f>
        <v>3.1207772765910609E-5</v>
      </c>
      <c r="BG48" s="8">
        <f>IF($A48=BG$1,0,IF(SUM(IMshareC!BG$2:BG$78)-IMshareC!BG$59&gt;0,IMshareC!BG48/(SUM(IMshareC!BG$2:BG$78)-IMshareC!BG$59),0))</f>
        <v>1.5079816009062971E-5</v>
      </c>
      <c r="BH48" s="8">
        <f>IF($A48=BH$1,0,IF(SUM(IMshareC!BH$2:BH$78)-IMshareC!BH$60&gt;0,IMshareC!BH48/(SUM(IMshareC!BH$2:BH$78)-IMshareC!BH$60),0))</f>
        <v>6.0763074797448688E-4</v>
      </c>
      <c r="BI48" s="8">
        <f>IF($A48=BI$1,0,IF(SUM(IMshareC!BI$2:BI$78)-IMshareC!BI$61&gt;0,IMshareC!BI48/(SUM(IMshareC!BI$2:BI$78)-IMshareC!BI$61),0))</f>
        <v>1.6134725677254465E-5</v>
      </c>
      <c r="BJ48" s="8">
        <f>IF($A48=BJ$1,0,IF(SUM(IMshareC!BJ$2:BJ$78)-IMshareC!BJ$62&gt;0,IMshareC!BJ48/(SUM(IMshareC!BJ$2:BJ$78)-IMshareC!BJ$62),0))</f>
        <v>7.064305222768681E-5</v>
      </c>
      <c r="BK48" s="8">
        <f>IF($A48=BK$1,0,IF(SUM(IMshareC!BK$2:BK$78)-IMshareC!BK$63&gt;0,IMshareC!BK48/(SUM(IMshareC!BK$2:BK$78)-IMshareC!BK$63),0))</f>
        <v>1.9240239103489654E-4</v>
      </c>
      <c r="BL48" s="8">
        <f>IF($A48=BL$1,0,IF(SUM(IMshareC!BL$2:BL$78)-IMshareC!BL$64&gt;0,IMshareC!BL48/(SUM(IMshareC!BL$2:BL$78)-IMshareC!BL$64),0))</f>
        <v>2.243143146861608E-5</v>
      </c>
      <c r="BM48" s="8">
        <f>IF($A48=BM$1,0,IF(SUM(IMshareC!BM$2:BM$78)-IMshareC!BM$65&gt;0,IMshareC!BM48/(SUM(IMshareC!BM$2:BM$78)-IMshareC!BM$65),0))</f>
        <v>3.9058332132129239E-3</v>
      </c>
      <c r="BN48" s="8">
        <f>IF($A48=BN$1,0,IF(SUM(IMshareC!BN$2:BN$78)-IMshareC!BN$66&gt;0,IMshareC!BN48/(SUM(IMshareC!BN$2:BN$78)-IMshareC!BN$66),0))</f>
        <v>1.1797254239555321E-3</v>
      </c>
      <c r="BO48" s="8">
        <f>IF($A48=BO$1,0,IF(SUM(IMshareC!BO$2:BO$78)-IMshareC!BO$67&gt;0,IMshareC!BO48/(SUM(IMshareC!BO$2:BO$78)-IMshareC!BO$67),0))</f>
        <v>1.2867994246585622E-2</v>
      </c>
      <c r="BP48" s="8">
        <f>IF($A48=BP$1,0,IF(SUM(IMshareC!BP$2:BP$78)-IMshareC!BP$68&gt;0,IMshareC!BP48/(SUM(IMshareC!BP$2:BP$78)-IMshareC!BP$68),0))</f>
        <v>1.8193150865350022E-3</v>
      </c>
      <c r="BQ48" s="8">
        <f>IF($A48=BQ$1,0,IF(SUM(IMshareC!BQ$2:BQ$78)-IMshareC!BQ$69&gt;0,IMshareC!BQ48/(SUM(IMshareC!BQ$2:BQ$78)-IMshareC!BQ$69),0))</f>
        <v>8.5364928839168561E-5</v>
      </c>
      <c r="BR48" s="8">
        <f>IF($A48=BR$1,0,IF(SUM(IMshareC!BR$2:BR$78)-IMshareC!BR$70&gt;0,IMshareC!BR48/(SUM(IMshareC!BR$2:BR$78)-IMshareC!BR$70),0))</f>
        <v>4.7803011551646516E-4</v>
      </c>
      <c r="BS48" s="8">
        <f>IF($A48=BS$1,0,IF(SUM(IMshareC!BS$2:BS$78)-IMshareC!BS$71&gt;0,IMshareC!BS48/(SUM(IMshareC!BS$2:BS$78)-IMshareC!BS$71),0))</f>
        <v>7.4378893093244647E-4</v>
      </c>
      <c r="BT48" s="8">
        <f>IF($A48=BT$1,0,IF(SUM(IMshareC!BT$2:BT$78)-IMshareC!BT$72&gt;0,IMshareC!BT48/(SUM(IMshareC!BT$2:BT$78)-IMshareC!BT$72),0))</f>
        <v>5.7382807202338796E-3</v>
      </c>
      <c r="BU48" s="8">
        <f>IF($A48=BU$1,0,IF(SUM(IMshareC!BU$2:BU$78)-IMshareC!BU$73&gt;0,IMshareC!BU48/(SUM(IMshareC!BU$2:BU$78)-IMshareC!BU$73),0))</f>
        <v>1.194515572273444E-4</v>
      </c>
      <c r="BV48" s="8">
        <f>IF($A48=BV$1,0,IF(SUM(IMshareC!BV$2:BV$78)-IMshareC!BV$74&gt;0,IMshareC!BV48/(SUM(IMshareC!BV$2:BV$78)-IMshareC!BV$74),0))</f>
        <v>2.4440308551465229E-3</v>
      </c>
      <c r="BW48" s="8">
        <f>IF($A48=BW$1,0,IF(SUM(IMshareC!BW$2:BW$78)-IMshareC!BW$75&gt;0,IMshareC!BW48/(SUM(IMshareC!BW$2:BW$78)-IMshareC!BW$75),0))</f>
        <v>1.4565747429064898E-3</v>
      </c>
      <c r="BX48" s="8">
        <f>IF($A48=BX$1,0,IF(SUM(IMshareC!BX$2:BX$78)-IMshareC!BX$76&gt;0,IMshareC!BX48/(SUM(IMshareC!BX$2:BX$78)-IMshareC!BX$76),0))</f>
        <v>6.6747119697767191E-5</v>
      </c>
      <c r="BY48" s="8">
        <f>IF($A48=BY$1,0,IF(SUM(IMshareC!BY$2:BY$78)-IMshareC!BY$77&gt;0,IMshareC!BY48/(SUM(IMshareC!BY$2:BY$78)-IMshareC!BY$77),0))</f>
        <v>3.3882244163892889E-4</v>
      </c>
      <c r="BZ48" s="8">
        <f>IF($A48=BZ$1,0,IF(SUM(IMshareC!BZ$2:BZ$78)-IMshareC!BZ$78&gt;0,IMshareC!BZ48/(SUM(IMshareC!BZ$2:BZ$78)-IMshareC!BZ$78),0))</f>
        <v>5.6903202918042026E-4</v>
      </c>
    </row>
    <row r="49" spans="1:78">
      <c r="A49" s="4" t="s">
        <v>165</v>
      </c>
      <c r="B49" s="8">
        <f>IF($A49=B$1,0,IF(SUM(IMshareC!B$2:B$78)-IMshareC!B$2&gt;0,IMshareC!B49/(SUM(IMshareC!B$2:B$78)-IMshareC!B$2),0))</f>
        <v>4.3111910131236462E-2</v>
      </c>
      <c r="C49" s="8">
        <f>IF($A49=C$1,0,IF(SUM(IMshareC!C$2:C$78)-IMshareC!C$3&gt;0,IMshareC!C49/(SUM(IMshareC!C$2:C$78)-IMshareC!C$3),0))</f>
        <v>1.6916665094308746E-2</v>
      </c>
      <c r="D49" s="8">
        <f>IF($A49=D$1,0,IF(SUM(IMshareC!D$2:D$78)-IMshareC!D$4&gt;0,IMshareC!D49/(SUM(IMshareC!D$2:D$78)-IMshareC!D$4),0))</f>
        <v>5.2014499732828297E-3</v>
      </c>
      <c r="E49" s="8">
        <f>IF($A49=E$1,0,IF(SUM(IMshareC!E$2:E$78)-IMshareC!E$5&gt;0,IMshareC!E49/(SUM(IMshareC!E$2:E$78)-IMshareC!E$5),0))</f>
        <v>1.1175980765012826E-3</v>
      </c>
      <c r="F49" s="8">
        <f>IF($A49=F$1,0,IF(SUM(IMshareC!F$2:F$78)-IMshareC!F$6&gt;0,IMshareC!F49/(SUM(IMshareC!F$2:F$78)-IMshareC!F$6),0))</f>
        <v>0</v>
      </c>
      <c r="G49" s="8">
        <f>IF($A49=G$1,0,IF(SUM(IMshareC!G$2:G$78)-IMshareC!G$7&gt;0,IMshareC!G49/(SUM(IMshareC!G$2:G$78)-IMshareC!G$7),0))</f>
        <v>7.9000428502005906E-4</v>
      </c>
      <c r="H49" s="8">
        <f>IF($A49=H$1,0,IF(SUM(IMshareC!H$2:H$78)-IMshareC!H$8&gt;0,IMshareC!H49/(SUM(IMshareC!H$2:H$78)-IMshareC!H$8),0))</f>
        <v>0</v>
      </c>
      <c r="I49" s="8">
        <f>IF($A49=I$1,0,IF(SUM(IMshareC!I$2:I$78)-IMshareC!I$9&gt;0,IMshareC!I49/(SUM(IMshareC!I$2:I$78)-IMshareC!I$9),0))</f>
        <v>3.0457927750554597E-2</v>
      </c>
      <c r="J49" s="8">
        <f>IF($A49=J$1,0,IF(SUM(IMshareC!J$2:J$78)-IMshareC!J$10&gt;0,IMshareC!J49/(SUM(IMshareC!J$2:J$78)-IMshareC!J$10),0))</f>
        <v>2.7957708345028219E-2</v>
      </c>
      <c r="K49" s="8">
        <f>IF($A49=K$1,0,IF(SUM(IMshareC!K$2:K$78)-IMshareC!K$11&gt;0,IMshareC!K49/(SUM(IMshareC!K$2:K$78)-IMshareC!K$11),0))</f>
        <v>3.86691311444975E-2</v>
      </c>
      <c r="L49" s="8">
        <f>IF($A49=L$1,0,IF(SUM(IMshareC!L$2:L$78)-IMshareC!L$12&gt;0,IMshareC!L49/(SUM(IMshareC!L$2:L$78)-IMshareC!L$12),0))</f>
        <v>3.274125218545879E-3</v>
      </c>
      <c r="M49" s="8">
        <f>IF($A49=M$1,0,IF(SUM(IMshareC!M$2:M$78)-IMshareC!M$13&gt;0,IMshareC!M49/(SUM(IMshareC!M$2:M$78)-IMshareC!M$13),0))</f>
        <v>3.1262502435373263E-2</v>
      </c>
      <c r="N49" s="8">
        <f>IF($A49=N$1,0,IF(SUM(IMshareC!N$2:N$78)-IMshareC!N$14&gt;0,IMshareC!N49/(SUM(IMshareC!N$2:N$78)-IMshareC!N$14),0))</f>
        <v>8.3472768740148248E-3</v>
      </c>
      <c r="O49" s="8">
        <f>IF($A49=O$1,0,IF(SUM(IMshareC!O$2:O$78)-IMshareC!O$15&gt;0,IMshareC!O49/(SUM(IMshareC!O$2:O$78)-IMshareC!O$15),0))</f>
        <v>3.6458609386309827E-3</v>
      </c>
      <c r="P49" s="8">
        <f>IF($A49=P$1,0,IF(SUM(IMshareC!P$2:P$78)-IMshareC!P$16&gt;0,IMshareC!P49/(SUM(IMshareC!P$2:P$78)-IMshareC!P$16),0))</f>
        <v>0</v>
      </c>
      <c r="Q49" s="8">
        <f>IF($A49=Q$1,0,IF(SUM(IMshareC!Q$2:Q$78)-IMshareC!Q$17&gt;0,IMshareC!Q49/(SUM(IMshareC!Q$2:Q$78)-IMshareC!Q$17),0))</f>
        <v>5.6787249371843443E-2</v>
      </c>
      <c r="R49" s="8">
        <f>IF($A49=R$1,0,IF(SUM(IMshareC!R$2:R$78)-IMshareC!R$18&gt;0,IMshareC!R49/(SUM(IMshareC!R$2:R$78)-IMshareC!R$18),0))</f>
        <v>1.8012679801891647E-2</v>
      </c>
      <c r="S49" s="8">
        <f>IF($A49=S$1,0,IF(SUM(IMshareC!S$2:S$78)-IMshareC!S$19&gt;0,IMshareC!S49/(SUM(IMshareC!S$2:S$78)-IMshareC!S$19),0))</f>
        <v>3.2950455787620925E-4</v>
      </c>
      <c r="T49" s="8">
        <f>IF($A49=T$1,0,IF(SUM(IMshareC!T$2:T$78)-IMshareC!T$20&gt;0,IMshareC!T49/(SUM(IMshareC!T$2:T$78)-IMshareC!T$20),0))</f>
        <v>1.9537669691094806E-3</v>
      </c>
      <c r="U49" s="8">
        <f>IF($A49=U$1,0,IF(SUM(IMshareC!U$2:U$78)-IMshareC!U$21&gt;0,IMshareC!U49/(SUM(IMshareC!U$2:U$78)-IMshareC!U$21),0))</f>
        <v>5.0987618068548046E-3</v>
      </c>
      <c r="V49" s="8">
        <f>IF($A49=V$1,0,IF(SUM(IMshareC!V$2:V$78)-IMshareC!V$22&gt;0,IMshareC!V49/(SUM(IMshareC!V$2:V$78)-IMshareC!V$22),0))</f>
        <v>1.5031671013940884E-3</v>
      </c>
      <c r="W49" s="8">
        <f>IF($A49=W$1,0,IF(SUM(IMshareC!W$2:W$78)-IMshareC!W$23&gt;0,IMshareC!W49/(SUM(IMshareC!W$2:W$78)-IMshareC!W$23),0))</f>
        <v>5.1689558683995279E-3</v>
      </c>
      <c r="X49" s="8">
        <f>IF($A49=X$1,0,IF(SUM(IMshareC!X$2:X$78)-IMshareC!X$24&gt;0,IMshareC!X49/(SUM(IMshareC!X$2:X$78)-IMshareC!X$24),0))</f>
        <v>6.1275309343244364E-3</v>
      </c>
      <c r="Y49" s="8">
        <f>IF($A49=Y$1,0,IF(SUM(IMshareC!Y$2:Y$78)-IMshareC!Y$25&gt;0,IMshareC!Y49/(SUM(IMshareC!Y$2:Y$78)-IMshareC!Y$25),0))</f>
        <v>8.1685396936719921E-3</v>
      </c>
      <c r="Z49" s="8">
        <f>IF($A49=Z$1,0,IF(SUM(IMshareC!Z$2:Z$78)-IMshareC!Z$26&gt;0,IMshareC!Z49/(SUM(IMshareC!Z$2:Z$78)-IMshareC!Z$26),0))</f>
        <v>2.073240742273671E-3</v>
      </c>
      <c r="AA49" s="8">
        <f>IF($A49=AA$1,0,IF(SUM(IMshareC!AA$2:AA$78)-IMshareC!AA$27&gt;0,IMshareC!AA49/(SUM(IMshareC!AA$2:AA$78)-IMshareC!AA$27),0))</f>
        <v>6.4094629111414395E-3</v>
      </c>
      <c r="AB49" s="8">
        <f>IF($A49=AB$1,0,IF(SUM(IMshareC!AB$2:AB$78)-IMshareC!AB$28&gt;0,IMshareC!AB49/(SUM(IMshareC!AB$2:AB$78)-IMshareC!AB$28),0))</f>
        <v>7.6591096221745036E-3</v>
      </c>
      <c r="AC49" s="8">
        <f>IF($A49=AC$1,0,IF(SUM(IMshareC!AC$2:AC$78)-IMshareC!AC$29&gt;0,IMshareC!AC49/(SUM(IMshareC!AC$2:AC$78)-IMshareC!AC$29),0))</f>
        <v>9.6713576691130309E-5</v>
      </c>
      <c r="AD49" s="8">
        <f>IF($A49=AD$1,0,IF(SUM(IMshareC!AD$2:AD$78)-IMshareC!AD$30&gt;0,IMshareC!AD49/(SUM(IMshareC!AD$2:AD$78)-IMshareC!AD$30),0))</f>
        <v>1.310687241671215E-3</v>
      </c>
      <c r="AE49" s="8">
        <f>IF($A49=AE$1,0,IF(SUM(IMshareC!AE$2:AE$78)-IMshareC!AE$31&gt;0,IMshareC!AE49/(SUM(IMshareC!AE$2:AE$78)-IMshareC!AE$31),0))</f>
        <v>2.4138649282452119E-4</v>
      </c>
      <c r="AF49" s="8">
        <f>IF($A49=AF$1,0,IF(SUM(IMshareC!AF$2:AF$78)-IMshareC!AF$32&gt;0,IMshareC!AF49/(SUM(IMshareC!AF$2:AF$78)-IMshareC!AF$32),0))</f>
        <v>7.4415439325118257E-3</v>
      </c>
      <c r="AG49" s="8">
        <f>IF($A49=AG$1,0,IF(SUM(IMshareC!AG$2:AG$78)-IMshareC!AG$33&gt;0,IMshareC!AG49/(SUM(IMshareC!AG$2:AG$78)-IMshareC!AG$33),0))</f>
        <v>3.2825272615445164E-3</v>
      </c>
      <c r="AH49" s="8">
        <f>IF($A49=AH$1,0,IF(SUM(IMshareC!AH$2:AH$78)-IMshareC!AH$34&gt;0,IMshareC!AH49/(SUM(IMshareC!AH$2:AH$78)-IMshareC!AH$34),0))</f>
        <v>5.2793516568483889E-4</v>
      </c>
      <c r="AI49" s="8">
        <f>IF($A49=AI$1,0,IF(SUM(IMshareC!AI$2:AI$78)-IMshareC!AI$35&gt;0,IMshareC!AI49/(SUM(IMshareC!AI$2:AI$78)-IMshareC!AI$35),0))</f>
        <v>3.5960508363721427E-4</v>
      </c>
      <c r="AJ49" s="8">
        <f>IF($A49=AJ$1,0,IF(SUM(IMshareC!AJ$2:AJ$78)-IMshareC!AJ$36&gt;0,IMshareC!AJ49/(SUM(IMshareC!AJ$2:AJ$78)-IMshareC!AJ$36),0))</f>
        <v>4.20381371620792E-3</v>
      </c>
      <c r="AK49" s="8">
        <f>IF($A49=AK$1,0,IF(SUM(IMshareC!AK$2:AK$78)-IMshareC!AK$37&gt;0,IMshareC!AK49/(SUM(IMshareC!AK$2:AK$78)-IMshareC!AK$37),0))</f>
        <v>8.0729215811069406E-4</v>
      </c>
      <c r="AL49" s="8">
        <f>IF($A49=AL$1,0,IF(SUM(IMshareC!AL$2:AL$78)-IMshareC!AL$38&gt;0,IMshareC!AL49/(SUM(IMshareC!AL$2:AL$78)-IMshareC!AL$38),0))</f>
        <v>3.5504830894023268E-3</v>
      </c>
      <c r="AM49" s="8">
        <f>IF($A49=AM$1,0,IF(SUM(IMshareC!AM$2:AM$78)-IMshareC!AM$39&gt;0,IMshareC!AM49/(SUM(IMshareC!AM$2:AM$78)-IMshareC!AM$39),0))</f>
        <v>1.6534460471523335E-2</v>
      </c>
      <c r="AN49" s="8">
        <f>IF($A49=AN$1,0,IF(SUM(IMshareC!AN$2:AN$78)-IMshareC!AN$40&gt;0,IMshareC!AN49/(SUM(IMshareC!AN$2:AN$78)-IMshareC!AN$40),0))</f>
        <v>1.7536519999236304E-3</v>
      </c>
      <c r="AO49" s="8">
        <f>IF($A49=AO$1,0,IF(SUM(IMshareC!AO$2:AO$78)-IMshareC!AO$41&gt;0,IMshareC!AO49/(SUM(IMshareC!AO$2:AO$78)-IMshareC!AO$41),0))</f>
        <v>0</v>
      </c>
      <c r="AP49" s="8">
        <f>IF($A49=AP$1,0,IF(SUM(IMshareC!AP$2:AP$78)-IMshareC!AP$42&gt;0,IMshareC!AP49/(SUM(IMshareC!AP$2:AP$78)-IMshareC!AP$42),0))</f>
        <v>1.0016916298300871E-5</v>
      </c>
      <c r="AQ49" s="8">
        <f>IF($A49=AQ$1,0,IF(SUM(IMshareC!AQ$2:AQ$78)-IMshareC!AQ$43&gt;0,IMshareC!AQ49/(SUM(IMshareC!AQ$2:AQ$78)-IMshareC!AQ$43),0))</f>
        <v>1.6795502223524996E-3</v>
      </c>
      <c r="AR49" s="8">
        <f>IF($A49=AR$1,0,IF(SUM(IMshareC!AR$2:AR$78)-IMshareC!AR$44&gt;0,IMshareC!AR49/(SUM(IMshareC!AR$2:AR$78)-IMshareC!AR$44),0))</f>
        <v>0</v>
      </c>
      <c r="AS49" s="8">
        <f>IF($A49=AS$1,0,IF(SUM(IMshareC!AS$2:AS$78)-IMshareC!AS$45&gt;0,IMshareC!AS49/(SUM(IMshareC!AS$2:AS$78)-IMshareC!AS$45),0))</f>
        <v>4.0620280705980756E-3</v>
      </c>
      <c r="AT49" s="8">
        <f>IF($A49=AT$1,0,IF(SUM(IMshareC!AT$2:AT$78)-IMshareC!AT$46&gt;0,IMshareC!AT49/(SUM(IMshareC!AT$2:AT$78)-IMshareC!AT$46),0))</f>
        <v>7.8563054611599536E-4</v>
      </c>
      <c r="AU49" s="8">
        <f>IF($A49=AU$1,0,IF(SUM(IMshareC!AU$2:AU$78)-IMshareC!AU$47&gt;0,IMshareC!AU49/(SUM(IMshareC!AU$2:AU$78)-IMshareC!AU$47),0))</f>
        <v>3.7878138300750068E-4</v>
      </c>
      <c r="AV49" s="8">
        <f>IF($A49=AV$1,0,IF(SUM(IMshareC!AV$2:AV$78)-IMshareC!AV$48&gt;0,IMshareC!AV49/(SUM(IMshareC!AV$2:AV$78)-IMshareC!AV$48),0))</f>
        <v>1.4477833626786942E-3</v>
      </c>
      <c r="AW49" s="8">
        <f>IF($A49=AW$1,0,IF(SUM(IMshareC!AW$2:AW$78)-IMshareC!AW$49&gt;0,IMshareC!AW49/(SUM(IMshareC!AW$2:AW$78)-IMshareC!AW$49),0))</f>
        <v>0</v>
      </c>
      <c r="AX49" s="8">
        <f>IF($A49=AX$1,0,IF(SUM(IMshareC!AX$2:AX$78)-IMshareC!AX$50&gt;0,IMshareC!AX49/(SUM(IMshareC!AX$2:AX$78)-IMshareC!AX$50),0))</f>
        <v>4.8135595479293288E-5</v>
      </c>
      <c r="AY49" s="8">
        <f>IF($A49=AY$1,0,IF(SUM(IMshareC!AY$2:AY$78)-IMshareC!AY$51&gt;0,IMshareC!AY49/(SUM(IMshareC!AY$2:AY$78)-IMshareC!AY$51),0))</f>
        <v>0</v>
      </c>
      <c r="AZ49" s="8">
        <f>IF($A49=AZ$1,0,IF(SUM(IMshareC!AZ$2:AZ$78)-IMshareC!AZ$52&gt;0,IMshareC!AZ49/(SUM(IMshareC!AZ$2:AZ$78)-IMshareC!AZ$52),0))</f>
        <v>9.4386491461717409E-4</v>
      </c>
      <c r="BA49" s="8">
        <f>IF($A49=BA$1,0,IF(SUM(IMshareC!BA$2:BA$78)-IMshareC!BA$53&gt;0,IMshareC!BA49/(SUM(IMshareC!BA$2:BA$78)-IMshareC!BA$53),0))</f>
        <v>4.431616715000964E-3</v>
      </c>
      <c r="BB49" s="8">
        <f>IF($A49=BB$1,0,IF(SUM(IMshareC!BB$2:BB$78)-IMshareC!BB$54&gt;0,IMshareC!BB49/(SUM(IMshareC!BB$2:BB$78)-IMshareC!BB$54),0))</f>
        <v>4.5327794953461181E-3</v>
      </c>
      <c r="BC49" s="8">
        <f>IF($A49=BC$1,0,IF(SUM(IMshareC!BC$2:BC$78)-IMshareC!BC$55&gt;0,IMshareC!BC49/(SUM(IMshareC!BC$2:BC$78)-IMshareC!BC$55),0))</f>
        <v>3.1631212644037451E-3</v>
      </c>
      <c r="BD49" s="8">
        <f>IF($A49=BD$1,0,IF(SUM(IMshareC!BD$2:BD$78)-IMshareC!BD$56&gt;0,IMshareC!BD49/(SUM(IMshareC!BD$2:BD$78)-IMshareC!BD$56),0))</f>
        <v>1.2330060225398464E-2</v>
      </c>
      <c r="BE49" s="8">
        <f>IF($A49=BE$1,0,IF(SUM(IMshareC!BE$2:BE$78)-IMshareC!BE$57&gt;0,IMshareC!BE49/(SUM(IMshareC!BE$2:BE$78)-IMshareC!BE$57),0))</f>
        <v>6.3267819989208636E-3</v>
      </c>
      <c r="BF49" s="8">
        <f>IF($A49=BF$1,0,IF(SUM(IMshareC!BF$2:BF$78)-IMshareC!BF$58&gt;0,IMshareC!BF49/(SUM(IMshareC!BF$2:BF$78)-IMshareC!BF$58),0))</f>
        <v>1.6138582677905411E-2</v>
      </c>
      <c r="BG49" s="8">
        <f>IF($A49=BG$1,0,IF(SUM(IMshareC!BG$2:BG$78)-IMshareC!BG$59&gt;0,IMshareC!BG49/(SUM(IMshareC!BG$2:BG$78)-IMshareC!BG$59),0))</f>
        <v>3.8567516285602417E-4</v>
      </c>
      <c r="BH49" s="8">
        <f>IF($A49=BH$1,0,IF(SUM(IMshareC!BH$2:BH$78)-IMshareC!BH$60&gt;0,IMshareC!BH49/(SUM(IMshareC!BH$2:BH$78)-IMshareC!BH$60),0))</f>
        <v>3.098435768821667E-3</v>
      </c>
      <c r="BI49" s="8">
        <f>IF($A49=BI$1,0,IF(SUM(IMshareC!BI$2:BI$78)-IMshareC!BI$61&gt;0,IMshareC!BI49/(SUM(IMshareC!BI$2:BI$78)-IMshareC!BI$61),0))</f>
        <v>1.6098441537269665E-3</v>
      </c>
      <c r="BJ49" s="8">
        <f>IF($A49=BJ$1,0,IF(SUM(IMshareC!BJ$2:BJ$78)-IMshareC!BJ$62&gt;0,IMshareC!BJ49/(SUM(IMshareC!BJ$2:BJ$78)-IMshareC!BJ$62),0))</f>
        <v>7.8558665632918947E-4</v>
      </c>
      <c r="BK49" s="8">
        <f>IF($A49=BK$1,0,IF(SUM(IMshareC!BK$2:BK$78)-IMshareC!BK$63&gt;0,IMshareC!BK49/(SUM(IMshareC!BK$2:BK$78)-IMshareC!BK$63),0))</f>
        <v>0</v>
      </c>
      <c r="BL49" s="8">
        <f>IF($A49=BL$1,0,IF(SUM(IMshareC!BL$2:BL$78)-IMshareC!BL$64&gt;0,IMshareC!BL49/(SUM(IMshareC!BL$2:BL$78)-IMshareC!BL$64),0))</f>
        <v>0</v>
      </c>
      <c r="BM49" s="8">
        <f>IF($A49=BM$1,0,IF(SUM(IMshareC!BM$2:BM$78)-IMshareC!BM$65&gt;0,IMshareC!BM49/(SUM(IMshareC!BM$2:BM$78)-IMshareC!BM$65),0))</f>
        <v>9.9529779780483611E-4</v>
      </c>
      <c r="BN49" s="8">
        <f>IF($A49=BN$1,0,IF(SUM(IMshareC!BN$2:BN$78)-IMshareC!BN$66&gt;0,IMshareC!BN49/(SUM(IMshareC!BN$2:BN$78)-IMshareC!BN$66),0))</f>
        <v>1.4204269559767401E-3</v>
      </c>
      <c r="BO49" s="8">
        <f>IF($A49=BO$1,0,IF(SUM(IMshareC!BO$2:BO$78)-IMshareC!BO$67&gt;0,IMshareC!BO49/(SUM(IMshareC!BO$2:BO$78)-IMshareC!BO$67),0))</f>
        <v>2.0822613822940772E-3</v>
      </c>
      <c r="BP49" s="8">
        <f>IF($A49=BP$1,0,IF(SUM(IMshareC!BP$2:BP$78)-IMshareC!BP$68&gt;0,IMshareC!BP49/(SUM(IMshareC!BP$2:BP$78)-IMshareC!BP$68),0))</f>
        <v>1.0408148958829615E-2</v>
      </c>
      <c r="BQ49" s="8">
        <f>IF($A49=BQ$1,0,IF(SUM(IMshareC!BQ$2:BQ$78)-IMshareC!BQ$69&gt;0,IMshareC!BQ49/(SUM(IMshareC!BQ$2:BQ$78)-IMshareC!BQ$69),0))</f>
        <v>2.7201534376296048E-3</v>
      </c>
      <c r="BR49" s="8">
        <f>IF($A49=BR$1,0,IF(SUM(IMshareC!BR$2:BR$78)-IMshareC!BR$70&gt;0,IMshareC!BR49/(SUM(IMshareC!BR$2:BR$78)-IMshareC!BR$70),0))</f>
        <v>2.2385796585444161E-3</v>
      </c>
      <c r="BS49" s="8">
        <f>IF($A49=BS$1,0,IF(SUM(IMshareC!BS$2:BS$78)-IMshareC!BS$71&gt;0,IMshareC!BS49/(SUM(IMshareC!BS$2:BS$78)-IMshareC!BS$71),0))</f>
        <v>1.6479958155568629E-3</v>
      </c>
      <c r="BT49" s="8">
        <f>IF($A49=BT$1,0,IF(SUM(IMshareC!BT$2:BT$78)-IMshareC!BT$72&gt;0,IMshareC!BT49/(SUM(IMshareC!BT$2:BT$78)-IMshareC!BT$72),0))</f>
        <v>5.7255908378515824E-3</v>
      </c>
      <c r="BU49" s="8">
        <f>IF($A49=BU$1,0,IF(SUM(IMshareC!BU$2:BU$78)-IMshareC!BU$73&gt;0,IMshareC!BU49/(SUM(IMshareC!BU$2:BU$78)-IMshareC!BU$73),0))</f>
        <v>9.2362948998059476E-3</v>
      </c>
      <c r="BV49" s="8">
        <f>IF($A49=BV$1,0,IF(SUM(IMshareC!BV$2:BV$78)-IMshareC!BV$74&gt;0,IMshareC!BV49/(SUM(IMshareC!BV$2:BV$78)-IMshareC!BV$74),0))</f>
        <v>4.3883700039355818E-3</v>
      </c>
      <c r="BW49" s="8">
        <f>IF($A49=BW$1,0,IF(SUM(IMshareC!BW$2:BW$78)-IMshareC!BW$75&gt;0,IMshareC!BW49/(SUM(IMshareC!BW$2:BW$78)-IMshareC!BW$75),0))</f>
        <v>6.5154333429279773E-2</v>
      </c>
      <c r="BX49" s="8">
        <f>IF($A49=BX$1,0,IF(SUM(IMshareC!BX$2:BX$78)-IMshareC!BX$76&gt;0,IMshareC!BX49/(SUM(IMshareC!BX$2:BX$78)-IMshareC!BX$76),0))</f>
        <v>7.7972757921921662E-3</v>
      </c>
      <c r="BY49" s="8">
        <f>IF($A49=BY$1,0,IF(SUM(IMshareC!BY$2:BY$78)-IMshareC!BY$77&gt;0,IMshareC!BY49/(SUM(IMshareC!BY$2:BY$78)-IMshareC!BY$77),0))</f>
        <v>5.939045596914729E-3</v>
      </c>
      <c r="BZ49" s="8">
        <f>IF($A49=BZ$1,0,IF(SUM(IMshareC!BZ$2:BZ$78)-IMshareC!BZ$78&gt;0,IMshareC!BZ49/(SUM(IMshareC!BZ$2:BZ$78)-IMshareC!BZ$78),0))</f>
        <v>2.0136062518674655E-2</v>
      </c>
    </row>
    <row r="50" spans="1:78">
      <c r="A50" s="4" t="s">
        <v>167</v>
      </c>
      <c r="B50" s="8">
        <f>IF($A50=B$1,0,IF(SUM(IMshareC!B$2:B$78)-IMshareC!B$2&gt;0,IMshareC!B50/(SUM(IMshareC!B$2:B$78)-IMshareC!B$2),0))</f>
        <v>3.5569191885940247E-5</v>
      </c>
      <c r="C50" s="8">
        <f>IF($A50=C$1,0,IF(SUM(IMshareC!C$2:C$78)-IMshareC!C$3&gt;0,IMshareC!C50/(SUM(IMshareC!C$2:C$78)-IMshareC!C$3),0))</f>
        <v>5.5188759076016435E-4</v>
      </c>
      <c r="D50" s="8">
        <f>IF($A50=D$1,0,IF(SUM(IMshareC!D$2:D$78)-IMshareC!D$4&gt;0,IMshareC!D50/(SUM(IMshareC!D$2:D$78)-IMshareC!D$4),0))</f>
        <v>1.2973593086897772E-3</v>
      </c>
      <c r="E50" s="8">
        <f>IF($A50=E$1,0,IF(SUM(IMshareC!E$2:E$78)-IMshareC!E$5&gt;0,IMshareC!E50/(SUM(IMshareC!E$2:E$78)-IMshareC!E$5),0))</f>
        <v>1.2127521802125293E-6</v>
      </c>
      <c r="F50" s="8">
        <f>IF($A50=F$1,0,IF(SUM(IMshareC!F$2:F$78)-IMshareC!F$6&gt;0,IMshareC!F50/(SUM(IMshareC!F$2:F$78)-IMshareC!F$6),0))</f>
        <v>0</v>
      </c>
      <c r="G50" s="8">
        <f>IF($A50=G$1,0,IF(SUM(IMshareC!G$2:G$78)-IMshareC!G$7&gt;0,IMshareC!G50/(SUM(IMshareC!G$2:G$78)-IMshareC!G$7),0))</f>
        <v>1.4227758751890663E-4</v>
      </c>
      <c r="H50" s="8">
        <f>IF($A50=H$1,0,IF(SUM(IMshareC!H$2:H$78)-IMshareC!H$8&gt;0,IMshareC!H50/(SUM(IMshareC!H$2:H$78)-IMshareC!H$8),0))</f>
        <v>0</v>
      </c>
      <c r="I50" s="8">
        <f>IF($A50=I$1,0,IF(SUM(IMshareC!I$2:I$78)-IMshareC!I$9&gt;0,IMshareC!I50/(SUM(IMshareC!I$2:I$78)-IMshareC!I$9),0))</f>
        <v>1.6014489267705634E-3</v>
      </c>
      <c r="J50" s="8">
        <f>IF($A50=J$1,0,IF(SUM(IMshareC!J$2:J$78)-IMshareC!J$10&gt;0,IMshareC!J50/(SUM(IMshareC!J$2:J$78)-IMshareC!J$10),0))</f>
        <v>0</v>
      </c>
      <c r="K50" s="8">
        <f>IF($A50=K$1,0,IF(SUM(IMshareC!K$2:K$78)-IMshareC!K$11&gt;0,IMshareC!K50/(SUM(IMshareC!K$2:K$78)-IMshareC!K$11),0))</f>
        <v>1.4170446189277117E-3</v>
      </c>
      <c r="L50" s="8">
        <f>IF($A50=L$1,0,IF(SUM(IMshareC!L$2:L$78)-IMshareC!L$12&gt;0,IMshareC!L50/(SUM(IMshareC!L$2:L$78)-IMshareC!L$12),0))</f>
        <v>2.5926998004335037E-3</v>
      </c>
      <c r="M50" s="8">
        <f>IF($A50=M$1,0,IF(SUM(IMshareC!M$2:M$78)-IMshareC!M$13&gt;0,IMshareC!M50/(SUM(IMshareC!M$2:M$78)-IMshareC!M$13),0))</f>
        <v>2.0782782409468853E-5</v>
      </c>
      <c r="N50" s="8">
        <f>IF($A50=N$1,0,IF(SUM(IMshareC!N$2:N$78)-IMshareC!N$14&gt;0,IMshareC!N50/(SUM(IMshareC!N$2:N$78)-IMshareC!N$14),0))</f>
        <v>1.329842260421417E-3</v>
      </c>
      <c r="O50" s="8">
        <f>IF($A50=O$1,0,IF(SUM(IMshareC!O$2:O$78)-IMshareC!O$15&gt;0,IMshareC!O50/(SUM(IMshareC!O$2:O$78)-IMshareC!O$15),0))</f>
        <v>2.0563638942163996E-6</v>
      </c>
      <c r="P50" s="8">
        <f>IF($A50=P$1,0,IF(SUM(IMshareC!P$2:P$78)-IMshareC!P$16&gt;0,IMshareC!P50/(SUM(IMshareC!P$2:P$78)-IMshareC!P$16),0))</f>
        <v>0</v>
      </c>
      <c r="Q50" s="8">
        <f>IF($A50=Q$1,0,IF(SUM(IMshareC!Q$2:Q$78)-IMshareC!Q$17&gt;0,IMshareC!Q50/(SUM(IMshareC!Q$2:Q$78)-IMshareC!Q$17),0))</f>
        <v>2.8069716037489472E-5</v>
      </c>
      <c r="R50" s="8">
        <f>IF($A50=R$1,0,IF(SUM(IMshareC!R$2:R$78)-IMshareC!R$18&gt;0,IMshareC!R50/(SUM(IMshareC!R$2:R$78)-IMshareC!R$18),0))</f>
        <v>0</v>
      </c>
      <c r="S50" s="8">
        <f>IF($A50=S$1,0,IF(SUM(IMshareC!S$2:S$78)-IMshareC!S$19&gt;0,IMshareC!S50/(SUM(IMshareC!S$2:S$78)-IMshareC!S$19),0))</f>
        <v>3.0321510962168299E-3</v>
      </c>
      <c r="T50" s="8">
        <f>IF($A50=T$1,0,IF(SUM(IMshareC!T$2:T$78)-IMshareC!T$20&gt;0,IMshareC!T50/(SUM(IMshareC!T$2:T$78)-IMshareC!T$20),0))</f>
        <v>9.6372989533461924E-4</v>
      </c>
      <c r="U50" s="8">
        <f>IF($A50=U$1,0,IF(SUM(IMshareC!U$2:U$78)-IMshareC!U$21&gt;0,IMshareC!U50/(SUM(IMshareC!U$2:U$78)-IMshareC!U$21),0))</f>
        <v>3.3532406740220668E-3</v>
      </c>
      <c r="V50" s="8">
        <f>IF($A50=V$1,0,IF(SUM(IMshareC!V$2:V$78)-IMshareC!V$22&gt;0,IMshareC!V50/(SUM(IMshareC!V$2:V$78)-IMshareC!V$22),0))</f>
        <v>2.6578171486082211E-8</v>
      </c>
      <c r="W50" s="8">
        <f>IF($A50=W$1,0,IF(SUM(IMshareC!W$2:W$78)-IMshareC!W$23&gt;0,IMshareC!W50/(SUM(IMshareC!W$2:W$78)-IMshareC!W$23),0))</f>
        <v>4.1532052895940584E-6</v>
      </c>
      <c r="X50" s="8">
        <f>IF($A50=X$1,0,IF(SUM(IMshareC!X$2:X$78)-IMshareC!X$24&gt;0,IMshareC!X50/(SUM(IMshareC!X$2:X$78)-IMshareC!X$24),0))</f>
        <v>6.5255993402546552E-4</v>
      </c>
      <c r="Y50" s="8">
        <f>IF($A50=Y$1,0,IF(SUM(IMshareC!Y$2:Y$78)-IMshareC!Y$25&gt;0,IMshareC!Y50/(SUM(IMshareC!Y$2:Y$78)-IMshareC!Y$25),0))</f>
        <v>3.0939487672510549E-4</v>
      </c>
      <c r="Z50" s="8">
        <f>IF($A50=Z$1,0,IF(SUM(IMshareC!Z$2:Z$78)-IMshareC!Z$26&gt;0,IMshareC!Z50/(SUM(IMshareC!Z$2:Z$78)-IMshareC!Z$26),0))</f>
        <v>1.7206673854435481E-4</v>
      </c>
      <c r="AA50" s="8">
        <f>IF($A50=AA$1,0,IF(SUM(IMshareC!AA$2:AA$78)-IMshareC!AA$27&gt;0,IMshareC!AA50/(SUM(IMshareC!AA$2:AA$78)-IMshareC!AA$27),0))</f>
        <v>2.1878567725156457E-2</v>
      </c>
      <c r="AB50" s="8">
        <f>IF($A50=AB$1,0,IF(SUM(IMshareC!AB$2:AB$78)-IMshareC!AB$28&gt;0,IMshareC!AB50/(SUM(IMshareC!AB$2:AB$78)-IMshareC!AB$28),0))</f>
        <v>1.1131239861989987E-2</v>
      </c>
      <c r="AC50" s="8">
        <f>IF($A50=AC$1,0,IF(SUM(IMshareC!AC$2:AC$78)-IMshareC!AC$29&gt;0,IMshareC!AC50/(SUM(IMshareC!AC$2:AC$78)-IMshareC!AC$29),0))</f>
        <v>3.2130553790906406E-3</v>
      </c>
      <c r="AD50" s="8">
        <f>IF($A50=AD$1,0,IF(SUM(IMshareC!AD$2:AD$78)-IMshareC!AD$30&gt;0,IMshareC!AD50/(SUM(IMshareC!AD$2:AD$78)-IMshareC!AD$30),0))</f>
        <v>1.4436040435155241E-3</v>
      </c>
      <c r="AE50" s="8">
        <f>IF($A50=AE$1,0,IF(SUM(IMshareC!AE$2:AE$78)-IMshareC!AE$31&gt;0,IMshareC!AE50/(SUM(IMshareC!AE$2:AE$78)-IMshareC!AE$31),0))</f>
        <v>2.2680549563868749E-4</v>
      </c>
      <c r="AF50" s="8">
        <f>IF($A50=AF$1,0,IF(SUM(IMshareC!AF$2:AF$78)-IMshareC!AF$32&gt;0,IMshareC!AF50/(SUM(IMshareC!AF$2:AF$78)-IMshareC!AF$32),0))</f>
        <v>1.5550947493759617E-5</v>
      </c>
      <c r="AG50" s="8">
        <f>IF($A50=AG$1,0,IF(SUM(IMshareC!AG$2:AG$78)-IMshareC!AG$33&gt;0,IMshareC!AG50/(SUM(IMshareC!AG$2:AG$78)-IMshareC!AG$33),0))</f>
        <v>2.1439711112898254E-5</v>
      </c>
      <c r="AH50" s="8">
        <f>IF($A50=AH$1,0,IF(SUM(IMshareC!AH$2:AH$78)-IMshareC!AH$34&gt;0,IMshareC!AH50/(SUM(IMshareC!AH$2:AH$78)-IMshareC!AH$34),0))</f>
        <v>2.493039004703576E-4</v>
      </c>
      <c r="AI50" s="8">
        <f>IF($A50=AI$1,0,IF(SUM(IMshareC!AI$2:AI$78)-IMshareC!AI$35&gt;0,IMshareC!AI50/(SUM(IMshareC!AI$2:AI$78)-IMshareC!AI$35),0))</f>
        <v>2.4056100114224424E-5</v>
      </c>
      <c r="AJ50" s="8">
        <f>IF($A50=AJ$1,0,IF(SUM(IMshareC!AJ$2:AJ$78)-IMshareC!AJ$36&gt;0,IMshareC!AJ50/(SUM(IMshareC!AJ$2:AJ$78)-IMshareC!AJ$36),0))</f>
        <v>0</v>
      </c>
      <c r="AK50" s="8">
        <f>IF($A50=AK$1,0,IF(SUM(IMshareC!AK$2:AK$78)-IMshareC!AK$37&gt;0,IMshareC!AK50/(SUM(IMshareC!AK$2:AK$78)-IMshareC!AK$37),0))</f>
        <v>1.5622285486451713E-5</v>
      </c>
      <c r="AL50" s="8">
        <f>IF($A50=AL$1,0,IF(SUM(IMshareC!AL$2:AL$78)-IMshareC!AL$38&gt;0,IMshareC!AL50/(SUM(IMshareC!AL$2:AL$78)-IMshareC!AL$38),0))</f>
        <v>1.5144923450937601E-3</v>
      </c>
      <c r="AM50" s="8">
        <f>IF($A50=AM$1,0,IF(SUM(IMshareC!AM$2:AM$78)-IMshareC!AM$39&gt;0,IMshareC!AM50/(SUM(IMshareC!AM$2:AM$78)-IMshareC!AM$39),0))</f>
        <v>0</v>
      </c>
      <c r="AN50" s="8">
        <f>IF($A50=AN$1,0,IF(SUM(IMshareC!AN$2:AN$78)-IMshareC!AN$40&gt;0,IMshareC!AN50/(SUM(IMshareC!AN$2:AN$78)-IMshareC!AN$40),0))</f>
        <v>1.8117025367630574E-4</v>
      </c>
      <c r="AO50" s="8">
        <f>IF($A50=AO$1,0,IF(SUM(IMshareC!AO$2:AO$78)-IMshareC!AO$41&gt;0,IMshareC!AO50/(SUM(IMshareC!AO$2:AO$78)-IMshareC!AO$41),0))</f>
        <v>0</v>
      </c>
      <c r="AP50" s="8">
        <f>IF($A50=AP$1,0,IF(SUM(IMshareC!AP$2:AP$78)-IMshareC!AP$42&gt;0,IMshareC!AP50/(SUM(IMshareC!AP$2:AP$78)-IMshareC!AP$42),0))</f>
        <v>1.1675984915823772E-4</v>
      </c>
      <c r="AQ50" s="8">
        <f>IF($A50=AQ$1,0,IF(SUM(IMshareC!AQ$2:AQ$78)-IMshareC!AQ$43&gt;0,IMshareC!AQ50/(SUM(IMshareC!AQ$2:AQ$78)-IMshareC!AQ$43),0))</f>
        <v>1.2232157115875165E-3</v>
      </c>
      <c r="AR50" s="8">
        <f>IF($A50=AR$1,0,IF(SUM(IMshareC!AR$2:AR$78)-IMshareC!AR$44&gt;0,IMshareC!AR50/(SUM(IMshareC!AR$2:AR$78)-IMshareC!AR$44),0))</f>
        <v>0</v>
      </c>
      <c r="AS50" s="8">
        <f>IF($A50=AS$1,0,IF(SUM(IMshareC!AS$2:AS$78)-IMshareC!AS$45&gt;0,IMshareC!AS50/(SUM(IMshareC!AS$2:AS$78)-IMshareC!AS$45),0))</f>
        <v>3.3583586671249043E-5</v>
      </c>
      <c r="AT50" s="8">
        <f>IF($A50=AT$1,0,IF(SUM(IMshareC!AT$2:AT$78)-IMshareC!AT$46&gt;0,IMshareC!AT50/(SUM(IMshareC!AT$2:AT$78)-IMshareC!AT$46),0))</f>
        <v>8.0579120553354871E-5</v>
      </c>
      <c r="AU50" s="8">
        <f>IF($A50=AU$1,0,IF(SUM(IMshareC!AU$2:AU$78)-IMshareC!AU$47&gt;0,IMshareC!AU50/(SUM(IMshareC!AU$2:AU$78)-IMshareC!AU$47),0))</f>
        <v>0</v>
      </c>
      <c r="AV50" s="8">
        <f>IF($A50=AV$1,0,IF(SUM(IMshareC!AV$2:AV$78)-IMshareC!AV$48&gt;0,IMshareC!AV50/(SUM(IMshareC!AV$2:AV$78)-IMshareC!AV$48),0))</f>
        <v>6.1380851504005977E-6</v>
      </c>
      <c r="AW50" s="8">
        <f>IF($A50=AW$1,0,IF(SUM(IMshareC!AW$2:AW$78)-IMshareC!AW$49&gt;0,IMshareC!AW50/(SUM(IMshareC!AW$2:AW$78)-IMshareC!AW$49),0))</f>
        <v>1.3941046252460433E-3</v>
      </c>
      <c r="AX50" s="8">
        <f>IF($A50=AX$1,0,IF(SUM(IMshareC!AX$2:AX$78)-IMshareC!AX$50&gt;0,IMshareC!AX50/(SUM(IMshareC!AX$2:AX$78)-IMshareC!AX$50),0))</f>
        <v>0</v>
      </c>
      <c r="AY50" s="8">
        <f>IF($A50=AY$1,0,IF(SUM(IMshareC!AY$2:AY$78)-IMshareC!AY$51&gt;0,IMshareC!AY50/(SUM(IMshareC!AY$2:AY$78)-IMshareC!AY$51),0))</f>
        <v>0</v>
      </c>
      <c r="AZ50" s="8">
        <f>IF($A50=AZ$1,0,IF(SUM(IMshareC!AZ$2:AZ$78)-IMshareC!AZ$52&gt;0,IMshareC!AZ50/(SUM(IMshareC!AZ$2:AZ$78)-IMshareC!AZ$52),0))</f>
        <v>8.0520459307300305E-4</v>
      </c>
      <c r="BA50" s="8">
        <f>IF($A50=BA$1,0,IF(SUM(IMshareC!BA$2:BA$78)-IMshareC!BA$53&gt;0,IMshareC!BA50/(SUM(IMshareC!BA$2:BA$78)-IMshareC!BA$53),0))</f>
        <v>6.3949214654776586E-6</v>
      </c>
      <c r="BB50" s="8">
        <f>IF($A50=BB$1,0,IF(SUM(IMshareC!BB$2:BB$78)-IMshareC!BB$54&gt;0,IMshareC!BB50/(SUM(IMshareC!BB$2:BB$78)-IMshareC!BB$54),0))</f>
        <v>9.7422183895524995E-6</v>
      </c>
      <c r="BC50" s="8">
        <f>IF($A50=BC$1,0,IF(SUM(IMshareC!BC$2:BC$78)-IMshareC!BC$55&gt;0,IMshareC!BC50/(SUM(IMshareC!BC$2:BC$78)-IMshareC!BC$55),0))</f>
        <v>6.5706902583086352E-4</v>
      </c>
      <c r="BD50" s="8">
        <f>IF($A50=BD$1,0,IF(SUM(IMshareC!BD$2:BD$78)-IMshareC!BD$56&gt;0,IMshareC!BD50/(SUM(IMshareC!BD$2:BD$78)-IMshareC!BD$56),0))</f>
        <v>5.845621495635993E-4</v>
      </c>
      <c r="BE50" s="8">
        <f>IF($A50=BE$1,0,IF(SUM(IMshareC!BE$2:BE$78)-IMshareC!BE$57&gt;0,IMshareC!BE50/(SUM(IMshareC!BE$2:BE$78)-IMshareC!BE$57),0))</f>
        <v>0</v>
      </c>
      <c r="BF50" s="8">
        <f>IF($A50=BF$1,0,IF(SUM(IMshareC!BF$2:BF$78)-IMshareC!BF$58&gt;0,IMshareC!BF50/(SUM(IMshareC!BF$2:BF$78)-IMshareC!BF$58),0))</f>
        <v>2.0952093424812649E-4</v>
      </c>
      <c r="BG50" s="8">
        <f>IF($A50=BG$1,0,IF(SUM(IMshareC!BG$2:BG$78)-IMshareC!BG$59&gt;0,IMshareC!BG50/(SUM(IMshareC!BG$2:BG$78)-IMshareC!BG$59),0))</f>
        <v>1.6046339946662003E-4</v>
      </c>
      <c r="BH50" s="8">
        <f>IF($A50=BH$1,0,IF(SUM(IMshareC!BH$2:BH$78)-IMshareC!BH$60&gt;0,IMshareC!BH50/(SUM(IMshareC!BH$2:BH$78)-IMshareC!BH$60),0))</f>
        <v>3.325656156460039E-4</v>
      </c>
      <c r="BI50" s="8">
        <f>IF($A50=BI$1,0,IF(SUM(IMshareC!BI$2:BI$78)-IMshareC!BI$61&gt;0,IMshareC!BI50/(SUM(IMshareC!BI$2:BI$78)-IMshareC!BI$61),0))</f>
        <v>3.8892049724303383E-6</v>
      </c>
      <c r="BJ50" s="8">
        <f>IF($A50=BJ$1,0,IF(SUM(IMshareC!BJ$2:BJ$78)-IMshareC!BJ$62&gt;0,IMshareC!BJ50/(SUM(IMshareC!BJ$2:BJ$78)-IMshareC!BJ$62),0))</f>
        <v>9.4126914833457645E-5</v>
      </c>
      <c r="BK50" s="8">
        <f>IF($A50=BK$1,0,IF(SUM(IMshareC!BK$2:BK$78)-IMshareC!BK$63&gt;0,IMshareC!BK50/(SUM(IMshareC!BK$2:BK$78)-IMshareC!BK$63),0))</f>
        <v>0</v>
      </c>
      <c r="BL50" s="8">
        <f>IF($A50=BL$1,0,IF(SUM(IMshareC!BL$2:BL$78)-IMshareC!BL$64&gt;0,IMshareC!BL50/(SUM(IMshareC!BL$2:BL$78)-IMshareC!BL$64),0))</f>
        <v>3.9215298611907038E-6</v>
      </c>
      <c r="BM50" s="8">
        <f>IF($A50=BM$1,0,IF(SUM(IMshareC!BM$2:BM$78)-IMshareC!BM$65&gt;0,IMshareC!BM50/(SUM(IMshareC!BM$2:BM$78)-IMshareC!BM$65),0))</f>
        <v>0</v>
      </c>
      <c r="BN50" s="8">
        <f>IF($A50=BN$1,0,IF(SUM(IMshareC!BN$2:BN$78)-IMshareC!BN$66&gt;0,IMshareC!BN50/(SUM(IMshareC!BN$2:BN$78)-IMshareC!BN$66),0))</f>
        <v>1.721906545967887E-3</v>
      </c>
      <c r="BO50" s="8">
        <f>IF($A50=BO$1,0,IF(SUM(IMshareC!BO$2:BO$78)-IMshareC!BO$67&gt;0,IMshareC!BO50/(SUM(IMshareC!BO$2:BO$78)-IMshareC!BO$67),0))</f>
        <v>5.6875079134859723E-3</v>
      </c>
      <c r="BP50" s="8">
        <f>IF($A50=BP$1,0,IF(SUM(IMshareC!BP$2:BP$78)-IMshareC!BP$68&gt;0,IMshareC!BP50/(SUM(IMshareC!BP$2:BP$78)-IMshareC!BP$68),0))</f>
        <v>7.9354651620982348E-4</v>
      </c>
      <c r="BQ50" s="8">
        <f>IF($A50=BQ$1,0,IF(SUM(IMshareC!BQ$2:BQ$78)-IMshareC!BQ$69&gt;0,IMshareC!BQ50/(SUM(IMshareC!BQ$2:BQ$78)-IMshareC!BQ$69),0))</f>
        <v>0</v>
      </c>
      <c r="BR50" s="8">
        <f>IF($A50=BR$1,0,IF(SUM(IMshareC!BR$2:BR$78)-IMshareC!BR$70&gt;0,IMshareC!BR50/(SUM(IMshareC!BR$2:BR$78)-IMshareC!BR$70),0))</f>
        <v>9.9232141011243035E-4</v>
      </c>
      <c r="BS50" s="8">
        <f>IF($A50=BS$1,0,IF(SUM(IMshareC!BS$2:BS$78)-IMshareC!BS$71&gt;0,IMshareC!BS50/(SUM(IMshareC!BS$2:BS$78)-IMshareC!BS$71),0))</f>
        <v>8.9530883643406403E-5</v>
      </c>
      <c r="BT50" s="8">
        <f>IF($A50=BT$1,0,IF(SUM(IMshareC!BT$2:BT$78)-IMshareC!BT$72&gt;0,IMshareC!BT50/(SUM(IMshareC!BT$2:BT$78)-IMshareC!BT$72),0))</f>
        <v>2.6438584203151169E-4</v>
      </c>
      <c r="BU50" s="8">
        <f>IF($A50=BU$1,0,IF(SUM(IMshareC!BU$2:BU$78)-IMshareC!BU$73&gt;0,IMshareC!BU50/(SUM(IMshareC!BU$2:BU$78)-IMshareC!BU$73),0))</f>
        <v>2.9652417268901228E-4</v>
      </c>
      <c r="BV50" s="8">
        <f>IF($A50=BV$1,0,IF(SUM(IMshareC!BV$2:BV$78)-IMshareC!BV$74&gt;0,IMshareC!BV50/(SUM(IMshareC!BV$2:BV$78)-IMshareC!BV$74),0))</f>
        <v>5.7879795709418367E-4</v>
      </c>
      <c r="BW50" s="8">
        <f>IF($A50=BW$1,0,IF(SUM(IMshareC!BW$2:BW$78)-IMshareC!BW$75&gt;0,IMshareC!BW50/(SUM(IMshareC!BW$2:BW$78)-IMshareC!BW$75),0))</f>
        <v>2.996632249440846E-3</v>
      </c>
      <c r="BX50" s="8">
        <f>IF($A50=BX$1,0,IF(SUM(IMshareC!BX$2:BX$78)-IMshareC!BX$76&gt;0,IMshareC!BX50/(SUM(IMshareC!BX$2:BX$78)-IMshareC!BX$76),0))</f>
        <v>4.7993491672585777E-4</v>
      </c>
      <c r="BY50" s="8">
        <f>IF($A50=BY$1,0,IF(SUM(IMshareC!BY$2:BY$78)-IMshareC!BY$77&gt;0,IMshareC!BY50/(SUM(IMshareC!BY$2:BY$78)-IMshareC!BY$77),0))</f>
        <v>1.1445010660651571E-3</v>
      </c>
      <c r="BZ50" s="8">
        <f>IF($A50=BZ$1,0,IF(SUM(IMshareC!BZ$2:BZ$78)-IMshareC!BZ$78&gt;0,IMshareC!BZ50/(SUM(IMshareC!BZ$2:BZ$78)-IMshareC!BZ$78),0))</f>
        <v>5.28368508480214E-5</v>
      </c>
    </row>
    <row r="51" spans="1:78">
      <c r="A51" s="4" t="s">
        <v>169</v>
      </c>
      <c r="B51" s="8">
        <f>IF($A51=B$1,0,IF(SUM(IMshareC!B$2:B$78)-IMshareC!B$2&gt;0,IMshareC!B51/(SUM(IMshareC!B$2:B$78)-IMshareC!B$2),0))</f>
        <v>2.889913764749333E-5</v>
      </c>
      <c r="C51" s="8">
        <f>IF($A51=C$1,0,IF(SUM(IMshareC!C$2:C$78)-IMshareC!C$3&gt;0,IMshareC!C51/(SUM(IMshareC!C$2:C$78)-IMshareC!C$3),0))</f>
        <v>8.1548782906944767E-7</v>
      </c>
      <c r="D51" s="8">
        <f>IF($A51=D$1,0,IF(SUM(IMshareC!D$2:D$78)-IMshareC!D$4&gt;0,IMshareC!D51/(SUM(IMshareC!D$2:D$78)-IMshareC!D$4),0))</f>
        <v>3.7121725547211596E-6</v>
      </c>
      <c r="E51" s="8">
        <f>IF($A51=E$1,0,IF(SUM(IMshareC!E$2:E$78)-IMshareC!E$5&gt;0,IMshareC!E51/(SUM(IMshareC!E$2:E$78)-IMshareC!E$5),0))</f>
        <v>0</v>
      </c>
      <c r="F51" s="8">
        <f>IF($A51=F$1,0,IF(SUM(IMshareC!F$2:F$78)-IMshareC!F$6&gt;0,IMshareC!F51/(SUM(IMshareC!F$2:F$78)-IMshareC!F$6),0))</f>
        <v>0</v>
      </c>
      <c r="G51" s="8">
        <f>IF($A51=G$1,0,IF(SUM(IMshareC!G$2:G$78)-IMshareC!G$7&gt;0,IMshareC!G51/(SUM(IMshareC!G$2:G$78)-IMshareC!G$7),0))</f>
        <v>0</v>
      </c>
      <c r="H51" s="8">
        <f>IF($A51=H$1,0,IF(SUM(IMshareC!H$2:H$78)-IMshareC!H$8&gt;0,IMshareC!H51/(SUM(IMshareC!H$2:H$78)-IMshareC!H$8),0))</f>
        <v>0</v>
      </c>
      <c r="I51" s="8">
        <f>IF($A51=I$1,0,IF(SUM(IMshareC!I$2:I$78)-IMshareC!I$9&gt;0,IMshareC!I51/(SUM(IMshareC!I$2:I$78)-IMshareC!I$9),0))</f>
        <v>1.9430847154864032E-5</v>
      </c>
      <c r="J51" s="8">
        <f>IF($A51=J$1,0,IF(SUM(IMshareC!J$2:J$78)-IMshareC!J$10&gt;0,IMshareC!J51/(SUM(IMshareC!J$2:J$78)-IMshareC!J$10),0))</f>
        <v>0</v>
      </c>
      <c r="K51" s="8">
        <f>IF($A51=K$1,0,IF(SUM(IMshareC!K$2:K$78)-IMshareC!K$11&gt;0,IMshareC!K51/(SUM(IMshareC!K$2:K$78)-IMshareC!K$11),0))</f>
        <v>2.5979614670985667E-6</v>
      </c>
      <c r="L51" s="8">
        <f>IF($A51=L$1,0,IF(SUM(IMshareC!L$2:L$78)-IMshareC!L$12&gt;0,IMshareC!L51/(SUM(IMshareC!L$2:L$78)-IMshareC!L$12),0))</f>
        <v>1.3012314216886546E-5</v>
      </c>
      <c r="M51" s="8">
        <f>IF($A51=M$1,0,IF(SUM(IMshareC!M$2:M$78)-IMshareC!M$13&gt;0,IMshareC!M51/(SUM(IMshareC!M$2:M$78)-IMshareC!M$13),0))</f>
        <v>8.761569327771328E-6</v>
      </c>
      <c r="N51" s="8">
        <f>IF($A51=N$1,0,IF(SUM(IMshareC!N$2:N$78)-IMshareC!N$14&gt;0,IMshareC!N51/(SUM(IMshareC!N$2:N$78)-IMshareC!N$14),0))</f>
        <v>1.6006706494321631E-7</v>
      </c>
      <c r="O51" s="8">
        <f>IF($A51=O$1,0,IF(SUM(IMshareC!O$2:O$78)-IMshareC!O$15&gt;0,IMshareC!O51/(SUM(IMshareC!O$2:O$78)-IMshareC!O$15),0))</f>
        <v>0</v>
      </c>
      <c r="P51" s="8">
        <f>IF($A51=P$1,0,IF(SUM(IMshareC!P$2:P$78)-IMshareC!P$16&gt;0,IMshareC!P51/(SUM(IMshareC!P$2:P$78)-IMshareC!P$16),0))</f>
        <v>0</v>
      </c>
      <c r="Q51" s="8">
        <f>IF($A51=Q$1,0,IF(SUM(IMshareC!Q$2:Q$78)-IMshareC!Q$17&gt;0,IMshareC!Q51/(SUM(IMshareC!Q$2:Q$78)-IMshareC!Q$17),0))</f>
        <v>0</v>
      </c>
      <c r="R51" s="8">
        <f>IF($A51=R$1,0,IF(SUM(IMshareC!R$2:R$78)-IMshareC!R$18&gt;0,IMshareC!R51/(SUM(IMshareC!R$2:R$78)-IMshareC!R$18),0))</f>
        <v>0</v>
      </c>
      <c r="S51" s="8">
        <f>IF($A51=S$1,0,IF(SUM(IMshareC!S$2:S$78)-IMshareC!S$19&gt;0,IMshareC!S51/(SUM(IMshareC!S$2:S$78)-IMshareC!S$19),0))</f>
        <v>0</v>
      </c>
      <c r="T51" s="8">
        <f>IF($A51=T$1,0,IF(SUM(IMshareC!T$2:T$78)-IMshareC!T$20&gt;0,IMshareC!T51/(SUM(IMshareC!T$2:T$78)-IMshareC!T$20),0))</f>
        <v>0</v>
      </c>
      <c r="U51" s="8">
        <f>IF($A51=U$1,0,IF(SUM(IMshareC!U$2:U$78)-IMshareC!U$21&gt;0,IMshareC!U51/(SUM(IMshareC!U$2:U$78)-IMshareC!U$21),0))</f>
        <v>5.2605491613921506E-6</v>
      </c>
      <c r="V51" s="8">
        <f>IF($A51=V$1,0,IF(SUM(IMshareC!V$2:V$78)-IMshareC!V$22&gt;0,IMshareC!V51/(SUM(IMshareC!V$2:V$78)-IMshareC!V$22),0))</f>
        <v>6.3749082506198129E-8</v>
      </c>
      <c r="W51" s="8">
        <f>IF($A51=W$1,0,IF(SUM(IMshareC!W$2:W$78)-IMshareC!W$23&gt;0,IMshareC!W51/(SUM(IMshareC!W$2:W$78)-IMshareC!W$23),0))</f>
        <v>0</v>
      </c>
      <c r="X51" s="8">
        <f>IF($A51=X$1,0,IF(SUM(IMshareC!X$2:X$78)-IMshareC!X$24&gt;0,IMshareC!X51/(SUM(IMshareC!X$2:X$78)-IMshareC!X$24),0))</f>
        <v>4.325928553938898E-6</v>
      </c>
      <c r="Y51" s="8">
        <f>IF($A51=Y$1,0,IF(SUM(IMshareC!Y$2:Y$78)-IMshareC!Y$25&gt;0,IMshareC!Y51/(SUM(IMshareC!Y$2:Y$78)-IMshareC!Y$25),0))</f>
        <v>1.1981207335508684E-4</v>
      </c>
      <c r="Z51" s="8">
        <f>IF($A51=Z$1,0,IF(SUM(IMshareC!Z$2:Z$78)-IMshareC!Z$26&gt;0,IMshareC!Z51/(SUM(IMshareC!Z$2:Z$78)-IMshareC!Z$26),0))</f>
        <v>3.932664516592354E-9</v>
      </c>
      <c r="AA51" s="8">
        <f>IF($A51=AA$1,0,IF(SUM(IMshareC!AA$2:AA$78)-IMshareC!AA$27&gt;0,IMshareC!AA51/(SUM(IMshareC!AA$2:AA$78)-IMshareC!AA$27),0))</f>
        <v>1.1480769717596803E-5</v>
      </c>
      <c r="AB51" s="8">
        <f>IF($A51=AB$1,0,IF(SUM(IMshareC!AB$2:AB$78)-IMshareC!AB$28&gt;0,IMshareC!AB51/(SUM(IMshareC!AB$2:AB$78)-IMshareC!AB$28),0))</f>
        <v>3.4373057553067211E-6</v>
      </c>
      <c r="AC51" s="8">
        <f>IF($A51=AC$1,0,IF(SUM(IMshareC!AC$2:AC$78)-IMshareC!AC$29&gt;0,IMshareC!AC51/(SUM(IMshareC!AC$2:AC$78)-IMshareC!AC$29),0))</f>
        <v>0</v>
      </c>
      <c r="AD51" s="8">
        <f>IF($A51=AD$1,0,IF(SUM(IMshareC!AD$2:AD$78)-IMshareC!AD$30&gt;0,IMshareC!AD51/(SUM(IMshareC!AD$2:AD$78)-IMshareC!AD$30),0))</f>
        <v>9.9264228259298703E-8</v>
      </c>
      <c r="AE51" s="8">
        <f>IF($A51=AE$1,0,IF(SUM(IMshareC!AE$2:AE$78)-IMshareC!AE$31&gt;0,IMshareC!AE51/(SUM(IMshareC!AE$2:AE$78)-IMshareC!AE$31),0))</f>
        <v>0</v>
      </c>
      <c r="AF51" s="8">
        <f>IF($A51=AF$1,0,IF(SUM(IMshareC!AF$2:AF$78)-IMshareC!AF$32&gt;0,IMshareC!AF51/(SUM(IMshareC!AF$2:AF$78)-IMshareC!AF$32),0))</f>
        <v>0</v>
      </c>
      <c r="AG51" s="8">
        <f>IF($A51=AG$1,0,IF(SUM(IMshareC!AG$2:AG$78)-IMshareC!AG$33&gt;0,IMshareC!AG51/(SUM(IMshareC!AG$2:AG$78)-IMshareC!AG$33),0))</f>
        <v>2.7662061280847572E-9</v>
      </c>
      <c r="AH51" s="8">
        <f>IF($A51=AH$1,0,IF(SUM(IMshareC!AH$2:AH$78)-IMshareC!AH$34&gt;0,IMshareC!AH51/(SUM(IMshareC!AH$2:AH$78)-IMshareC!AH$34),0))</f>
        <v>1.2927708272357655E-7</v>
      </c>
      <c r="AI51" s="8">
        <f>IF($A51=AI$1,0,IF(SUM(IMshareC!AI$2:AI$78)-IMshareC!AI$35&gt;0,IMshareC!AI51/(SUM(IMshareC!AI$2:AI$78)-IMshareC!AI$35),0))</f>
        <v>1.1938030595372992E-7</v>
      </c>
      <c r="AJ51" s="8">
        <f>IF($A51=AJ$1,0,IF(SUM(IMshareC!AJ$2:AJ$78)-IMshareC!AJ$36&gt;0,IMshareC!AJ51/(SUM(IMshareC!AJ$2:AJ$78)-IMshareC!AJ$36),0))</f>
        <v>0</v>
      </c>
      <c r="AK51" s="8">
        <f>IF($A51=AK$1,0,IF(SUM(IMshareC!AK$2:AK$78)-IMshareC!AK$37&gt;0,IMshareC!AK51/(SUM(IMshareC!AK$2:AK$78)-IMshareC!AK$37),0))</f>
        <v>0</v>
      </c>
      <c r="AL51" s="8">
        <f>IF($A51=AL$1,0,IF(SUM(IMshareC!AL$2:AL$78)-IMshareC!AL$38&gt;0,IMshareC!AL51/(SUM(IMshareC!AL$2:AL$78)-IMshareC!AL$38),0))</f>
        <v>3.9055405261317627E-6</v>
      </c>
      <c r="AM51" s="8">
        <f>IF($A51=AM$1,0,IF(SUM(IMshareC!AM$2:AM$78)-IMshareC!AM$39&gt;0,IMshareC!AM51/(SUM(IMshareC!AM$2:AM$78)-IMshareC!AM$39),0))</f>
        <v>0</v>
      </c>
      <c r="AN51" s="8">
        <f>IF($A51=AN$1,0,IF(SUM(IMshareC!AN$2:AN$78)-IMshareC!AN$40&gt;0,IMshareC!AN51/(SUM(IMshareC!AN$2:AN$78)-IMshareC!AN$40),0))</f>
        <v>2.5310817542489238E-4</v>
      </c>
      <c r="AO51" s="8">
        <f>IF($A51=AO$1,0,IF(SUM(IMshareC!AO$2:AO$78)-IMshareC!AO$41&gt;0,IMshareC!AO51/(SUM(IMshareC!AO$2:AO$78)-IMshareC!AO$41),0))</f>
        <v>0</v>
      </c>
      <c r="AP51" s="8">
        <f>IF($A51=AP$1,0,IF(SUM(IMshareC!AP$2:AP$78)-IMshareC!AP$42&gt;0,IMshareC!AP51/(SUM(IMshareC!AP$2:AP$78)-IMshareC!AP$42),0))</f>
        <v>6.3456439759911791E-6</v>
      </c>
      <c r="AQ51" s="8">
        <f>IF($A51=AQ$1,0,IF(SUM(IMshareC!AQ$2:AQ$78)-IMshareC!AQ$43&gt;0,IMshareC!AQ51/(SUM(IMshareC!AQ$2:AQ$78)-IMshareC!AQ$43),0))</f>
        <v>5.4299912622688988E-7</v>
      </c>
      <c r="AR51" s="8">
        <f>IF($A51=AR$1,0,IF(SUM(IMshareC!AR$2:AR$78)-IMshareC!AR$44&gt;0,IMshareC!AR51/(SUM(IMshareC!AR$2:AR$78)-IMshareC!AR$44),0))</f>
        <v>0</v>
      </c>
      <c r="AS51" s="8">
        <f>IF($A51=AS$1,0,IF(SUM(IMshareC!AS$2:AS$78)-IMshareC!AS$45&gt;0,IMshareC!AS51/(SUM(IMshareC!AS$2:AS$78)-IMshareC!AS$45),0))</f>
        <v>0</v>
      </c>
      <c r="AT51" s="8">
        <f>IF($A51=AT$1,0,IF(SUM(IMshareC!AT$2:AT$78)-IMshareC!AT$46&gt;0,IMshareC!AT51/(SUM(IMshareC!AT$2:AT$78)-IMshareC!AT$46),0))</f>
        <v>0</v>
      </c>
      <c r="AU51" s="8">
        <f>IF($A51=AU$1,0,IF(SUM(IMshareC!AU$2:AU$78)-IMshareC!AU$47&gt;0,IMshareC!AU51/(SUM(IMshareC!AU$2:AU$78)-IMshareC!AU$47),0))</f>
        <v>0</v>
      </c>
      <c r="AV51" s="8">
        <f>IF($A51=AV$1,0,IF(SUM(IMshareC!AV$2:AV$78)-IMshareC!AV$48&gt;0,IMshareC!AV51/(SUM(IMshareC!AV$2:AV$78)-IMshareC!AV$48),0))</f>
        <v>2.7442603397614965E-6</v>
      </c>
      <c r="AW51" s="8">
        <f>IF($A51=AW$1,0,IF(SUM(IMshareC!AW$2:AW$78)-IMshareC!AW$49&gt;0,IMshareC!AW51/(SUM(IMshareC!AW$2:AW$78)-IMshareC!AW$49),0))</f>
        <v>0</v>
      </c>
      <c r="AX51" s="8">
        <f>IF($A51=AX$1,0,IF(SUM(IMshareC!AX$2:AX$78)-IMshareC!AX$50&gt;0,IMshareC!AX51/(SUM(IMshareC!AX$2:AX$78)-IMshareC!AX$50),0))</f>
        <v>0</v>
      </c>
      <c r="AY51" s="8">
        <f>IF($A51=AY$1,0,IF(SUM(IMshareC!AY$2:AY$78)-IMshareC!AY$51&gt;0,IMshareC!AY51/(SUM(IMshareC!AY$2:AY$78)-IMshareC!AY$51),0))</f>
        <v>0</v>
      </c>
      <c r="AZ51" s="8">
        <f>IF($A51=AZ$1,0,IF(SUM(IMshareC!AZ$2:AZ$78)-IMshareC!AZ$52&gt;0,IMshareC!AZ51/(SUM(IMshareC!AZ$2:AZ$78)-IMshareC!AZ$52),0))</f>
        <v>2.401659411624332E-8</v>
      </c>
      <c r="BA51" s="8">
        <f>IF($A51=BA$1,0,IF(SUM(IMshareC!BA$2:BA$78)-IMshareC!BA$53&gt;0,IMshareC!BA51/(SUM(IMshareC!BA$2:BA$78)-IMshareC!BA$53),0))</f>
        <v>0</v>
      </c>
      <c r="BB51" s="8">
        <f>IF($A51=BB$1,0,IF(SUM(IMshareC!BB$2:BB$78)-IMshareC!BB$54&gt;0,IMshareC!BB51/(SUM(IMshareC!BB$2:BB$78)-IMshareC!BB$54),0))</f>
        <v>7.2153824140337758E-6</v>
      </c>
      <c r="BC51" s="8">
        <f>IF($A51=BC$1,0,IF(SUM(IMshareC!BC$2:BC$78)-IMshareC!BC$55&gt;0,IMshareC!BC51/(SUM(IMshareC!BC$2:BC$78)-IMshareC!BC$55),0))</f>
        <v>0</v>
      </c>
      <c r="BD51" s="8">
        <f>IF($A51=BD$1,0,IF(SUM(IMshareC!BD$2:BD$78)-IMshareC!BD$56&gt;0,IMshareC!BD51/(SUM(IMshareC!BD$2:BD$78)-IMshareC!BD$56),0))</f>
        <v>0</v>
      </c>
      <c r="BE51" s="8">
        <f>IF($A51=BE$1,0,IF(SUM(IMshareC!BE$2:BE$78)-IMshareC!BE$57&gt;0,IMshareC!BE51/(SUM(IMshareC!BE$2:BE$78)-IMshareC!BE$57),0))</f>
        <v>0</v>
      </c>
      <c r="BF51" s="8">
        <f>IF($A51=BF$1,0,IF(SUM(IMshareC!BF$2:BF$78)-IMshareC!BF$58&gt;0,IMshareC!BF51/(SUM(IMshareC!BF$2:BF$78)-IMshareC!BF$58),0))</f>
        <v>0</v>
      </c>
      <c r="BG51" s="8">
        <f>IF($A51=BG$1,0,IF(SUM(IMshareC!BG$2:BG$78)-IMshareC!BG$59&gt;0,IMshareC!BG51/(SUM(IMshareC!BG$2:BG$78)-IMshareC!BG$59),0))</f>
        <v>6.3640078057653703E-7</v>
      </c>
      <c r="BH51" s="8">
        <f>IF($A51=BH$1,0,IF(SUM(IMshareC!BH$2:BH$78)-IMshareC!BH$60&gt;0,IMshareC!BH51/(SUM(IMshareC!BH$2:BH$78)-IMshareC!BH$60),0))</f>
        <v>3.8788687994709482E-7</v>
      </c>
      <c r="BI51" s="8">
        <f>IF($A51=BI$1,0,IF(SUM(IMshareC!BI$2:BI$78)-IMshareC!BI$61&gt;0,IMshareC!BI51/(SUM(IMshareC!BI$2:BI$78)-IMshareC!BI$61),0))</f>
        <v>0</v>
      </c>
      <c r="BJ51" s="8">
        <f>IF($A51=BJ$1,0,IF(SUM(IMshareC!BJ$2:BJ$78)-IMshareC!BJ$62&gt;0,IMshareC!BJ51/(SUM(IMshareC!BJ$2:BJ$78)-IMshareC!BJ$62),0))</f>
        <v>0</v>
      </c>
      <c r="BK51" s="8">
        <f>IF($A51=BK$1,0,IF(SUM(IMshareC!BK$2:BK$78)-IMshareC!BK$63&gt;0,IMshareC!BK51/(SUM(IMshareC!BK$2:BK$78)-IMshareC!BK$63),0))</f>
        <v>0</v>
      </c>
      <c r="BL51" s="8">
        <f>IF($A51=BL$1,0,IF(SUM(IMshareC!BL$2:BL$78)-IMshareC!BL$64&gt;0,IMshareC!BL51/(SUM(IMshareC!BL$2:BL$78)-IMshareC!BL$64),0))</f>
        <v>0</v>
      </c>
      <c r="BM51" s="8">
        <f>IF($A51=BM$1,0,IF(SUM(IMshareC!BM$2:BM$78)-IMshareC!BM$65&gt;0,IMshareC!BM51/(SUM(IMshareC!BM$2:BM$78)-IMshareC!BM$65),0))</f>
        <v>0</v>
      </c>
      <c r="BN51" s="8">
        <f>IF($A51=BN$1,0,IF(SUM(IMshareC!BN$2:BN$78)-IMshareC!BN$66&gt;0,IMshareC!BN51/(SUM(IMshareC!BN$2:BN$78)-IMshareC!BN$66),0))</f>
        <v>3.2784490753020088E-6</v>
      </c>
      <c r="BO51" s="8">
        <f>IF($A51=BO$1,0,IF(SUM(IMshareC!BO$2:BO$78)-IMshareC!BO$67&gt;0,IMshareC!BO51/(SUM(IMshareC!BO$2:BO$78)-IMshareC!BO$67),0))</f>
        <v>7.5005802977272561E-8</v>
      </c>
      <c r="BP51" s="8">
        <f>IF($A51=BP$1,0,IF(SUM(IMshareC!BP$2:BP$78)-IMshareC!BP$68&gt;0,IMshareC!BP51/(SUM(IMshareC!BP$2:BP$78)-IMshareC!BP$68),0))</f>
        <v>0</v>
      </c>
      <c r="BQ51" s="8">
        <f>IF($A51=BQ$1,0,IF(SUM(IMshareC!BQ$2:BQ$78)-IMshareC!BQ$69&gt;0,IMshareC!BQ51/(SUM(IMshareC!BQ$2:BQ$78)-IMshareC!BQ$69),0))</f>
        <v>1.0365743566004054E-6</v>
      </c>
      <c r="BR51" s="8">
        <f>IF($A51=BR$1,0,IF(SUM(IMshareC!BR$2:BR$78)-IMshareC!BR$70&gt;0,IMshareC!BR51/(SUM(IMshareC!BR$2:BR$78)-IMshareC!BR$70),0))</f>
        <v>9.6095035061101326E-8</v>
      </c>
      <c r="BS51" s="8">
        <f>IF($A51=BS$1,0,IF(SUM(IMshareC!BS$2:BS$78)-IMshareC!BS$71&gt;0,IMshareC!BS51/(SUM(IMshareC!BS$2:BS$78)-IMshareC!BS$71),0))</f>
        <v>0</v>
      </c>
      <c r="BT51" s="8">
        <f>IF($A51=BT$1,0,IF(SUM(IMshareC!BT$2:BT$78)-IMshareC!BT$72&gt;0,IMshareC!BT51/(SUM(IMshareC!BT$2:BT$78)-IMshareC!BT$72),0))</f>
        <v>4.851619771481424E-6</v>
      </c>
      <c r="BU51" s="8">
        <f>IF($A51=BU$1,0,IF(SUM(IMshareC!BU$2:BU$78)-IMshareC!BU$73&gt;0,IMshareC!BU51/(SUM(IMshareC!BU$2:BU$78)-IMshareC!BU$73),0))</f>
        <v>1.6841448347580249E-7</v>
      </c>
      <c r="BV51" s="8">
        <f>IF($A51=BV$1,0,IF(SUM(IMshareC!BV$2:BV$78)-IMshareC!BV$74&gt;0,IMshareC!BV51/(SUM(IMshareC!BV$2:BV$78)-IMshareC!BV$74),0))</f>
        <v>0</v>
      </c>
      <c r="BW51" s="8">
        <f>IF($A51=BW$1,0,IF(SUM(IMshareC!BW$2:BW$78)-IMshareC!BW$75&gt;0,IMshareC!BW51/(SUM(IMshareC!BW$2:BW$78)-IMshareC!BW$75),0))</f>
        <v>2.8453990782416256E-6</v>
      </c>
      <c r="BX51" s="8">
        <f>IF($A51=BX$1,0,IF(SUM(IMshareC!BX$2:BX$78)-IMshareC!BX$76&gt;0,IMshareC!BX51/(SUM(IMshareC!BX$2:BX$78)-IMshareC!BX$76),0))</f>
        <v>2.6372866601806023E-5</v>
      </c>
      <c r="BY51" s="8">
        <f>IF($A51=BY$1,0,IF(SUM(IMshareC!BY$2:BY$78)-IMshareC!BY$77&gt;0,IMshareC!BY51/(SUM(IMshareC!BY$2:BY$78)-IMshareC!BY$77),0))</f>
        <v>5.1315699408905399E-6</v>
      </c>
      <c r="BZ51" s="8">
        <f>IF($A51=BZ$1,0,IF(SUM(IMshareC!BZ$2:BZ$78)-IMshareC!BZ$78&gt;0,IMshareC!BZ51/(SUM(IMshareC!BZ$2:BZ$78)-IMshareC!BZ$78),0))</f>
        <v>6.527842902679198E-7</v>
      </c>
    </row>
    <row r="52" spans="1:78">
      <c r="A52" s="4" t="s">
        <v>171</v>
      </c>
      <c r="B52" s="8">
        <f>IF($A52=B$1,0,IF(SUM(IMshareC!B$2:B$78)-IMshareC!B$2&gt;0,IMshareC!B52/(SUM(IMshareC!B$2:B$78)-IMshareC!B$2),0))</f>
        <v>9.4310220059008271E-2</v>
      </c>
      <c r="C52" s="8">
        <f>IF($A52=C$1,0,IF(SUM(IMshareC!C$2:C$78)-IMshareC!C$3&gt;0,IMshareC!C52/(SUM(IMshareC!C$2:C$78)-IMshareC!C$3),0))</f>
        <v>9.7977655684627726E-2</v>
      </c>
      <c r="D52" s="8">
        <f>IF($A52=D$1,0,IF(SUM(IMshareC!D$2:D$78)-IMshareC!D$4&gt;0,IMshareC!D52/(SUM(IMshareC!D$2:D$78)-IMshareC!D$4),0))</f>
        <v>6.2744469384254972E-2</v>
      </c>
      <c r="E52" s="8">
        <f>IF($A52=E$1,0,IF(SUM(IMshareC!E$2:E$78)-IMshareC!E$5&gt;0,IMshareC!E52/(SUM(IMshareC!E$2:E$78)-IMshareC!E$5),0))</f>
        <v>3.4638478763570027E-2</v>
      </c>
      <c r="F52" s="8">
        <f>IF($A52=F$1,0,IF(SUM(IMshareC!F$2:F$78)-IMshareC!F$6&gt;0,IMshareC!F52/(SUM(IMshareC!F$2:F$78)-IMshareC!F$6),0))</f>
        <v>1.0747755795992053E-3</v>
      </c>
      <c r="G52" s="8">
        <f>IF($A52=G$1,0,IF(SUM(IMshareC!G$2:G$78)-IMshareC!G$7&gt;0,IMshareC!G52/(SUM(IMshareC!G$2:G$78)-IMshareC!G$7),0))</f>
        <v>9.3695418030554881E-2</v>
      </c>
      <c r="H52" s="8">
        <f>IF($A52=H$1,0,IF(SUM(IMshareC!H$2:H$78)-IMshareC!H$8&gt;0,IMshareC!H52/(SUM(IMshareC!H$2:H$78)-IMshareC!H$8),0))</f>
        <v>0</v>
      </c>
      <c r="I52" s="8">
        <f>IF($A52=I$1,0,IF(SUM(IMshareC!I$2:I$78)-IMshareC!I$9&gt;0,IMshareC!I52/(SUM(IMshareC!I$2:I$78)-IMshareC!I$9),0))</f>
        <v>4.6862985000308714E-2</v>
      </c>
      <c r="J52" s="8">
        <f>IF($A52=J$1,0,IF(SUM(IMshareC!J$2:J$78)-IMshareC!J$10&gt;0,IMshareC!J52/(SUM(IMshareC!J$2:J$78)-IMshareC!J$10),0))</f>
        <v>6.1349746855149948E-2</v>
      </c>
      <c r="K52" s="8">
        <f>IF($A52=K$1,0,IF(SUM(IMshareC!K$2:K$78)-IMshareC!K$11&gt;0,IMshareC!K52/(SUM(IMshareC!K$2:K$78)-IMshareC!K$11),0))</f>
        <v>0.13453367859013118</v>
      </c>
      <c r="L52" s="8">
        <f>IF($A52=L$1,0,IF(SUM(IMshareC!L$2:L$78)-IMshareC!L$12&gt;0,IMshareC!L52/(SUM(IMshareC!L$2:L$78)-IMshareC!L$12),0))</f>
        <v>0.10674103952321697</v>
      </c>
      <c r="M52" s="8">
        <f>IF($A52=M$1,0,IF(SUM(IMshareC!M$2:M$78)-IMshareC!M$13&gt;0,IMshareC!M52/(SUM(IMshareC!M$2:M$78)-IMshareC!M$13),0))</f>
        <v>2.6132181731254582E-2</v>
      </c>
      <c r="N52" s="8">
        <f>IF($A52=N$1,0,IF(SUM(IMshareC!N$2:N$78)-IMshareC!N$14&gt;0,IMshareC!N52/(SUM(IMshareC!N$2:N$78)-IMshareC!N$14),0))</f>
        <v>7.9885511441578114E-2</v>
      </c>
      <c r="O52" s="8">
        <f>IF($A52=O$1,0,IF(SUM(IMshareC!O$2:O$78)-IMshareC!O$15&gt;0,IMshareC!O52/(SUM(IMshareC!O$2:O$78)-IMshareC!O$15),0))</f>
        <v>5.2857213491906705E-3</v>
      </c>
      <c r="P52" s="8">
        <f>IF($A52=P$1,0,IF(SUM(IMshareC!P$2:P$78)-IMshareC!P$16&gt;0,IMshareC!P52/(SUM(IMshareC!P$2:P$78)-IMshareC!P$16),0))</f>
        <v>0</v>
      </c>
      <c r="Q52" s="8">
        <f>IF($A52=Q$1,0,IF(SUM(IMshareC!Q$2:Q$78)-IMshareC!Q$17&gt;0,IMshareC!Q52/(SUM(IMshareC!Q$2:Q$78)-IMshareC!Q$17),0))</f>
        <v>7.0539537385074045E-3</v>
      </c>
      <c r="R52" s="8">
        <f>IF($A52=R$1,0,IF(SUM(IMshareC!R$2:R$78)-IMshareC!R$18&gt;0,IMshareC!R52/(SUM(IMshareC!R$2:R$78)-IMshareC!R$18),0))</f>
        <v>3.003631506757681E-2</v>
      </c>
      <c r="S52" s="8">
        <f>IF($A52=S$1,0,IF(SUM(IMshareC!S$2:S$78)-IMshareC!S$19&gt;0,IMshareC!S52/(SUM(IMshareC!S$2:S$78)-IMshareC!S$19),0))</f>
        <v>1.9404134296574935E-2</v>
      </c>
      <c r="T52" s="8">
        <f>IF($A52=T$1,0,IF(SUM(IMshareC!T$2:T$78)-IMshareC!T$20&gt;0,IMshareC!T52/(SUM(IMshareC!T$2:T$78)-IMshareC!T$20),0))</f>
        <v>0.21636202184981615</v>
      </c>
      <c r="U52" s="8">
        <f>IF($A52=U$1,0,IF(SUM(IMshareC!U$2:U$78)-IMshareC!U$21&gt;0,IMshareC!U52/(SUM(IMshareC!U$2:U$78)-IMshareC!U$21),0))</f>
        <v>0.1194825291237353</v>
      </c>
      <c r="V52" s="8">
        <f>IF($A52=V$1,0,IF(SUM(IMshareC!V$2:V$78)-IMshareC!V$22&gt;0,IMshareC!V52/(SUM(IMshareC!V$2:V$78)-IMshareC!V$22),0))</f>
        <v>3.4414680710750586E-2</v>
      </c>
      <c r="W52" s="8">
        <f>IF($A52=W$1,0,IF(SUM(IMshareC!W$2:W$78)-IMshareC!W$23&gt;0,IMshareC!W52/(SUM(IMshareC!W$2:W$78)-IMshareC!W$23),0))</f>
        <v>4.5981698558233662E-3</v>
      </c>
      <c r="X52" s="8">
        <f>IF($A52=X$1,0,IF(SUM(IMshareC!X$2:X$78)-IMshareC!X$24&gt;0,IMshareC!X52/(SUM(IMshareC!X$2:X$78)-IMshareC!X$24),0))</f>
        <v>4.6592861448029758E-2</v>
      </c>
      <c r="Y52" s="8">
        <f>IF($A52=Y$1,0,IF(SUM(IMshareC!Y$2:Y$78)-IMshareC!Y$25&gt;0,IMshareC!Y52/(SUM(IMshareC!Y$2:Y$78)-IMshareC!Y$25),0))</f>
        <v>0.10432226411104355</v>
      </c>
      <c r="Z52" s="8">
        <f>IF($A52=Z$1,0,IF(SUM(IMshareC!Z$2:Z$78)-IMshareC!Z$26&gt;0,IMshareC!Z52/(SUM(IMshareC!Z$2:Z$78)-IMshareC!Z$26),0))</f>
        <v>0.110394006259511</v>
      </c>
      <c r="AA52" s="8">
        <f>IF($A52=AA$1,0,IF(SUM(IMshareC!AA$2:AA$78)-IMshareC!AA$27&gt;0,IMshareC!AA52/(SUM(IMshareC!AA$2:AA$78)-IMshareC!AA$27),0))</f>
        <v>9.9807781811637616E-2</v>
      </c>
      <c r="AB52" s="8">
        <f>IF($A52=AB$1,0,IF(SUM(IMshareC!AB$2:AB$78)-IMshareC!AB$28&gt;0,IMshareC!AB52/(SUM(IMshareC!AB$2:AB$78)-IMshareC!AB$28),0))</f>
        <v>0.13732888926288028</v>
      </c>
      <c r="AC52" s="8">
        <f>IF($A52=AC$1,0,IF(SUM(IMshareC!AC$2:AC$78)-IMshareC!AC$29&gt;0,IMshareC!AC52/(SUM(IMshareC!AC$2:AC$78)-IMshareC!AC$29),0))</f>
        <v>1.3701074239832892E-3</v>
      </c>
      <c r="AD52" s="8">
        <f>IF($A52=AD$1,0,IF(SUM(IMshareC!AD$2:AD$78)-IMshareC!AD$30&gt;0,IMshareC!AD52/(SUM(IMshareC!AD$2:AD$78)-IMshareC!AD$30),0))</f>
        <v>6.177128598223635E-2</v>
      </c>
      <c r="AE52" s="8">
        <f>IF($A52=AE$1,0,IF(SUM(IMshareC!AE$2:AE$78)-IMshareC!AE$31&gt;0,IMshareC!AE52/(SUM(IMshareC!AE$2:AE$78)-IMshareC!AE$31),0))</f>
        <v>2.4323447082952639E-3</v>
      </c>
      <c r="AF52" s="8">
        <f>IF($A52=AF$1,0,IF(SUM(IMshareC!AF$2:AF$78)-IMshareC!AF$32&gt;0,IMshareC!AF52/(SUM(IMshareC!AF$2:AF$78)-IMshareC!AF$32),0))</f>
        <v>3.7756667428809659E-3</v>
      </c>
      <c r="AG52" s="8">
        <f>IF($A52=AG$1,0,IF(SUM(IMshareC!AG$2:AG$78)-IMshareC!AG$33&gt;0,IMshareC!AG52/(SUM(IMshareC!AG$2:AG$78)-IMshareC!AG$33),0))</f>
        <v>3.88594324786058E-2</v>
      </c>
      <c r="AH52" s="8">
        <f>IF($A52=AH$1,0,IF(SUM(IMshareC!AH$2:AH$78)-IMshareC!AH$34&gt;0,IMshareC!AH52/(SUM(IMshareC!AH$2:AH$78)-IMshareC!AH$34),0))</f>
        <v>6.7910529902665152E-3</v>
      </c>
      <c r="AI52" s="8">
        <f>IF($A52=AI$1,0,IF(SUM(IMshareC!AI$2:AI$78)-IMshareC!AI$35&gt;0,IMshareC!AI52/(SUM(IMshareC!AI$2:AI$78)-IMshareC!AI$35),0))</f>
        <v>1.8793400574015472E-2</v>
      </c>
      <c r="AJ52" s="8">
        <f>IF($A52=AJ$1,0,IF(SUM(IMshareC!AJ$2:AJ$78)-IMshareC!AJ$36&gt;0,IMshareC!AJ52/(SUM(IMshareC!AJ$2:AJ$78)-IMshareC!AJ$36),0))</f>
        <v>6.5852501225559523E-2</v>
      </c>
      <c r="AK52" s="8">
        <f>IF($A52=AK$1,0,IF(SUM(IMshareC!AK$2:AK$78)-IMshareC!AK$37&gt;0,IMshareC!AK52/(SUM(IMshareC!AK$2:AK$78)-IMshareC!AK$37),0))</f>
        <v>4.2222393206626257E-6</v>
      </c>
      <c r="AL52" s="8">
        <f>IF($A52=AL$1,0,IF(SUM(IMshareC!AL$2:AL$78)-IMshareC!AL$38&gt;0,IMshareC!AL52/(SUM(IMshareC!AL$2:AL$78)-IMshareC!AL$38),0))</f>
        <v>1.5321670374723871E-2</v>
      </c>
      <c r="AM52" s="8">
        <f>IF($A52=AM$1,0,IF(SUM(IMshareC!AM$2:AM$78)-IMshareC!AM$39&gt;0,IMshareC!AM52/(SUM(IMshareC!AM$2:AM$78)-IMshareC!AM$39),0))</f>
        <v>3.2598049168472809E-2</v>
      </c>
      <c r="AN52" s="8">
        <f>IF($A52=AN$1,0,IF(SUM(IMshareC!AN$2:AN$78)-IMshareC!AN$40&gt;0,IMshareC!AN52/(SUM(IMshareC!AN$2:AN$78)-IMshareC!AN$40),0))</f>
        <v>4.0487737477340607E-2</v>
      </c>
      <c r="AO52" s="8">
        <f>IF($A52=AO$1,0,IF(SUM(IMshareC!AO$2:AO$78)-IMshareC!AO$41&gt;0,IMshareC!AO52/(SUM(IMshareC!AO$2:AO$78)-IMshareC!AO$41),0))</f>
        <v>4.0029629765137893E-4</v>
      </c>
      <c r="AP52" s="8">
        <f>IF($A52=AP$1,0,IF(SUM(IMshareC!AP$2:AP$78)-IMshareC!AP$42&gt;0,IMshareC!AP52/(SUM(IMshareC!AP$2:AP$78)-IMshareC!AP$42),0))</f>
        <v>1.1393166702663311E-2</v>
      </c>
      <c r="AQ52" s="8">
        <f>IF($A52=AQ$1,0,IF(SUM(IMshareC!AQ$2:AQ$78)-IMshareC!AQ$43&gt;0,IMshareC!AQ52/(SUM(IMshareC!AQ$2:AQ$78)-IMshareC!AQ$43),0))</f>
        <v>3.4799244387393694E-2</v>
      </c>
      <c r="AR52" s="8">
        <f>IF($A52=AR$1,0,IF(SUM(IMshareC!AR$2:AR$78)-IMshareC!AR$44&gt;0,IMshareC!AR52/(SUM(IMshareC!AR$2:AR$78)-IMshareC!AR$44),0))</f>
        <v>4.941877364077811E-4</v>
      </c>
      <c r="AS52" s="8">
        <f>IF($A52=AS$1,0,IF(SUM(IMshareC!AS$2:AS$78)-IMshareC!AS$45&gt;0,IMshareC!AS52/(SUM(IMshareC!AS$2:AS$78)-IMshareC!AS$45),0))</f>
        <v>1.5814928768419709E-2</v>
      </c>
      <c r="AT52" s="8">
        <f>IF($A52=AT$1,0,IF(SUM(IMshareC!AT$2:AT$78)-IMshareC!AT$46&gt;0,IMshareC!AT52/(SUM(IMshareC!AT$2:AT$78)-IMshareC!AT$46),0))</f>
        <v>5.0058284883668812E-3</v>
      </c>
      <c r="AU52" s="8">
        <f>IF($A52=AU$1,0,IF(SUM(IMshareC!AU$2:AU$78)-IMshareC!AU$47&gt;0,IMshareC!AU52/(SUM(IMshareC!AU$2:AU$78)-IMshareC!AU$47),0))</f>
        <v>1.673234963648158E-2</v>
      </c>
      <c r="AV52" s="8">
        <f>IF($A52=AV$1,0,IF(SUM(IMshareC!AV$2:AV$78)-IMshareC!AV$48&gt;0,IMshareC!AV52/(SUM(IMshareC!AV$2:AV$78)-IMshareC!AV$48),0))</f>
        <v>3.7863956254234623E-3</v>
      </c>
      <c r="AW52" s="8">
        <f>IF($A52=AW$1,0,IF(SUM(IMshareC!AW$2:AW$78)-IMshareC!AW$49&gt;0,IMshareC!AW52/(SUM(IMshareC!AW$2:AW$78)-IMshareC!AW$49),0))</f>
        <v>0.29992539594739026</v>
      </c>
      <c r="AX52" s="8">
        <f>IF($A52=AX$1,0,IF(SUM(IMshareC!AX$2:AX$78)-IMshareC!AX$50&gt;0,IMshareC!AX52/(SUM(IMshareC!AX$2:AX$78)-IMshareC!AX$50),0))</f>
        <v>2.3571987730287521E-2</v>
      </c>
      <c r="AY52" s="8">
        <f>IF($A52=AY$1,0,IF(SUM(IMshareC!AY$2:AY$78)-IMshareC!AY$51&gt;0,IMshareC!AY52/(SUM(IMshareC!AY$2:AY$78)-IMshareC!AY$51),0))</f>
        <v>3.0206783714597893E-3</v>
      </c>
      <c r="AZ52" s="8">
        <f>IF($A52=AZ$1,0,IF(SUM(IMshareC!AZ$2:AZ$78)-IMshareC!AZ$52&gt;0,IMshareC!AZ52/(SUM(IMshareC!AZ$2:AZ$78)-IMshareC!AZ$52),0))</f>
        <v>0</v>
      </c>
      <c r="BA52" s="8">
        <f>IF($A52=BA$1,0,IF(SUM(IMshareC!BA$2:BA$78)-IMshareC!BA$53&gt;0,IMshareC!BA52/(SUM(IMshareC!BA$2:BA$78)-IMshareC!BA$53),0))</f>
        <v>1.1515382762977775E-3</v>
      </c>
      <c r="BB52" s="8">
        <f>IF($A52=BB$1,0,IF(SUM(IMshareC!BB$2:BB$78)-IMshareC!BB$54&gt;0,IMshareC!BB52/(SUM(IMshareC!BB$2:BB$78)-IMshareC!BB$54),0))</f>
        <v>0.11294704211604993</v>
      </c>
      <c r="BC52" s="8">
        <f>IF($A52=BC$1,0,IF(SUM(IMshareC!BC$2:BC$78)-IMshareC!BC$55&gt;0,IMshareC!BC52/(SUM(IMshareC!BC$2:BC$78)-IMshareC!BC$55),0))</f>
        <v>8.9895428978744543E-2</v>
      </c>
      <c r="BD52" s="8">
        <f>IF($A52=BD$1,0,IF(SUM(IMshareC!BD$2:BD$78)-IMshareC!BD$56&gt;0,IMshareC!BD52/(SUM(IMshareC!BD$2:BD$78)-IMshareC!BD$56),0))</f>
        <v>6.8051505270850382E-2</v>
      </c>
      <c r="BE52" s="8">
        <f>IF($A52=BE$1,0,IF(SUM(IMshareC!BE$2:BE$78)-IMshareC!BE$57&gt;0,IMshareC!BE52/(SUM(IMshareC!BE$2:BE$78)-IMshareC!BE$57),0))</f>
        <v>9.4864874897294636E-3</v>
      </c>
      <c r="BF52" s="8">
        <f>IF($A52=BF$1,0,IF(SUM(IMshareC!BF$2:BF$78)-IMshareC!BF$58&gt;0,IMshareC!BF52/(SUM(IMshareC!BF$2:BF$78)-IMshareC!BF$58),0))</f>
        <v>0.13792811793074861</v>
      </c>
      <c r="BG52" s="8">
        <f>IF($A52=BG$1,0,IF(SUM(IMshareC!BG$2:BG$78)-IMshareC!BG$59&gt;0,IMshareC!BG52/(SUM(IMshareC!BG$2:BG$78)-IMshareC!BG$59),0))</f>
        <v>4.2376634208211049E-2</v>
      </c>
      <c r="BH52" s="8">
        <f>IF($A52=BH$1,0,IF(SUM(IMshareC!BH$2:BH$78)-IMshareC!BH$60&gt;0,IMshareC!BH52/(SUM(IMshareC!BH$2:BH$78)-IMshareC!BH$60),0))</f>
        <v>5.0426377611312627E-2</v>
      </c>
      <c r="BI52" s="8">
        <f>IF($A52=BI$1,0,IF(SUM(IMshareC!BI$2:BI$78)-IMshareC!BI$61&gt;0,IMshareC!BI52/(SUM(IMshareC!BI$2:BI$78)-IMshareC!BI$61),0))</f>
        <v>8.5663059532119622E-3</v>
      </c>
      <c r="BJ52" s="8">
        <f>IF($A52=BJ$1,0,IF(SUM(IMshareC!BJ$2:BJ$78)-IMshareC!BJ$62&gt;0,IMshareC!BJ52/(SUM(IMshareC!BJ$2:BJ$78)-IMshareC!BJ$62),0))</f>
        <v>7.049535848455306E-3</v>
      </c>
      <c r="BK52" s="8">
        <f>IF($A52=BK$1,0,IF(SUM(IMshareC!BK$2:BK$78)-IMshareC!BK$63&gt;0,IMshareC!BK52/(SUM(IMshareC!BK$2:BK$78)-IMshareC!BK$63),0))</f>
        <v>1.9648845485915455E-3</v>
      </c>
      <c r="BL52" s="8">
        <f>IF($A52=BL$1,0,IF(SUM(IMshareC!BL$2:BL$78)-IMshareC!BL$64&gt;0,IMshareC!BL52/(SUM(IMshareC!BL$2:BL$78)-IMshareC!BL$64),0))</f>
        <v>5.200636057089026E-3</v>
      </c>
      <c r="BM52" s="8">
        <f>IF($A52=BM$1,0,IF(SUM(IMshareC!BM$2:BM$78)-IMshareC!BM$65&gt;0,IMshareC!BM52/(SUM(IMshareC!BM$2:BM$78)-IMshareC!BM$65),0))</f>
        <v>2.7538139233829624E-4</v>
      </c>
      <c r="BN52" s="8">
        <f>IF($A52=BN$1,0,IF(SUM(IMshareC!BN$2:BN$78)-IMshareC!BN$66&gt;0,IMshareC!BN52/(SUM(IMshareC!BN$2:BN$78)-IMshareC!BN$66),0))</f>
        <v>0.14473849807897779</v>
      </c>
      <c r="BO52" s="8">
        <f>IF($A52=BO$1,0,IF(SUM(IMshareC!BO$2:BO$78)-IMshareC!BO$67&gt;0,IMshareC!BO52/(SUM(IMshareC!BO$2:BO$78)-IMshareC!BO$67),0))</f>
        <v>7.4800443158125424E-2</v>
      </c>
      <c r="BP52" s="8">
        <f>IF($A52=BP$1,0,IF(SUM(IMshareC!BP$2:BP$78)-IMshareC!BP$68&gt;0,IMshareC!BP52/(SUM(IMshareC!BP$2:BP$78)-IMshareC!BP$68),0))</f>
        <v>7.8642992619674529E-2</v>
      </c>
      <c r="BQ52" s="8">
        <f>IF($A52=BQ$1,0,IF(SUM(IMshareC!BQ$2:BQ$78)-IMshareC!BQ$69&gt;0,IMshareC!BQ52/(SUM(IMshareC!BQ$2:BQ$78)-IMshareC!BQ$69),0))</f>
        <v>3.5423335489864746E-2</v>
      </c>
      <c r="BR52" s="8">
        <f>IF($A52=BR$1,0,IF(SUM(IMshareC!BR$2:BR$78)-IMshareC!BR$70&gt;0,IMshareC!BR52/(SUM(IMshareC!BR$2:BR$78)-IMshareC!BR$70),0))</f>
        <v>7.7491860746751004E-2</v>
      </c>
      <c r="BS52" s="8">
        <f>IF($A52=BS$1,0,IF(SUM(IMshareC!BS$2:BS$78)-IMshareC!BS$71&gt;0,IMshareC!BS52/(SUM(IMshareC!BS$2:BS$78)-IMshareC!BS$71),0))</f>
        <v>3.4455392443651603E-2</v>
      </c>
      <c r="BT52" s="8">
        <f>IF($A52=BT$1,0,IF(SUM(IMshareC!BT$2:BT$78)-IMshareC!BT$72&gt;0,IMshareC!BT52/(SUM(IMshareC!BT$2:BT$78)-IMshareC!BT$72),0))</f>
        <v>4.5819887695580937E-2</v>
      </c>
      <c r="BU52" s="8">
        <f>IF($A52=BU$1,0,IF(SUM(IMshareC!BU$2:BU$78)-IMshareC!BU$73&gt;0,IMshareC!BU52/(SUM(IMshareC!BU$2:BU$78)-IMshareC!BU$73),0))</f>
        <v>7.1480658980091538E-2</v>
      </c>
      <c r="BV52" s="8">
        <f>IF($A52=BV$1,0,IF(SUM(IMshareC!BV$2:BV$78)-IMshareC!BV$74&gt;0,IMshareC!BV52/(SUM(IMshareC!BV$2:BV$78)-IMshareC!BV$74),0))</f>
        <v>7.8149567825522848E-2</v>
      </c>
      <c r="BW52" s="8">
        <f>IF($A52=BW$1,0,IF(SUM(IMshareC!BW$2:BW$78)-IMshareC!BW$75&gt;0,IMshareC!BW52/(SUM(IMshareC!BW$2:BW$78)-IMshareC!BW$75),0))</f>
        <v>0.29982331769399884</v>
      </c>
      <c r="BX52" s="8">
        <f>IF($A52=BX$1,0,IF(SUM(IMshareC!BX$2:BX$78)-IMshareC!BX$76&gt;0,IMshareC!BX52/(SUM(IMshareC!BX$2:BX$78)-IMshareC!BX$76),0))</f>
        <v>1.3693420668375946E-2</v>
      </c>
      <c r="BY52" s="8">
        <f>IF($A52=BY$1,0,IF(SUM(IMshareC!BY$2:BY$78)-IMshareC!BY$77&gt;0,IMshareC!BY52/(SUM(IMshareC!BY$2:BY$78)-IMshareC!BY$77),0))</f>
        <v>7.8505515389425157E-2</v>
      </c>
      <c r="BZ52" s="8">
        <f>IF($A52=BZ$1,0,IF(SUM(IMshareC!BZ$2:BZ$78)-IMshareC!BZ$78&gt;0,IMshareC!BZ52/(SUM(IMshareC!BZ$2:BZ$78)-IMshareC!BZ$78),0))</f>
        <v>5.7966228378518489E-2</v>
      </c>
    </row>
    <row r="53" spans="1:78">
      <c r="A53" s="4" t="s">
        <v>173</v>
      </c>
      <c r="B53" s="8">
        <f>IF($A53=B$1,0,IF(SUM(IMshareC!B$2:B$78)-IMshareC!B$2&gt;0,IMshareC!B53/(SUM(IMshareC!B$2:B$78)-IMshareC!B$2),0))</f>
        <v>0</v>
      </c>
      <c r="C53" s="8">
        <f>IF($A53=C$1,0,IF(SUM(IMshareC!C$2:C$78)-IMshareC!C$3&gt;0,IMshareC!C53/(SUM(IMshareC!C$2:C$78)-IMshareC!C$3),0))</f>
        <v>0</v>
      </c>
      <c r="D53" s="8">
        <f>IF($A53=D$1,0,IF(SUM(IMshareC!D$2:D$78)-IMshareC!D$4&gt;0,IMshareC!D53/(SUM(IMshareC!D$2:D$78)-IMshareC!D$4),0))</f>
        <v>0</v>
      </c>
      <c r="E53" s="8">
        <f>IF($A53=E$1,0,IF(SUM(IMshareC!E$2:E$78)-IMshareC!E$5&gt;0,IMshareC!E53/(SUM(IMshareC!E$2:E$78)-IMshareC!E$5),0))</f>
        <v>6.492561223010606E-8</v>
      </c>
      <c r="F53" s="8">
        <f>IF($A53=F$1,0,IF(SUM(IMshareC!F$2:F$78)-IMshareC!F$6&gt;0,IMshareC!F53/(SUM(IMshareC!F$2:F$78)-IMshareC!F$6),0))</f>
        <v>0</v>
      </c>
      <c r="G53" s="8">
        <f>IF($A53=G$1,0,IF(SUM(IMshareC!G$2:G$78)-IMshareC!G$7&gt;0,IMshareC!G53/(SUM(IMshareC!G$2:G$78)-IMshareC!G$7),0))</f>
        <v>0</v>
      </c>
      <c r="H53" s="8">
        <f>IF($A53=H$1,0,IF(SUM(IMshareC!H$2:H$78)-IMshareC!H$8&gt;0,IMshareC!H53/(SUM(IMshareC!H$2:H$78)-IMshareC!H$8),0))</f>
        <v>0</v>
      </c>
      <c r="I53" s="8">
        <f>IF($A53=I$1,0,IF(SUM(IMshareC!I$2:I$78)-IMshareC!I$9&gt;0,IMshareC!I53/(SUM(IMshareC!I$2:I$78)-IMshareC!I$9),0))</f>
        <v>0</v>
      </c>
      <c r="J53" s="8">
        <f>IF($A53=J$1,0,IF(SUM(IMshareC!J$2:J$78)-IMshareC!J$10&gt;0,IMshareC!J53/(SUM(IMshareC!J$2:J$78)-IMshareC!J$10),0))</f>
        <v>0</v>
      </c>
      <c r="K53" s="8">
        <f>IF($A53=K$1,0,IF(SUM(IMshareC!K$2:K$78)-IMshareC!K$11&gt;0,IMshareC!K53/(SUM(IMshareC!K$2:K$78)-IMshareC!K$11),0))</f>
        <v>0</v>
      </c>
      <c r="L53" s="8">
        <f>IF($A53=L$1,0,IF(SUM(IMshareC!L$2:L$78)-IMshareC!L$12&gt;0,IMshareC!L53/(SUM(IMshareC!L$2:L$78)-IMshareC!L$12),0))</f>
        <v>0</v>
      </c>
      <c r="M53" s="8">
        <f>IF($A53=M$1,0,IF(SUM(IMshareC!M$2:M$78)-IMshareC!M$13&gt;0,IMshareC!M53/(SUM(IMshareC!M$2:M$78)-IMshareC!M$13),0))</f>
        <v>0</v>
      </c>
      <c r="N53" s="8">
        <f>IF($A53=N$1,0,IF(SUM(IMshareC!N$2:N$78)-IMshareC!N$14&gt;0,IMshareC!N53/(SUM(IMshareC!N$2:N$78)-IMshareC!N$14),0))</f>
        <v>9.850426018079276E-8</v>
      </c>
      <c r="O53" s="8">
        <f>IF($A53=O$1,0,IF(SUM(IMshareC!O$2:O$78)-IMshareC!O$15&gt;0,IMshareC!O53/(SUM(IMshareC!O$2:O$78)-IMshareC!O$15),0))</f>
        <v>0</v>
      </c>
      <c r="P53" s="8">
        <f>IF($A53=P$1,0,IF(SUM(IMshareC!P$2:P$78)-IMshareC!P$16&gt;0,IMshareC!P53/(SUM(IMshareC!P$2:P$78)-IMshareC!P$16),0))</f>
        <v>0</v>
      </c>
      <c r="Q53" s="8">
        <f>IF($A53=Q$1,0,IF(SUM(IMshareC!Q$2:Q$78)-IMshareC!Q$17&gt;0,IMshareC!Q53/(SUM(IMshareC!Q$2:Q$78)-IMshareC!Q$17),0))</f>
        <v>0</v>
      </c>
      <c r="R53" s="8">
        <f>IF($A53=R$1,0,IF(SUM(IMshareC!R$2:R$78)-IMshareC!R$18&gt;0,IMshareC!R53/(SUM(IMshareC!R$2:R$78)-IMshareC!R$18),0))</f>
        <v>0</v>
      </c>
      <c r="S53" s="8">
        <f>IF($A53=S$1,0,IF(SUM(IMshareC!S$2:S$78)-IMshareC!S$19&gt;0,IMshareC!S53/(SUM(IMshareC!S$2:S$78)-IMshareC!S$19),0))</f>
        <v>0</v>
      </c>
      <c r="T53" s="8">
        <f>IF($A53=T$1,0,IF(SUM(IMshareC!T$2:T$78)-IMshareC!T$20&gt;0,IMshareC!T53/(SUM(IMshareC!T$2:T$78)-IMshareC!T$20),0))</f>
        <v>1.6645825301555106E-7</v>
      </c>
      <c r="U53" s="8">
        <f>IF($A53=U$1,0,IF(SUM(IMshareC!U$2:U$78)-IMshareC!U$21&gt;0,IMshareC!U53/(SUM(IMshareC!U$2:U$78)-IMshareC!U$21),0))</f>
        <v>4.6760523810368189E-7</v>
      </c>
      <c r="V53" s="8">
        <f>IF($A53=V$1,0,IF(SUM(IMshareC!V$2:V$78)-IMshareC!V$22&gt;0,IMshareC!V53/(SUM(IMshareC!V$2:V$78)-IMshareC!V$22),0))</f>
        <v>1.1330240791588993E-6</v>
      </c>
      <c r="W53" s="8">
        <f>IF($A53=W$1,0,IF(SUM(IMshareC!W$2:W$78)-IMshareC!W$23&gt;0,IMshareC!W53/(SUM(IMshareC!W$2:W$78)-IMshareC!W$23),0))</f>
        <v>0</v>
      </c>
      <c r="X53" s="8">
        <f>IF($A53=X$1,0,IF(SUM(IMshareC!X$2:X$78)-IMshareC!X$24&gt;0,IMshareC!X53/(SUM(IMshareC!X$2:X$78)-IMshareC!X$24),0))</f>
        <v>0</v>
      </c>
      <c r="Y53" s="8">
        <f>IF($A53=Y$1,0,IF(SUM(IMshareC!Y$2:Y$78)-IMshareC!Y$25&gt;0,IMshareC!Y53/(SUM(IMshareC!Y$2:Y$78)-IMshareC!Y$25),0))</f>
        <v>0</v>
      </c>
      <c r="Z53" s="8">
        <f>IF($A53=Z$1,0,IF(SUM(IMshareC!Z$2:Z$78)-IMshareC!Z$26&gt;0,IMshareC!Z53/(SUM(IMshareC!Z$2:Z$78)-IMshareC!Z$26),0))</f>
        <v>0</v>
      </c>
      <c r="AA53" s="8">
        <f>IF($A53=AA$1,0,IF(SUM(IMshareC!AA$2:AA$78)-IMshareC!AA$27&gt;0,IMshareC!AA53/(SUM(IMshareC!AA$2:AA$78)-IMshareC!AA$27),0))</f>
        <v>2.3165715939158507E-6</v>
      </c>
      <c r="AB53" s="8">
        <f>IF($A53=AB$1,0,IF(SUM(IMshareC!AB$2:AB$78)-IMshareC!AB$28&gt;0,IMshareC!AB53/(SUM(IMshareC!AB$2:AB$78)-IMshareC!AB$28),0))</f>
        <v>9.6089684028900099E-6</v>
      </c>
      <c r="AC53" s="8">
        <f>IF($A53=AC$1,0,IF(SUM(IMshareC!AC$2:AC$78)-IMshareC!AC$29&gt;0,IMshareC!AC53/(SUM(IMshareC!AC$2:AC$78)-IMshareC!AC$29),0))</f>
        <v>0</v>
      </c>
      <c r="AD53" s="8">
        <f>IF($A53=AD$1,0,IF(SUM(IMshareC!AD$2:AD$78)-IMshareC!AD$30&gt;0,IMshareC!AD53/(SUM(IMshareC!AD$2:AD$78)-IMshareC!AD$30),0))</f>
        <v>9.3753098586598083E-9</v>
      </c>
      <c r="AE53" s="8">
        <f>IF($A53=AE$1,0,IF(SUM(IMshareC!AE$2:AE$78)-IMshareC!AE$31&gt;0,IMshareC!AE53/(SUM(IMshareC!AE$2:AE$78)-IMshareC!AE$31),0))</f>
        <v>0</v>
      </c>
      <c r="AF53" s="8">
        <f>IF($A53=AF$1,0,IF(SUM(IMshareC!AF$2:AF$78)-IMshareC!AF$32&gt;0,IMshareC!AF53/(SUM(IMshareC!AF$2:AF$78)-IMshareC!AF$32),0))</f>
        <v>8.1539670083279406E-7</v>
      </c>
      <c r="AG53" s="8">
        <f>IF($A53=AG$1,0,IF(SUM(IMshareC!AG$2:AG$78)-IMshareC!AG$33&gt;0,IMshareC!AG53/(SUM(IMshareC!AG$2:AG$78)-IMshareC!AG$33),0))</f>
        <v>0</v>
      </c>
      <c r="AH53" s="8">
        <f>IF($A53=AH$1,0,IF(SUM(IMshareC!AH$2:AH$78)-IMshareC!AH$34&gt;0,IMshareC!AH53/(SUM(IMshareC!AH$2:AH$78)-IMshareC!AH$34),0))</f>
        <v>2.2648637111279599E-7</v>
      </c>
      <c r="AI53" s="8">
        <f>IF($A53=AI$1,0,IF(SUM(IMshareC!AI$2:AI$78)-IMshareC!AI$35&gt;0,IMshareC!AI53/(SUM(IMshareC!AI$2:AI$78)-IMshareC!AI$35),0))</f>
        <v>0</v>
      </c>
      <c r="AJ53" s="8">
        <f>IF($A53=AJ$1,0,IF(SUM(IMshareC!AJ$2:AJ$78)-IMshareC!AJ$36&gt;0,IMshareC!AJ53/(SUM(IMshareC!AJ$2:AJ$78)-IMshareC!AJ$36),0))</f>
        <v>0</v>
      </c>
      <c r="AK53" s="8">
        <f>IF($A53=AK$1,0,IF(SUM(IMshareC!AK$2:AK$78)-IMshareC!AK$37&gt;0,IMshareC!AK53/(SUM(IMshareC!AK$2:AK$78)-IMshareC!AK$37),0))</f>
        <v>0</v>
      </c>
      <c r="AL53" s="8">
        <f>IF($A53=AL$1,0,IF(SUM(IMshareC!AL$2:AL$78)-IMshareC!AL$38&gt;0,IMshareC!AL53/(SUM(IMshareC!AL$2:AL$78)-IMshareC!AL$38),0))</f>
        <v>5.7969760567986683E-6</v>
      </c>
      <c r="AM53" s="8">
        <f>IF($A53=AM$1,0,IF(SUM(IMshareC!AM$2:AM$78)-IMshareC!AM$39&gt;0,IMshareC!AM53/(SUM(IMshareC!AM$2:AM$78)-IMshareC!AM$39),0))</f>
        <v>0</v>
      </c>
      <c r="AN53" s="8">
        <f>IF($A53=AN$1,0,IF(SUM(IMshareC!AN$2:AN$78)-IMshareC!AN$40&gt;0,IMshareC!AN53/(SUM(IMshareC!AN$2:AN$78)-IMshareC!AN$40),0))</f>
        <v>0</v>
      </c>
      <c r="AO53" s="8">
        <f>IF($A53=AO$1,0,IF(SUM(IMshareC!AO$2:AO$78)-IMshareC!AO$41&gt;0,IMshareC!AO53/(SUM(IMshareC!AO$2:AO$78)-IMshareC!AO$41),0))</f>
        <v>0</v>
      </c>
      <c r="AP53" s="8">
        <f>IF($A53=AP$1,0,IF(SUM(IMshareC!AP$2:AP$78)-IMshareC!AP$42&gt;0,IMshareC!AP53/(SUM(IMshareC!AP$2:AP$78)-IMshareC!AP$42),0))</f>
        <v>0</v>
      </c>
      <c r="AQ53" s="8">
        <f>IF($A53=AQ$1,0,IF(SUM(IMshareC!AQ$2:AQ$78)-IMshareC!AQ$43&gt;0,IMshareC!AQ53/(SUM(IMshareC!AQ$2:AQ$78)-IMshareC!AQ$43),0))</f>
        <v>1.6792509601567226E-6</v>
      </c>
      <c r="AR53" s="8">
        <f>IF($A53=AR$1,0,IF(SUM(IMshareC!AR$2:AR$78)-IMshareC!AR$44&gt;0,IMshareC!AR53/(SUM(IMshareC!AR$2:AR$78)-IMshareC!AR$44),0))</f>
        <v>0</v>
      </c>
      <c r="AS53" s="8">
        <f>IF($A53=AS$1,0,IF(SUM(IMshareC!AS$2:AS$78)-IMshareC!AS$45&gt;0,IMshareC!AS53/(SUM(IMshareC!AS$2:AS$78)-IMshareC!AS$45),0))</f>
        <v>1.7180763416469411E-6</v>
      </c>
      <c r="AT53" s="8">
        <f>IF($A53=AT$1,0,IF(SUM(IMshareC!AT$2:AT$78)-IMshareC!AT$46&gt;0,IMshareC!AT53/(SUM(IMshareC!AT$2:AT$78)-IMshareC!AT$46),0))</f>
        <v>0</v>
      </c>
      <c r="AU53" s="8">
        <f>IF($A53=AU$1,0,IF(SUM(IMshareC!AU$2:AU$78)-IMshareC!AU$47&gt;0,IMshareC!AU53/(SUM(IMshareC!AU$2:AU$78)-IMshareC!AU$47),0))</f>
        <v>0</v>
      </c>
      <c r="AV53" s="8">
        <f>IF($A53=AV$1,0,IF(SUM(IMshareC!AV$2:AV$78)-IMshareC!AV$48&gt;0,IMshareC!AV53/(SUM(IMshareC!AV$2:AV$78)-IMshareC!AV$48),0))</f>
        <v>0</v>
      </c>
      <c r="AW53" s="8">
        <f>IF($A53=AW$1,0,IF(SUM(IMshareC!AW$2:AW$78)-IMshareC!AW$49&gt;0,IMshareC!AW53/(SUM(IMshareC!AW$2:AW$78)-IMshareC!AW$49),0))</f>
        <v>0</v>
      </c>
      <c r="AX53" s="8">
        <f>IF($A53=AX$1,0,IF(SUM(IMshareC!AX$2:AX$78)-IMshareC!AX$50&gt;0,IMshareC!AX53/(SUM(IMshareC!AX$2:AX$78)-IMshareC!AX$50),0))</f>
        <v>6.0425207216545677E-8</v>
      </c>
      <c r="AY53" s="8">
        <f>IF($A53=AY$1,0,IF(SUM(IMshareC!AY$2:AY$78)-IMshareC!AY$51&gt;0,IMshareC!AY53/(SUM(IMshareC!AY$2:AY$78)-IMshareC!AY$51),0))</f>
        <v>0</v>
      </c>
      <c r="AZ53" s="8">
        <f>IF($A53=AZ$1,0,IF(SUM(IMshareC!AZ$2:AZ$78)-IMshareC!AZ$52&gt;0,IMshareC!AZ53/(SUM(IMshareC!AZ$2:AZ$78)-IMshareC!AZ$52),0))</f>
        <v>0</v>
      </c>
      <c r="BA53" s="8">
        <f>IF($A53=BA$1,0,IF(SUM(IMshareC!BA$2:BA$78)-IMshareC!BA$53&gt;0,IMshareC!BA53/(SUM(IMshareC!BA$2:BA$78)-IMshareC!BA$53),0))</f>
        <v>0</v>
      </c>
      <c r="BB53" s="8">
        <f>IF($A53=BB$1,0,IF(SUM(IMshareC!BB$2:BB$78)-IMshareC!BB$54&gt;0,IMshareC!BB53/(SUM(IMshareC!BB$2:BB$78)-IMshareC!BB$54),0))</f>
        <v>5.2095685752167626E-6</v>
      </c>
      <c r="BC53" s="8">
        <f>IF($A53=BC$1,0,IF(SUM(IMshareC!BC$2:BC$78)-IMshareC!BC$55&gt;0,IMshareC!BC53/(SUM(IMshareC!BC$2:BC$78)-IMshareC!BC$55),0))</f>
        <v>0</v>
      </c>
      <c r="BD53" s="8">
        <f>IF($A53=BD$1,0,IF(SUM(IMshareC!BD$2:BD$78)-IMshareC!BD$56&gt;0,IMshareC!BD53/(SUM(IMshareC!BD$2:BD$78)-IMshareC!BD$56),0))</f>
        <v>0</v>
      </c>
      <c r="BE53" s="8">
        <f>IF($A53=BE$1,0,IF(SUM(IMshareC!BE$2:BE$78)-IMshareC!BE$57&gt;0,IMshareC!BE53/(SUM(IMshareC!BE$2:BE$78)-IMshareC!BE$57),0))</f>
        <v>0</v>
      </c>
      <c r="BF53" s="8">
        <f>IF($A53=BF$1,0,IF(SUM(IMshareC!BF$2:BF$78)-IMshareC!BF$58&gt;0,IMshareC!BF53/(SUM(IMshareC!BF$2:BF$78)-IMshareC!BF$58),0))</f>
        <v>0</v>
      </c>
      <c r="BG53" s="8">
        <f>IF($A53=BG$1,0,IF(SUM(IMshareC!BG$2:BG$78)-IMshareC!BG$59&gt;0,IMshareC!BG53/(SUM(IMshareC!BG$2:BG$78)-IMshareC!BG$59),0))</f>
        <v>0</v>
      </c>
      <c r="BH53" s="8">
        <f>IF($A53=BH$1,0,IF(SUM(IMshareC!BH$2:BH$78)-IMshareC!BH$60&gt;0,IMshareC!BH53/(SUM(IMshareC!BH$2:BH$78)-IMshareC!BH$60),0))</f>
        <v>0</v>
      </c>
      <c r="BI53" s="8">
        <f>IF($A53=BI$1,0,IF(SUM(IMshareC!BI$2:BI$78)-IMshareC!BI$61&gt;0,IMshareC!BI53/(SUM(IMshareC!BI$2:BI$78)-IMshareC!BI$61),0))</f>
        <v>0</v>
      </c>
      <c r="BJ53" s="8">
        <f>IF($A53=BJ$1,0,IF(SUM(IMshareC!BJ$2:BJ$78)-IMshareC!BJ$62&gt;0,IMshareC!BJ53/(SUM(IMshareC!BJ$2:BJ$78)-IMshareC!BJ$62),0))</f>
        <v>0</v>
      </c>
      <c r="BK53" s="8">
        <f>IF($A53=BK$1,0,IF(SUM(IMshareC!BK$2:BK$78)-IMshareC!BK$63&gt;0,IMshareC!BK53/(SUM(IMshareC!BK$2:BK$78)-IMshareC!BK$63),0))</f>
        <v>0</v>
      </c>
      <c r="BL53" s="8">
        <f>IF($A53=BL$1,0,IF(SUM(IMshareC!BL$2:BL$78)-IMshareC!BL$64&gt;0,IMshareC!BL53/(SUM(IMshareC!BL$2:BL$78)-IMshareC!BL$64),0))</f>
        <v>0</v>
      </c>
      <c r="BM53" s="8">
        <f>IF($A53=BM$1,0,IF(SUM(IMshareC!BM$2:BM$78)-IMshareC!BM$65&gt;0,IMshareC!BM53/(SUM(IMshareC!BM$2:BM$78)-IMshareC!BM$65),0))</f>
        <v>0</v>
      </c>
      <c r="BN53" s="8">
        <f>IF($A53=BN$1,0,IF(SUM(IMshareC!BN$2:BN$78)-IMshareC!BN$66&gt;0,IMshareC!BN53/(SUM(IMshareC!BN$2:BN$78)-IMshareC!BN$66),0))</f>
        <v>4.225561067080575E-8</v>
      </c>
      <c r="BO53" s="8">
        <f>IF($A53=BO$1,0,IF(SUM(IMshareC!BO$2:BO$78)-IMshareC!BO$67&gt;0,IMshareC!BO53/(SUM(IMshareC!BO$2:BO$78)-IMshareC!BO$67),0))</f>
        <v>1.4790286404166721E-8</v>
      </c>
      <c r="BP53" s="8">
        <f>IF($A53=BP$1,0,IF(SUM(IMshareC!BP$2:BP$78)-IMshareC!BP$68&gt;0,IMshareC!BP53/(SUM(IMshareC!BP$2:BP$78)-IMshareC!BP$68),0))</f>
        <v>0</v>
      </c>
      <c r="BQ53" s="8">
        <f>IF($A53=BQ$1,0,IF(SUM(IMshareC!BQ$2:BQ$78)-IMshareC!BQ$69&gt;0,IMshareC!BQ53/(SUM(IMshareC!BQ$2:BQ$78)-IMshareC!BQ$69),0))</f>
        <v>1.2194990979496605E-6</v>
      </c>
      <c r="BR53" s="8">
        <f>IF($A53=BR$1,0,IF(SUM(IMshareC!BR$2:BR$78)-IMshareC!BR$70&gt;0,IMshareC!BR53/(SUM(IMshareC!BR$2:BR$78)-IMshareC!BR$70),0))</f>
        <v>0</v>
      </c>
      <c r="BS53" s="8">
        <f>IF($A53=BS$1,0,IF(SUM(IMshareC!BS$2:BS$78)-IMshareC!BS$71&gt;0,IMshareC!BS53/(SUM(IMshareC!BS$2:BS$78)-IMshareC!BS$71),0))</f>
        <v>2.5465497754775092E-7</v>
      </c>
      <c r="BT53" s="8">
        <f>IF($A53=BT$1,0,IF(SUM(IMshareC!BT$2:BT$78)-IMshareC!BT$72&gt;0,IMshareC!BT53/(SUM(IMshareC!BT$2:BT$78)-IMshareC!BT$72),0))</f>
        <v>0</v>
      </c>
      <c r="BU53" s="8">
        <f>IF($A53=BU$1,0,IF(SUM(IMshareC!BU$2:BU$78)-IMshareC!BU$73&gt;0,IMshareC!BU53/(SUM(IMshareC!BU$2:BU$78)-IMshareC!BU$73),0))</f>
        <v>0</v>
      </c>
      <c r="BV53" s="8">
        <f>IF($A53=BV$1,0,IF(SUM(IMshareC!BV$2:BV$78)-IMshareC!BV$74&gt;0,IMshareC!BV53/(SUM(IMshareC!BV$2:BV$78)-IMshareC!BV$74),0))</f>
        <v>0</v>
      </c>
      <c r="BW53" s="8">
        <f>IF($A53=BW$1,0,IF(SUM(IMshareC!BW$2:BW$78)-IMshareC!BW$75&gt;0,IMshareC!BW53/(SUM(IMshareC!BW$2:BW$78)-IMshareC!BW$75),0))</f>
        <v>2.3671216356473195E-6</v>
      </c>
      <c r="BX53" s="8">
        <f>IF($A53=BX$1,0,IF(SUM(IMshareC!BX$2:BX$78)-IMshareC!BX$76&gt;0,IMshareC!BX53/(SUM(IMshareC!BX$2:BX$78)-IMshareC!BX$76),0))</f>
        <v>0</v>
      </c>
      <c r="BY53" s="8">
        <f>IF($A53=BY$1,0,IF(SUM(IMshareC!BY$2:BY$78)-IMshareC!BY$77&gt;0,IMshareC!BY53/(SUM(IMshareC!BY$2:BY$78)-IMshareC!BY$77),0))</f>
        <v>4.6215465191158686E-6</v>
      </c>
      <c r="BZ53" s="8">
        <f>IF($A53=BZ$1,0,IF(SUM(IMshareC!BZ$2:BZ$78)-IMshareC!BZ$78&gt;0,IMshareC!BZ53/(SUM(IMshareC!BZ$2:BZ$78)-IMshareC!BZ$78),0))</f>
        <v>6.2453368501161477E-5</v>
      </c>
    </row>
    <row r="54" spans="1:78">
      <c r="A54" s="4" t="s">
        <v>175</v>
      </c>
      <c r="B54" s="8">
        <f>IF($A54=B$1,0,IF(SUM(IMshareC!B$2:B$78)-IMshareC!B$2&gt;0,IMshareC!B54/(SUM(IMshareC!B$2:B$78)-IMshareC!B$2),0))</f>
        <v>2.4287687197984361E-4</v>
      </c>
      <c r="C54" s="8">
        <f>IF($A54=C$1,0,IF(SUM(IMshareC!C$2:C$78)-IMshareC!C$3&gt;0,IMshareC!C54/(SUM(IMshareC!C$2:C$78)-IMshareC!C$3),0))</f>
        <v>3.9986931500328449E-3</v>
      </c>
      <c r="D54" s="8">
        <f>IF($A54=D$1,0,IF(SUM(IMshareC!D$2:D$78)-IMshareC!D$4&gt;0,IMshareC!D54/(SUM(IMshareC!D$2:D$78)-IMshareC!D$4),0))</f>
        <v>1.3371225068870852E-2</v>
      </c>
      <c r="E54" s="8">
        <f>IF($A54=E$1,0,IF(SUM(IMshareC!E$2:E$78)-IMshareC!E$5&gt;0,IMshareC!E54/(SUM(IMshareC!E$2:E$78)-IMshareC!E$5),0))</f>
        <v>4.8084137392948478E-2</v>
      </c>
      <c r="F54" s="8">
        <f>IF($A54=F$1,0,IF(SUM(IMshareC!F$2:F$78)-IMshareC!F$6&gt;0,IMshareC!F54/(SUM(IMshareC!F$2:F$78)-IMshareC!F$6),0))</f>
        <v>3.0914288233912946E-3</v>
      </c>
      <c r="G54" s="8">
        <f>IF($A54=G$1,0,IF(SUM(IMshareC!G$2:G$78)-IMshareC!G$7&gt;0,IMshareC!G54/(SUM(IMshareC!G$2:G$78)-IMshareC!G$7),0))</f>
        <v>5.6153168273634479E-2</v>
      </c>
      <c r="H54" s="8">
        <f>IF($A54=H$1,0,IF(SUM(IMshareC!H$2:H$78)-IMshareC!H$8&gt;0,IMshareC!H54/(SUM(IMshareC!H$2:H$78)-IMshareC!H$8),0))</f>
        <v>8.6170951514157115E-3</v>
      </c>
      <c r="I54" s="8">
        <f>IF($A54=I$1,0,IF(SUM(IMshareC!I$2:I$78)-IMshareC!I$9&gt;0,IMshareC!I54/(SUM(IMshareC!I$2:I$78)-IMshareC!I$9),0))</f>
        <v>7.5236878159726955E-4</v>
      </c>
      <c r="J54" s="8">
        <f>IF($A54=J$1,0,IF(SUM(IMshareC!J$2:J$78)-IMshareC!J$10&gt;0,IMshareC!J54/(SUM(IMshareC!J$2:J$78)-IMshareC!J$10),0))</f>
        <v>1.3568564556748011E-3</v>
      </c>
      <c r="K54" s="8">
        <f>IF($A54=K$1,0,IF(SUM(IMshareC!K$2:K$78)-IMshareC!K$11&gt;0,IMshareC!K54/(SUM(IMshareC!K$2:K$78)-IMshareC!K$11),0))</f>
        <v>1.6198423617520346E-3</v>
      </c>
      <c r="L54" s="8">
        <f>IF($A54=L$1,0,IF(SUM(IMshareC!L$2:L$78)-IMshareC!L$12&gt;0,IMshareC!L54/(SUM(IMshareC!L$2:L$78)-IMshareC!L$12),0))</f>
        <v>7.8282291690749281E-2</v>
      </c>
      <c r="M54" s="8">
        <f>IF($A54=M$1,0,IF(SUM(IMshareC!M$2:M$78)-IMshareC!M$13&gt;0,IMshareC!M54/(SUM(IMshareC!M$2:M$78)-IMshareC!M$13),0))</f>
        <v>9.440876040656845E-3</v>
      </c>
      <c r="N54" s="8">
        <f>IF($A54=N$1,0,IF(SUM(IMshareC!N$2:N$78)-IMshareC!N$14&gt;0,IMshareC!N54/(SUM(IMshareC!N$2:N$78)-IMshareC!N$14),0))</f>
        <v>3.0593329440846331E-4</v>
      </c>
      <c r="O54" s="8">
        <f>IF($A54=O$1,0,IF(SUM(IMshareC!O$2:O$78)-IMshareC!O$15&gt;0,IMshareC!O54/(SUM(IMshareC!O$2:O$78)-IMshareC!O$15),0))</f>
        <v>2.1778401097198572E-3</v>
      </c>
      <c r="P54" s="8">
        <f>IF($A54=P$1,0,IF(SUM(IMshareC!P$2:P$78)-IMshareC!P$16&gt;0,IMshareC!P54/(SUM(IMshareC!P$2:P$78)-IMshareC!P$16),0))</f>
        <v>2.9519460049782613E-2</v>
      </c>
      <c r="Q54" s="8">
        <f>IF($A54=Q$1,0,IF(SUM(IMshareC!Q$2:Q$78)-IMshareC!Q$17&gt;0,IMshareC!Q54/(SUM(IMshareC!Q$2:Q$78)-IMshareC!Q$17),0))</f>
        <v>1.5859006032841636E-3</v>
      </c>
      <c r="R54" s="8">
        <f>IF($A54=R$1,0,IF(SUM(IMshareC!R$2:R$78)-IMshareC!R$18&gt;0,IMshareC!R54/(SUM(IMshareC!R$2:R$78)-IMshareC!R$18),0))</f>
        <v>4.0958303177697991E-3</v>
      </c>
      <c r="S54" s="8">
        <f>IF($A54=S$1,0,IF(SUM(IMshareC!S$2:S$78)-IMshareC!S$19&gt;0,IMshareC!S54/(SUM(IMshareC!S$2:S$78)-IMshareC!S$19),0))</f>
        <v>0.15346565373328783</v>
      </c>
      <c r="T54" s="8">
        <f>IF($A54=T$1,0,IF(SUM(IMshareC!T$2:T$78)-IMshareC!T$20&gt;0,IMshareC!T54/(SUM(IMshareC!T$2:T$78)-IMshareC!T$20),0))</f>
        <v>0.10432362580166937</v>
      </c>
      <c r="U54" s="8">
        <f>IF($A54=U$1,0,IF(SUM(IMshareC!U$2:U$78)-IMshareC!U$21&gt;0,IMshareC!U54/(SUM(IMshareC!U$2:U$78)-IMshareC!U$21),0))</f>
        <v>4.2589156883656713E-2</v>
      </c>
      <c r="V54" s="8">
        <f>IF($A54=V$1,0,IF(SUM(IMshareC!V$2:V$78)-IMshareC!V$22&gt;0,IMshareC!V54/(SUM(IMshareC!V$2:V$78)-IMshareC!V$22),0))</f>
        <v>0.16595927399198035</v>
      </c>
      <c r="W54" s="8">
        <f>IF($A54=W$1,0,IF(SUM(IMshareC!W$2:W$78)-IMshareC!W$23&gt;0,IMshareC!W54/(SUM(IMshareC!W$2:W$78)-IMshareC!W$23),0))</f>
        <v>3.9477386824888633E-3</v>
      </c>
      <c r="X54" s="8">
        <f>IF($A54=X$1,0,IF(SUM(IMshareC!X$2:X$78)-IMshareC!X$24&gt;0,IMshareC!X54/(SUM(IMshareC!X$2:X$78)-IMshareC!X$24),0))</f>
        <v>0.12346679154484143</v>
      </c>
      <c r="Y54" s="8">
        <f>IF($A54=Y$1,0,IF(SUM(IMshareC!Y$2:Y$78)-IMshareC!Y$25&gt;0,IMshareC!Y54/(SUM(IMshareC!Y$2:Y$78)-IMshareC!Y$25),0))</f>
        <v>1.7796947372831877E-2</v>
      </c>
      <c r="Z54" s="8">
        <f>IF($A54=Z$1,0,IF(SUM(IMshareC!Z$2:Z$78)-IMshareC!Z$26&gt;0,IMshareC!Z54/(SUM(IMshareC!Z$2:Z$78)-IMshareC!Z$26),0))</f>
        <v>1.290012546507178E-2</v>
      </c>
      <c r="AA54" s="8">
        <f>IF($A54=AA$1,0,IF(SUM(IMshareC!AA$2:AA$78)-IMshareC!AA$27&gt;0,IMshareC!AA54/(SUM(IMshareC!AA$2:AA$78)-IMshareC!AA$27),0))</f>
        <v>6.8392729950458864E-2</v>
      </c>
      <c r="AB54" s="8">
        <f>IF($A54=AB$1,0,IF(SUM(IMshareC!AB$2:AB$78)-IMshareC!AB$28&gt;0,IMshareC!AB54/(SUM(IMshareC!AB$2:AB$78)-IMshareC!AB$28),0))</f>
        <v>1.8664914236189937E-2</v>
      </c>
      <c r="AC54" s="8">
        <f>IF($A54=AC$1,0,IF(SUM(IMshareC!AC$2:AC$78)-IMshareC!AC$29&gt;0,IMshareC!AC54/(SUM(IMshareC!AC$2:AC$78)-IMshareC!AC$29),0))</f>
        <v>9.1049337154323784E-2</v>
      </c>
      <c r="AD54" s="8">
        <f>IF($A54=AD$1,0,IF(SUM(IMshareC!AD$2:AD$78)-IMshareC!AD$30&gt;0,IMshareC!AD54/(SUM(IMshareC!AD$2:AD$78)-IMshareC!AD$30),0))</f>
        <v>5.4754403524054005E-4</v>
      </c>
      <c r="AE54" s="8">
        <f>IF($A54=AE$1,0,IF(SUM(IMshareC!AE$2:AE$78)-IMshareC!AE$31&gt;0,IMshareC!AE54/(SUM(IMshareC!AE$2:AE$78)-IMshareC!AE$31),0))</f>
        <v>5.1970493876065706E-2</v>
      </c>
      <c r="AF54" s="8">
        <f>IF($A54=AF$1,0,IF(SUM(IMshareC!AF$2:AF$78)-IMshareC!AF$32&gt;0,IMshareC!AF54/(SUM(IMshareC!AF$2:AF$78)-IMshareC!AF$32),0))</f>
        <v>0.18635822138683358</v>
      </c>
      <c r="AG54" s="8">
        <f>IF($A54=AG$1,0,IF(SUM(IMshareC!AG$2:AG$78)-IMshareC!AG$33&gt;0,IMshareC!AG54/(SUM(IMshareC!AG$2:AG$78)-IMshareC!AG$33),0))</f>
        <v>2.3796680096050603E-4</v>
      </c>
      <c r="AH54" s="8">
        <f>IF($A54=AH$1,0,IF(SUM(IMshareC!AH$2:AH$78)-IMshareC!AH$34&gt;0,IMshareC!AH54/(SUM(IMshareC!AH$2:AH$78)-IMshareC!AH$34),0))</f>
        <v>4.9775712826097291E-3</v>
      </c>
      <c r="AI54" s="8">
        <f>IF($A54=AI$1,0,IF(SUM(IMshareC!AI$2:AI$78)-IMshareC!AI$35&gt;0,IMshareC!AI54/(SUM(IMshareC!AI$2:AI$78)-IMshareC!AI$35),0))</f>
        <v>6.4465119578152406E-3</v>
      </c>
      <c r="AJ54" s="8">
        <f>IF($A54=AJ$1,0,IF(SUM(IMshareC!AJ$2:AJ$78)-IMshareC!AJ$36&gt;0,IMshareC!AJ54/(SUM(IMshareC!AJ$2:AJ$78)-IMshareC!AJ$36),0))</f>
        <v>0.15454475176385188</v>
      </c>
      <c r="AK54" s="8">
        <f>IF($A54=AK$1,0,IF(SUM(IMshareC!AK$2:AK$78)-IMshareC!AK$37&gt;0,IMshareC!AK54/(SUM(IMshareC!AK$2:AK$78)-IMshareC!AK$37),0))</f>
        <v>8.8413691374675377E-2</v>
      </c>
      <c r="AL54" s="8">
        <f>IF($A54=AL$1,0,IF(SUM(IMshareC!AL$2:AL$78)-IMshareC!AL$38&gt;0,IMshareC!AL54/(SUM(IMshareC!AL$2:AL$78)-IMshareC!AL$38),0))</f>
        <v>0.15846286244216451</v>
      </c>
      <c r="AM54" s="8">
        <f>IF($A54=AM$1,0,IF(SUM(IMshareC!AM$2:AM$78)-IMshareC!AM$39&gt;0,IMshareC!AM54/(SUM(IMshareC!AM$2:AM$78)-IMshareC!AM$39),0))</f>
        <v>8.3115097947000921E-3</v>
      </c>
      <c r="AN54" s="8">
        <f>IF($A54=AN$1,0,IF(SUM(IMshareC!AN$2:AN$78)-IMshareC!AN$40&gt;0,IMshareC!AN54/(SUM(IMshareC!AN$2:AN$78)-IMshareC!AN$40),0))</f>
        <v>5.8081853100857748E-4</v>
      </c>
      <c r="AO54" s="8">
        <f>IF($A54=AO$1,0,IF(SUM(IMshareC!AO$2:AO$78)-IMshareC!AO$41&gt;0,IMshareC!AO54/(SUM(IMshareC!AO$2:AO$78)-IMshareC!AO$41),0))</f>
        <v>3.0914303167545971E-2</v>
      </c>
      <c r="AP54" s="8">
        <f>IF($A54=AP$1,0,IF(SUM(IMshareC!AP$2:AP$78)-IMshareC!AP$42&gt;0,IMshareC!AP54/(SUM(IMshareC!AP$2:AP$78)-IMshareC!AP$42),0))</f>
        <v>6.102193344852278E-5</v>
      </c>
      <c r="AQ54" s="8">
        <f>IF($A54=AQ$1,0,IF(SUM(IMshareC!AQ$2:AQ$78)-IMshareC!AQ$43&gt;0,IMshareC!AQ54/(SUM(IMshareC!AQ$2:AQ$78)-IMshareC!AQ$43),0))</f>
        <v>3.6828993791776781E-4</v>
      </c>
      <c r="AR54" s="8">
        <f>IF($A54=AR$1,0,IF(SUM(IMshareC!AR$2:AR$78)-IMshareC!AR$44&gt;0,IMshareC!AR54/(SUM(IMshareC!AR$2:AR$78)-IMshareC!AR$44),0))</f>
        <v>9.8558851819362212E-5</v>
      </c>
      <c r="AS54" s="8">
        <f>IF($A54=AS$1,0,IF(SUM(IMshareC!AS$2:AS$78)-IMshareC!AS$45&gt;0,IMshareC!AS54/(SUM(IMshareC!AS$2:AS$78)-IMshareC!AS$45),0))</f>
        <v>7.439003236264112E-2</v>
      </c>
      <c r="AT54" s="8">
        <f>IF($A54=AT$1,0,IF(SUM(IMshareC!AT$2:AT$78)-IMshareC!AT$46&gt;0,IMshareC!AT54/(SUM(IMshareC!AT$2:AT$78)-IMshareC!AT$46),0))</f>
        <v>1.0777767826553325E-2</v>
      </c>
      <c r="AU54" s="8">
        <f>IF($A54=AU$1,0,IF(SUM(IMshareC!AU$2:AU$78)-IMshareC!AU$47&gt;0,IMshareC!AU54/(SUM(IMshareC!AU$2:AU$78)-IMshareC!AU$47),0))</f>
        <v>0.13528092672961631</v>
      </c>
      <c r="AV54" s="8">
        <f>IF($A54=AV$1,0,IF(SUM(IMshareC!AV$2:AV$78)-IMshareC!AV$48&gt;0,IMshareC!AV54/(SUM(IMshareC!AV$2:AV$78)-IMshareC!AV$48),0))</f>
        <v>4.6884943808464795E-4</v>
      </c>
      <c r="AW54" s="8">
        <f>IF($A54=AW$1,0,IF(SUM(IMshareC!AW$2:AW$78)-IMshareC!AW$49&gt;0,IMshareC!AW54/(SUM(IMshareC!AW$2:AW$78)-IMshareC!AW$49),0))</f>
        <v>3.2919632707898287E-3</v>
      </c>
      <c r="AX54" s="8">
        <f>IF($A54=AX$1,0,IF(SUM(IMshareC!AX$2:AX$78)-IMshareC!AX$50&gt;0,IMshareC!AX54/(SUM(IMshareC!AX$2:AX$78)-IMshareC!AX$50),0))</f>
        <v>4.6266952903501989E-3</v>
      </c>
      <c r="AY54" s="8">
        <f>IF($A54=AY$1,0,IF(SUM(IMshareC!AY$2:AY$78)-IMshareC!AY$51&gt;0,IMshareC!AY54/(SUM(IMshareC!AY$2:AY$78)-IMshareC!AY$51),0))</f>
        <v>6.3860665559141959E-3</v>
      </c>
      <c r="AZ54" s="8">
        <f>IF($A54=AZ$1,0,IF(SUM(IMshareC!AZ$2:AZ$78)-IMshareC!AZ$52&gt;0,IMshareC!AZ54/(SUM(IMshareC!AZ$2:AZ$78)-IMshareC!AZ$52),0))</f>
        <v>1.327451978155079E-3</v>
      </c>
      <c r="BA54" s="8">
        <f>IF($A54=BA$1,0,IF(SUM(IMshareC!BA$2:BA$78)-IMshareC!BA$53&gt;0,IMshareC!BA54/(SUM(IMshareC!BA$2:BA$78)-IMshareC!BA$53),0))</f>
        <v>3.3970550069967811E-3</v>
      </c>
      <c r="BB54" s="8">
        <f>IF($A54=BB$1,0,IF(SUM(IMshareC!BB$2:BB$78)-IMshareC!BB$54&gt;0,IMshareC!BB54/(SUM(IMshareC!BB$2:BB$78)-IMshareC!BB$54),0))</f>
        <v>0</v>
      </c>
      <c r="BC54" s="8">
        <f>IF($A54=BC$1,0,IF(SUM(IMshareC!BC$2:BC$78)-IMshareC!BC$55&gt;0,IMshareC!BC54/(SUM(IMshareC!BC$2:BC$78)-IMshareC!BC$55),0))</f>
        <v>1.3402956667798767E-2</v>
      </c>
      <c r="BD54" s="8">
        <f>IF($A54=BD$1,0,IF(SUM(IMshareC!BD$2:BD$78)-IMshareC!BD$56&gt;0,IMshareC!BD54/(SUM(IMshareC!BD$2:BD$78)-IMshareC!BD$56),0))</f>
        <v>3.156305445635766E-3</v>
      </c>
      <c r="BE54" s="8">
        <f>IF($A54=BE$1,0,IF(SUM(IMshareC!BE$2:BE$78)-IMshareC!BE$57&gt;0,IMshareC!BE54/(SUM(IMshareC!BE$2:BE$78)-IMshareC!BE$57),0))</f>
        <v>4.5998801688062238E-4</v>
      </c>
      <c r="BF54" s="8">
        <f>IF($A54=BF$1,0,IF(SUM(IMshareC!BF$2:BF$78)-IMshareC!BF$58&gt;0,IMshareC!BF54/(SUM(IMshareC!BF$2:BF$78)-IMshareC!BF$58),0))</f>
        <v>1.2669108219851401E-3</v>
      </c>
      <c r="BG54" s="8">
        <f>IF($A54=BG$1,0,IF(SUM(IMshareC!BG$2:BG$78)-IMshareC!BG$59&gt;0,IMshareC!BG54/(SUM(IMshareC!BG$2:BG$78)-IMshareC!BG$59),0))</f>
        <v>1.1342871434232341E-3</v>
      </c>
      <c r="BH54" s="8">
        <f>IF($A54=BH$1,0,IF(SUM(IMshareC!BH$2:BH$78)-IMshareC!BH$60&gt;0,IMshareC!BH54/(SUM(IMshareC!BH$2:BH$78)-IMshareC!BH$60),0))</f>
        <v>0.28178491571171488</v>
      </c>
      <c r="BI54" s="8">
        <f>IF($A54=BI$1,0,IF(SUM(IMshareC!BI$2:BI$78)-IMshareC!BI$61&gt;0,IMshareC!BI54/(SUM(IMshareC!BI$2:BI$78)-IMshareC!BI$61),0))</f>
        <v>8.8173158191281562E-2</v>
      </c>
      <c r="BJ54" s="8">
        <f>IF($A54=BJ$1,0,IF(SUM(IMshareC!BJ$2:BJ$78)-IMshareC!BJ$62&gt;0,IMshareC!BJ54/(SUM(IMshareC!BJ$2:BJ$78)-IMshareC!BJ$62),0))</f>
        <v>0.11419678901442741</v>
      </c>
      <c r="BK54" s="8">
        <f>IF($A54=BK$1,0,IF(SUM(IMshareC!BK$2:BK$78)-IMshareC!BK$63&gt;0,IMshareC!BK54/(SUM(IMshareC!BK$2:BK$78)-IMshareC!BK$63),0))</f>
        <v>4.371858934844447E-2</v>
      </c>
      <c r="BL54" s="8">
        <f>IF($A54=BL$1,0,IF(SUM(IMshareC!BL$2:BL$78)-IMshareC!BL$64&gt;0,IMshareC!BL54/(SUM(IMshareC!BL$2:BL$78)-IMshareC!BL$64),0))</f>
        <v>1.395302609119271E-2</v>
      </c>
      <c r="BM54" s="8">
        <f>IF($A54=BM$1,0,IF(SUM(IMshareC!BM$2:BM$78)-IMshareC!BM$65&gt;0,IMshareC!BM54/(SUM(IMshareC!BM$2:BM$78)-IMshareC!BM$65),0))</f>
        <v>2.3169165516201788E-2</v>
      </c>
      <c r="BN54" s="8">
        <f>IF($A54=BN$1,0,IF(SUM(IMshareC!BN$2:BN$78)-IMshareC!BN$66&gt;0,IMshareC!BN54/(SUM(IMshareC!BN$2:BN$78)-IMshareC!BN$66),0))</f>
        <v>1.449036361382338E-4</v>
      </c>
      <c r="BO54" s="8">
        <f>IF($A54=BO$1,0,IF(SUM(IMshareC!BO$2:BO$78)-IMshareC!BO$67&gt;0,IMshareC!BO54/(SUM(IMshareC!BO$2:BO$78)-IMshareC!BO$67),0))</f>
        <v>4.672209905172061E-2</v>
      </c>
      <c r="BP54" s="8">
        <f>IF($A54=BP$1,0,IF(SUM(IMshareC!BP$2:BP$78)-IMshareC!BP$68&gt;0,IMshareC!BP54/(SUM(IMshareC!BP$2:BP$78)-IMshareC!BP$68),0))</f>
        <v>7.7144100741213893E-3</v>
      </c>
      <c r="BQ54" s="8">
        <f>IF($A54=BQ$1,0,IF(SUM(IMshareC!BQ$2:BQ$78)-IMshareC!BQ$69&gt;0,IMshareC!BQ54/(SUM(IMshareC!BQ$2:BQ$78)-IMshareC!BQ$69),0))</f>
        <v>0.16094874296836256</v>
      </c>
      <c r="BR54" s="8">
        <f>IF($A54=BR$1,0,IF(SUM(IMshareC!BR$2:BR$78)-IMshareC!BR$70&gt;0,IMshareC!BR54/(SUM(IMshareC!BR$2:BR$78)-IMshareC!BR$70),0))</f>
        <v>1.0880704470373405E-2</v>
      </c>
      <c r="BS54" s="8">
        <f>IF($A54=BS$1,0,IF(SUM(IMshareC!BS$2:BS$78)-IMshareC!BS$71&gt;0,IMshareC!BS54/(SUM(IMshareC!BS$2:BS$78)-IMshareC!BS$71),0))</f>
        <v>2.4383576864828319E-3</v>
      </c>
      <c r="BT54" s="8">
        <f>IF($A54=BT$1,0,IF(SUM(IMshareC!BT$2:BT$78)-IMshareC!BT$72&gt;0,IMshareC!BT54/(SUM(IMshareC!BT$2:BT$78)-IMshareC!BT$72),0))</f>
        <v>2.3336654780897947E-3</v>
      </c>
      <c r="BU54" s="8">
        <f>IF($A54=BU$1,0,IF(SUM(IMshareC!BU$2:BU$78)-IMshareC!BU$73&gt;0,IMshareC!BU54/(SUM(IMshareC!BU$2:BU$78)-IMshareC!BU$73),0))</f>
        <v>1.153585368066207E-3</v>
      </c>
      <c r="BV54" s="8">
        <f>IF($A54=BV$1,0,IF(SUM(IMshareC!BV$2:BV$78)-IMshareC!BV$74&gt;0,IMshareC!BV54/(SUM(IMshareC!BV$2:BV$78)-IMshareC!BV$74),0))</f>
        <v>3.21849683673269E-3</v>
      </c>
      <c r="BW54" s="8">
        <f>IF($A54=BW$1,0,IF(SUM(IMshareC!BW$2:BW$78)-IMshareC!BW$75&gt;0,IMshareC!BW54/(SUM(IMshareC!BW$2:BW$78)-IMshareC!BW$75),0))</f>
        <v>6.9888775153872321E-4</v>
      </c>
      <c r="BX54" s="8">
        <f>IF($A54=BX$1,0,IF(SUM(IMshareC!BX$2:BX$78)-IMshareC!BX$76&gt;0,IMshareC!BX54/(SUM(IMshareC!BX$2:BX$78)-IMshareC!BX$76),0))</f>
        <v>1.8180248260794967E-5</v>
      </c>
      <c r="BY54" s="8">
        <f>IF($A54=BY$1,0,IF(SUM(IMshareC!BY$2:BY$78)-IMshareC!BY$77&gt;0,IMshareC!BY54/(SUM(IMshareC!BY$2:BY$78)-IMshareC!BY$77),0))</f>
        <v>3.8660783944990109E-3</v>
      </c>
      <c r="BZ54" s="8">
        <f>IF($A54=BZ$1,0,IF(SUM(IMshareC!BZ$2:BZ$78)-IMshareC!BZ$78&gt;0,IMshareC!BZ54/(SUM(IMshareC!BZ$2:BZ$78)-IMshareC!BZ$78),0))</f>
        <v>3.7708892204716586E-3</v>
      </c>
    </row>
    <row r="55" spans="1:78">
      <c r="A55" s="4" t="s">
        <v>177</v>
      </c>
      <c r="B55" s="8">
        <f>IF($A55=B$1,0,IF(SUM(IMshareC!B$2:B$78)-IMshareC!B$2&gt;0,IMshareC!B55/(SUM(IMshareC!B$2:B$78)-IMshareC!B$2),0))</f>
        <v>2.1693546116998209E-5</v>
      </c>
      <c r="C55" s="8">
        <f>IF($A55=C$1,0,IF(SUM(IMshareC!C$2:C$78)-IMshareC!C$3&gt;0,IMshareC!C55/(SUM(IMshareC!C$2:C$78)-IMshareC!C$3),0))</f>
        <v>8.1238899612065811E-4</v>
      </c>
      <c r="D55" s="8">
        <f>IF($A55=D$1,0,IF(SUM(IMshareC!D$2:D$78)-IMshareC!D$4&gt;0,IMshareC!D55/(SUM(IMshareC!D$2:D$78)-IMshareC!D$4),0))</f>
        <v>5.5157203141769134E-5</v>
      </c>
      <c r="E55" s="8">
        <f>IF($A55=E$1,0,IF(SUM(IMshareC!E$2:E$78)-IMshareC!E$5&gt;0,IMshareC!E55/(SUM(IMshareC!E$2:E$78)-IMshareC!E$5),0))</f>
        <v>9.4953744499552757E-5</v>
      </c>
      <c r="F55" s="8">
        <f>IF($A55=F$1,0,IF(SUM(IMshareC!F$2:F$78)-IMshareC!F$6&gt;0,IMshareC!F55/(SUM(IMshareC!F$2:F$78)-IMshareC!F$6),0))</f>
        <v>3.4762765179115636E-5</v>
      </c>
      <c r="G55" s="8">
        <f>IF($A55=G$1,0,IF(SUM(IMshareC!G$2:G$78)-IMshareC!G$7&gt;0,IMshareC!G55/(SUM(IMshareC!G$2:G$78)-IMshareC!G$7),0))</f>
        <v>5.7118175411301577E-6</v>
      </c>
      <c r="H55" s="8">
        <f>IF($A55=H$1,0,IF(SUM(IMshareC!H$2:H$78)-IMshareC!H$8&gt;0,IMshareC!H55/(SUM(IMshareC!H$2:H$78)-IMshareC!H$8),0))</f>
        <v>0</v>
      </c>
      <c r="I55" s="8">
        <f>IF($A55=I$1,0,IF(SUM(IMshareC!I$2:I$78)-IMshareC!I$9&gt;0,IMshareC!I55/(SUM(IMshareC!I$2:I$78)-IMshareC!I$9),0))</f>
        <v>1.9331919929497334E-3</v>
      </c>
      <c r="J55" s="8">
        <f>IF($A55=J$1,0,IF(SUM(IMshareC!J$2:J$78)-IMshareC!J$10&gt;0,IMshareC!J55/(SUM(IMshareC!J$2:J$78)-IMshareC!J$10),0))</f>
        <v>4.4078894544996132E-3</v>
      </c>
      <c r="K55" s="8">
        <f>IF($A55=K$1,0,IF(SUM(IMshareC!K$2:K$78)-IMshareC!K$11&gt;0,IMshareC!K55/(SUM(IMshareC!K$2:K$78)-IMshareC!K$11),0))</f>
        <v>5.6510434727562392E-4</v>
      </c>
      <c r="L55" s="8">
        <f>IF($A55=L$1,0,IF(SUM(IMshareC!L$2:L$78)-IMshareC!L$12&gt;0,IMshareC!L55/(SUM(IMshareC!L$2:L$78)-IMshareC!L$12),0))</f>
        <v>3.0428288420710436E-4</v>
      </c>
      <c r="M55" s="8">
        <f>IF($A55=M$1,0,IF(SUM(IMshareC!M$2:M$78)-IMshareC!M$13&gt;0,IMshareC!M55/(SUM(IMshareC!M$2:M$78)-IMshareC!M$13),0))</f>
        <v>1.6569713004227892E-3</v>
      </c>
      <c r="N55" s="8">
        <f>IF($A55=N$1,0,IF(SUM(IMshareC!N$2:N$78)-IMshareC!N$14&gt;0,IMshareC!N55/(SUM(IMshareC!N$2:N$78)-IMshareC!N$14),0))</f>
        <v>3.1968444062534728E-4</v>
      </c>
      <c r="O55" s="8">
        <f>IF($A55=O$1,0,IF(SUM(IMshareC!O$2:O$78)-IMshareC!O$15&gt;0,IMshareC!O55/(SUM(IMshareC!O$2:O$78)-IMshareC!O$15),0))</f>
        <v>1.0007856818072501E-2</v>
      </c>
      <c r="P55" s="8">
        <f>IF($A55=P$1,0,IF(SUM(IMshareC!P$2:P$78)-IMshareC!P$16&gt;0,IMshareC!P55/(SUM(IMshareC!P$2:P$78)-IMshareC!P$16),0))</f>
        <v>4.112796987760594E-3</v>
      </c>
      <c r="Q55" s="8">
        <f>IF($A55=Q$1,0,IF(SUM(IMshareC!Q$2:Q$78)-IMshareC!Q$17&gt;0,IMshareC!Q55/(SUM(IMshareC!Q$2:Q$78)-IMshareC!Q$17),0))</f>
        <v>1.1951525323101127E-4</v>
      </c>
      <c r="R55" s="8">
        <f>IF($A55=R$1,0,IF(SUM(IMshareC!R$2:R$78)-IMshareC!R$18&gt;0,IMshareC!R55/(SUM(IMshareC!R$2:R$78)-IMshareC!R$18),0))</f>
        <v>1.9289782181791587E-5</v>
      </c>
      <c r="S55" s="8">
        <f>IF($A55=S$1,0,IF(SUM(IMshareC!S$2:S$78)-IMshareC!S$19&gt;0,IMshareC!S55/(SUM(IMshareC!S$2:S$78)-IMshareC!S$19),0))</f>
        <v>8.8913586618816014E-4</v>
      </c>
      <c r="T55" s="8">
        <f>IF($A55=T$1,0,IF(SUM(IMshareC!T$2:T$78)-IMshareC!T$20&gt;0,IMshareC!T55/(SUM(IMshareC!T$2:T$78)-IMshareC!T$20),0))</f>
        <v>1.2806760868816367E-4</v>
      </c>
      <c r="U55" s="8">
        <f>IF($A55=U$1,0,IF(SUM(IMshareC!U$2:U$78)-IMshareC!U$21&gt;0,IMshareC!U55/(SUM(IMshareC!U$2:U$78)-IMshareC!U$21),0))</f>
        <v>1.721986717807399E-4</v>
      </c>
      <c r="V55" s="8">
        <f>IF($A55=V$1,0,IF(SUM(IMshareC!V$2:V$78)-IMshareC!V$22&gt;0,IMshareC!V55/(SUM(IMshareC!V$2:V$78)-IMshareC!V$22),0))</f>
        <v>3.1276435851845148E-3</v>
      </c>
      <c r="W55" s="8">
        <f>IF($A55=W$1,0,IF(SUM(IMshareC!W$2:W$78)-IMshareC!W$23&gt;0,IMshareC!W55/(SUM(IMshareC!W$2:W$78)-IMshareC!W$23),0))</f>
        <v>1.7718969261380161E-3</v>
      </c>
      <c r="X55" s="8">
        <f>IF($A55=X$1,0,IF(SUM(IMshareC!X$2:X$78)-IMshareC!X$24&gt;0,IMshareC!X55/(SUM(IMshareC!X$2:X$78)-IMshareC!X$24),0))</f>
        <v>1.0320824859038691E-3</v>
      </c>
      <c r="Y55" s="8">
        <f>IF($A55=Y$1,0,IF(SUM(IMshareC!Y$2:Y$78)-IMshareC!Y$25&gt;0,IMshareC!Y55/(SUM(IMshareC!Y$2:Y$78)-IMshareC!Y$25),0))</f>
        <v>1.9628556449548958E-3</v>
      </c>
      <c r="Z55" s="8">
        <f>IF($A55=Z$1,0,IF(SUM(IMshareC!Z$2:Z$78)-IMshareC!Z$26&gt;0,IMshareC!Z55/(SUM(IMshareC!Z$2:Z$78)-IMshareC!Z$26),0))</f>
        <v>1.341426172649233E-3</v>
      </c>
      <c r="AA55" s="8">
        <f>IF($A55=AA$1,0,IF(SUM(IMshareC!AA$2:AA$78)-IMshareC!AA$27&gt;0,IMshareC!AA55/(SUM(IMshareC!AA$2:AA$78)-IMshareC!AA$27),0))</f>
        <v>2.0066695391286526E-4</v>
      </c>
      <c r="AB55" s="8">
        <f>IF($A55=AB$1,0,IF(SUM(IMshareC!AB$2:AB$78)-IMshareC!AB$28&gt;0,IMshareC!AB55/(SUM(IMshareC!AB$2:AB$78)-IMshareC!AB$28),0))</f>
        <v>1.9629621173771774E-3</v>
      </c>
      <c r="AC55" s="8">
        <f>IF($A55=AC$1,0,IF(SUM(IMshareC!AC$2:AC$78)-IMshareC!AC$29&gt;0,IMshareC!AC55/(SUM(IMshareC!AC$2:AC$78)-IMshareC!AC$29),0))</f>
        <v>1.6615449346395483E-3</v>
      </c>
      <c r="AD55" s="8">
        <f>IF($A55=AD$1,0,IF(SUM(IMshareC!AD$2:AD$78)-IMshareC!AD$30&gt;0,IMshareC!AD55/(SUM(IMshareC!AD$2:AD$78)-IMshareC!AD$30),0))</f>
        <v>1.7604907501013291E-5</v>
      </c>
      <c r="AE55" s="8">
        <f>IF($A55=AE$1,0,IF(SUM(IMshareC!AE$2:AE$78)-IMshareC!AE$31&gt;0,IMshareC!AE55/(SUM(IMshareC!AE$2:AE$78)-IMshareC!AE$31),0))</f>
        <v>1.0617895672514413E-2</v>
      </c>
      <c r="AF55" s="8">
        <f>IF($A55=AF$1,0,IF(SUM(IMshareC!AF$2:AF$78)-IMshareC!AF$32&gt;0,IMshareC!AF55/(SUM(IMshareC!AF$2:AF$78)-IMshareC!AF$32),0))</f>
        <v>1.2051521014083687E-4</v>
      </c>
      <c r="AG55" s="8">
        <f>IF($A55=AG$1,0,IF(SUM(IMshareC!AG$2:AG$78)-IMshareC!AG$33&gt;0,IMshareC!AG55/(SUM(IMshareC!AG$2:AG$78)-IMshareC!AG$33),0))</f>
        <v>2.2488333752619714E-5</v>
      </c>
      <c r="AH55" s="8">
        <f>IF($A55=AH$1,0,IF(SUM(IMshareC!AH$2:AH$78)-IMshareC!AH$34&gt;0,IMshareC!AH55/(SUM(IMshareC!AH$2:AH$78)-IMshareC!AH$34),0))</f>
        <v>4.5749403482097863E-5</v>
      </c>
      <c r="AI55" s="8">
        <f>IF($A55=AI$1,0,IF(SUM(IMshareC!AI$2:AI$78)-IMshareC!AI$35&gt;0,IMshareC!AI55/(SUM(IMshareC!AI$2:AI$78)-IMshareC!AI$35),0))</f>
        <v>1.6132148645758365E-5</v>
      </c>
      <c r="AJ55" s="8">
        <f>IF($A55=AJ$1,0,IF(SUM(IMshareC!AJ$2:AJ$78)-IMshareC!AJ$36&gt;0,IMshareC!AJ55/(SUM(IMshareC!AJ$2:AJ$78)-IMshareC!AJ$36),0))</f>
        <v>3.628480342442799E-2</v>
      </c>
      <c r="AK55" s="8">
        <f>IF($A55=AK$1,0,IF(SUM(IMshareC!AK$2:AK$78)-IMshareC!AK$37&gt;0,IMshareC!AK55/(SUM(IMshareC!AK$2:AK$78)-IMshareC!AK$37),0))</f>
        <v>3.0526790288390785E-4</v>
      </c>
      <c r="AL55" s="8">
        <f>IF($A55=AL$1,0,IF(SUM(IMshareC!AL$2:AL$78)-IMshareC!AL$38&gt;0,IMshareC!AL55/(SUM(IMshareC!AL$2:AL$78)-IMshareC!AL$38),0))</f>
        <v>1.8089946306900929E-4</v>
      </c>
      <c r="AM55" s="8">
        <f>IF($A55=AM$1,0,IF(SUM(IMshareC!AM$2:AM$78)-IMshareC!AM$39&gt;0,IMshareC!AM55/(SUM(IMshareC!AM$2:AM$78)-IMshareC!AM$39),0))</f>
        <v>0</v>
      </c>
      <c r="AN55" s="8">
        <f>IF($A55=AN$1,0,IF(SUM(IMshareC!AN$2:AN$78)-IMshareC!AN$40&gt;0,IMshareC!AN55/(SUM(IMshareC!AN$2:AN$78)-IMshareC!AN$40),0))</f>
        <v>5.4766067117651915E-6</v>
      </c>
      <c r="AO55" s="8">
        <f>IF($A55=AO$1,0,IF(SUM(IMshareC!AO$2:AO$78)-IMshareC!AO$41&gt;0,IMshareC!AO55/(SUM(IMshareC!AO$2:AO$78)-IMshareC!AO$41),0))</f>
        <v>4.7191413255734865E-4</v>
      </c>
      <c r="AP55" s="8">
        <f>IF($A55=AP$1,0,IF(SUM(IMshareC!AP$2:AP$78)-IMshareC!AP$42&gt;0,IMshareC!AP55/(SUM(IMshareC!AP$2:AP$78)-IMshareC!AP$42),0))</f>
        <v>1.5385600791858394E-5</v>
      </c>
      <c r="AQ55" s="8">
        <f>IF($A55=AQ$1,0,IF(SUM(IMshareC!AQ$2:AQ$78)-IMshareC!AQ$43&gt;0,IMshareC!AQ55/(SUM(IMshareC!AQ$2:AQ$78)-IMshareC!AQ$43),0))</f>
        <v>4.7880015235692887E-4</v>
      </c>
      <c r="AR55" s="8">
        <f>IF($A55=AR$1,0,IF(SUM(IMshareC!AR$2:AR$78)-IMshareC!AR$44&gt;0,IMshareC!AR55/(SUM(IMshareC!AR$2:AR$78)-IMshareC!AR$44),0))</f>
        <v>0</v>
      </c>
      <c r="AS55" s="8">
        <f>IF($A55=AS$1,0,IF(SUM(IMshareC!AS$2:AS$78)-IMshareC!AS$45&gt;0,IMshareC!AS55/(SUM(IMshareC!AS$2:AS$78)-IMshareC!AS$45),0))</f>
        <v>3.2572684969247828E-3</v>
      </c>
      <c r="AT55" s="8">
        <f>IF($A55=AT$1,0,IF(SUM(IMshareC!AT$2:AT$78)-IMshareC!AT$46&gt;0,IMshareC!AT55/(SUM(IMshareC!AT$2:AT$78)-IMshareC!AT$46),0))</f>
        <v>1.2689606261118676E-4</v>
      </c>
      <c r="AU55" s="8">
        <f>IF($A55=AU$1,0,IF(SUM(IMshareC!AU$2:AU$78)-IMshareC!AU$47&gt;0,IMshareC!AU55/(SUM(IMshareC!AU$2:AU$78)-IMshareC!AU$47),0))</f>
        <v>3.4722093192983368E-4</v>
      </c>
      <c r="AV55" s="8">
        <f>IF($A55=AV$1,0,IF(SUM(IMshareC!AV$2:AV$78)-IMshareC!AV$48&gt;0,IMshareC!AV55/(SUM(IMshareC!AV$2:AV$78)-IMshareC!AV$48),0))</f>
        <v>2.3326862403748642E-4</v>
      </c>
      <c r="AW55" s="8">
        <f>IF($A55=AW$1,0,IF(SUM(IMshareC!AW$2:AW$78)-IMshareC!AW$49&gt;0,IMshareC!AW55/(SUM(IMshareC!AW$2:AW$78)-IMshareC!AW$49),0))</f>
        <v>2.4257173552944586E-7</v>
      </c>
      <c r="AX55" s="8">
        <f>IF($A55=AX$1,0,IF(SUM(IMshareC!AX$2:AX$78)-IMshareC!AX$50&gt;0,IMshareC!AX55/(SUM(IMshareC!AX$2:AX$78)-IMshareC!AX$50),0))</f>
        <v>4.5450485972251088E-6</v>
      </c>
      <c r="AY55" s="8">
        <f>IF($A55=AY$1,0,IF(SUM(IMshareC!AY$2:AY$78)-IMshareC!AY$51&gt;0,IMshareC!AY55/(SUM(IMshareC!AY$2:AY$78)-IMshareC!AY$51),0))</f>
        <v>0</v>
      </c>
      <c r="AZ55" s="8">
        <f>IF($A55=AZ$1,0,IF(SUM(IMshareC!AZ$2:AZ$78)-IMshareC!AZ$52&gt;0,IMshareC!AZ55/(SUM(IMshareC!AZ$2:AZ$78)-IMshareC!AZ$52),0))</f>
        <v>1.137129417699382E-5</v>
      </c>
      <c r="BA55" s="8">
        <f>IF($A55=BA$1,0,IF(SUM(IMshareC!BA$2:BA$78)-IMshareC!BA$53&gt;0,IMshareC!BA55/(SUM(IMshareC!BA$2:BA$78)-IMshareC!BA$53),0))</f>
        <v>2.444941087350965E-3</v>
      </c>
      <c r="BB55" s="8">
        <f>IF($A55=BB$1,0,IF(SUM(IMshareC!BB$2:BB$78)-IMshareC!BB$54&gt;0,IMshareC!BB55/(SUM(IMshareC!BB$2:BB$78)-IMshareC!BB$54),0))</f>
        <v>4.3252236551959632E-4</v>
      </c>
      <c r="BC55" s="8">
        <f>IF($A55=BC$1,0,IF(SUM(IMshareC!BC$2:BC$78)-IMshareC!BC$55&gt;0,IMshareC!BC55/(SUM(IMshareC!BC$2:BC$78)-IMshareC!BC$55),0))</f>
        <v>0</v>
      </c>
      <c r="BD55" s="8">
        <f>IF($A55=BD$1,0,IF(SUM(IMshareC!BD$2:BD$78)-IMshareC!BD$56&gt;0,IMshareC!BD55/(SUM(IMshareC!BD$2:BD$78)-IMshareC!BD$56),0))</f>
        <v>4.2942187046560521E-3</v>
      </c>
      <c r="BE55" s="8">
        <f>IF($A55=BE$1,0,IF(SUM(IMshareC!BE$2:BE$78)-IMshareC!BE$57&gt;0,IMshareC!BE55/(SUM(IMshareC!BE$2:BE$78)-IMshareC!BE$57),0))</f>
        <v>1.6567408590983969E-5</v>
      </c>
      <c r="BF55" s="8">
        <f>IF($A55=BF$1,0,IF(SUM(IMshareC!BF$2:BF$78)-IMshareC!BF$58&gt;0,IMshareC!BF55/(SUM(IMshareC!BF$2:BF$78)-IMshareC!BF$58),0))</f>
        <v>4.1581707589918323E-4</v>
      </c>
      <c r="BG55" s="8">
        <f>IF($A55=BG$1,0,IF(SUM(IMshareC!BG$2:BG$78)-IMshareC!BG$59&gt;0,IMshareC!BG55/(SUM(IMshareC!BG$2:BG$78)-IMshareC!BG$59),0))</f>
        <v>6.3925334872997545E-4</v>
      </c>
      <c r="BH55" s="8">
        <f>IF($A55=BH$1,0,IF(SUM(IMshareC!BH$2:BH$78)-IMshareC!BH$60&gt;0,IMshareC!BH55/(SUM(IMshareC!BH$2:BH$78)-IMshareC!BH$60),0))</f>
        <v>2.4781718096356298E-4</v>
      </c>
      <c r="BI55" s="8">
        <f>IF($A55=BI$1,0,IF(SUM(IMshareC!BI$2:BI$78)-IMshareC!BI$61&gt;0,IMshareC!BI55/(SUM(IMshareC!BI$2:BI$78)-IMshareC!BI$61),0))</f>
        <v>8.0458800869714717E-6</v>
      </c>
      <c r="BJ55" s="8">
        <f>IF($A55=BJ$1,0,IF(SUM(IMshareC!BJ$2:BJ$78)-IMshareC!BJ$62&gt;0,IMshareC!BJ55/(SUM(IMshareC!BJ$2:BJ$78)-IMshareC!BJ$62),0))</f>
        <v>2.0072638103691673E-4</v>
      </c>
      <c r="BK55" s="8">
        <f>IF($A55=BK$1,0,IF(SUM(IMshareC!BK$2:BK$78)-IMshareC!BK$63&gt;0,IMshareC!BK55/(SUM(IMshareC!BK$2:BK$78)-IMshareC!BK$63),0))</f>
        <v>2.5065513530272802E-4</v>
      </c>
      <c r="BL55" s="8">
        <f>IF($A55=BL$1,0,IF(SUM(IMshareC!BL$2:BL$78)-IMshareC!BL$64&gt;0,IMshareC!BL55/(SUM(IMshareC!BL$2:BL$78)-IMshareC!BL$64),0))</f>
        <v>1.8498008658576471E-3</v>
      </c>
      <c r="BM55" s="8">
        <f>IF($A55=BM$1,0,IF(SUM(IMshareC!BM$2:BM$78)-IMshareC!BM$65&gt;0,IMshareC!BM55/(SUM(IMshareC!BM$2:BM$78)-IMshareC!BM$65),0))</f>
        <v>2.1347800300398428E-5</v>
      </c>
      <c r="BN55" s="8">
        <f>IF($A55=BN$1,0,IF(SUM(IMshareC!BN$2:BN$78)-IMshareC!BN$66&gt;0,IMshareC!BN55/(SUM(IMshareC!BN$2:BN$78)-IMshareC!BN$66),0))</f>
        <v>5.0387918902760981E-5</v>
      </c>
      <c r="BO55" s="8">
        <f>IF($A55=BO$1,0,IF(SUM(IMshareC!BO$2:BO$78)-IMshareC!BO$67&gt;0,IMshareC!BO55/(SUM(IMshareC!BO$2:BO$78)-IMshareC!BO$67),0))</f>
        <v>6.1683244283027646E-4</v>
      </c>
      <c r="BP55" s="8">
        <f>IF($A55=BP$1,0,IF(SUM(IMshareC!BP$2:BP$78)-IMshareC!BP$68&gt;0,IMshareC!BP55/(SUM(IMshareC!BP$2:BP$78)-IMshareC!BP$68),0))</f>
        <v>2.258398444041253E-5</v>
      </c>
      <c r="BQ55" s="8">
        <f>IF($A55=BQ$1,0,IF(SUM(IMshareC!BQ$2:BQ$78)-IMshareC!BQ$69&gt;0,IMshareC!BQ55/(SUM(IMshareC!BQ$2:BQ$78)-IMshareC!BQ$69),0))</f>
        <v>1.0618482446919673E-2</v>
      </c>
      <c r="BR55" s="8">
        <f>IF($A55=BR$1,0,IF(SUM(IMshareC!BR$2:BR$78)-IMshareC!BR$70&gt;0,IMshareC!BR55/(SUM(IMshareC!BR$2:BR$78)-IMshareC!BR$70),0))</f>
        <v>3.7882604558565983E-5</v>
      </c>
      <c r="BS55" s="8">
        <f>IF($A55=BS$1,0,IF(SUM(IMshareC!BS$2:BS$78)-IMshareC!BS$71&gt;0,IMshareC!BS55/(SUM(IMshareC!BS$2:BS$78)-IMshareC!BS$71),0))</f>
        <v>9.2420751815808349E-7</v>
      </c>
      <c r="BT55" s="8">
        <f>IF($A55=BT$1,0,IF(SUM(IMshareC!BT$2:BT$78)-IMshareC!BT$72&gt;0,IMshareC!BT55/(SUM(IMshareC!BT$2:BT$78)-IMshareC!BT$72),0))</f>
        <v>8.9799883451511066E-4</v>
      </c>
      <c r="BU55" s="8">
        <f>IF($A55=BU$1,0,IF(SUM(IMshareC!BU$2:BU$78)-IMshareC!BU$73&gt;0,IMshareC!BU55/(SUM(IMshareC!BU$2:BU$78)-IMshareC!BU$73),0))</f>
        <v>1.27266808396766E-6</v>
      </c>
      <c r="BV55" s="8">
        <f>IF($A55=BV$1,0,IF(SUM(IMshareC!BV$2:BV$78)-IMshareC!BV$74&gt;0,IMshareC!BV55/(SUM(IMshareC!BV$2:BV$78)-IMshareC!BV$74),0))</f>
        <v>2.1892236409680849E-6</v>
      </c>
      <c r="BW55" s="8">
        <f>IF($A55=BW$1,0,IF(SUM(IMshareC!BW$2:BW$78)-IMshareC!BW$75&gt;0,IMshareC!BW55/(SUM(IMshareC!BW$2:BW$78)-IMshareC!BW$75),0))</f>
        <v>1.6696669266939697E-4</v>
      </c>
      <c r="BX55" s="8">
        <f>IF($A55=BX$1,0,IF(SUM(IMshareC!BX$2:BX$78)-IMshareC!BX$76&gt;0,IMshareC!BX55/(SUM(IMshareC!BX$2:BX$78)-IMshareC!BX$76),0))</f>
        <v>2.9778526813565724E-5</v>
      </c>
      <c r="BY55" s="8">
        <f>IF($A55=BY$1,0,IF(SUM(IMshareC!BY$2:BY$78)-IMshareC!BY$77&gt;0,IMshareC!BY55/(SUM(IMshareC!BY$2:BY$78)-IMshareC!BY$77),0))</f>
        <v>1.736691115143589E-3</v>
      </c>
      <c r="BZ55" s="8">
        <f>IF($A55=BZ$1,0,IF(SUM(IMshareC!BZ$2:BZ$78)-IMshareC!BZ$78&gt;0,IMshareC!BZ55/(SUM(IMshareC!BZ$2:BZ$78)-IMshareC!BZ$78),0))</f>
        <v>4.43884386014209E-3</v>
      </c>
    </row>
    <row r="56" spans="1:78">
      <c r="A56" s="4" t="s">
        <v>179</v>
      </c>
      <c r="B56" s="8">
        <f>IF($A56=B$1,0,IF(SUM(IMshareC!B$2:B$78)-IMshareC!B$2&gt;0,IMshareC!B56/(SUM(IMshareC!B$2:B$78)-IMshareC!B$2),0))</f>
        <v>7.3224666836903122E-5</v>
      </c>
      <c r="C56" s="8">
        <f>IF($A56=C$1,0,IF(SUM(IMshareC!C$2:C$78)-IMshareC!C$3&gt;0,IMshareC!C56/(SUM(IMshareC!C$2:C$78)-IMshareC!C$3),0))</f>
        <v>7.6306162060686081E-3</v>
      </c>
      <c r="D56" s="8">
        <f>IF($A56=D$1,0,IF(SUM(IMshareC!D$2:D$78)-IMshareC!D$4&gt;0,IMshareC!D56/(SUM(IMshareC!D$2:D$78)-IMshareC!D$4),0))</f>
        <v>1.1328874029506842E-6</v>
      </c>
      <c r="E56" s="8">
        <f>IF($A56=E$1,0,IF(SUM(IMshareC!E$2:E$78)-IMshareC!E$5&gt;0,IMshareC!E56/(SUM(IMshareC!E$2:E$78)-IMshareC!E$5),0))</f>
        <v>3.0557190253501469E-5</v>
      </c>
      <c r="F56" s="8">
        <f>IF($A56=F$1,0,IF(SUM(IMshareC!F$2:F$78)-IMshareC!F$6&gt;0,IMshareC!F56/(SUM(IMshareC!F$2:F$78)-IMshareC!F$6),0))</f>
        <v>0</v>
      </c>
      <c r="G56" s="8">
        <f>IF($A56=G$1,0,IF(SUM(IMshareC!G$2:G$78)-IMshareC!G$7&gt;0,IMshareC!G56/(SUM(IMshareC!G$2:G$78)-IMshareC!G$7),0))</f>
        <v>7.7035690408988218E-7</v>
      </c>
      <c r="H56" s="8">
        <f>IF($A56=H$1,0,IF(SUM(IMshareC!H$2:H$78)-IMshareC!H$8&gt;0,IMshareC!H56/(SUM(IMshareC!H$2:H$78)-IMshareC!H$8),0))</f>
        <v>0</v>
      </c>
      <c r="I56" s="8">
        <f>IF($A56=I$1,0,IF(SUM(IMshareC!I$2:I$78)-IMshareC!I$9&gt;0,IMshareC!I56/(SUM(IMshareC!I$2:I$78)-IMshareC!I$9),0))</f>
        <v>2.6602757190481848E-5</v>
      </c>
      <c r="J56" s="8">
        <f>IF($A56=J$1,0,IF(SUM(IMshareC!J$2:J$78)-IMshareC!J$10&gt;0,IMshareC!J56/(SUM(IMshareC!J$2:J$78)-IMshareC!J$10),0))</f>
        <v>3.079461741956036E-5</v>
      </c>
      <c r="K56" s="8">
        <f>IF($A56=K$1,0,IF(SUM(IMshareC!K$2:K$78)-IMshareC!K$11&gt;0,IMshareC!K56/(SUM(IMshareC!K$2:K$78)-IMshareC!K$11),0))</f>
        <v>1.1930232670613688E-4</v>
      </c>
      <c r="L56" s="8">
        <f>IF($A56=L$1,0,IF(SUM(IMshareC!L$2:L$78)-IMshareC!L$12&gt;0,IMshareC!L56/(SUM(IMshareC!L$2:L$78)-IMshareC!L$12),0))</f>
        <v>4.9333831720456196E-5</v>
      </c>
      <c r="M56" s="8">
        <f>IF($A56=M$1,0,IF(SUM(IMshareC!M$2:M$78)-IMshareC!M$13&gt;0,IMshareC!M56/(SUM(IMshareC!M$2:M$78)-IMshareC!M$13),0))</f>
        <v>7.4651342484899439E-4</v>
      </c>
      <c r="N56" s="8">
        <f>IF($A56=N$1,0,IF(SUM(IMshareC!N$2:N$78)-IMshareC!N$14&gt;0,IMshareC!N56/(SUM(IMshareC!N$2:N$78)-IMshareC!N$14),0))</f>
        <v>1.3504816851929681E-5</v>
      </c>
      <c r="O56" s="8">
        <f>IF($A56=O$1,0,IF(SUM(IMshareC!O$2:O$78)-IMshareC!O$15&gt;0,IMshareC!O56/(SUM(IMshareC!O$2:O$78)-IMshareC!O$15),0))</f>
        <v>2.0455944154961324E-4</v>
      </c>
      <c r="P56" s="8">
        <f>IF($A56=P$1,0,IF(SUM(IMshareC!P$2:P$78)-IMshareC!P$16&gt;0,IMshareC!P56/(SUM(IMshareC!P$2:P$78)-IMshareC!P$16),0))</f>
        <v>0</v>
      </c>
      <c r="Q56" s="8">
        <f>IF($A56=Q$1,0,IF(SUM(IMshareC!Q$2:Q$78)-IMshareC!Q$17&gt;0,IMshareC!Q56/(SUM(IMshareC!Q$2:Q$78)-IMshareC!Q$17),0))</f>
        <v>3.8637596045324394E-5</v>
      </c>
      <c r="R56" s="8">
        <f>IF($A56=R$1,0,IF(SUM(IMshareC!R$2:R$78)-IMshareC!R$18&gt;0,IMshareC!R56/(SUM(IMshareC!R$2:R$78)-IMshareC!R$18),0))</f>
        <v>7.442501177444285E-5</v>
      </c>
      <c r="S56" s="8">
        <f>IF($A56=S$1,0,IF(SUM(IMshareC!S$2:S$78)-IMshareC!S$19&gt;0,IMshareC!S56/(SUM(IMshareC!S$2:S$78)-IMshareC!S$19),0))</f>
        <v>0</v>
      </c>
      <c r="T56" s="8">
        <f>IF($A56=T$1,0,IF(SUM(IMshareC!T$2:T$78)-IMshareC!T$20&gt;0,IMshareC!T56/(SUM(IMshareC!T$2:T$78)-IMshareC!T$20),0))</f>
        <v>4.093953632668808E-5</v>
      </c>
      <c r="U56" s="8">
        <f>IF($A56=U$1,0,IF(SUM(IMshareC!U$2:U$78)-IMshareC!U$21&gt;0,IMshareC!U56/(SUM(IMshareC!U$2:U$78)-IMshareC!U$21),0))</f>
        <v>4.7479613291751053E-6</v>
      </c>
      <c r="V56" s="8">
        <f>IF($A56=V$1,0,IF(SUM(IMshareC!V$2:V$78)-IMshareC!V$22&gt;0,IMshareC!V56/(SUM(IMshareC!V$2:V$78)-IMshareC!V$22),0))</f>
        <v>5.1195399562958431E-5</v>
      </c>
      <c r="W56" s="8">
        <f>IF($A56=W$1,0,IF(SUM(IMshareC!W$2:W$78)-IMshareC!W$23&gt;0,IMshareC!W56/(SUM(IMshareC!W$2:W$78)-IMshareC!W$23),0))</f>
        <v>1.4671426319512082E-3</v>
      </c>
      <c r="X56" s="8">
        <f>IF($A56=X$1,0,IF(SUM(IMshareC!X$2:X$78)-IMshareC!X$24&gt;0,IMshareC!X56/(SUM(IMshareC!X$2:X$78)-IMshareC!X$24),0))</f>
        <v>2.5617523484496344E-6</v>
      </c>
      <c r="Y56" s="8">
        <f>IF($A56=Y$1,0,IF(SUM(IMshareC!Y$2:Y$78)-IMshareC!Y$25&gt;0,IMshareC!Y56/(SUM(IMshareC!Y$2:Y$78)-IMshareC!Y$25),0))</f>
        <v>1.9956426974141756E-5</v>
      </c>
      <c r="Z56" s="8">
        <f>IF($A56=Z$1,0,IF(SUM(IMshareC!Z$2:Z$78)-IMshareC!Z$26&gt;0,IMshareC!Z56/(SUM(IMshareC!Z$2:Z$78)-IMshareC!Z$26),0))</f>
        <v>3.8072310427447803E-5</v>
      </c>
      <c r="AA56" s="8">
        <f>IF($A56=AA$1,0,IF(SUM(IMshareC!AA$2:AA$78)-IMshareC!AA$27&gt;0,IMshareC!AA56/(SUM(IMshareC!AA$2:AA$78)-IMshareC!AA$27),0))</f>
        <v>9.1138858066445799E-6</v>
      </c>
      <c r="AB56" s="8">
        <f>IF($A56=AB$1,0,IF(SUM(IMshareC!AB$2:AB$78)-IMshareC!AB$28&gt;0,IMshareC!AB56/(SUM(IMshareC!AB$2:AB$78)-IMshareC!AB$28),0))</f>
        <v>6.2464298147798148E-5</v>
      </c>
      <c r="AC56" s="8">
        <f>IF($A56=AC$1,0,IF(SUM(IMshareC!AC$2:AC$78)-IMshareC!AC$29&gt;0,IMshareC!AC56/(SUM(IMshareC!AC$2:AC$78)-IMshareC!AC$29),0))</f>
        <v>0</v>
      </c>
      <c r="AD56" s="8">
        <f>IF($A56=AD$1,0,IF(SUM(IMshareC!AD$2:AD$78)-IMshareC!AD$30&gt;0,IMshareC!AD56/(SUM(IMshareC!AD$2:AD$78)-IMshareC!AD$30),0))</f>
        <v>2.0584928323963309E-5</v>
      </c>
      <c r="AE56" s="8">
        <f>IF($A56=AE$1,0,IF(SUM(IMshareC!AE$2:AE$78)-IMshareC!AE$31&gt;0,IMshareC!AE56/(SUM(IMshareC!AE$2:AE$78)-IMshareC!AE$31),0))</f>
        <v>2.4789948847630789E-7</v>
      </c>
      <c r="AF56" s="8">
        <f>IF($A56=AF$1,0,IF(SUM(IMshareC!AF$2:AF$78)-IMshareC!AF$32&gt;0,IMshareC!AF56/(SUM(IMshareC!AF$2:AF$78)-IMshareC!AF$32),0))</f>
        <v>1.7311932255886139E-7</v>
      </c>
      <c r="AG56" s="8">
        <f>IF($A56=AG$1,0,IF(SUM(IMshareC!AG$2:AG$78)-IMshareC!AG$33&gt;0,IMshareC!AG56/(SUM(IMshareC!AG$2:AG$78)-IMshareC!AG$33),0))</f>
        <v>1.2279880554100261E-5</v>
      </c>
      <c r="AH56" s="8">
        <f>IF($A56=AH$1,0,IF(SUM(IMshareC!AH$2:AH$78)-IMshareC!AH$34&gt;0,IMshareC!AH56/(SUM(IMshareC!AH$2:AH$78)-IMshareC!AH$34),0))</f>
        <v>1.1967855489883794E-4</v>
      </c>
      <c r="AI56" s="8">
        <f>IF($A56=AI$1,0,IF(SUM(IMshareC!AI$2:AI$78)-IMshareC!AI$35&gt;0,IMshareC!AI56/(SUM(IMshareC!AI$2:AI$78)-IMshareC!AI$35),0))</f>
        <v>7.3695026351978566E-6</v>
      </c>
      <c r="AJ56" s="8">
        <f>IF($A56=AJ$1,0,IF(SUM(IMshareC!AJ$2:AJ$78)-IMshareC!AJ$36&gt;0,IMshareC!AJ56/(SUM(IMshareC!AJ$2:AJ$78)-IMshareC!AJ$36),0))</f>
        <v>0</v>
      </c>
      <c r="AK56" s="8">
        <f>IF($A56=AK$1,0,IF(SUM(IMshareC!AK$2:AK$78)-IMshareC!AK$37&gt;0,IMshareC!AK56/(SUM(IMshareC!AK$2:AK$78)-IMshareC!AK$37),0))</f>
        <v>1.9422300875048073E-5</v>
      </c>
      <c r="AL56" s="8">
        <f>IF($A56=AL$1,0,IF(SUM(IMshareC!AL$2:AL$78)-IMshareC!AL$38&gt;0,IMshareC!AL56/(SUM(IMshareC!AL$2:AL$78)-IMshareC!AL$38),0))</f>
        <v>9.3719711012345522E-6</v>
      </c>
      <c r="AM56" s="8">
        <f>IF($A56=AM$1,0,IF(SUM(IMshareC!AM$2:AM$78)-IMshareC!AM$39&gt;0,IMshareC!AM56/(SUM(IMshareC!AM$2:AM$78)-IMshareC!AM$39),0))</f>
        <v>4.6287219509659358E-4</v>
      </c>
      <c r="AN56" s="8">
        <f>IF($A56=AN$1,0,IF(SUM(IMshareC!AN$2:AN$78)-IMshareC!AN$40&gt;0,IMshareC!AN56/(SUM(IMshareC!AN$2:AN$78)-IMshareC!AN$40),0))</f>
        <v>2.6987221672250316E-5</v>
      </c>
      <c r="AO56" s="8">
        <f>IF($A56=AO$1,0,IF(SUM(IMshareC!AO$2:AO$78)-IMshareC!AO$41&gt;0,IMshareC!AO56/(SUM(IMshareC!AO$2:AO$78)-IMshareC!AO$41),0))</f>
        <v>0</v>
      </c>
      <c r="AP56" s="8">
        <f>IF($A56=AP$1,0,IF(SUM(IMshareC!AP$2:AP$78)-IMshareC!AP$42&gt;0,IMshareC!AP56/(SUM(IMshareC!AP$2:AP$78)-IMshareC!AP$42),0))</f>
        <v>4.5323571729197714E-4</v>
      </c>
      <c r="AQ56" s="8">
        <f>IF($A56=AQ$1,0,IF(SUM(IMshareC!AQ$2:AQ$78)-IMshareC!AQ$43&gt;0,IMshareC!AQ56/(SUM(IMshareC!AQ$2:AQ$78)-IMshareC!AQ$43),0))</f>
        <v>1.2567317752831316E-7</v>
      </c>
      <c r="AR56" s="8">
        <f>IF($A56=AR$1,0,IF(SUM(IMshareC!AR$2:AR$78)-IMshareC!AR$44&gt;0,IMshareC!AR56/(SUM(IMshareC!AR$2:AR$78)-IMshareC!AR$44),0))</f>
        <v>2.5572001982390318E-5</v>
      </c>
      <c r="AS56" s="8">
        <f>IF($A56=AS$1,0,IF(SUM(IMshareC!AS$2:AS$78)-IMshareC!AS$45&gt;0,IMshareC!AS56/(SUM(IMshareC!AS$2:AS$78)-IMshareC!AS$45),0))</f>
        <v>3.8596645087697904E-6</v>
      </c>
      <c r="AT56" s="8">
        <f>IF($A56=AT$1,0,IF(SUM(IMshareC!AT$2:AT$78)-IMshareC!AT$46&gt;0,IMshareC!AT56/(SUM(IMshareC!AT$2:AT$78)-IMshareC!AT$46),0))</f>
        <v>0</v>
      </c>
      <c r="AU56" s="8">
        <f>IF($A56=AU$1,0,IF(SUM(IMshareC!AU$2:AU$78)-IMshareC!AU$47&gt;0,IMshareC!AU56/(SUM(IMshareC!AU$2:AU$78)-IMshareC!AU$47),0))</f>
        <v>0</v>
      </c>
      <c r="AV56" s="8">
        <f>IF($A56=AV$1,0,IF(SUM(IMshareC!AV$2:AV$78)-IMshareC!AV$48&gt;0,IMshareC!AV56/(SUM(IMshareC!AV$2:AV$78)-IMshareC!AV$48),0))</f>
        <v>1.5626348325536082E-4</v>
      </c>
      <c r="AW56" s="8">
        <f>IF($A56=AW$1,0,IF(SUM(IMshareC!AW$2:AW$78)-IMshareC!AW$49&gt;0,IMshareC!AW56/(SUM(IMshareC!AW$2:AW$78)-IMshareC!AW$49),0))</f>
        <v>1.0031784273713882E-7</v>
      </c>
      <c r="AX56" s="8">
        <f>IF($A56=AX$1,0,IF(SUM(IMshareC!AX$2:AX$78)-IMshareC!AX$50&gt;0,IMshareC!AX56/(SUM(IMshareC!AX$2:AX$78)-IMshareC!AX$50),0))</f>
        <v>0</v>
      </c>
      <c r="AY56" s="8">
        <f>IF($A56=AY$1,0,IF(SUM(IMshareC!AY$2:AY$78)-IMshareC!AY$51&gt;0,IMshareC!AY56/(SUM(IMshareC!AY$2:AY$78)-IMshareC!AY$51),0))</f>
        <v>3.3736328598887441E-3</v>
      </c>
      <c r="AZ56" s="8">
        <f>IF($A56=AZ$1,0,IF(SUM(IMshareC!AZ$2:AZ$78)-IMshareC!AZ$52&gt;0,IMshareC!AZ56/(SUM(IMshareC!AZ$2:AZ$78)-IMshareC!AZ$52),0))</f>
        <v>4.2852240442009201E-6</v>
      </c>
      <c r="BA56" s="8">
        <f>IF($A56=BA$1,0,IF(SUM(IMshareC!BA$2:BA$78)-IMshareC!BA$53&gt;0,IMshareC!BA56/(SUM(IMshareC!BA$2:BA$78)-IMshareC!BA$53),0))</f>
        <v>7.4100401924157876E-6</v>
      </c>
      <c r="BB56" s="8">
        <f>IF($A56=BB$1,0,IF(SUM(IMshareC!BB$2:BB$78)-IMshareC!BB$54&gt;0,IMshareC!BB56/(SUM(IMshareC!BB$2:BB$78)-IMshareC!BB$54),0))</f>
        <v>4.3114571799683354E-5</v>
      </c>
      <c r="BC56" s="8">
        <f>IF($A56=BC$1,0,IF(SUM(IMshareC!BC$2:BC$78)-IMshareC!BC$55&gt;0,IMshareC!BC56/(SUM(IMshareC!BC$2:BC$78)-IMshareC!BC$55),0))</f>
        <v>3.9583770705446603E-5</v>
      </c>
      <c r="BD56" s="8">
        <f>IF($A56=BD$1,0,IF(SUM(IMshareC!BD$2:BD$78)-IMshareC!BD$56&gt;0,IMshareC!BD56/(SUM(IMshareC!BD$2:BD$78)-IMshareC!BD$56),0))</f>
        <v>0</v>
      </c>
      <c r="BE56" s="8">
        <f>IF($A56=BE$1,0,IF(SUM(IMshareC!BE$2:BE$78)-IMshareC!BE$57&gt;0,IMshareC!BE56/(SUM(IMshareC!BE$2:BE$78)-IMshareC!BE$57),0))</f>
        <v>1.103586147659902E-3</v>
      </c>
      <c r="BF56" s="8">
        <f>IF($A56=BF$1,0,IF(SUM(IMshareC!BF$2:BF$78)-IMshareC!BF$58&gt;0,IMshareC!BF56/(SUM(IMshareC!BF$2:BF$78)-IMshareC!BF$58),0))</f>
        <v>8.7463909926489944E-4</v>
      </c>
      <c r="BG56" s="8">
        <f>IF($A56=BG$1,0,IF(SUM(IMshareC!BG$2:BG$78)-IMshareC!BG$59&gt;0,IMshareC!BG56/(SUM(IMshareC!BG$2:BG$78)-IMshareC!BG$59),0))</f>
        <v>1.4535493184757552E-6</v>
      </c>
      <c r="BH56" s="8">
        <f>IF($A56=BH$1,0,IF(SUM(IMshareC!BH$2:BH$78)-IMshareC!BH$60&gt;0,IMshareC!BH56/(SUM(IMshareC!BH$2:BH$78)-IMshareC!BH$60),0))</f>
        <v>1.5473601046071319E-6</v>
      </c>
      <c r="BI56" s="8">
        <f>IF($A56=BI$1,0,IF(SUM(IMshareC!BI$2:BI$78)-IMshareC!BI$61&gt;0,IMshareC!BI56/(SUM(IMshareC!BI$2:BI$78)-IMshareC!BI$61),0))</f>
        <v>1.7482364938676315E-6</v>
      </c>
      <c r="BJ56" s="8">
        <f>IF($A56=BJ$1,0,IF(SUM(IMshareC!BJ$2:BJ$78)-IMshareC!BJ$62&gt;0,IMshareC!BJ56/(SUM(IMshareC!BJ$2:BJ$78)-IMshareC!BJ$62),0))</f>
        <v>3.9820958987925472E-6</v>
      </c>
      <c r="BK56" s="8">
        <f>IF($A56=BK$1,0,IF(SUM(IMshareC!BK$2:BK$78)-IMshareC!BK$63&gt;0,IMshareC!BK56/(SUM(IMshareC!BK$2:BK$78)-IMshareC!BK$63),0))</f>
        <v>1.0484660466797977E-4</v>
      </c>
      <c r="BL56" s="8">
        <f>IF($A56=BL$1,0,IF(SUM(IMshareC!BL$2:BL$78)-IMshareC!BL$64&gt;0,IMshareC!BL56/(SUM(IMshareC!BL$2:BL$78)-IMshareC!BL$64),0))</f>
        <v>5.0496040169996819E-7</v>
      </c>
      <c r="BM56" s="8">
        <f>IF($A56=BM$1,0,IF(SUM(IMshareC!BM$2:BM$78)-IMshareC!BM$65&gt;0,IMshareC!BM56/(SUM(IMshareC!BM$2:BM$78)-IMshareC!BM$65),0))</f>
        <v>0</v>
      </c>
      <c r="BN56" s="8">
        <f>IF($A56=BN$1,0,IF(SUM(IMshareC!BN$2:BN$78)-IMshareC!BN$66&gt;0,IMshareC!BN56/(SUM(IMshareC!BN$2:BN$78)-IMshareC!BN$66),0))</f>
        <v>2.1228302415295808E-6</v>
      </c>
      <c r="BO56" s="8">
        <f>IF($A56=BO$1,0,IF(SUM(IMshareC!BO$2:BO$78)-IMshareC!BO$67&gt;0,IMshareC!BO56/(SUM(IMshareC!BO$2:BO$78)-IMshareC!BO$67),0))</f>
        <v>4.2183096660710048E-5</v>
      </c>
      <c r="BP56" s="8">
        <f>IF($A56=BP$1,0,IF(SUM(IMshareC!BP$2:BP$78)-IMshareC!BP$68&gt;0,IMshareC!BP56/(SUM(IMshareC!BP$2:BP$78)-IMshareC!BP$68),0))</f>
        <v>0</v>
      </c>
      <c r="BQ56" s="8">
        <f>IF($A56=BQ$1,0,IF(SUM(IMshareC!BQ$2:BQ$78)-IMshareC!BQ$69&gt;0,IMshareC!BQ56/(SUM(IMshareC!BQ$2:BQ$78)-IMshareC!BQ$69),0))</f>
        <v>3.8658117951394774E-5</v>
      </c>
      <c r="BR56" s="8">
        <f>IF($A56=BR$1,0,IF(SUM(IMshareC!BR$2:BR$78)-IMshareC!BR$70&gt;0,IMshareC!BR56/(SUM(IMshareC!BR$2:BR$78)-IMshareC!BR$70),0))</f>
        <v>2.7177513354059627E-5</v>
      </c>
      <c r="BS56" s="8">
        <f>IF($A56=BS$1,0,IF(SUM(IMshareC!BS$2:BS$78)-IMshareC!BS$71&gt;0,IMshareC!BS56/(SUM(IMshareC!BS$2:BS$78)-IMshareC!BS$71),0))</f>
        <v>0</v>
      </c>
      <c r="BT56" s="8">
        <f>IF($A56=BT$1,0,IF(SUM(IMshareC!BT$2:BT$78)-IMshareC!BT$72&gt;0,IMshareC!BT56/(SUM(IMshareC!BT$2:BT$78)-IMshareC!BT$72),0))</f>
        <v>8.9622254447778755E-5</v>
      </c>
      <c r="BU56" s="8">
        <f>IF($A56=BU$1,0,IF(SUM(IMshareC!BU$2:BU$78)-IMshareC!BU$73&gt;0,IMshareC!BU56/(SUM(IMshareC!BU$2:BU$78)-IMshareC!BU$73),0))</f>
        <v>4.9666412250552978E-5</v>
      </c>
      <c r="BV56" s="8">
        <f>IF($A56=BV$1,0,IF(SUM(IMshareC!BV$2:BV$78)-IMshareC!BV$74&gt;0,IMshareC!BV56/(SUM(IMshareC!BV$2:BV$78)-IMshareC!BV$74),0))</f>
        <v>0</v>
      </c>
      <c r="BW56" s="8">
        <f>IF($A56=BW$1,0,IF(SUM(IMshareC!BW$2:BW$78)-IMshareC!BW$75&gt;0,IMshareC!BW56/(SUM(IMshareC!BW$2:BW$78)-IMshareC!BW$75),0))</f>
        <v>3.9856731028968851E-5</v>
      </c>
      <c r="BX56" s="8">
        <f>IF($A56=BX$1,0,IF(SUM(IMshareC!BX$2:BX$78)-IMshareC!BX$76&gt;0,IMshareC!BX56/(SUM(IMshareC!BX$2:BX$78)-IMshareC!BX$76),0))</f>
        <v>4.322777342411479E-6</v>
      </c>
      <c r="BY56" s="8">
        <f>IF($A56=BY$1,0,IF(SUM(IMshareC!BY$2:BY$78)-IMshareC!BY$77&gt;0,IMshareC!BY56/(SUM(IMshareC!BY$2:BY$78)-IMshareC!BY$77),0))</f>
        <v>9.4862538609851875E-4</v>
      </c>
      <c r="BZ56" s="8">
        <f>IF($A56=BZ$1,0,IF(SUM(IMshareC!BZ$2:BZ$78)-IMshareC!BZ$78&gt;0,IMshareC!BZ56/(SUM(IMshareC!BZ$2:BZ$78)-IMshareC!BZ$78),0))</f>
        <v>3.6719753134364366E-4</v>
      </c>
    </row>
    <row r="57" spans="1:78">
      <c r="A57" s="4" t="s">
        <v>181</v>
      </c>
      <c r="B57" s="8">
        <f>IF($A57=B$1,0,IF(SUM(IMshareC!B$2:B$78)-IMshareC!B$2&gt;0,IMshareC!B57/(SUM(IMshareC!B$2:B$78)-IMshareC!B$2),0))</f>
        <v>0</v>
      </c>
      <c r="C57" s="8">
        <f>IF($A57=C$1,0,IF(SUM(IMshareC!C$2:C$78)-IMshareC!C$3&gt;0,IMshareC!C57/(SUM(IMshareC!C$2:C$78)-IMshareC!C$3),0))</f>
        <v>0</v>
      </c>
      <c r="D57" s="8">
        <f>IF($A57=D$1,0,IF(SUM(IMshareC!D$2:D$78)-IMshareC!D$4&gt;0,IMshareC!D57/(SUM(IMshareC!D$2:D$78)-IMshareC!D$4),0))</f>
        <v>0</v>
      </c>
      <c r="E57" s="8">
        <f>IF($A57=E$1,0,IF(SUM(IMshareC!E$2:E$78)-IMshareC!E$5&gt;0,IMshareC!E57/(SUM(IMshareC!E$2:E$78)-IMshareC!E$5),0))</f>
        <v>0</v>
      </c>
      <c r="F57" s="8">
        <f>IF($A57=F$1,0,IF(SUM(IMshareC!F$2:F$78)-IMshareC!F$6&gt;0,IMshareC!F57/(SUM(IMshareC!F$2:F$78)-IMshareC!F$6),0))</f>
        <v>0</v>
      </c>
      <c r="G57" s="8">
        <f>IF($A57=G$1,0,IF(SUM(IMshareC!G$2:G$78)-IMshareC!G$7&gt;0,IMshareC!G57/(SUM(IMshareC!G$2:G$78)-IMshareC!G$7),0))</f>
        <v>0</v>
      </c>
      <c r="H57" s="8">
        <f>IF($A57=H$1,0,IF(SUM(IMshareC!H$2:H$78)-IMshareC!H$8&gt;0,IMshareC!H57/(SUM(IMshareC!H$2:H$78)-IMshareC!H$8),0))</f>
        <v>0</v>
      </c>
      <c r="I57" s="8">
        <f>IF($A57=I$1,0,IF(SUM(IMshareC!I$2:I$78)-IMshareC!I$9&gt;0,IMshareC!I57/(SUM(IMshareC!I$2:I$78)-IMshareC!I$9),0))</f>
        <v>0</v>
      </c>
      <c r="J57" s="8">
        <f>IF($A57=J$1,0,IF(SUM(IMshareC!J$2:J$78)-IMshareC!J$10&gt;0,IMshareC!J57/(SUM(IMshareC!J$2:J$78)-IMshareC!J$10),0))</f>
        <v>0</v>
      </c>
      <c r="K57" s="8">
        <f>IF($A57=K$1,0,IF(SUM(IMshareC!K$2:K$78)-IMshareC!K$11&gt;0,IMshareC!K57/(SUM(IMshareC!K$2:K$78)-IMshareC!K$11),0))</f>
        <v>1.4147426767649067E-6</v>
      </c>
      <c r="L57" s="8">
        <f>IF($A57=L$1,0,IF(SUM(IMshareC!L$2:L$78)-IMshareC!L$12&gt;0,IMshareC!L57/(SUM(IMshareC!L$2:L$78)-IMshareC!L$12),0))</f>
        <v>1.8624665801447234E-7</v>
      </c>
      <c r="M57" s="8">
        <f>IF($A57=M$1,0,IF(SUM(IMshareC!M$2:M$78)-IMshareC!M$13&gt;0,IMshareC!M57/(SUM(IMshareC!M$2:M$78)-IMshareC!M$13),0))</f>
        <v>0</v>
      </c>
      <c r="N57" s="8">
        <f>IF($A57=N$1,0,IF(SUM(IMshareC!N$2:N$78)-IMshareC!N$14&gt;0,IMshareC!N57/(SUM(IMshareC!N$2:N$78)-IMshareC!N$14),0))</f>
        <v>6.7906096472602313E-9</v>
      </c>
      <c r="O57" s="8">
        <f>IF($A57=O$1,0,IF(SUM(IMshareC!O$2:O$78)-IMshareC!O$15&gt;0,IMshareC!O57/(SUM(IMshareC!O$2:O$78)-IMshareC!O$15),0))</f>
        <v>0</v>
      </c>
      <c r="P57" s="8">
        <f>IF($A57=P$1,0,IF(SUM(IMshareC!P$2:P$78)-IMshareC!P$16&gt;0,IMshareC!P57/(SUM(IMshareC!P$2:P$78)-IMshareC!P$16),0))</f>
        <v>0</v>
      </c>
      <c r="Q57" s="8">
        <f>IF($A57=Q$1,0,IF(SUM(IMshareC!Q$2:Q$78)-IMshareC!Q$17&gt;0,IMshareC!Q57/(SUM(IMshareC!Q$2:Q$78)-IMshareC!Q$17),0))</f>
        <v>0</v>
      </c>
      <c r="R57" s="8">
        <f>IF($A57=R$1,0,IF(SUM(IMshareC!R$2:R$78)-IMshareC!R$18&gt;0,IMshareC!R57/(SUM(IMshareC!R$2:R$78)-IMshareC!R$18),0))</f>
        <v>0</v>
      </c>
      <c r="S57" s="8">
        <f>IF($A57=S$1,0,IF(SUM(IMshareC!S$2:S$78)-IMshareC!S$19&gt;0,IMshareC!S57/(SUM(IMshareC!S$2:S$78)-IMshareC!S$19),0))</f>
        <v>0</v>
      </c>
      <c r="T57" s="8">
        <f>IF($A57=T$1,0,IF(SUM(IMshareC!T$2:T$78)-IMshareC!T$20&gt;0,IMshareC!T57/(SUM(IMshareC!T$2:T$78)-IMshareC!T$20),0))</f>
        <v>6.5736493233030865E-7</v>
      </c>
      <c r="U57" s="8">
        <f>IF($A57=U$1,0,IF(SUM(IMshareC!U$2:U$78)-IMshareC!U$21&gt;0,IMshareC!U57/(SUM(IMshareC!U$2:U$78)-IMshareC!U$21),0))</f>
        <v>1.3686432272589991E-6</v>
      </c>
      <c r="V57" s="8">
        <f>IF($A57=V$1,0,IF(SUM(IMshareC!V$2:V$78)-IMshareC!V$22&gt;0,IMshareC!V57/(SUM(IMshareC!V$2:V$78)-IMshareC!V$22),0))</f>
        <v>2.8349682641721989E-7</v>
      </c>
      <c r="W57" s="8">
        <f>IF($A57=W$1,0,IF(SUM(IMshareC!W$2:W$78)-IMshareC!W$23&gt;0,IMshareC!W57/(SUM(IMshareC!W$2:W$78)-IMshareC!W$23),0))</f>
        <v>1.5260184571618314E-7</v>
      </c>
      <c r="X57" s="8">
        <f>IF($A57=X$1,0,IF(SUM(IMshareC!X$2:X$78)-IMshareC!X$24&gt;0,IMshareC!X57/(SUM(IMshareC!X$2:X$78)-IMshareC!X$24),0))</f>
        <v>6.8903237181030467E-8</v>
      </c>
      <c r="Y57" s="8">
        <f>IF($A57=Y$1,0,IF(SUM(IMshareC!Y$2:Y$78)-IMshareC!Y$25&gt;0,IMshareC!Y57/(SUM(IMshareC!Y$2:Y$78)-IMshareC!Y$25),0))</f>
        <v>0</v>
      </c>
      <c r="Z57" s="8">
        <f>IF($A57=Z$1,0,IF(SUM(IMshareC!Z$2:Z$78)-IMshareC!Z$26&gt;0,IMshareC!Z57/(SUM(IMshareC!Z$2:Z$78)-IMshareC!Z$26),0))</f>
        <v>4.7980747936909119E-8</v>
      </c>
      <c r="AA57" s="8">
        <f>IF($A57=AA$1,0,IF(SUM(IMshareC!AA$2:AA$78)-IMshareC!AA$27&gt;0,IMshareC!AA57/(SUM(IMshareC!AA$2:AA$78)-IMshareC!AA$27),0))</f>
        <v>1.4828163738619545E-5</v>
      </c>
      <c r="AB57" s="8">
        <f>IF($A57=AB$1,0,IF(SUM(IMshareC!AB$2:AB$78)-IMshareC!AB$28&gt;0,IMshareC!AB57/(SUM(IMshareC!AB$2:AB$78)-IMshareC!AB$28),0))</f>
        <v>1.5561522452938106E-5</v>
      </c>
      <c r="AC57" s="8">
        <f>IF($A57=AC$1,0,IF(SUM(IMshareC!AC$2:AC$78)-IMshareC!AC$29&gt;0,IMshareC!AC57/(SUM(IMshareC!AC$2:AC$78)-IMshareC!AC$29),0))</f>
        <v>2.6377268508867914E-6</v>
      </c>
      <c r="AD57" s="8">
        <f>IF($A57=AD$1,0,IF(SUM(IMshareC!AD$2:AD$78)-IMshareC!AD$30&gt;0,IMshareC!AD57/(SUM(IMshareC!AD$2:AD$78)-IMshareC!AD$30),0))</f>
        <v>1.2106525624661329E-8</v>
      </c>
      <c r="AE57" s="8">
        <f>IF($A57=AE$1,0,IF(SUM(IMshareC!AE$2:AE$78)-IMshareC!AE$31&gt;0,IMshareC!AE57/(SUM(IMshareC!AE$2:AE$78)-IMshareC!AE$31),0))</f>
        <v>0</v>
      </c>
      <c r="AF57" s="8">
        <f>IF($A57=AF$1,0,IF(SUM(IMshareC!AF$2:AF$78)-IMshareC!AF$32&gt;0,IMshareC!AF57/(SUM(IMshareC!AF$2:AF$78)-IMshareC!AF$32),0))</f>
        <v>0</v>
      </c>
      <c r="AG57" s="8">
        <f>IF($A57=AG$1,0,IF(SUM(IMshareC!AG$2:AG$78)-IMshareC!AG$33&gt;0,IMshareC!AG57/(SUM(IMshareC!AG$2:AG$78)-IMshareC!AG$33),0))</f>
        <v>7.4918082635628852E-8</v>
      </c>
      <c r="AH57" s="8">
        <f>IF($A57=AH$1,0,IF(SUM(IMshareC!AH$2:AH$78)-IMshareC!AH$34&gt;0,IMshareC!AH57/(SUM(IMshareC!AH$2:AH$78)-IMshareC!AH$34),0))</f>
        <v>0</v>
      </c>
      <c r="AI57" s="8">
        <f>IF($A57=AI$1,0,IF(SUM(IMshareC!AI$2:AI$78)-IMshareC!AI$35&gt;0,IMshareC!AI57/(SUM(IMshareC!AI$2:AI$78)-IMshareC!AI$35),0))</f>
        <v>7.6288513787341084E-7</v>
      </c>
      <c r="AJ57" s="8">
        <f>IF($A57=AJ$1,0,IF(SUM(IMshareC!AJ$2:AJ$78)-IMshareC!AJ$36&gt;0,IMshareC!AJ57/(SUM(IMshareC!AJ$2:AJ$78)-IMshareC!AJ$36),0))</f>
        <v>0</v>
      </c>
      <c r="AK57" s="8">
        <f>IF($A57=AK$1,0,IF(SUM(IMshareC!AK$2:AK$78)-IMshareC!AK$37&gt;0,IMshareC!AK57/(SUM(IMshareC!AK$2:AK$78)-IMshareC!AK$37),0))</f>
        <v>0</v>
      </c>
      <c r="AL57" s="8">
        <f>IF($A57=AL$1,0,IF(SUM(IMshareC!AL$2:AL$78)-IMshareC!AL$38&gt;0,IMshareC!AL57/(SUM(IMshareC!AL$2:AL$78)-IMshareC!AL$38),0))</f>
        <v>3.9254328853892977E-5</v>
      </c>
      <c r="AM57" s="8">
        <f>IF($A57=AM$1,0,IF(SUM(IMshareC!AM$2:AM$78)-IMshareC!AM$39&gt;0,IMshareC!AM57/(SUM(IMshareC!AM$2:AM$78)-IMshareC!AM$39),0))</f>
        <v>5.0711157584442243E-3</v>
      </c>
      <c r="AN57" s="8">
        <f>IF($A57=AN$1,0,IF(SUM(IMshareC!AN$2:AN$78)-IMshareC!AN$40&gt;0,IMshareC!AN57/(SUM(IMshareC!AN$2:AN$78)-IMshareC!AN$40),0))</f>
        <v>5.1740868331164223E-7</v>
      </c>
      <c r="AO57" s="8">
        <f>IF($A57=AO$1,0,IF(SUM(IMshareC!AO$2:AO$78)-IMshareC!AO$41&gt;0,IMshareC!AO57/(SUM(IMshareC!AO$2:AO$78)-IMshareC!AO$41),0))</f>
        <v>0</v>
      </c>
      <c r="AP57" s="8">
        <f>IF($A57=AP$1,0,IF(SUM(IMshareC!AP$2:AP$78)-IMshareC!AP$42&gt;0,IMshareC!AP57/(SUM(IMshareC!AP$2:AP$78)-IMshareC!AP$42),0))</f>
        <v>0</v>
      </c>
      <c r="AQ57" s="8">
        <f>IF($A57=AQ$1,0,IF(SUM(IMshareC!AQ$2:AQ$78)-IMshareC!AQ$43&gt;0,IMshareC!AQ57/(SUM(IMshareC!AQ$2:AQ$78)-IMshareC!AQ$43),0))</f>
        <v>4.5609479035556324E-8</v>
      </c>
      <c r="AR57" s="8">
        <f>IF($A57=AR$1,0,IF(SUM(IMshareC!AR$2:AR$78)-IMshareC!AR$44&gt;0,IMshareC!AR57/(SUM(IMshareC!AR$2:AR$78)-IMshareC!AR$44),0))</f>
        <v>0</v>
      </c>
      <c r="AS57" s="8">
        <f>IF($A57=AS$1,0,IF(SUM(IMshareC!AS$2:AS$78)-IMshareC!AS$45&gt;0,IMshareC!AS57/(SUM(IMshareC!AS$2:AS$78)-IMshareC!AS$45),0))</f>
        <v>2.7633395704810951E-7</v>
      </c>
      <c r="AT57" s="8">
        <f>IF($A57=AT$1,0,IF(SUM(IMshareC!AT$2:AT$78)-IMshareC!AT$46&gt;0,IMshareC!AT57/(SUM(IMshareC!AT$2:AT$78)-IMshareC!AT$46),0))</f>
        <v>0</v>
      </c>
      <c r="AU57" s="8">
        <f>IF($A57=AU$1,0,IF(SUM(IMshareC!AU$2:AU$78)-IMshareC!AU$47&gt;0,IMshareC!AU57/(SUM(IMshareC!AU$2:AU$78)-IMshareC!AU$47),0))</f>
        <v>0</v>
      </c>
      <c r="AV57" s="8">
        <f>IF($A57=AV$1,0,IF(SUM(IMshareC!AV$2:AV$78)-IMshareC!AV$48&gt;0,IMshareC!AV57/(SUM(IMshareC!AV$2:AV$78)-IMshareC!AV$48),0))</f>
        <v>3.0893202779278673E-7</v>
      </c>
      <c r="AW57" s="8">
        <f>IF($A57=AW$1,0,IF(SUM(IMshareC!AW$2:AW$78)-IMshareC!AW$49&gt;0,IMshareC!AW57/(SUM(IMshareC!AW$2:AW$78)-IMshareC!AW$49),0))</f>
        <v>2.4549282528440586E-8</v>
      </c>
      <c r="AX57" s="8">
        <f>IF($A57=AX$1,0,IF(SUM(IMshareC!AX$2:AX$78)-IMshareC!AX$50&gt;0,IMshareC!AX57/(SUM(IMshareC!AX$2:AX$78)-IMshareC!AX$50),0))</f>
        <v>0</v>
      </c>
      <c r="AY57" s="8">
        <f>IF($A57=AY$1,0,IF(SUM(IMshareC!AY$2:AY$78)-IMshareC!AY$51&gt;0,IMshareC!AY57/(SUM(IMshareC!AY$2:AY$78)-IMshareC!AY$51),0))</f>
        <v>9.5636078887285795E-4</v>
      </c>
      <c r="AZ57" s="8">
        <f>IF($A57=AZ$1,0,IF(SUM(IMshareC!AZ$2:AZ$78)-IMshareC!AZ$52&gt;0,IMshareC!AZ57/(SUM(IMshareC!AZ$2:AZ$78)-IMshareC!AZ$52),0))</f>
        <v>8.1149210085095327E-8</v>
      </c>
      <c r="BA57" s="8">
        <f>IF($A57=BA$1,0,IF(SUM(IMshareC!BA$2:BA$78)-IMshareC!BA$53&gt;0,IMshareC!BA57/(SUM(IMshareC!BA$2:BA$78)-IMshareC!BA$53),0))</f>
        <v>0</v>
      </c>
      <c r="BB57" s="8">
        <f>IF($A57=BB$1,0,IF(SUM(IMshareC!BB$2:BB$78)-IMshareC!BB$54&gt;0,IMshareC!BB57/(SUM(IMshareC!BB$2:BB$78)-IMshareC!BB$54),0))</f>
        <v>1.0797883867463993E-7</v>
      </c>
      <c r="BC57" s="8">
        <f>IF($A57=BC$1,0,IF(SUM(IMshareC!BC$2:BC$78)-IMshareC!BC$55&gt;0,IMshareC!BC57/(SUM(IMshareC!BC$2:BC$78)-IMshareC!BC$55),0))</f>
        <v>1.9475733475622878E-6</v>
      </c>
      <c r="BD57" s="8">
        <f>IF($A57=BD$1,0,IF(SUM(IMshareC!BD$2:BD$78)-IMshareC!BD$56&gt;0,IMshareC!BD57/(SUM(IMshareC!BD$2:BD$78)-IMshareC!BD$56),0))</f>
        <v>0</v>
      </c>
      <c r="BE57" s="8">
        <f>IF($A57=BE$1,0,IF(SUM(IMshareC!BE$2:BE$78)-IMshareC!BE$57&gt;0,IMshareC!BE57/(SUM(IMshareC!BE$2:BE$78)-IMshareC!BE$57),0))</f>
        <v>0</v>
      </c>
      <c r="BF57" s="8">
        <f>IF($A57=BF$1,0,IF(SUM(IMshareC!BF$2:BF$78)-IMshareC!BF$58&gt;0,IMshareC!BF57/(SUM(IMshareC!BF$2:BF$78)-IMshareC!BF$58),0))</f>
        <v>0</v>
      </c>
      <c r="BG57" s="8">
        <f>IF($A57=BG$1,0,IF(SUM(IMshareC!BG$2:BG$78)-IMshareC!BG$59&gt;0,IMshareC!BG57/(SUM(IMshareC!BG$2:BG$78)-IMshareC!BG$59),0))</f>
        <v>0</v>
      </c>
      <c r="BH57" s="8">
        <f>IF($A57=BH$1,0,IF(SUM(IMshareC!BH$2:BH$78)-IMshareC!BH$60&gt;0,IMshareC!BH57/(SUM(IMshareC!BH$2:BH$78)-IMshareC!BH$60),0))</f>
        <v>8.2998976697770401E-7</v>
      </c>
      <c r="BI57" s="8">
        <f>IF($A57=BI$1,0,IF(SUM(IMshareC!BI$2:BI$78)-IMshareC!BI$61&gt;0,IMshareC!BI57/(SUM(IMshareC!BI$2:BI$78)-IMshareC!BI$61),0))</f>
        <v>5.5067077972300015E-8</v>
      </c>
      <c r="BJ57" s="8">
        <f>IF($A57=BJ$1,0,IF(SUM(IMshareC!BJ$2:BJ$78)-IMshareC!BJ$62&gt;0,IMshareC!BJ57/(SUM(IMshareC!BJ$2:BJ$78)-IMshareC!BJ$62),0))</f>
        <v>0</v>
      </c>
      <c r="BK57" s="8">
        <f>IF($A57=BK$1,0,IF(SUM(IMshareC!BK$2:BK$78)-IMshareC!BK$63&gt;0,IMshareC!BK57/(SUM(IMshareC!BK$2:BK$78)-IMshareC!BK$63),0))</f>
        <v>0</v>
      </c>
      <c r="BL57" s="8">
        <f>IF($A57=BL$1,0,IF(SUM(IMshareC!BL$2:BL$78)-IMshareC!BL$64&gt;0,IMshareC!BL57/(SUM(IMshareC!BL$2:BL$78)-IMshareC!BL$64),0))</f>
        <v>0</v>
      </c>
      <c r="BM57" s="8">
        <f>IF($A57=BM$1,0,IF(SUM(IMshareC!BM$2:BM$78)-IMshareC!BM$65&gt;0,IMshareC!BM57/(SUM(IMshareC!BM$2:BM$78)-IMshareC!BM$65),0))</f>
        <v>1.4976652895607277E-5</v>
      </c>
      <c r="BN57" s="8">
        <f>IF($A57=BN$1,0,IF(SUM(IMshareC!BN$2:BN$78)-IMshareC!BN$66&gt;0,IMshareC!BN57/(SUM(IMshareC!BN$2:BN$78)-IMshareC!BN$66),0))</f>
        <v>1.009621284656693E-5</v>
      </c>
      <c r="BO57" s="8">
        <f>IF($A57=BO$1,0,IF(SUM(IMshareC!BO$2:BO$78)-IMshareC!BO$67&gt;0,IMshareC!BO57/(SUM(IMshareC!BO$2:BO$78)-IMshareC!BO$67),0))</f>
        <v>2.5776811706112837E-7</v>
      </c>
      <c r="BP57" s="8">
        <f>IF($A57=BP$1,0,IF(SUM(IMshareC!BP$2:BP$78)-IMshareC!BP$68&gt;0,IMshareC!BP57/(SUM(IMshareC!BP$2:BP$78)-IMshareC!BP$68),0))</f>
        <v>0</v>
      </c>
      <c r="BQ57" s="8">
        <f>IF($A57=BQ$1,0,IF(SUM(IMshareC!BQ$2:BQ$78)-IMshareC!BQ$69&gt;0,IMshareC!BQ57/(SUM(IMshareC!BQ$2:BQ$78)-IMshareC!BQ$69),0))</f>
        <v>2.4816803683038916E-5</v>
      </c>
      <c r="BR57" s="8">
        <f>IF($A57=BR$1,0,IF(SUM(IMshareC!BR$2:BR$78)-IMshareC!BR$70&gt;0,IMshareC!BR57/(SUM(IMshareC!BR$2:BR$78)-IMshareC!BR$70),0))</f>
        <v>1.0380683177852456E-7</v>
      </c>
      <c r="BS57" s="8">
        <f>IF($A57=BS$1,0,IF(SUM(IMshareC!BS$2:BS$78)-IMshareC!BS$71&gt;0,IMshareC!BS57/(SUM(IMshareC!BS$2:BS$78)-IMshareC!BS$71),0))</f>
        <v>0</v>
      </c>
      <c r="BT57" s="8">
        <f>IF($A57=BT$1,0,IF(SUM(IMshareC!BT$2:BT$78)-IMshareC!BT$72&gt;0,IMshareC!BT57/(SUM(IMshareC!BT$2:BT$78)-IMshareC!BT$72),0))</f>
        <v>5.4513728731637681E-6</v>
      </c>
      <c r="BU57" s="8">
        <f>IF($A57=BU$1,0,IF(SUM(IMshareC!BU$2:BU$78)-IMshareC!BU$73&gt;0,IMshareC!BU57/(SUM(IMshareC!BU$2:BU$78)-IMshareC!BU$73),0))</f>
        <v>0</v>
      </c>
      <c r="BV57" s="8">
        <f>IF($A57=BV$1,0,IF(SUM(IMshareC!BV$2:BV$78)-IMshareC!BV$74&gt;0,IMshareC!BV57/(SUM(IMshareC!BV$2:BV$78)-IMshareC!BV$74),0))</f>
        <v>0</v>
      </c>
      <c r="BW57" s="8">
        <f>IF($A57=BW$1,0,IF(SUM(IMshareC!BW$2:BW$78)-IMshareC!BW$75&gt;0,IMshareC!BW57/(SUM(IMshareC!BW$2:BW$78)-IMshareC!BW$75),0))</f>
        <v>6.003753346707477E-7</v>
      </c>
      <c r="BX57" s="8">
        <f>IF($A57=BX$1,0,IF(SUM(IMshareC!BX$2:BX$78)-IMshareC!BX$76&gt;0,IMshareC!BX57/(SUM(IMshareC!BX$2:BX$78)-IMshareC!BX$76),0))</f>
        <v>0</v>
      </c>
      <c r="BY57" s="8">
        <f>IF($A57=BY$1,0,IF(SUM(IMshareC!BY$2:BY$78)-IMshareC!BY$77&gt;0,IMshareC!BY57/(SUM(IMshareC!BY$2:BY$78)-IMshareC!BY$77),0))</f>
        <v>6.6389379198193558E-7</v>
      </c>
      <c r="BZ57" s="8">
        <f>IF($A57=BZ$1,0,IF(SUM(IMshareC!BZ$2:BZ$78)-IMshareC!BZ$78&gt;0,IMshareC!BZ57/(SUM(IMshareC!BZ$2:BZ$78)-IMshareC!BZ$78),0))</f>
        <v>1.0326169604459787E-4</v>
      </c>
    </row>
    <row r="58" spans="1:78">
      <c r="A58" s="4" t="s">
        <v>183</v>
      </c>
      <c r="B58" s="8">
        <f>IF($A58=B$1,0,IF(SUM(IMshareC!B$2:B$78)-IMshareC!B$2&gt;0,IMshareC!B58/(SUM(IMshareC!B$2:B$78)-IMshareC!B$2),0))</f>
        <v>3.0998003008306207E-5</v>
      </c>
      <c r="C58" s="8">
        <f>IF($A58=C$1,0,IF(SUM(IMshareC!C$2:C$78)-IMshareC!C$3&gt;0,IMshareC!C58/(SUM(IMshareC!C$2:C$78)-IMshareC!C$3),0))</f>
        <v>0</v>
      </c>
      <c r="D58" s="8">
        <f>IF($A58=D$1,0,IF(SUM(IMshareC!D$2:D$78)-IMshareC!D$4&gt;0,IMshareC!D58/(SUM(IMshareC!D$2:D$78)-IMshareC!D$4),0))</f>
        <v>2.7874178002150964E-6</v>
      </c>
      <c r="E58" s="8">
        <f>IF($A58=E$1,0,IF(SUM(IMshareC!E$2:E$78)-IMshareC!E$5&gt;0,IMshareC!E58/(SUM(IMshareC!E$2:E$78)-IMshareC!E$5),0))</f>
        <v>9.4144131646021743E-6</v>
      </c>
      <c r="F58" s="8">
        <f>IF($A58=F$1,0,IF(SUM(IMshareC!F$2:F$78)-IMshareC!F$6&gt;0,IMshareC!F58/(SUM(IMshareC!F$2:F$78)-IMshareC!F$6),0))</f>
        <v>0</v>
      </c>
      <c r="G58" s="8">
        <f>IF($A58=G$1,0,IF(SUM(IMshareC!G$2:G$78)-IMshareC!G$7&gt;0,IMshareC!G58/(SUM(IMshareC!G$2:G$78)-IMshareC!G$7),0))</f>
        <v>0</v>
      </c>
      <c r="H58" s="8">
        <f>IF($A58=H$1,0,IF(SUM(IMshareC!H$2:H$78)-IMshareC!H$8&gt;0,IMshareC!H58/(SUM(IMshareC!H$2:H$78)-IMshareC!H$8),0))</f>
        <v>0</v>
      </c>
      <c r="I58" s="8">
        <f>IF($A58=I$1,0,IF(SUM(IMshareC!I$2:I$78)-IMshareC!I$9&gt;0,IMshareC!I58/(SUM(IMshareC!I$2:I$78)-IMshareC!I$9),0))</f>
        <v>9.6173941028554588E-7</v>
      </c>
      <c r="J58" s="8">
        <f>IF($A58=J$1,0,IF(SUM(IMshareC!J$2:J$78)-IMshareC!J$10&gt;0,IMshareC!J58/(SUM(IMshareC!J$2:J$78)-IMshareC!J$10),0))</f>
        <v>0</v>
      </c>
      <c r="K58" s="8">
        <f>IF($A58=K$1,0,IF(SUM(IMshareC!K$2:K$78)-IMshareC!K$11&gt;0,IMshareC!K58/(SUM(IMshareC!K$2:K$78)-IMshareC!K$11),0))</f>
        <v>5.2098354700108586E-8</v>
      </c>
      <c r="L58" s="8">
        <f>IF($A58=L$1,0,IF(SUM(IMshareC!L$2:L$78)-IMshareC!L$12&gt;0,IMshareC!L58/(SUM(IMshareC!L$2:L$78)-IMshareC!L$12),0))</f>
        <v>7.7036036540084298E-6</v>
      </c>
      <c r="M58" s="8">
        <f>IF($A58=M$1,0,IF(SUM(IMshareC!M$2:M$78)-IMshareC!M$13&gt;0,IMshareC!M58/(SUM(IMshareC!M$2:M$78)-IMshareC!M$13),0))</f>
        <v>1.5884456349820962E-3</v>
      </c>
      <c r="N58" s="8">
        <f>IF($A58=N$1,0,IF(SUM(IMshareC!N$2:N$78)-IMshareC!N$14&gt;0,IMshareC!N58/(SUM(IMshareC!N$2:N$78)-IMshareC!N$14),0))</f>
        <v>3.7725609151445728E-10</v>
      </c>
      <c r="O58" s="8">
        <f>IF($A58=O$1,0,IF(SUM(IMshareC!O$2:O$78)-IMshareC!O$15&gt;0,IMshareC!O58/(SUM(IMshareC!O$2:O$78)-IMshareC!O$15),0))</f>
        <v>0</v>
      </c>
      <c r="P58" s="8">
        <f>IF($A58=P$1,0,IF(SUM(IMshareC!P$2:P$78)-IMshareC!P$16&gt;0,IMshareC!P58/(SUM(IMshareC!P$2:P$78)-IMshareC!P$16),0))</f>
        <v>0</v>
      </c>
      <c r="Q58" s="8">
        <f>IF($A58=Q$1,0,IF(SUM(IMshareC!Q$2:Q$78)-IMshareC!Q$17&gt;0,IMshareC!Q58/(SUM(IMshareC!Q$2:Q$78)-IMshareC!Q$17),0))</f>
        <v>1.1953196752550186E-5</v>
      </c>
      <c r="R58" s="8">
        <f>IF($A58=R$1,0,IF(SUM(IMshareC!R$2:R$78)-IMshareC!R$18&gt;0,IMshareC!R58/(SUM(IMshareC!R$2:R$78)-IMshareC!R$18),0))</f>
        <v>2.6659957483865781E-4</v>
      </c>
      <c r="S58" s="8">
        <f>IF($A58=S$1,0,IF(SUM(IMshareC!S$2:S$78)-IMshareC!S$19&gt;0,IMshareC!S58/(SUM(IMshareC!S$2:S$78)-IMshareC!S$19),0))</f>
        <v>0</v>
      </c>
      <c r="T58" s="8">
        <f>IF($A58=T$1,0,IF(SUM(IMshareC!T$2:T$78)-IMshareC!T$20&gt;0,IMshareC!T58/(SUM(IMshareC!T$2:T$78)-IMshareC!T$20),0))</f>
        <v>0</v>
      </c>
      <c r="U58" s="8">
        <f>IF($A58=U$1,0,IF(SUM(IMshareC!U$2:U$78)-IMshareC!U$21&gt;0,IMshareC!U58/(SUM(IMshareC!U$2:U$78)-IMshareC!U$21),0))</f>
        <v>3.564158286911644E-7</v>
      </c>
      <c r="V58" s="8">
        <f>IF($A58=V$1,0,IF(SUM(IMshareC!V$2:V$78)-IMshareC!V$22&gt;0,IMshareC!V58/(SUM(IMshareC!V$2:V$78)-IMshareC!V$22),0))</f>
        <v>6.1244693580250962E-8</v>
      </c>
      <c r="W58" s="8">
        <f>IF($A58=W$1,0,IF(SUM(IMshareC!W$2:W$78)-IMshareC!W$23&gt;0,IMshareC!W58/(SUM(IMshareC!W$2:W$78)-IMshareC!W$23),0))</f>
        <v>1.8315680149520222E-6</v>
      </c>
      <c r="X58" s="8">
        <f>IF($A58=X$1,0,IF(SUM(IMshareC!X$2:X$78)-IMshareC!X$24&gt;0,IMshareC!X58/(SUM(IMshareC!X$2:X$78)-IMshareC!X$24),0))</f>
        <v>8.7435280407732484E-7</v>
      </c>
      <c r="Y58" s="8">
        <f>IF($A58=Y$1,0,IF(SUM(IMshareC!Y$2:Y$78)-IMshareC!Y$25&gt;0,IMshareC!Y58/(SUM(IMshareC!Y$2:Y$78)-IMshareC!Y$25),0))</f>
        <v>0</v>
      </c>
      <c r="Z58" s="8">
        <f>IF($A58=Z$1,0,IF(SUM(IMshareC!Z$2:Z$78)-IMshareC!Z$26&gt;0,IMshareC!Z58/(SUM(IMshareC!Z$2:Z$78)-IMshareC!Z$26),0))</f>
        <v>0</v>
      </c>
      <c r="AA58" s="8">
        <f>IF($A58=AA$1,0,IF(SUM(IMshareC!AA$2:AA$78)-IMshareC!AA$27&gt;0,IMshareC!AA58/(SUM(IMshareC!AA$2:AA$78)-IMshareC!AA$27),0))</f>
        <v>1.7836240211274296E-5</v>
      </c>
      <c r="AB58" s="8">
        <f>IF($A58=AB$1,0,IF(SUM(IMshareC!AB$2:AB$78)-IMshareC!AB$28&gt;0,IMshareC!AB58/(SUM(IMshareC!AB$2:AB$78)-IMshareC!AB$28),0))</f>
        <v>9.7428348756118158E-6</v>
      </c>
      <c r="AC58" s="8">
        <f>IF($A58=AC$1,0,IF(SUM(IMshareC!AC$2:AC$78)-IMshareC!AC$29&gt;0,IMshareC!AC58/(SUM(IMshareC!AC$2:AC$78)-IMshareC!AC$29),0))</f>
        <v>0</v>
      </c>
      <c r="AD58" s="8">
        <f>IF($A58=AD$1,0,IF(SUM(IMshareC!AD$2:AD$78)-IMshareC!AD$30&gt;0,IMshareC!AD58/(SUM(IMshareC!AD$2:AD$78)-IMshareC!AD$30),0))</f>
        <v>1.100563394108696E-7</v>
      </c>
      <c r="AE58" s="8">
        <f>IF($A58=AE$1,0,IF(SUM(IMshareC!AE$2:AE$78)-IMshareC!AE$31&gt;0,IMshareC!AE58/(SUM(IMshareC!AE$2:AE$78)-IMshareC!AE$31),0))</f>
        <v>0</v>
      </c>
      <c r="AF58" s="8">
        <f>IF($A58=AF$1,0,IF(SUM(IMshareC!AF$2:AF$78)-IMshareC!AF$32&gt;0,IMshareC!AF58/(SUM(IMshareC!AF$2:AF$78)-IMshareC!AF$32),0))</f>
        <v>0</v>
      </c>
      <c r="AG58" s="8">
        <f>IF($A58=AG$1,0,IF(SUM(IMshareC!AG$2:AG$78)-IMshareC!AG$33&gt;0,IMshareC!AG58/(SUM(IMshareC!AG$2:AG$78)-IMshareC!AG$33),0))</f>
        <v>1.1355644983271672E-7</v>
      </c>
      <c r="AH58" s="8">
        <f>IF($A58=AH$1,0,IF(SUM(IMshareC!AH$2:AH$78)-IMshareC!AH$34&gt;0,IMshareC!AH58/(SUM(IMshareC!AH$2:AH$78)-IMshareC!AH$34),0))</f>
        <v>1.3976601068170084E-8</v>
      </c>
      <c r="AI58" s="8">
        <f>IF($A58=AI$1,0,IF(SUM(IMshareC!AI$2:AI$78)-IMshareC!AI$35&gt;0,IMshareC!AI58/(SUM(IMshareC!AI$2:AI$78)-IMshareC!AI$35),0))</f>
        <v>0</v>
      </c>
      <c r="AJ58" s="8">
        <f>IF($A58=AJ$1,0,IF(SUM(IMshareC!AJ$2:AJ$78)-IMshareC!AJ$36&gt;0,IMshareC!AJ58/(SUM(IMshareC!AJ$2:AJ$78)-IMshareC!AJ$36),0))</f>
        <v>0</v>
      </c>
      <c r="AK58" s="8">
        <f>IF($A58=AK$1,0,IF(SUM(IMshareC!AK$2:AK$78)-IMshareC!AK$37&gt;0,IMshareC!AK58/(SUM(IMshareC!AK$2:AK$78)-IMshareC!AK$37),0))</f>
        <v>1.9483101121265624E-7</v>
      </c>
      <c r="AL58" s="8">
        <f>IF($A58=AL$1,0,IF(SUM(IMshareC!AL$2:AL$78)-IMshareC!AL$38&gt;0,IMshareC!AL58/(SUM(IMshareC!AL$2:AL$78)-IMshareC!AL$38),0))</f>
        <v>0</v>
      </c>
      <c r="AM58" s="8">
        <f>IF($A58=AM$1,0,IF(SUM(IMshareC!AM$2:AM$78)-IMshareC!AM$39&gt;0,IMshareC!AM58/(SUM(IMshareC!AM$2:AM$78)-IMshareC!AM$39),0))</f>
        <v>0</v>
      </c>
      <c r="AN58" s="8">
        <f>IF($A58=AN$1,0,IF(SUM(IMshareC!AN$2:AN$78)-IMshareC!AN$40&gt;0,IMshareC!AN58/(SUM(IMshareC!AN$2:AN$78)-IMshareC!AN$40),0))</f>
        <v>1.7391299499301725E-9</v>
      </c>
      <c r="AO58" s="8">
        <f>IF($A58=AO$1,0,IF(SUM(IMshareC!AO$2:AO$78)-IMshareC!AO$41&gt;0,IMshareC!AO58/(SUM(IMshareC!AO$2:AO$78)-IMshareC!AO$41),0))</f>
        <v>0</v>
      </c>
      <c r="AP58" s="8">
        <f>IF($A58=AP$1,0,IF(SUM(IMshareC!AP$2:AP$78)-IMshareC!AP$42&gt;0,IMshareC!AP58/(SUM(IMshareC!AP$2:AP$78)-IMshareC!AP$42),0))</f>
        <v>0</v>
      </c>
      <c r="AQ58" s="8">
        <f>IF($A58=AQ$1,0,IF(SUM(IMshareC!AQ$2:AQ$78)-IMshareC!AQ$43&gt;0,IMshareC!AQ58/(SUM(IMshareC!AQ$2:AQ$78)-IMshareC!AQ$43),0))</f>
        <v>6.9755673819086152E-8</v>
      </c>
      <c r="AR58" s="8">
        <f>IF($A58=AR$1,0,IF(SUM(IMshareC!AR$2:AR$78)-IMshareC!AR$44&gt;0,IMshareC!AR58/(SUM(IMshareC!AR$2:AR$78)-IMshareC!AR$44),0))</f>
        <v>0</v>
      </c>
      <c r="AS58" s="8">
        <f>IF($A58=AS$1,0,IF(SUM(IMshareC!AS$2:AS$78)-IMshareC!AS$45&gt;0,IMshareC!AS58/(SUM(IMshareC!AS$2:AS$78)-IMshareC!AS$45),0))</f>
        <v>0</v>
      </c>
      <c r="AT58" s="8">
        <f>IF($A58=AT$1,0,IF(SUM(IMshareC!AT$2:AT$78)-IMshareC!AT$46&gt;0,IMshareC!AT58/(SUM(IMshareC!AT$2:AT$78)-IMshareC!AT$46),0))</f>
        <v>0</v>
      </c>
      <c r="AU58" s="8">
        <f>IF($A58=AU$1,0,IF(SUM(IMshareC!AU$2:AU$78)-IMshareC!AU$47&gt;0,IMshareC!AU58/(SUM(IMshareC!AU$2:AU$78)-IMshareC!AU$47),0))</f>
        <v>0</v>
      </c>
      <c r="AV58" s="8">
        <f>IF($A58=AV$1,0,IF(SUM(IMshareC!AV$2:AV$78)-IMshareC!AV$48&gt;0,IMshareC!AV58/(SUM(IMshareC!AV$2:AV$78)-IMshareC!AV$48),0))</f>
        <v>0</v>
      </c>
      <c r="AW58" s="8">
        <f>IF($A58=AW$1,0,IF(SUM(IMshareC!AW$2:AW$78)-IMshareC!AW$49&gt;0,IMshareC!AW58/(SUM(IMshareC!AW$2:AW$78)-IMshareC!AW$49),0))</f>
        <v>8.7947776528584729E-7</v>
      </c>
      <c r="AX58" s="8">
        <f>IF($A58=AX$1,0,IF(SUM(IMshareC!AX$2:AX$78)-IMshareC!AX$50&gt;0,IMshareC!AX58/(SUM(IMshareC!AX$2:AX$78)-IMshareC!AX$50),0))</f>
        <v>0</v>
      </c>
      <c r="AY58" s="8">
        <f>IF($A58=AY$1,0,IF(SUM(IMshareC!AY$2:AY$78)-IMshareC!AY$51&gt;0,IMshareC!AY58/(SUM(IMshareC!AY$2:AY$78)-IMshareC!AY$51),0))</f>
        <v>0</v>
      </c>
      <c r="AZ58" s="8">
        <f>IF($A58=AZ$1,0,IF(SUM(IMshareC!AZ$2:AZ$78)-IMshareC!AZ$52&gt;0,IMshareC!AZ58/(SUM(IMshareC!AZ$2:AZ$78)-IMshareC!AZ$52),0))</f>
        <v>0</v>
      </c>
      <c r="BA58" s="8">
        <f>IF($A58=BA$1,0,IF(SUM(IMshareC!BA$2:BA$78)-IMshareC!BA$53&gt;0,IMshareC!BA58/(SUM(IMshareC!BA$2:BA$78)-IMshareC!BA$53),0))</f>
        <v>0</v>
      </c>
      <c r="BB58" s="8">
        <f>IF($A58=BB$1,0,IF(SUM(IMshareC!BB$2:BB$78)-IMshareC!BB$54&gt;0,IMshareC!BB58/(SUM(IMshareC!BB$2:BB$78)-IMshareC!BB$54),0))</f>
        <v>1.2061470000927003E-7</v>
      </c>
      <c r="BC58" s="8">
        <f>IF($A58=BC$1,0,IF(SUM(IMshareC!BC$2:BC$78)-IMshareC!BC$55&gt;0,IMshareC!BC58/(SUM(IMshareC!BC$2:BC$78)-IMshareC!BC$55),0))</f>
        <v>3.5251133989833573E-7</v>
      </c>
      <c r="BD58" s="8">
        <f>IF($A58=BD$1,0,IF(SUM(IMshareC!BD$2:BD$78)-IMshareC!BD$56&gt;0,IMshareC!BD58/(SUM(IMshareC!BD$2:BD$78)-IMshareC!BD$56),0))</f>
        <v>0</v>
      </c>
      <c r="BE58" s="8">
        <f>IF($A58=BE$1,0,IF(SUM(IMshareC!BE$2:BE$78)-IMshareC!BE$57&gt;0,IMshareC!BE58/(SUM(IMshareC!BE$2:BE$78)-IMshareC!BE$57),0))</f>
        <v>0</v>
      </c>
      <c r="BF58" s="8">
        <f>IF($A58=BF$1,0,IF(SUM(IMshareC!BF$2:BF$78)-IMshareC!BF$58&gt;0,IMshareC!BF58/(SUM(IMshareC!BF$2:BF$78)-IMshareC!BF$58),0))</f>
        <v>0</v>
      </c>
      <c r="BG58" s="8">
        <f>IF($A58=BG$1,0,IF(SUM(IMshareC!BG$2:BG$78)-IMshareC!BG$59&gt;0,IMshareC!BG58/(SUM(IMshareC!BG$2:BG$78)-IMshareC!BG$59),0))</f>
        <v>0</v>
      </c>
      <c r="BH58" s="8">
        <f>IF($A58=BH$1,0,IF(SUM(IMshareC!BH$2:BH$78)-IMshareC!BH$60&gt;0,IMshareC!BH58/(SUM(IMshareC!BH$2:BH$78)-IMshareC!BH$60),0))</f>
        <v>0</v>
      </c>
      <c r="BI58" s="8">
        <f>IF($A58=BI$1,0,IF(SUM(IMshareC!BI$2:BI$78)-IMshareC!BI$61&gt;0,IMshareC!BI58/(SUM(IMshareC!BI$2:BI$78)-IMshareC!BI$61),0))</f>
        <v>8.8652323730383688E-7</v>
      </c>
      <c r="BJ58" s="8">
        <f>IF($A58=BJ$1,0,IF(SUM(IMshareC!BJ$2:BJ$78)-IMshareC!BJ$62&gt;0,IMshareC!BJ58/(SUM(IMshareC!BJ$2:BJ$78)-IMshareC!BJ$62),0))</f>
        <v>0</v>
      </c>
      <c r="BK58" s="8">
        <f>IF($A58=BK$1,0,IF(SUM(IMshareC!BK$2:BK$78)-IMshareC!BK$63&gt;0,IMshareC!BK58/(SUM(IMshareC!BK$2:BK$78)-IMshareC!BK$63),0))</f>
        <v>0</v>
      </c>
      <c r="BL58" s="8">
        <f>IF($A58=BL$1,0,IF(SUM(IMshareC!BL$2:BL$78)-IMshareC!BL$64&gt;0,IMshareC!BL58/(SUM(IMshareC!BL$2:BL$78)-IMshareC!BL$64),0))</f>
        <v>0</v>
      </c>
      <c r="BM58" s="8">
        <f>IF($A58=BM$1,0,IF(SUM(IMshareC!BM$2:BM$78)-IMshareC!BM$65&gt;0,IMshareC!BM58/(SUM(IMshareC!BM$2:BM$78)-IMshareC!BM$65),0))</f>
        <v>0</v>
      </c>
      <c r="BN58" s="8">
        <f>IF($A58=BN$1,0,IF(SUM(IMshareC!BN$2:BN$78)-IMshareC!BN$66&gt;0,IMshareC!BN58/(SUM(IMshareC!BN$2:BN$78)-IMshareC!BN$66),0))</f>
        <v>6.0765808953905534E-9</v>
      </c>
      <c r="BO58" s="8">
        <f>IF($A58=BO$1,0,IF(SUM(IMshareC!BO$2:BO$78)-IMshareC!BO$67&gt;0,IMshareC!BO58/(SUM(IMshareC!BO$2:BO$78)-IMshareC!BO$67),0))</f>
        <v>0</v>
      </c>
      <c r="BP58" s="8">
        <f>IF($A58=BP$1,0,IF(SUM(IMshareC!BP$2:BP$78)-IMshareC!BP$68&gt;0,IMshareC!BP58/(SUM(IMshareC!BP$2:BP$78)-IMshareC!BP$68),0))</f>
        <v>0</v>
      </c>
      <c r="BQ58" s="8">
        <f>IF($A58=BQ$1,0,IF(SUM(IMshareC!BQ$2:BQ$78)-IMshareC!BQ$69&gt;0,IMshareC!BQ58/(SUM(IMshareC!BQ$2:BQ$78)-IMshareC!BQ$69),0))</f>
        <v>1.4633985475100084E-6</v>
      </c>
      <c r="BR58" s="8">
        <f>IF($A58=BR$1,0,IF(SUM(IMshareC!BR$2:BR$78)-IMshareC!BR$70&gt;0,IMshareC!BR58/(SUM(IMshareC!BR$2:BR$78)-IMshareC!BR$70),0))</f>
        <v>8.1614971183073802E-10</v>
      </c>
      <c r="BS58" s="8">
        <f>IF($A58=BS$1,0,IF(SUM(IMshareC!BS$2:BS$78)-IMshareC!BS$71&gt;0,IMshareC!BS58/(SUM(IMshareC!BS$2:BS$78)-IMshareC!BS$71),0))</f>
        <v>0</v>
      </c>
      <c r="BT58" s="8">
        <f>IF($A58=BT$1,0,IF(SUM(IMshareC!BT$2:BT$78)-IMshareC!BT$72&gt;0,IMshareC!BT58/(SUM(IMshareC!BT$2:BT$78)-IMshareC!BT$72),0))</f>
        <v>1.9077252915214967E-7</v>
      </c>
      <c r="BU58" s="8">
        <f>IF($A58=BU$1,0,IF(SUM(IMshareC!BU$2:BU$78)-IMshareC!BU$73&gt;0,IMshareC!BU58/(SUM(IMshareC!BU$2:BU$78)-IMshareC!BU$73),0))</f>
        <v>8.1931238434424263E-9</v>
      </c>
      <c r="BV58" s="8">
        <f>IF($A58=BV$1,0,IF(SUM(IMshareC!BV$2:BV$78)-IMshareC!BV$74&gt;0,IMshareC!BV58/(SUM(IMshareC!BV$2:BV$78)-IMshareC!BV$74),0))</f>
        <v>0</v>
      </c>
      <c r="BW58" s="8">
        <f>IF($A58=BW$1,0,IF(SUM(IMshareC!BW$2:BW$78)-IMshareC!BW$75&gt;0,IMshareC!BW58/(SUM(IMshareC!BW$2:BW$78)-IMshareC!BW$75),0))</f>
        <v>5.7901912931045363E-6</v>
      </c>
      <c r="BX58" s="8">
        <f>IF($A58=BX$1,0,IF(SUM(IMshareC!BX$2:BX$78)-IMshareC!BX$76&gt;0,IMshareC!BX58/(SUM(IMshareC!BX$2:BX$78)-IMshareC!BX$76),0))</f>
        <v>0</v>
      </c>
      <c r="BY58" s="8">
        <f>IF($A58=BY$1,0,IF(SUM(IMshareC!BY$2:BY$78)-IMshareC!BY$77&gt;0,IMshareC!BY58/(SUM(IMshareC!BY$2:BY$78)-IMshareC!BY$77),0))</f>
        <v>1.362152529315636E-5</v>
      </c>
      <c r="BZ58" s="8">
        <f>IF($A58=BZ$1,0,IF(SUM(IMshareC!BZ$2:BZ$78)-IMshareC!BZ$78&gt;0,IMshareC!BZ58/(SUM(IMshareC!BZ$2:BZ$78)-IMshareC!BZ$78),0))</f>
        <v>5.7842693903366197E-5</v>
      </c>
    </row>
    <row r="59" spans="1:78">
      <c r="A59" s="4" t="s">
        <v>185</v>
      </c>
      <c r="B59" s="8">
        <f>IF($A59=B$1,0,IF(SUM(IMshareC!B$2:B$78)-IMshareC!B$2&gt;0,IMshareC!B59/(SUM(IMshareC!B$2:B$78)-IMshareC!B$2),0))</f>
        <v>5.7168037504518772E-3</v>
      </c>
      <c r="C59" s="8">
        <f>IF($A59=C$1,0,IF(SUM(IMshareC!C$2:C$78)-IMshareC!C$3&gt;0,IMshareC!C59/(SUM(IMshareC!C$2:C$78)-IMshareC!C$3),0))</f>
        <v>2.2527736441005756E-2</v>
      </c>
      <c r="D59" s="8">
        <f>IF($A59=D$1,0,IF(SUM(IMshareC!D$2:D$78)-IMshareC!D$4&gt;0,IMshareC!D59/(SUM(IMshareC!D$2:D$78)-IMshareC!D$4),0))</f>
        <v>9.0299280156096715E-2</v>
      </c>
      <c r="E59" s="8">
        <f>IF($A59=E$1,0,IF(SUM(IMshareC!E$2:E$78)-IMshareC!E$5&gt;0,IMshareC!E59/(SUM(IMshareC!E$2:E$78)-IMshareC!E$5),0))</f>
        <v>1.6657671328513222E-2</v>
      </c>
      <c r="F59" s="8">
        <f>IF($A59=F$1,0,IF(SUM(IMshareC!F$2:F$78)-IMshareC!F$6&gt;0,IMshareC!F59/(SUM(IMshareC!F$2:F$78)-IMshareC!F$6),0))</f>
        <v>1.7864121193834472E-5</v>
      </c>
      <c r="G59" s="8">
        <f>IF($A59=G$1,0,IF(SUM(IMshareC!G$2:G$78)-IMshareC!G$7&gt;0,IMshareC!G59/(SUM(IMshareC!G$2:G$78)-IMshareC!G$7),0))</f>
        <v>0.14459048839449531</v>
      </c>
      <c r="H59" s="8">
        <f>IF($A59=H$1,0,IF(SUM(IMshareC!H$2:H$78)-IMshareC!H$8&gt;0,IMshareC!H59/(SUM(IMshareC!H$2:H$78)-IMshareC!H$8),0))</f>
        <v>0</v>
      </c>
      <c r="I59" s="8">
        <f>IF($A59=I$1,0,IF(SUM(IMshareC!I$2:I$78)-IMshareC!I$9&gt;0,IMshareC!I59/(SUM(IMshareC!I$2:I$78)-IMshareC!I$9),0))</f>
        <v>7.9108019133323822E-3</v>
      </c>
      <c r="J59" s="8">
        <f>IF($A59=J$1,0,IF(SUM(IMshareC!J$2:J$78)-IMshareC!J$10&gt;0,IMshareC!J59/(SUM(IMshareC!J$2:J$78)-IMshareC!J$10),0))</f>
        <v>8.6634255358372853E-4</v>
      </c>
      <c r="K59" s="8">
        <f>IF($A59=K$1,0,IF(SUM(IMshareC!K$2:K$78)-IMshareC!K$11&gt;0,IMshareC!K59/(SUM(IMshareC!K$2:K$78)-IMshareC!K$11),0))</f>
        <v>5.2280297914760104E-2</v>
      </c>
      <c r="L59" s="8">
        <f>IF($A59=L$1,0,IF(SUM(IMshareC!L$2:L$78)-IMshareC!L$12&gt;0,IMshareC!L59/(SUM(IMshareC!L$2:L$78)-IMshareC!L$12),0))</f>
        <v>4.676297769227062E-2</v>
      </c>
      <c r="M59" s="8">
        <f>IF($A59=M$1,0,IF(SUM(IMshareC!M$2:M$78)-IMshareC!M$13&gt;0,IMshareC!M59/(SUM(IMshareC!M$2:M$78)-IMshareC!M$13),0))</f>
        <v>4.3133123714493701E-3</v>
      </c>
      <c r="N59" s="8">
        <f>IF($A59=N$1,0,IF(SUM(IMshareC!N$2:N$78)-IMshareC!N$14&gt;0,IMshareC!N59/(SUM(IMshareC!N$2:N$78)-IMshareC!N$14),0))</f>
        <v>2.4422619344863991E-2</v>
      </c>
      <c r="O59" s="8">
        <f>IF($A59=O$1,0,IF(SUM(IMshareC!O$2:O$78)-IMshareC!O$15&gt;0,IMshareC!O59/(SUM(IMshareC!O$2:O$78)-IMshareC!O$15),0))</f>
        <v>2.7519169449588803E-4</v>
      </c>
      <c r="P59" s="8">
        <f>IF($A59=P$1,0,IF(SUM(IMshareC!P$2:P$78)-IMshareC!P$16&gt;0,IMshareC!P59/(SUM(IMshareC!P$2:P$78)-IMshareC!P$16),0))</f>
        <v>2.010221712423905E-3</v>
      </c>
      <c r="Q59" s="8">
        <f>IF($A59=Q$1,0,IF(SUM(IMshareC!Q$2:Q$78)-IMshareC!Q$17&gt;0,IMshareC!Q59/(SUM(IMshareC!Q$2:Q$78)-IMshareC!Q$17),0))</f>
        <v>1.2531607012970598E-3</v>
      </c>
      <c r="R59" s="8">
        <f>IF($A59=R$1,0,IF(SUM(IMshareC!R$2:R$78)-IMshareC!R$18&gt;0,IMshareC!R59/(SUM(IMshareC!R$2:R$78)-IMshareC!R$18),0))</f>
        <v>1.9622118152486046E-2</v>
      </c>
      <c r="S59" s="8">
        <f>IF($A59=S$1,0,IF(SUM(IMshareC!S$2:S$78)-IMshareC!S$19&gt;0,IMshareC!S59/(SUM(IMshareC!S$2:S$78)-IMshareC!S$19),0))</f>
        <v>3.7817283099714988E-3</v>
      </c>
      <c r="T59" s="8">
        <f>IF($A59=T$1,0,IF(SUM(IMshareC!T$2:T$78)-IMshareC!T$20&gt;0,IMshareC!T59/(SUM(IMshareC!T$2:T$78)-IMshareC!T$20),0))</f>
        <v>2.4492187571505092E-2</v>
      </c>
      <c r="U59" s="8">
        <f>IF($A59=U$1,0,IF(SUM(IMshareC!U$2:U$78)-IMshareC!U$21&gt;0,IMshareC!U59/(SUM(IMshareC!U$2:U$78)-IMshareC!U$21),0))</f>
        <v>6.8201401033844131E-2</v>
      </c>
      <c r="V59" s="8">
        <f>IF($A59=V$1,0,IF(SUM(IMshareC!V$2:V$78)-IMshareC!V$22&gt;0,IMshareC!V59/(SUM(IMshareC!V$2:V$78)-IMshareC!V$22),0))</f>
        <v>2.6049219985398241E-2</v>
      </c>
      <c r="W59" s="8">
        <f>IF($A59=W$1,0,IF(SUM(IMshareC!W$2:W$78)-IMshareC!W$23&gt;0,IMshareC!W59/(SUM(IMshareC!W$2:W$78)-IMshareC!W$23),0))</f>
        <v>6.4566938954725766E-3</v>
      </c>
      <c r="X59" s="8">
        <f>IF($A59=X$1,0,IF(SUM(IMshareC!X$2:X$78)-IMshareC!X$24&gt;0,IMshareC!X59/(SUM(IMshareC!X$2:X$78)-IMshareC!X$24),0))</f>
        <v>1.3716819411497664E-2</v>
      </c>
      <c r="Y59" s="8">
        <f>IF($A59=Y$1,0,IF(SUM(IMshareC!Y$2:Y$78)-IMshareC!Y$25&gt;0,IMshareC!Y59/(SUM(IMshareC!Y$2:Y$78)-IMshareC!Y$25),0))</f>
        <v>6.4637104347008464E-2</v>
      </c>
      <c r="Z59" s="8">
        <f>IF($A59=Z$1,0,IF(SUM(IMshareC!Z$2:Z$78)-IMshareC!Z$26&gt;0,IMshareC!Z59/(SUM(IMshareC!Z$2:Z$78)-IMshareC!Z$26),0))</f>
        <v>9.8152472848888589E-2</v>
      </c>
      <c r="AA59" s="8">
        <f>IF($A59=AA$1,0,IF(SUM(IMshareC!AA$2:AA$78)-IMshareC!AA$27&gt;0,IMshareC!AA59/(SUM(IMshareC!AA$2:AA$78)-IMshareC!AA$27),0))</f>
        <v>3.7107673305058334E-2</v>
      </c>
      <c r="AB59" s="8">
        <f>IF($A59=AB$1,0,IF(SUM(IMshareC!AB$2:AB$78)-IMshareC!AB$28&gt;0,IMshareC!AB59/(SUM(IMshareC!AB$2:AB$78)-IMshareC!AB$28),0))</f>
        <v>4.149011410999786E-2</v>
      </c>
      <c r="AC59" s="8">
        <f>IF($A59=AC$1,0,IF(SUM(IMshareC!AC$2:AC$78)-IMshareC!AC$29&gt;0,IMshareC!AC59/(SUM(IMshareC!AC$2:AC$78)-IMshareC!AC$29),0))</f>
        <v>1.0065956787321682E-3</v>
      </c>
      <c r="AD59" s="8">
        <f>IF($A59=AD$1,0,IF(SUM(IMshareC!AD$2:AD$78)-IMshareC!AD$30&gt;0,IMshareC!AD59/(SUM(IMshareC!AD$2:AD$78)-IMshareC!AD$30),0))</f>
        <v>3.9429651683864891E-2</v>
      </c>
      <c r="AE59" s="8">
        <f>IF($A59=AE$1,0,IF(SUM(IMshareC!AE$2:AE$78)-IMshareC!AE$31&gt;0,IMshareC!AE59/(SUM(IMshareC!AE$2:AE$78)-IMshareC!AE$31),0))</f>
        <v>1.1672685459663964E-3</v>
      </c>
      <c r="AF59" s="8">
        <f>IF($A59=AF$1,0,IF(SUM(IMshareC!AF$2:AF$78)-IMshareC!AF$32&gt;0,IMshareC!AF59/(SUM(IMshareC!AF$2:AF$78)-IMshareC!AF$32),0))</f>
        <v>1.6579308172507037E-2</v>
      </c>
      <c r="AG59" s="8">
        <f>IF($A59=AG$1,0,IF(SUM(IMshareC!AG$2:AG$78)-IMshareC!AG$33&gt;0,IMshareC!AG59/(SUM(IMshareC!AG$2:AG$78)-IMshareC!AG$33),0))</f>
        <v>3.562595466205578E-2</v>
      </c>
      <c r="AH59" s="8">
        <f>IF($A59=AH$1,0,IF(SUM(IMshareC!AH$2:AH$78)-IMshareC!AH$34&gt;0,IMshareC!AH59/(SUM(IMshareC!AH$2:AH$78)-IMshareC!AH$34),0))</f>
        <v>3.6428692731449693E-3</v>
      </c>
      <c r="AI59" s="8">
        <f>IF($A59=AI$1,0,IF(SUM(IMshareC!AI$2:AI$78)-IMshareC!AI$35&gt;0,IMshareC!AI59/(SUM(IMshareC!AI$2:AI$78)-IMshareC!AI$35),0))</f>
        <v>2.6750958417634486E-3</v>
      </c>
      <c r="AJ59" s="8">
        <f>IF($A59=AJ$1,0,IF(SUM(IMshareC!AJ$2:AJ$78)-IMshareC!AJ$36&gt;0,IMshareC!AJ59/(SUM(IMshareC!AJ$2:AJ$78)-IMshareC!AJ$36),0))</f>
        <v>1.0813960552885719E-2</v>
      </c>
      <c r="AK59" s="8">
        <f>IF($A59=AK$1,0,IF(SUM(IMshareC!AK$2:AK$78)-IMshareC!AK$37&gt;0,IMshareC!AK59/(SUM(IMshareC!AK$2:AK$78)-IMshareC!AK$37),0))</f>
        <v>2.7824134899234639E-2</v>
      </c>
      <c r="AL59" s="8">
        <f>IF($A59=AL$1,0,IF(SUM(IMshareC!AL$2:AL$78)-IMshareC!AL$38&gt;0,IMshareC!AL59/(SUM(IMshareC!AL$2:AL$78)-IMshareC!AL$38),0))</f>
        <v>8.0568734033397808E-3</v>
      </c>
      <c r="AM59" s="8">
        <f>IF($A59=AM$1,0,IF(SUM(IMshareC!AM$2:AM$78)-IMshareC!AM$39&gt;0,IMshareC!AM59/(SUM(IMshareC!AM$2:AM$78)-IMshareC!AM$39),0))</f>
        <v>0</v>
      </c>
      <c r="AN59" s="8">
        <f>IF($A59=AN$1,0,IF(SUM(IMshareC!AN$2:AN$78)-IMshareC!AN$40&gt;0,IMshareC!AN59/(SUM(IMshareC!AN$2:AN$78)-IMshareC!AN$40),0))</f>
        <v>2.1256441152009323E-2</v>
      </c>
      <c r="AO59" s="8">
        <f>IF($A59=AO$1,0,IF(SUM(IMshareC!AO$2:AO$78)-IMshareC!AO$41&gt;0,IMshareC!AO59/(SUM(IMshareC!AO$2:AO$78)-IMshareC!AO$41),0))</f>
        <v>7.3941634109053134E-6</v>
      </c>
      <c r="AP59" s="8">
        <f>IF($A59=AP$1,0,IF(SUM(IMshareC!AP$2:AP$78)-IMshareC!AP$42&gt;0,IMshareC!AP59/(SUM(IMshareC!AP$2:AP$78)-IMshareC!AP$42),0))</f>
        <v>4.2000355440713545E-2</v>
      </c>
      <c r="AQ59" s="8">
        <f>IF($A59=AQ$1,0,IF(SUM(IMshareC!AQ$2:AQ$78)-IMshareC!AQ$43&gt;0,IMshareC!AQ59/(SUM(IMshareC!AQ$2:AQ$78)-IMshareC!AQ$43),0))</f>
        <v>1.2422656158344763E-2</v>
      </c>
      <c r="AR59" s="8">
        <f>IF($A59=AR$1,0,IF(SUM(IMshareC!AR$2:AR$78)-IMshareC!AR$44&gt;0,IMshareC!AR59/(SUM(IMshareC!AR$2:AR$78)-IMshareC!AR$44),0))</f>
        <v>0</v>
      </c>
      <c r="AS59" s="8">
        <f>IF($A59=AS$1,0,IF(SUM(IMshareC!AS$2:AS$78)-IMshareC!AS$45&gt;0,IMshareC!AS59/(SUM(IMshareC!AS$2:AS$78)-IMshareC!AS$45),0))</f>
        <v>7.6149258434848486E-3</v>
      </c>
      <c r="AT59" s="8">
        <f>IF($A59=AT$1,0,IF(SUM(IMshareC!AT$2:AT$78)-IMshareC!AT$46&gt;0,IMshareC!AT59/(SUM(IMshareC!AT$2:AT$78)-IMshareC!AT$46),0))</f>
        <v>1.7416244504320114E-2</v>
      </c>
      <c r="AU59" s="8">
        <f>IF($A59=AU$1,0,IF(SUM(IMshareC!AU$2:AU$78)-IMshareC!AU$47&gt;0,IMshareC!AU59/(SUM(IMshareC!AU$2:AU$78)-IMshareC!AU$47),0))</f>
        <v>6.253667196577441E-3</v>
      </c>
      <c r="AV59" s="8">
        <f>IF($A59=AV$1,0,IF(SUM(IMshareC!AV$2:AV$78)-IMshareC!AV$48&gt;0,IMshareC!AV59/(SUM(IMshareC!AV$2:AV$78)-IMshareC!AV$48),0))</f>
        <v>1.2836181828903123E-3</v>
      </c>
      <c r="AW59" s="8">
        <f>IF($A59=AW$1,0,IF(SUM(IMshareC!AW$2:AW$78)-IMshareC!AW$49&gt;0,IMshareC!AW59/(SUM(IMshareC!AW$2:AW$78)-IMshareC!AW$49),0))</f>
        <v>3.0583601831457408E-2</v>
      </c>
      <c r="AX59" s="8">
        <f>IF($A59=AX$1,0,IF(SUM(IMshareC!AX$2:AX$78)-IMshareC!AX$50&gt;0,IMshareC!AX59/(SUM(IMshareC!AX$2:AX$78)-IMshareC!AX$50),0))</f>
        <v>7.1128491965613008E-2</v>
      </c>
      <c r="AY59" s="8">
        <f>IF($A59=AY$1,0,IF(SUM(IMshareC!AY$2:AY$78)-IMshareC!AY$51&gt;0,IMshareC!AY59/(SUM(IMshareC!AY$2:AY$78)-IMshareC!AY$51),0))</f>
        <v>6.466594335841841E-6</v>
      </c>
      <c r="AZ59" s="8">
        <f>IF($A59=AZ$1,0,IF(SUM(IMshareC!AZ$2:AZ$78)-IMshareC!AZ$52&gt;0,IMshareC!AZ59/(SUM(IMshareC!AZ$2:AZ$78)-IMshareC!AZ$52),0))</f>
        <v>2.2737358683064771E-2</v>
      </c>
      <c r="BA59" s="8">
        <f>IF($A59=BA$1,0,IF(SUM(IMshareC!BA$2:BA$78)-IMshareC!BA$53&gt;0,IMshareC!BA59/(SUM(IMshareC!BA$2:BA$78)-IMshareC!BA$53),0))</f>
        <v>1.5497377070360596E-5</v>
      </c>
      <c r="BB59" s="8">
        <f>IF($A59=BB$1,0,IF(SUM(IMshareC!BB$2:BB$78)-IMshareC!BB$54&gt;0,IMshareC!BB59/(SUM(IMshareC!BB$2:BB$78)-IMshareC!BB$54),0))</f>
        <v>6.0857892583982491E-2</v>
      </c>
      <c r="BC59" s="8">
        <f>IF($A59=BC$1,0,IF(SUM(IMshareC!BC$2:BC$78)-IMshareC!BC$55&gt;0,IMshareC!BC59/(SUM(IMshareC!BC$2:BC$78)-IMshareC!BC$55),0))</f>
        <v>4.2384235761805895E-2</v>
      </c>
      <c r="BD59" s="8">
        <f>IF($A59=BD$1,0,IF(SUM(IMshareC!BD$2:BD$78)-IMshareC!BD$56&gt;0,IMshareC!BD59/(SUM(IMshareC!BD$2:BD$78)-IMshareC!BD$56),0))</f>
        <v>3.912300329737383E-2</v>
      </c>
      <c r="BE59" s="8">
        <f>IF($A59=BE$1,0,IF(SUM(IMshareC!BE$2:BE$78)-IMshareC!BE$57&gt;0,IMshareC!BE59/(SUM(IMshareC!BE$2:BE$78)-IMshareC!BE$57),0))</f>
        <v>1.4792141480353611E-3</v>
      </c>
      <c r="BF59" s="8">
        <f>IF($A59=BF$1,0,IF(SUM(IMshareC!BF$2:BF$78)-IMshareC!BF$58&gt;0,IMshareC!BF59/(SUM(IMshareC!BF$2:BF$78)-IMshareC!BF$58),0))</f>
        <v>4.3437882584892581E-3</v>
      </c>
      <c r="BG59" s="8">
        <f>IF($A59=BG$1,0,IF(SUM(IMshareC!BG$2:BG$78)-IMshareC!BG$59&gt;0,IMshareC!BG59/(SUM(IMshareC!BG$2:BG$78)-IMshareC!BG$59),0))</f>
        <v>0</v>
      </c>
      <c r="BH59" s="8">
        <f>IF($A59=BH$1,0,IF(SUM(IMshareC!BH$2:BH$78)-IMshareC!BH$60&gt;0,IMshareC!BH59/(SUM(IMshareC!BH$2:BH$78)-IMshareC!BH$60),0))</f>
        <v>2.2905200270889881E-2</v>
      </c>
      <c r="BI59" s="8">
        <f>IF($A59=BI$1,0,IF(SUM(IMshareC!BI$2:BI$78)-IMshareC!BI$61&gt;0,IMshareC!BI59/(SUM(IMshareC!BI$2:BI$78)-IMshareC!BI$61),0))</f>
        <v>1.3095767498443534E-2</v>
      </c>
      <c r="BJ59" s="8">
        <f>IF($A59=BJ$1,0,IF(SUM(IMshareC!BJ$2:BJ$78)-IMshareC!BJ$62&gt;0,IMshareC!BJ59/(SUM(IMshareC!BJ$2:BJ$78)-IMshareC!BJ$62),0))</f>
        <v>1.7666906440714624E-2</v>
      </c>
      <c r="BK59" s="8">
        <f>IF($A59=BK$1,0,IF(SUM(IMshareC!BK$2:BK$78)-IMshareC!BK$63&gt;0,IMshareC!BK59/(SUM(IMshareC!BK$2:BK$78)-IMshareC!BK$63),0))</f>
        <v>3.2705060866347101E-3</v>
      </c>
      <c r="BL59" s="8">
        <f>IF($A59=BL$1,0,IF(SUM(IMshareC!BL$2:BL$78)-IMshareC!BL$64&gt;0,IMshareC!BL59/(SUM(IMshareC!BL$2:BL$78)-IMshareC!BL$64),0))</f>
        <v>5.6382064470784643E-3</v>
      </c>
      <c r="BM59" s="8">
        <f>IF($A59=BM$1,0,IF(SUM(IMshareC!BM$2:BM$78)-IMshareC!BM$65&gt;0,IMshareC!BM59/(SUM(IMshareC!BM$2:BM$78)-IMshareC!BM$65),0))</f>
        <v>0</v>
      </c>
      <c r="BN59" s="8">
        <f>IF($A59=BN$1,0,IF(SUM(IMshareC!BN$2:BN$78)-IMshareC!BN$66&gt;0,IMshareC!BN59/(SUM(IMshareC!BN$2:BN$78)-IMshareC!BN$66),0))</f>
        <v>5.1749456643224181E-2</v>
      </c>
      <c r="BO59" s="8">
        <f>IF($A59=BO$1,0,IF(SUM(IMshareC!BO$2:BO$78)-IMshareC!BO$67&gt;0,IMshareC!BO59/(SUM(IMshareC!BO$2:BO$78)-IMshareC!BO$67),0))</f>
        <v>2.7899335865564864E-2</v>
      </c>
      <c r="BP59" s="8">
        <f>IF($A59=BP$1,0,IF(SUM(IMshareC!BP$2:BP$78)-IMshareC!BP$68&gt;0,IMshareC!BP59/(SUM(IMshareC!BP$2:BP$78)-IMshareC!BP$68),0))</f>
        <v>3.8150827911878779E-2</v>
      </c>
      <c r="BQ59" s="8">
        <f>IF($A59=BQ$1,0,IF(SUM(IMshareC!BQ$2:BQ$78)-IMshareC!BQ$69&gt;0,IMshareC!BQ59/(SUM(IMshareC!BQ$2:BQ$78)-IMshareC!BQ$69),0))</f>
        <v>2.5436980336352166E-2</v>
      </c>
      <c r="BR59" s="8">
        <f>IF($A59=BR$1,0,IF(SUM(IMshareC!BR$2:BR$78)-IMshareC!BR$70&gt;0,IMshareC!BR59/(SUM(IMshareC!BR$2:BR$78)-IMshareC!BR$70),0))</f>
        <v>4.1466075044766376E-2</v>
      </c>
      <c r="BS59" s="8">
        <f>IF($A59=BS$1,0,IF(SUM(IMshareC!BS$2:BS$78)-IMshareC!BS$71&gt;0,IMshareC!BS59/(SUM(IMshareC!BS$2:BS$78)-IMshareC!BS$71),0))</f>
        <v>3.3246978733314142E-2</v>
      </c>
      <c r="BT59" s="8">
        <f>IF($A59=BT$1,0,IF(SUM(IMshareC!BT$2:BT$78)-IMshareC!BT$72&gt;0,IMshareC!BT59/(SUM(IMshareC!BT$2:BT$78)-IMshareC!BT$72),0))</f>
        <v>1.9589345720734286E-2</v>
      </c>
      <c r="BU59" s="8">
        <f>IF($A59=BU$1,0,IF(SUM(IMshareC!BU$2:BU$78)-IMshareC!BU$73&gt;0,IMshareC!BU59/(SUM(IMshareC!BU$2:BU$78)-IMshareC!BU$73),0))</f>
        <v>2.1631585427924229E-2</v>
      </c>
      <c r="BV59" s="8">
        <f>IF($A59=BV$1,0,IF(SUM(IMshareC!BV$2:BV$78)-IMshareC!BV$74&gt;0,IMshareC!BV59/(SUM(IMshareC!BV$2:BV$78)-IMshareC!BV$74),0))</f>
        <v>5.7792416620213109E-2</v>
      </c>
      <c r="BW59" s="8">
        <f>IF($A59=BW$1,0,IF(SUM(IMshareC!BW$2:BW$78)-IMshareC!BW$75&gt;0,IMshareC!BW59/(SUM(IMshareC!BW$2:BW$78)-IMshareC!BW$75),0))</f>
        <v>3.6834649308410655E-2</v>
      </c>
      <c r="BX59" s="8">
        <f>IF($A59=BX$1,0,IF(SUM(IMshareC!BX$2:BX$78)-IMshareC!BX$76&gt;0,IMshareC!BX59/(SUM(IMshareC!BX$2:BX$78)-IMshareC!BX$76),0))</f>
        <v>1.7090652624153747E-2</v>
      </c>
      <c r="BY59" s="8">
        <f>IF($A59=BY$1,0,IF(SUM(IMshareC!BY$2:BY$78)-IMshareC!BY$77&gt;0,IMshareC!BY59/(SUM(IMshareC!BY$2:BY$78)-IMshareC!BY$77),0))</f>
        <v>2.9968489322915241E-2</v>
      </c>
      <c r="BZ59" s="8">
        <f>IF($A59=BZ$1,0,IF(SUM(IMshareC!BZ$2:BZ$78)-IMshareC!BZ$78&gt;0,IMshareC!BZ59/(SUM(IMshareC!BZ$2:BZ$78)-IMshareC!BZ$78),0))</f>
        <v>1.0805223598197284E-2</v>
      </c>
    </row>
    <row r="60" spans="1:78">
      <c r="A60" s="4" t="s">
        <v>187</v>
      </c>
      <c r="B60" s="8">
        <f>IF($A60=B$1,0,IF(SUM(IMshareC!B$2:B$78)-IMshareC!B$2&gt;0,IMshareC!B60/(SUM(IMshareC!B$2:B$78)-IMshareC!B$2),0))</f>
        <v>5.6261289123166001E-3</v>
      </c>
      <c r="C60" s="8">
        <f>IF($A60=C$1,0,IF(SUM(IMshareC!C$2:C$78)-IMshareC!C$3&gt;0,IMshareC!C60/(SUM(IMshareC!C$2:C$78)-IMshareC!C$3),0))</f>
        <v>2.4644299845734065E-3</v>
      </c>
      <c r="D60" s="8">
        <f>IF($A60=D$1,0,IF(SUM(IMshareC!D$2:D$78)-IMshareC!D$4&gt;0,IMshareC!D60/(SUM(IMshareC!D$2:D$78)-IMshareC!D$4),0))</f>
        <v>3.7128520412463752E-3</v>
      </c>
      <c r="E60" s="8">
        <f>IF($A60=E$1,0,IF(SUM(IMshareC!E$2:E$78)-IMshareC!E$5&gt;0,IMshareC!E60/(SUM(IMshareC!E$2:E$78)-IMshareC!E$5),0))</f>
        <v>5.4562585228925653E-4</v>
      </c>
      <c r="F60" s="8">
        <f>IF($A60=F$1,0,IF(SUM(IMshareC!F$2:F$78)-IMshareC!F$6&gt;0,IMshareC!F60/(SUM(IMshareC!F$2:F$78)-IMshareC!F$6),0))</f>
        <v>1.0214634312190202E-5</v>
      </c>
      <c r="G60" s="8">
        <f>IF($A60=G$1,0,IF(SUM(IMshareC!G$2:G$78)-IMshareC!G$7&gt;0,IMshareC!G60/(SUM(IMshareC!G$2:G$78)-IMshareC!G$7),0))</f>
        <v>7.1234180457528731E-3</v>
      </c>
      <c r="H60" s="8">
        <f>IF($A60=H$1,0,IF(SUM(IMshareC!H$2:H$78)-IMshareC!H$8&gt;0,IMshareC!H60/(SUM(IMshareC!H$2:H$78)-IMshareC!H$8),0))</f>
        <v>0.11865251803304444</v>
      </c>
      <c r="I60" s="8">
        <f>IF($A60=I$1,0,IF(SUM(IMshareC!I$2:I$78)-IMshareC!I$9&gt;0,IMshareC!I60/(SUM(IMshareC!I$2:I$78)-IMshareC!I$9),0))</f>
        <v>3.0846397888203529E-3</v>
      </c>
      <c r="J60" s="8">
        <f>IF($A60=J$1,0,IF(SUM(IMshareC!J$2:J$78)-IMshareC!J$10&gt;0,IMshareC!J60/(SUM(IMshareC!J$2:J$78)-IMshareC!J$10),0))</f>
        <v>5.4990316030830053E-5</v>
      </c>
      <c r="K60" s="8">
        <f>IF($A60=K$1,0,IF(SUM(IMshareC!K$2:K$78)-IMshareC!K$11&gt;0,IMshareC!K60/(SUM(IMshareC!K$2:K$78)-IMshareC!K$11),0))</f>
        <v>1.9575508596162096E-3</v>
      </c>
      <c r="L60" s="8">
        <f>IF($A60=L$1,0,IF(SUM(IMshareC!L$2:L$78)-IMshareC!L$12&gt;0,IMshareC!L60/(SUM(IMshareC!L$2:L$78)-IMshareC!L$12),0))</f>
        <v>3.6141816785070402E-3</v>
      </c>
      <c r="M60" s="8">
        <f>IF($A60=M$1,0,IF(SUM(IMshareC!M$2:M$78)-IMshareC!M$13&gt;0,IMshareC!M60/(SUM(IMshareC!M$2:M$78)-IMshareC!M$13),0))</f>
        <v>3.4082284195702775E-3</v>
      </c>
      <c r="N60" s="8">
        <f>IF($A60=N$1,0,IF(SUM(IMshareC!N$2:N$78)-IMshareC!N$14&gt;0,IMshareC!N60/(SUM(IMshareC!N$2:N$78)-IMshareC!N$14),0))</f>
        <v>1.223744091113643E-4</v>
      </c>
      <c r="O60" s="8">
        <f>IF($A60=O$1,0,IF(SUM(IMshareC!O$2:O$78)-IMshareC!O$15&gt;0,IMshareC!O60/(SUM(IMshareC!O$2:O$78)-IMshareC!O$15),0))</f>
        <v>1.7437932934934953E-3</v>
      </c>
      <c r="P60" s="8">
        <f>IF($A60=P$1,0,IF(SUM(IMshareC!P$2:P$78)-IMshareC!P$16&gt;0,IMshareC!P60/(SUM(IMshareC!P$2:P$78)-IMshareC!P$16),0))</f>
        <v>3.7463222822445497E-4</v>
      </c>
      <c r="Q60" s="8">
        <f>IF($A60=Q$1,0,IF(SUM(IMshareC!Q$2:Q$78)-IMshareC!Q$17&gt;0,IMshareC!Q60/(SUM(IMshareC!Q$2:Q$78)-IMshareC!Q$17),0))</f>
        <v>7.0206528985110473E-3</v>
      </c>
      <c r="R60" s="8">
        <f>IF($A60=R$1,0,IF(SUM(IMshareC!R$2:R$78)-IMshareC!R$18&gt;0,IMshareC!R60/(SUM(IMshareC!R$2:R$78)-IMshareC!R$18),0))</f>
        <v>2.5499622181947979E-4</v>
      </c>
      <c r="S60" s="8">
        <f>IF($A60=S$1,0,IF(SUM(IMshareC!S$2:S$78)-IMshareC!S$19&gt;0,IMshareC!S60/(SUM(IMshareC!S$2:S$78)-IMshareC!S$19),0))</f>
        <v>4.978559525495284E-3</v>
      </c>
      <c r="T60" s="8">
        <f>IF($A60=T$1,0,IF(SUM(IMshareC!T$2:T$78)-IMshareC!T$20&gt;0,IMshareC!T60/(SUM(IMshareC!T$2:T$78)-IMshareC!T$20),0))</f>
        <v>3.1824287230459202E-3</v>
      </c>
      <c r="U60" s="8">
        <f>IF($A60=U$1,0,IF(SUM(IMshareC!U$2:U$78)-IMshareC!U$21&gt;0,IMshareC!U60/(SUM(IMshareC!U$2:U$78)-IMshareC!U$21),0))</f>
        <v>5.8064908834304773E-3</v>
      </c>
      <c r="V60" s="8">
        <f>IF($A60=V$1,0,IF(SUM(IMshareC!V$2:V$78)-IMshareC!V$22&gt;0,IMshareC!V60/(SUM(IMshareC!V$2:V$78)-IMshareC!V$22),0))</f>
        <v>6.7008981085840774E-2</v>
      </c>
      <c r="W60" s="8">
        <f>IF($A60=W$1,0,IF(SUM(IMshareC!W$2:W$78)-IMshareC!W$23&gt;0,IMshareC!W60/(SUM(IMshareC!W$2:W$78)-IMshareC!W$23),0))</f>
        <v>3.5835779199688725E-3</v>
      </c>
      <c r="X60" s="8">
        <f>IF($A60=X$1,0,IF(SUM(IMshareC!X$2:X$78)-IMshareC!X$24&gt;0,IMshareC!X60/(SUM(IMshareC!X$2:X$78)-IMshareC!X$24),0))</f>
        <v>9.1844805091363495E-3</v>
      </c>
      <c r="Y60" s="8">
        <f>IF($A60=Y$1,0,IF(SUM(IMshareC!Y$2:Y$78)-IMshareC!Y$25&gt;0,IMshareC!Y60/(SUM(IMshareC!Y$2:Y$78)-IMshareC!Y$25),0))</f>
        <v>9.686439723662725E-3</v>
      </c>
      <c r="Z60" s="8">
        <f>IF($A60=Z$1,0,IF(SUM(IMshareC!Z$2:Z$78)-IMshareC!Z$26&gt;0,IMshareC!Z60/(SUM(IMshareC!Z$2:Z$78)-IMshareC!Z$26),0))</f>
        <v>8.340363203462809E-3</v>
      </c>
      <c r="AA60" s="8">
        <f>IF($A60=AA$1,0,IF(SUM(IMshareC!AA$2:AA$78)-IMshareC!AA$27&gt;0,IMshareC!AA60/(SUM(IMshareC!AA$2:AA$78)-IMshareC!AA$27),0))</f>
        <v>2.7943230054544299E-3</v>
      </c>
      <c r="AB60" s="8">
        <f>IF($A60=AB$1,0,IF(SUM(IMshareC!AB$2:AB$78)-IMshareC!AB$28&gt;0,IMshareC!AB60/(SUM(IMshareC!AB$2:AB$78)-IMshareC!AB$28),0))</f>
        <v>6.5652804106960143E-3</v>
      </c>
      <c r="AC60" s="8">
        <f>IF($A60=AC$1,0,IF(SUM(IMshareC!AC$2:AC$78)-IMshareC!AC$29&gt;0,IMshareC!AC60/(SUM(IMshareC!AC$2:AC$78)-IMshareC!AC$29),0))</f>
        <v>2.5273797259542152E-2</v>
      </c>
      <c r="AD60" s="8">
        <f>IF($A60=AD$1,0,IF(SUM(IMshareC!AD$2:AD$78)-IMshareC!AD$30&gt;0,IMshareC!AD60/(SUM(IMshareC!AD$2:AD$78)-IMshareC!AD$30),0))</f>
        <v>5.6315784103064818E-5</v>
      </c>
      <c r="AE60" s="8">
        <f>IF($A60=AE$1,0,IF(SUM(IMshareC!AE$2:AE$78)-IMshareC!AE$31&gt;0,IMshareC!AE60/(SUM(IMshareC!AE$2:AE$78)-IMshareC!AE$31),0))</f>
        <v>3.2442042648966052E-2</v>
      </c>
      <c r="AF60" s="8">
        <f>IF($A60=AF$1,0,IF(SUM(IMshareC!AF$2:AF$78)-IMshareC!AF$32&gt;0,IMshareC!AF60/(SUM(IMshareC!AF$2:AF$78)-IMshareC!AF$32),0))</f>
        <v>3.0736289497861591E-3</v>
      </c>
      <c r="AG60" s="8">
        <f>IF($A60=AG$1,0,IF(SUM(IMshareC!AG$2:AG$78)-IMshareC!AG$33&gt;0,IMshareC!AG60/(SUM(IMshareC!AG$2:AG$78)-IMshareC!AG$33),0))</f>
        <v>8.8952337219595919E-4</v>
      </c>
      <c r="AH60" s="8">
        <f>IF($A60=AH$1,0,IF(SUM(IMshareC!AH$2:AH$78)-IMshareC!AH$34&gt;0,IMshareC!AH60/(SUM(IMshareC!AH$2:AH$78)-IMshareC!AH$34),0))</f>
        <v>2.1862334493289289E-4</v>
      </c>
      <c r="AI60" s="8">
        <f>IF($A60=AI$1,0,IF(SUM(IMshareC!AI$2:AI$78)-IMshareC!AI$35&gt;0,IMshareC!AI60/(SUM(IMshareC!AI$2:AI$78)-IMshareC!AI$35),0))</f>
        <v>7.0265715061063183E-5</v>
      </c>
      <c r="AJ60" s="8">
        <f>IF($A60=AJ$1,0,IF(SUM(IMshareC!AJ$2:AJ$78)-IMshareC!AJ$36&gt;0,IMshareC!AJ60/(SUM(IMshareC!AJ$2:AJ$78)-IMshareC!AJ$36),0))</f>
        <v>4.3829679417888873E-2</v>
      </c>
      <c r="AK60" s="8">
        <f>IF($A60=AK$1,0,IF(SUM(IMshareC!AK$2:AK$78)-IMshareC!AK$37&gt;0,IMshareC!AK60/(SUM(IMshareC!AK$2:AK$78)-IMshareC!AK$37),0))</f>
        <v>2.9471230458225127E-4</v>
      </c>
      <c r="AL60" s="8">
        <f>IF($A60=AL$1,0,IF(SUM(IMshareC!AL$2:AL$78)-IMshareC!AL$38&gt;0,IMshareC!AL60/(SUM(IMshareC!AL$2:AL$78)-IMshareC!AL$38),0))</f>
        <v>1.8757472472818011E-2</v>
      </c>
      <c r="AM60" s="8">
        <f>IF($A60=AM$1,0,IF(SUM(IMshareC!AM$2:AM$78)-IMshareC!AM$39&gt;0,IMshareC!AM60/(SUM(IMshareC!AM$2:AM$78)-IMshareC!AM$39),0))</f>
        <v>3.3035776403505654E-3</v>
      </c>
      <c r="AN60" s="8">
        <f>IF($A60=AN$1,0,IF(SUM(IMshareC!AN$2:AN$78)-IMshareC!AN$40&gt;0,IMshareC!AN60/(SUM(IMshareC!AN$2:AN$78)-IMshareC!AN$40),0))</f>
        <v>3.1395747428868918E-4</v>
      </c>
      <c r="AO60" s="8">
        <f>IF($A60=AO$1,0,IF(SUM(IMshareC!AO$2:AO$78)-IMshareC!AO$41&gt;0,IMshareC!AO60/(SUM(IMshareC!AO$2:AO$78)-IMshareC!AO$41),0))</f>
        <v>3.3816851680392321E-2</v>
      </c>
      <c r="AP60" s="8">
        <f>IF($A60=AP$1,0,IF(SUM(IMshareC!AP$2:AP$78)-IMshareC!AP$42&gt;0,IMshareC!AP60/(SUM(IMshareC!AP$2:AP$78)-IMshareC!AP$42),0))</f>
        <v>1.2736405480651654E-4</v>
      </c>
      <c r="AQ60" s="8">
        <f>IF($A60=AQ$1,0,IF(SUM(IMshareC!AQ$2:AQ$78)-IMshareC!AQ$43&gt;0,IMshareC!AQ60/(SUM(IMshareC!AQ$2:AQ$78)-IMshareC!AQ$43),0))</f>
        <v>3.4092144206962033E-4</v>
      </c>
      <c r="AR60" s="8">
        <f>IF($A60=AR$1,0,IF(SUM(IMshareC!AR$2:AR$78)-IMshareC!AR$44&gt;0,IMshareC!AR60/(SUM(IMshareC!AR$2:AR$78)-IMshareC!AR$44),0))</f>
        <v>0</v>
      </c>
      <c r="AS60" s="8">
        <f>IF($A60=AS$1,0,IF(SUM(IMshareC!AS$2:AS$78)-IMshareC!AS$45&gt;0,IMshareC!AS60/(SUM(IMshareC!AS$2:AS$78)-IMshareC!AS$45),0))</f>
        <v>4.0750614217548491E-2</v>
      </c>
      <c r="AT60" s="8">
        <f>IF($A60=AT$1,0,IF(SUM(IMshareC!AT$2:AT$78)-IMshareC!AT$46&gt;0,IMshareC!AT60/(SUM(IMshareC!AT$2:AT$78)-IMshareC!AT$46),0))</f>
        <v>6.3374234833542117E-3</v>
      </c>
      <c r="AU60" s="8">
        <f>IF($A60=AU$1,0,IF(SUM(IMshareC!AU$2:AU$78)-IMshareC!AU$47&gt;0,IMshareC!AU60/(SUM(IMshareC!AU$2:AU$78)-IMshareC!AU$47),0))</f>
        <v>9.2625129340376353E-2</v>
      </c>
      <c r="AV60" s="8">
        <f>IF($A60=AV$1,0,IF(SUM(IMshareC!AV$2:AV$78)-IMshareC!AV$48&gt;0,IMshareC!AV60/(SUM(IMshareC!AV$2:AV$78)-IMshareC!AV$48),0))</f>
        <v>1.9270169847987522E-3</v>
      </c>
      <c r="AW60" s="8">
        <f>IF($A60=AW$1,0,IF(SUM(IMshareC!AW$2:AW$78)-IMshareC!AW$49&gt;0,IMshareC!AW60/(SUM(IMshareC!AW$2:AW$78)-IMshareC!AW$49),0))</f>
        <v>1.2039992199215583E-3</v>
      </c>
      <c r="AX60" s="8">
        <f>IF($A60=AX$1,0,IF(SUM(IMshareC!AX$2:AX$78)-IMshareC!AX$50&gt;0,IMshareC!AX60/(SUM(IMshareC!AX$2:AX$78)-IMshareC!AX$50),0))</f>
        <v>1.165813514876293E-4</v>
      </c>
      <c r="AY60" s="8">
        <f>IF($A60=AY$1,0,IF(SUM(IMshareC!AY$2:AY$78)-IMshareC!AY$51&gt;0,IMshareC!AY60/(SUM(IMshareC!AY$2:AY$78)-IMshareC!AY$51),0))</f>
        <v>1.1880763919469357E-4</v>
      </c>
      <c r="AZ60" s="8">
        <f>IF($A60=AZ$1,0,IF(SUM(IMshareC!AZ$2:AZ$78)-IMshareC!AZ$52&gt;0,IMshareC!AZ60/(SUM(IMshareC!AZ$2:AZ$78)-IMshareC!AZ$52),0))</f>
        <v>3.469027484571687E-4</v>
      </c>
      <c r="BA60" s="8">
        <f>IF($A60=BA$1,0,IF(SUM(IMshareC!BA$2:BA$78)-IMshareC!BA$53&gt;0,IMshareC!BA60/(SUM(IMshareC!BA$2:BA$78)-IMshareC!BA$53),0))</f>
        <v>5.3054701709739384E-4</v>
      </c>
      <c r="BB60" s="8">
        <f>IF($A60=BB$1,0,IF(SUM(IMshareC!BB$2:BB$78)-IMshareC!BB$54&gt;0,IMshareC!BB60/(SUM(IMshareC!BB$2:BB$78)-IMshareC!BB$54),0))</f>
        <v>1.4503591222244023E-2</v>
      </c>
      <c r="BC60" s="8">
        <f>IF($A60=BC$1,0,IF(SUM(IMshareC!BC$2:BC$78)-IMshareC!BC$55&gt;0,IMshareC!BC60/(SUM(IMshareC!BC$2:BC$78)-IMshareC!BC$55),0))</f>
        <v>2.5397822962879693E-2</v>
      </c>
      <c r="BD60" s="8">
        <f>IF($A60=BD$1,0,IF(SUM(IMshareC!BD$2:BD$78)-IMshareC!BD$56&gt;0,IMshareC!BD60/(SUM(IMshareC!BD$2:BD$78)-IMshareC!BD$56),0))</f>
        <v>3.8274570370912318E-3</v>
      </c>
      <c r="BE60" s="8">
        <f>IF($A60=BE$1,0,IF(SUM(IMshareC!BE$2:BE$78)-IMshareC!BE$57&gt;0,IMshareC!BE60/(SUM(IMshareC!BE$2:BE$78)-IMshareC!BE$57),0))</f>
        <v>1.5306268313141989E-3</v>
      </c>
      <c r="BF60" s="8">
        <f>IF($A60=BF$1,0,IF(SUM(IMshareC!BF$2:BF$78)-IMshareC!BF$58&gt;0,IMshareC!BF60/(SUM(IMshareC!BF$2:BF$78)-IMshareC!BF$58),0))</f>
        <v>7.4004492259709172E-3</v>
      </c>
      <c r="BG60" s="8">
        <f>IF($A60=BG$1,0,IF(SUM(IMshareC!BG$2:BG$78)-IMshareC!BG$59&gt;0,IMshareC!BG60/(SUM(IMshareC!BG$2:BG$78)-IMshareC!BG$59),0))</f>
        <v>3.7250558896485944E-6</v>
      </c>
      <c r="BH60" s="8">
        <f>IF($A60=BH$1,0,IF(SUM(IMshareC!BH$2:BH$78)-IMshareC!BH$60&gt;0,IMshareC!BH60/(SUM(IMshareC!BH$2:BH$78)-IMshareC!BH$60),0))</f>
        <v>0</v>
      </c>
      <c r="BI60" s="8">
        <f>IF($A60=BI$1,0,IF(SUM(IMshareC!BI$2:BI$78)-IMshareC!BI$61&gt;0,IMshareC!BI60/(SUM(IMshareC!BI$2:BI$78)-IMshareC!BI$61),0))</f>
        <v>2.2121233257580025E-3</v>
      </c>
      <c r="BJ60" s="8">
        <f>IF($A60=BJ$1,0,IF(SUM(IMshareC!BJ$2:BJ$78)-IMshareC!BJ$62&gt;0,IMshareC!BJ60/(SUM(IMshareC!BJ$2:BJ$78)-IMshareC!BJ$62),0))</f>
        <v>6.2099444517739692E-3</v>
      </c>
      <c r="BK60" s="8">
        <f>IF($A60=BK$1,0,IF(SUM(IMshareC!BK$2:BK$78)-IMshareC!BK$63&gt;0,IMshareC!BK60/(SUM(IMshareC!BK$2:BK$78)-IMshareC!BK$63),0))</f>
        <v>6.9263465574450657E-3</v>
      </c>
      <c r="BL60" s="8">
        <f>IF($A60=BL$1,0,IF(SUM(IMshareC!BL$2:BL$78)-IMshareC!BL$64&gt;0,IMshareC!BL60/(SUM(IMshareC!BL$2:BL$78)-IMshareC!BL$64),0))</f>
        <v>8.3088962288586465E-4</v>
      </c>
      <c r="BM60" s="8">
        <f>IF($A60=BM$1,0,IF(SUM(IMshareC!BM$2:BM$78)-IMshareC!BM$65&gt;0,IMshareC!BM60/(SUM(IMshareC!BM$2:BM$78)-IMshareC!BM$65),0))</f>
        <v>3.107898347328148E-3</v>
      </c>
      <c r="BN60" s="8">
        <f>IF($A60=BN$1,0,IF(SUM(IMshareC!BN$2:BN$78)-IMshareC!BN$66&gt;0,IMshareC!BN60/(SUM(IMshareC!BN$2:BN$78)-IMshareC!BN$66),0))</f>
        <v>5.0898318344158542E-5</v>
      </c>
      <c r="BO60" s="8">
        <f>IF($A60=BO$1,0,IF(SUM(IMshareC!BO$2:BO$78)-IMshareC!BO$67&gt;0,IMshareC!BO60/(SUM(IMshareC!BO$2:BO$78)-IMshareC!BO$67),0))</f>
        <v>2.7320509408647345E-2</v>
      </c>
      <c r="BP60" s="8">
        <f>IF($A60=BP$1,0,IF(SUM(IMshareC!BP$2:BP$78)-IMshareC!BP$68&gt;0,IMshareC!BP60/(SUM(IMshareC!BP$2:BP$78)-IMshareC!BP$68),0))</f>
        <v>5.1921471730039526E-3</v>
      </c>
      <c r="BQ60" s="8">
        <f>IF($A60=BQ$1,0,IF(SUM(IMshareC!BQ$2:BQ$78)-IMshareC!BQ$69&gt;0,IMshareC!BQ60/(SUM(IMshareC!BQ$2:BQ$78)-IMshareC!BQ$69),0))</f>
        <v>2.2213600646647687E-2</v>
      </c>
      <c r="BR60" s="8">
        <f>IF($A60=BR$1,0,IF(SUM(IMshareC!BR$2:BR$78)-IMshareC!BR$70&gt;0,IMshareC!BR60/(SUM(IMshareC!BR$2:BR$78)-IMshareC!BR$70),0))</f>
        <v>2.243026379462673E-4</v>
      </c>
      <c r="BS60" s="8">
        <f>IF($A60=BS$1,0,IF(SUM(IMshareC!BS$2:BS$78)-IMshareC!BS$71&gt;0,IMshareC!BS60/(SUM(IMshareC!BS$2:BS$78)-IMshareC!BS$71),0))</f>
        <v>6.2249818209223254E-4</v>
      </c>
      <c r="BT60" s="8">
        <f>IF($A60=BT$1,0,IF(SUM(IMshareC!BT$2:BT$78)-IMshareC!BT$72&gt;0,IMshareC!BT60/(SUM(IMshareC!BT$2:BT$78)-IMshareC!BT$72),0))</f>
        <v>9.4290821916204158E-3</v>
      </c>
      <c r="BU60" s="8">
        <f>IF($A60=BU$1,0,IF(SUM(IMshareC!BU$2:BU$78)-IMshareC!BU$73&gt;0,IMshareC!BU60/(SUM(IMshareC!BU$2:BU$78)-IMshareC!BU$73),0))</f>
        <v>2.2573032015695141E-5</v>
      </c>
      <c r="BV60" s="8">
        <f>IF($A60=BV$1,0,IF(SUM(IMshareC!BV$2:BV$78)-IMshareC!BV$74&gt;0,IMshareC!BV60/(SUM(IMshareC!BV$2:BV$78)-IMshareC!BV$74),0))</f>
        <v>1.866298502299709E-2</v>
      </c>
      <c r="BW60" s="8">
        <f>IF($A60=BW$1,0,IF(SUM(IMshareC!BW$2:BW$78)-IMshareC!BW$75&gt;0,IMshareC!BW60/(SUM(IMshareC!BW$2:BW$78)-IMshareC!BW$75),0))</f>
        <v>2.2153926849896124E-3</v>
      </c>
      <c r="BX60" s="8">
        <f>IF($A60=BX$1,0,IF(SUM(IMshareC!BX$2:BX$78)-IMshareC!BX$76&gt;0,IMshareC!BX60/(SUM(IMshareC!BX$2:BX$78)-IMshareC!BX$76),0))</f>
        <v>3.8280735294868205E-5</v>
      </c>
      <c r="BY60" s="8">
        <f>IF($A60=BY$1,0,IF(SUM(IMshareC!BY$2:BY$78)-IMshareC!BY$77&gt;0,IMshareC!BY60/(SUM(IMshareC!BY$2:BY$78)-IMshareC!BY$77),0))</f>
        <v>4.3857379654717154E-3</v>
      </c>
      <c r="BZ60" s="8">
        <f>IF($A60=BZ$1,0,IF(SUM(IMshareC!BZ$2:BZ$78)-IMshareC!BZ$78&gt;0,IMshareC!BZ60/(SUM(IMshareC!BZ$2:BZ$78)-IMshareC!BZ$78),0))</f>
        <v>5.3465171749368908E-3</v>
      </c>
    </row>
    <row r="61" spans="1:78">
      <c r="A61" s="4" t="s">
        <v>189</v>
      </c>
      <c r="B61" s="8">
        <f>IF($A61=B$1,0,IF(SUM(IMshareC!B$2:B$78)-IMshareC!B$2&gt;0,IMshareC!B61/(SUM(IMshareC!B$2:B$78)-IMshareC!B$2),0))</f>
        <v>8.1878307939035767E-3</v>
      </c>
      <c r="C61" s="8">
        <f>IF($A61=C$1,0,IF(SUM(IMshareC!C$2:C$78)-IMshareC!C$3&gt;0,IMshareC!C61/(SUM(IMshareC!C$2:C$78)-IMshareC!C$3),0))</f>
        <v>1.0622358438731968E-4</v>
      </c>
      <c r="D61" s="8">
        <f>IF($A61=D$1,0,IF(SUM(IMshareC!D$2:D$78)-IMshareC!D$4&gt;0,IMshareC!D61/(SUM(IMshareC!D$2:D$78)-IMshareC!D$4),0))</f>
        <v>5.7220056985324188E-4</v>
      </c>
      <c r="E61" s="8">
        <f>IF($A61=E$1,0,IF(SUM(IMshareC!E$2:E$78)-IMshareC!E$5&gt;0,IMshareC!E61/(SUM(IMshareC!E$2:E$78)-IMshareC!E$5),0))</f>
        <v>3.3856180479437604E-5</v>
      </c>
      <c r="F61" s="8">
        <f>IF($A61=F$1,0,IF(SUM(IMshareC!F$2:F$78)-IMshareC!F$6&gt;0,IMshareC!F61/(SUM(IMshareC!F$2:F$78)-IMshareC!F$6),0))</f>
        <v>1.0452950712887362E-5</v>
      </c>
      <c r="G61" s="8">
        <f>IF($A61=G$1,0,IF(SUM(IMshareC!G$2:G$78)-IMshareC!G$7&gt;0,IMshareC!G61/(SUM(IMshareC!G$2:G$78)-IMshareC!G$7),0))</f>
        <v>4.5253488903587657E-6</v>
      </c>
      <c r="H61" s="8">
        <f>IF($A61=H$1,0,IF(SUM(IMshareC!H$2:H$78)-IMshareC!H$8&gt;0,IMshareC!H61/(SUM(IMshareC!H$2:H$78)-IMshareC!H$8),0))</f>
        <v>0</v>
      </c>
      <c r="I61" s="8">
        <f>IF($A61=I$1,0,IF(SUM(IMshareC!I$2:I$78)-IMshareC!I$9&gt;0,IMshareC!I61/(SUM(IMshareC!I$2:I$78)-IMshareC!I$9),0))</f>
        <v>7.7547399448605334E-4</v>
      </c>
      <c r="J61" s="8">
        <f>IF($A61=J$1,0,IF(SUM(IMshareC!J$2:J$78)-IMshareC!J$10&gt;0,IMshareC!J61/(SUM(IMshareC!J$2:J$78)-IMshareC!J$10),0))</f>
        <v>0</v>
      </c>
      <c r="K61" s="8">
        <f>IF($A61=K$1,0,IF(SUM(IMshareC!K$2:K$78)-IMshareC!K$11&gt;0,IMshareC!K61/(SUM(IMshareC!K$2:K$78)-IMshareC!K$11),0))</f>
        <v>4.8098105783160374E-5</v>
      </c>
      <c r="L61" s="8">
        <f>IF($A61=L$1,0,IF(SUM(IMshareC!L$2:L$78)-IMshareC!L$12&gt;0,IMshareC!L61/(SUM(IMshareC!L$2:L$78)-IMshareC!L$12),0))</f>
        <v>7.7214183079799391E-5</v>
      </c>
      <c r="M61" s="8">
        <f>IF($A61=M$1,0,IF(SUM(IMshareC!M$2:M$78)-IMshareC!M$13&gt;0,IMshareC!M61/(SUM(IMshareC!M$2:M$78)-IMshareC!M$13),0))</f>
        <v>1.4298418986796944E-4</v>
      </c>
      <c r="N61" s="8">
        <f>IF($A61=N$1,0,IF(SUM(IMshareC!N$2:N$78)-IMshareC!N$14&gt;0,IMshareC!N61/(SUM(IMshareC!N$2:N$78)-IMshareC!N$14),0))</f>
        <v>9.7185804034677088E-4</v>
      </c>
      <c r="O61" s="8">
        <f>IF($A61=O$1,0,IF(SUM(IMshareC!O$2:O$78)-IMshareC!O$15&gt;0,IMshareC!O61/(SUM(IMshareC!O$2:O$78)-IMshareC!O$15),0))</f>
        <v>1.2801226200996622E-3</v>
      </c>
      <c r="P61" s="8">
        <f>IF($A61=P$1,0,IF(SUM(IMshareC!P$2:P$78)-IMshareC!P$16&gt;0,IMshareC!P61/(SUM(IMshareC!P$2:P$78)-IMshareC!P$16),0))</f>
        <v>5.954378835762536E-4</v>
      </c>
      <c r="Q61" s="8">
        <f>IF($A61=Q$1,0,IF(SUM(IMshareC!Q$2:Q$78)-IMshareC!Q$17&gt;0,IMshareC!Q61/(SUM(IMshareC!Q$2:Q$78)-IMshareC!Q$17),0))</f>
        <v>4.5896152670485039E-4</v>
      </c>
      <c r="R61" s="8">
        <f>IF($A61=R$1,0,IF(SUM(IMshareC!R$2:R$78)-IMshareC!R$18&gt;0,IMshareC!R61/(SUM(IMshareC!R$2:R$78)-IMshareC!R$18),0))</f>
        <v>4.8447589210088784E-4</v>
      </c>
      <c r="S61" s="8">
        <f>IF($A61=S$1,0,IF(SUM(IMshareC!S$2:S$78)-IMshareC!S$19&gt;0,IMshareC!S61/(SUM(IMshareC!S$2:S$78)-IMshareC!S$19),0))</f>
        <v>6.2613385111541671E-4</v>
      </c>
      <c r="T61" s="8">
        <f>IF($A61=T$1,0,IF(SUM(IMshareC!T$2:T$78)-IMshareC!T$20&gt;0,IMshareC!T61/(SUM(IMshareC!T$2:T$78)-IMshareC!T$20),0))</f>
        <v>3.9050477100096767E-4</v>
      </c>
      <c r="U61" s="8">
        <f>IF($A61=U$1,0,IF(SUM(IMshareC!U$2:U$78)-IMshareC!U$21&gt;0,IMshareC!U61/(SUM(IMshareC!U$2:U$78)-IMshareC!U$21),0))</f>
        <v>2.359278937747857E-3</v>
      </c>
      <c r="V61" s="8">
        <f>IF($A61=V$1,0,IF(SUM(IMshareC!V$2:V$78)-IMshareC!V$22&gt;0,IMshareC!V61/(SUM(IMshareC!V$2:V$78)-IMshareC!V$22),0))</f>
        <v>5.8261437970905253E-5</v>
      </c>
      <c r="W61" s="8">
        <f>IF($A61=W$1,0,IF(SUM(IMshareC!W$2:W$78)-IMshareC!W$23&gt;0,IMshareC!W61/(SUM(IMshareC!W$2:W$78)-IMshareC!W$23),0))</f>
        <v>3.6871835568992774E-5</v>
      </c>
      <c r="X61" s="8">
        <f>IF($A61=X$1,0,IF(SUM(IMshareC!X$2:X$78)-IMshareC!X$24&gt;0,IMshareC!X61/(SUM(IMshareC!X$2:X$78)-IMshareC!X$24),0))</f>
        <v>1.0849649248160731E-2</v>
      </c>
      <c r="Y61" s="8">
        <f>IF($A61=Y$1,0,IF(SUM(IMshareC!Y$2:Y$78)-IMshareC!Y$25&gt;0,IMshareC!Y61/(SUM(IMshareC!Y$2:Y$78)-IMshareC!Y$25),0))</f>
        <v>3.1065817202851682E-5</v>
      </c>
      <c r="Z61" s="8">
        <f>IF($A61=Z$1,0,IF(SUM(IMshareC!Z$2:Z$78)-IMshareC!Z$26&gt;0,IMshareC!Z61/(SUM(IMshareC!Z$2:Z$78)-IMshareC!Z$26),0))</f>
        <v>4.4860953448862609E-4</v>
      </c>
      <c r="AA61" s="8">
        <f>IF($A61=AA$1,0,IF(SUM(IMshareC!AA$2:AA$78)-IMshareC!AA$27&gt;0,IMshareC!AA61/(SUM(IMshareC!AA$2:AA$78)-IMshareC!AA$27),0))</f>
        <v>4.6846987259206789E-4</v>
      </c>
      <c r="AB61" s="8">
        <f>IF($A61=AB$1,0,IF(SUM(IMshareC!AB$2:AB$78)-IMshareC!AB$28&gt;0,IMshareC!AB61/(SUM(IMshareC!AB$2:AB$78)-IMshareC!AB$28),0))</f>
        <v>1.4871696059013486E-3</v>
      </c>
      <c r="AC61" s="8">
        <f>IF($A61=AC$1,0,IF(SUM(IMshareC!AC$2:AC$78)-IMshareC!AC$29&gt;0,IMshareC!AC61/(SUM(IMshareC!AC$2:AC$78)-IMshareC!AC$29),0))</f>
        <v>1.9683765322444954E-3</v>
      </c>
      <c r="AD61" s="8">
        <f>IF($A61=AD$1,0,IF(SUM(IMshareC!AD$2:AD$78)-IMshareC!AD$30&gt;0,IMshareC!AD61/(SUM(IMshareC!AD$2:AD$78)-IMshareC!AD$30),0))</f>
        <v>5.0741484814302942E-5</v>
      </c>
      <c r="AE61" s="8">
        <f>IF($A61=AE$1,0,IF(SUM(IMshareC!AE$2:AE$78)-IMshareC!AE$31&gt;0,IMshareC!AE61/(SUM(IMshareC!AE$2:AE$78)-IMshareC!AE$31),0))</f>
        <v>4.8572524319362399E-4</v>
      </c>
      <c r="AF61" s="8">
        <f>IF($A61=AF$1,0,IF(SUM(IMshareC!AF$2:AF$78)-IMshareC!AF$32&gt;0,IMshareC!AF61/(SUM(IMshareC!AF$2:AF$78)-IMshareC!AF$32),0))</f>
        <v>1.6488545793364516E-3</v>
      </c>
      <c r="AG61" s="8">
        <f>IF($A61=AG$1,0,IF(SUM(IMshareC!AG$2:AG$78)-IMshareC!AG$33&gt;0,IMshareC!AG61/(SUM(IMshareC!AG$2:AG$78)-IMshareC!AG$33),0))</f>
        <v>9.1826517593546919E-5</v>
      </c>
      <c r="AH61" s="8">
        <f>IF($A61=AH$1,0,IF(SUM(IMshareC!AH$2:AH$78)-IMshareC!AH$34&gt;0,IMshareC!AH61/(SUM(IMshareC!AH$2:AH$78)-IMshareC!AH$34),0))</f>
        <v>2.526110596298275E-5</v>
      </c>
      <c r="AI61" s="8">
        <f>IF($A61=AI$1,0,IF(SUM(IMshareC!AI$2:AI$78)-IMshareC!AI$35&gt;0,IMshareC!AI61/(SUM(IMshareC!AI$2:AI$78)-IMshareC!AI$35),0))</f>
        <v>1.6461881118656794E-5</v>
      </c>
      <c r="AJ61" s="8">
        <f>IF($A61=AJ$1,0,IF(SUM(IMshareC!AJ$2:AJ$78)-IMshareC!AJ$36&gt;0,IMshareC!AJ61/(SUM(IMshareC!AJ$2:AJ$78)-IMshareC!AJ$36),0))</f>
        <v>8.4800968765763422E-4</v>
      </c>
      <c r="AK61" s="8">
        <f>IF($A61=AK$1,0,IF(SUM(IMshareC!AK$2:AK$78)-IMshareC!AK$37&gt;0,IMshareC!AK61/(SUM(IMshareC!AK$2:AK$78)-IMshareC!AK$37),0))</f>
        <v>1.9000076942981813E-5</v>
      </c>
      <c r="AL61" s="8">
        <f>IF($A61=AL$1,0,IF(SUM(IMshareC!AL$2:AL$78)-IMshareC!AL$38&gt;0,IMshareC!AL61/(SUM(IMshareC!AL$2:AL$78)-IMshareC!AL$38),0))</f>
        <v>1.255220818760675E-3</v>
      </c>
      <c r="AM61" s="8">
        <f>IF($A61=AM$1,0,IF(SUM(IMshareC!AM$2:AM$78)-IMshareC!AM$39&gt;0,IMshareC!AM61/(SUM(IMshareC!AM$2:AM$78)-IMshareC!AM$39),0))</f>
        <v>1.1762681499482861E-4</v>
      </c>
      <c r="AN61" s="8">
        <f>IF($A61=AN$1,0,IF(SUM(IMshareC!AN$2:AN$78)-IMshareC!AN$40&gt;0,IMshareC!AN61/(SUM(IMshareC!AN$2:AN$78)-IMshareC!AN$40),0))</f>
        <v>2.5279252216282595E-4</v>
      </c>
      <c r="AO61" s="8">
        <f>IF($A61=AO$1,0,IF(SUM(IMshareC!AO$2:AO$78)-IMshareC!AO$41&gt;0,IMshareC!AO61/(SUM(IMshareC!AO$2:AO$78)-IMshareC!AO$41),0))</f>
        <v>3.0132839008480566E-6</v>
      </c>
      <c r="AP61" s="8">
        <f>IF($A61=AP$1,0,IF(SUM(IMshareC!AP$2:AP$78)-IMshareC!AP$42&gt;0,IMshareC!AP61/(SUM(IMshareC!AP$2:AP$78)-IMshareC!AP$42),0))</f>
        <v>0</v>
      </c>
      <c r="AQ61" s="8">
        <f>IF($A61=AQ$1,0,IF(SUM(IMshareC!AQ$2:AQ$78)-IMshareC!AQ$43&gt;0,IMshareC!AQ61/(SUM(IMshareC!AQ$2:AQ$78)-IMshareC!AQ$43),0))</f>
        <v>3.1422172835197503E-4</v>
      </c>
      <c r="AR61" s="8">
        <f>IF($A61=AR$1,0,IF(SUM(IMshareC!AR$2:AR$78)-IMshareC!AR$44&gt;0,IMshareC!AR61/(SUM(IMshareC!AR$2:AR$78)-IMshareC!AR$44),0))</f>
        <v>0</v>
      </c>
      <c r="AS61" s="8">
        <f>IF($A61=AS$1,0,IF(SUM(IMshareC!AS$2:AS$78)-IMshareC!AS$45&gt;0,IMshareC!AS61/(SUM(IMshareC!AS$2:AS$78)-IMshareC!AS$45),0))</f>
        <v>6.6530403789300272E-6</v>
      </c>
      <c r="AT61" s="8">
        <f>IF($A61=AT$1,0,IF(SUM(IMshareC!AT$2:AT$78)-IMshareC!AT$46&gt;0,IMshareC!AT61/(SUM(IMshareC!AT$2:AT$78)-IMshareC!AT$46),0))</f>
        <v>1.7925572151908432E-4</v>
      </c>
      <c r="AU61" s="8">
        <f>IF($A61=AU$1,0,IF(SUM(IMshareC!AU$2:AU$78)-IMshareC!AU$47&gt;0,IMshareC!AU61/(SUM(IMshareC!AU$2:AU$78)-IMshareC!AU$47),0))</f>
        <v>1.37883286414792E-2</v>
      </c>
      <c r="AV61" s="8">
        <f>IF($A61=AV$1,0,IF(SUM(IMshareC!AV$2:AV$78)-IMshareC!AV$48&gt;0,IMshareC!AV61/(SUM(IMshareC!AV$2:AV$78)-IMshareC!AV$48),0))</f>
        <v>1.0843553019117343E-3</v>
      </c>
      <c r="AW61" s="8">
        <f>IF($A61=AW$1,0,IF(SUM(IMshareC!AW$2:AW$78)-IMshareC!AW$49&gt;0,IMshareC!AW61/(SUM(IMshareC!AW$2:AW$78)-IMshareC!AW$49),0))</f>
        <v>1.4509800985950194E-4</v>
      </c>
      <c r="AX61" s="8">
        <f>IF($A61=AX$1,0,IF(SUM(IMshareC!AX$2:AX$78)-IMshareC!AX$50&gt;0,IMshareC!AX61/(SUM(IMshareC!AX$2:AX$78)-IMshareC!AX$50),0))</f>
        <v>1.027214177567094E-6</v>
      </c>
      <c r="AY61" s="8">
        <f>IF($A61=AY$1,0,IF(SUM(IMshareC!AY$2:AY$78)-IMshareC!AY$51&gt;0,IMshareC!AY61/(SUM(IMshareC!AY$2:AY$78)-IMshareC!AY$51),0))</f>
        <v>0</v>
      </c>
      <c r="AZ61" s="8">
        <f>IF($A61=AZ$1,0,IF(SUM(IMshareC!AZ$2:AZ$78)-IMshareC!AZ$52&gt;0,IMshareC!AZ61/(SUM(IMshareC!AZ$2:AZ$78)-IMshareC!AZ$52),0))</f>
        <v>2.061165182678835E-4</v>
      </c>
      <c r="BA61" s="8">
        <f>IF($A61=BA$1,0,IF(SUM(IMshareC!BA$2:BA$78)-IMshareC!BA$53&gt;0,IMshareC!BA61/(SUM(IMshareC!BA$2:BA$78)-IMshareC!BA$53),0))</f>
        <v>5.7920710265491862E-5</v>
      </c>
      <c r="BB61" s="8">
        <f>IF($A61=BB$1,0,IF(SUM(IMshareC!BB$2:BB$78)-IMshareC!BB$54&gt;0,IMshareC!BB61/(SUM(IMshareC!BB$2:BB$78)-IMshareC!BB$54),0))</f>
        <v>6.2254690606212558E-4</v>
      </c>
      <c r="BC61" s="8">
        <f>IF($A61=BC$1,0,IF(SUM(IMshareC!BC$2:BC$78)-IMshareC!BC$55&gt;0,IMshareC!BC61/(SUM(IMshareC!BC$2:BC$78)-IMshareC!BC$55),0))</f>
        <v>2.6352823134157292E-4</v>
      </c>
      <c r="BD61" s="8">
        <f>IF($A61=BD$1,0,IF(SUM(IMshareC!BD$2:BD$78)-IMshareC!BD$56&gt;0,IMshareC!BD61/(SUM(IMshareC!BD$2:BD$78)-IMshareC!BD$56),0))</f>
        <v>4.073452854362219E-4</v>
      </c>
      <c r="BE61" s="8">
        <f>IF($A61=BE$1,0,IF(SUM(IMshareC!BE$2:BE$78)-IMshareC!BE$57&gt;0,IMshareC!BE61/(SUM(IMshareC!BE$2:BE$78)-IMshareC!BE$57),0))</f>
        <v>2.4322774742893141E-6</v>
      </c>
      <c r="BF61" s="8">
        <f>IF($A61=BF$1,0,IF(SUM(IMshareC!BF$2:BF$78)-IMshareC!BF$58&gt;0,IMshareC!BF61/(SUM(IMshareC!BF$2:BF$78)-IMshareC!BF$58),0))</f>
        <v>5.7391076962749201E-4</v>
      </c>
      <c r="BG61" s="8">
        <f>IF($A61=BG$1,0,IF(SUM(IMshareC!BG$2:BG$78)-IMshareC!BG$59&gt;0,IMshareC!BG61/(SUM(IMshareC!BG$2:BG$78)-IMshareC!BG$59),0))</f>
        <v>1.6530477060403492E-5</v>
      </c>
      <c r="BH61" s="8">
        <f>IF($A61=BH$1,0,IF(SUM(IMshareC!BH$2:BH$78)-IMshareC!BH$60&gt;0,IMshareC!BH61/(SUM(IMshareC!BH$2:BH$78)-IMshareC!BH$60),0))</f>
        <v>7.6050512180172669E-5</v>
      </c>
      <c r="BI61" s="8">
        <f>IF($A61=BI$1,0,IF(SUM(IMshareC!BI$2:BI$78)-IMshareC!BI$61&gt;0,IMshareC!BI61/(SUM(IMshareC!BI$2:BI$78)-IMshareC!BI$61),0))</f>
        <v>0</v>
      </c>
      <c r="BJ61" s="8">
        <f>IF($A61=BJ$1,0,IF(SUM(IMshareC!BJ$2:BJ$78)-IMshareC!BJ$62&gt;0,IMshareC!BJ61/(SUM(IMshareC!BJ$2:BJ$78)-IMshareC!BJ$62),0))</f>
        <v>2.6014797193505295E-3</v>
      </c>
      <c r="BK61" s="8">
        <f>IF($A61=BK$1,0,IF(SUM(IMshareC!BK$2:BK$78)-IMshareC!BK$63&gt;0,IMshareC!BK61/(SUM(IMshareC!BK$2:BK$78)-IMshareC!BK$63),0))</f>
        <v>9.8829105629934228E-5</v>
      </c>
      <c r="BL61" s="8">
        <f>IF($A61=BL$1,0,IF(SUM(IMshareC!BL$2:BL$78)-IMshareC!BL$64&gt;0,IMshareC!BL61/(SUM(IMshareC!BL$2:BL$78)-IMshareC!BL$64),0))</f>
        <v>8.3439289098565954E-5</v>
      </c>
      <c r="BM61" s="8">
        <f>IF($A61=BM$1,0,IF(SUM(IMshareC!BM$2:BM$78)-IMshareC!BM$65&gt;0,IMshareC!BM61/(SUM(IMshareC!BM$2:BM$78)-IMshareC!BM$65),0))</f>
        <v>2.5222467266314955E-3</v>
      </c>
      <c r="BN61" s="8">
        <f>IF($A61=BN$1,0,IF(SUM(IMshareC!BN$2:BN$78)-IMshareC!BN$66&gt;0,IMshareC!BN61/(SUM(IMshareC!BN$2:BN$78)-IMshareC!BN$66),0))</f>
        <v>1.110015232426267E-3</v>
      </c>
      <c r="BO61" s="8">
        <f>IF($A61=BO$1,0,IF(SUM(IMshareC!BO$2:BO$78)-IMshareC!BO$67&gt;0,IMshareC!BO61/(SUM(IMshareC!BO$2:BO$78)-IMshareC!BO$67),0))</f>
        <v>2.8841416562935276E-3</v>
      </c>
      <c r="BP61" s="8">
        <f>IF($A61=BP$1,0,IF(SUM(IMshareC!BP$2:BP$78)-IMshareC!BP$68&gt;0,IMshareC!BP61/(SUM(IMshareC!BP$2:BP$78)-IMshareC!BP$68),0))</f>
        <v>3.8674600030102371E-3</v>
      </c>
      <c r="BQ61" s="8">
        <f>IF($A61=BQ$1,0,IF(SUM(IMshareC!BQ$2:BQ$78)-IMshareC!BQ$69&gt;0,IMshareC!BQ61/(SUM(IMshareC!BQ$2:BQ$78)-IMshareC!BQ$69),0))</f>
        <v>7.4999187123312442E-6</v>
      </c>
      <c r="BR61" s="8">
        <f>IF($A61=BR$1,0,IF(SUM(IMshareC!BR$2:BR$78)-IMshareC!BR$70&gt;0,IMshareC!BR61/(SUM(IMshareC!BR$2:BR$78)-IMshareC!BR$70),0))</f>
        <v>8.769075660337855E-5</v>
      </c>
      <c r="BS61" s="8">
        <f>IF($A61=BS$1,0,IF(SUM(IMshareC!BS$2:BS$78)-IMshareC!BS$71&gt;0,IMshareC!BS61/(SUM(IMshareC!BS$2:BS$78)-IMshareC!BS$71),0))</f>
        <v>1.1488346511318939E-3</v>
      </c>
      <c r="BT61" s="8">
        <f>IF($A61=BT$1,0,IF(SUM(IMshareC!BT$2:BT$78)-IMshareC!BT$72&gt;0,IMshareC!BT61/(SUM(IMshareC!BT$2:BT$78)-IMshareC!BT$72),0))</f>
        <v>1.4607127159220674E-3</v>
      </c>
      <c r="BU61" s="8">
        <f>IF($A61=BU$1,0,IF(SUM(IMshareC!BU$2:BU$78)-IMshareC!BU$73&gt;0,IMshareC!BU61/(SUM(IMshareC!BU$2:BU$78)-IMshareC!BU$73),0))</f>
        <v>7.6057639860502258E-4</v>
      </c>
      <c r="BV61" s="8">
        <f>IF($A61=BV$1,0,IF(SUM(IMshareC!BV$2:BV$78)-IMshareC!BV$74&gt;0,IMshareC!BV61/(SUM(IMshareC!BV$2:BV$78)-IMshareC!BV$74),0))</f>
        <v>3.5741212796305718E-4</v>
      </c>
      <c r="BW61" s="8">
        <f>IF($A61=BW$1,0,IF(SUM(IMshareC!BW$2:BW$78)-IMshareC!BW$75&gt;0,IMshareC!BW61/(SUM(IMshareC!BW$2:BW$78)-IMshareC!BW$75),0))</f>
        <v>8.0112202099180913E-4</v>
      </c>
      <c r="BX61" s="8">
        <f>IF($A61=BX$1,0,IF(SUM(IMshareC!BX$2:BX$78)-IMshareC!BX$76&gt;0,IMshareC!BX61/(SUM(IMshareC!BX$2:BX$78)-IMshareC!BX$76),0))</f>
        <v>2.0264206810214103E-4</v>
      </c>
      <c r="BY61" s="8">
        <f>IF($A61=BY$1,0,IF(SUM(IMshareC!BY$2:BY$78)-IMshareC!BY$77&gt;0,IMshareC!BY61/(SUM(IMshareC!BY$2:BY$78)-IMshareC!BY$77),0))</f>
        <v>8.1937216663844159E-5</v>
      </c>
      <c r="BZ61" s="8">
        <f>IF($A61=BZ$1,0,IF(SUM(IMshareC!BZ$2:BZ$78)-IMshareC!BZ$78&gt;0,IMshareC!BZ61/(SUM(IMshareC!BZ$2:BZ$78)-IMshareC!BZ$78),0))</f>
        <v>4.0548077936538073E-3</v>
      </c>
    </row>
    <row r="62" spans="1:78">
      <c r="A62" s="4" t="s">
        <v>191</v>
      </c>
      <c r="B62" s="8">
        <f>IF($A62=B$1,0,IF(SUM(IMshareC!B$2:B$78)-IMshareC!B$2&gt;0,IMshareC!B62/(SUM(IMshareC!B$2:B$78)-IMshareC!B$2),0))</f>
        <v>9.3300894058688816E-3</v>
      </c>
      <c r="C62" s="8">
        <f>IF($A62=C$1,0,IF(SUM(IMshareC!C$2:C$78)-IMshareC!C$3&gt;0,IMshareC!C62/(SUM(IMshareC!C$2:C$78)-IMshareC!C$3),0))</f>
        <v>8.6804021544967594E-4</v>
      </c>
      <c r="D62" s="8">
        <f>IF($A62=D$1,0,IF(SUM(IMshareC!D$2:D$78)-IMshareC!D$4&gt;0,IMshareC!D62/(SUM(IMshareC!D$2:D$78)-IMshareC!D$4),0))</f>
        <v>7.9544386417451183E-3</v>
      </c>
      <c r="E62" s="8">
        <f>IF($A62=E$1,0,IF(SUM(IMshareC!E$2:E$78)-IMshareC!E$5&gt;0,IMshareC!E62/(SUM(IMshareC!E$2:E$78)-IMshareC!E$5),0))</f>
        <v>1.4193748348241745E-4</v>
      </c>
      <c r="F62" s="8">
        <f>IF($A62=F$1,0,IF(SUM(IMshareC!F$2:F$78)-IMshareC!F$6&gt;0,IMshareC!F62/(SUM(IMshareC!F$2:F$78)-IMshareC!F$6),0))</f>
        <v>0</v>
      </c>
      <c r="G62" s="8">
        <f>IF($A62=G$1,0,IF(SUM(IMshareC!G$2:G$78)-IMshareC!G$7&gt;0,IMshareC!G62/(SUM(IMshareC!G$2:G$78)-IMshareC!G$7),0))</f>
        <v>3.8746601401014194E-3</v>
      </c>
      <c r="H62" s="8">
        <f>IF($A62=H$1,0,IF(SUM(IMshareC!H$2:H$78)-IMshareC!H$8&gt;0,IMshareC!H62/(SUM(IMshareC!H$2:H$78)-IMshareC!H$8),0))</f>
        <v>2.608377134890557E-5</v>
      </c>
      <c r="I62" s="8">
        <f>IF($A62=I$1,0,IF(SUM(IMshareC!I$2:I$78)-IMshareC!I$9&gt;0,IMshareC!I62/(SUM(IMshareC!I$2:I$78)-IMshareC!I$9),0))</f>
        <v>4.8929068941603636E-3</v>
      </c>
      <c r="J62" s="8">
        <f>IF($A62=J$1,0,IF(SUM(IMshareC!J$2:J$78)-IMshareC!J$10&gt;0,IMshareC!J62/(SUM(IMshareC!J$2:J$78)-IMshareC!J$10),0))</f>
        <v>9.325753222424036E-4</v>
      </c>
      <c r="K62" s="8">
        <f>IF($A62=K$1,0,IF(SUM(IMshareC!K$2:K$78)-IMshareC!K$11&gt;0,IMshareC!K62/(SUM(IMshareC!K$2:K$78)-IMshareC!K$11),0))</f>
        <v>3.4768243337001672E-4</v>
      </c>
      <c r="L62" s="8">
        <f>IF($A62=L$1,0,IF(SUM(IMshareC!L$2:L$78)-IMshareC!L$12&gt;0,IMshareC!L62/(SUM(IMshareC!L$2:L$78)-IMshareC!L$12),0))</f>
        <v>3.436762618342545E-3</v>
      </c>
      <c r="M62" s="8">
        <f>IF($A62=M$1,0,IF(SUM(IMshareC!M$2:M$78)-IMshareC!M$13&gt;0,IMshareC!M62/(SUM(IMshareC!M$2:M$78)-IMshareC!M$13),0))</f>
        <v>4.6456369503160045E-4</v>
      </c>
      <c r="N62" s="8">
        <f>IF($A62=N$1,0,IF(SUM(IMshareC!N$2:N$78)-IMshareC!N$14&gt;0,IMshareC!N62/(SUM(IMshareC!N$2:N$78)-IMshareC!N$14),0))</f>
        <v>4.1746336399241702E-4</v>
      </c>
      <c r="O62" s="8">
        <f>IF($A62=O$1,0,IF(SUM(IMshareC!O$2:O$78)-IMshareC!O$15&gt;0,IMshareC!O62/(SUM(IMshareC!O$2:O$78)-IMshareC!O$15),0))</f>
        <v>7.8895481222972296E-4</v>
      </c>
      <c r="P62" s="8">
        <f>IF($A62=P$1,0,IF(SUM(IMshareC!P$2:P$78)-IMshareC!P$16&gt;0,IMshareC!P62/(SUM(IMshareC!P$2:P$78)-IMshareC!P$16),0))</f>
        <v>0</v>
      </c>
      <c r="Q62" s="8">
        <f>IF($A62=Q$1,0,IF(SUM(IMshareC!Q$2:Q$78)-IMshareC!Q$17&gt;0,IMshareC!Q62/(SUM(IMshareC!Q$2:Q$78)-IMshareC!Q$17),0))</f>
        <v>1.4365731828842898E-3</v>
      </c>
      <c r="R62" s="8">
        <f>IF($A62=R$1,0,IF(SUM(IMshareC!R$2:R$78)-IMshareC!R$18&gt;0,IMshareC!R62/(SUM(IMshareC!R$2:R$78)-IMshareC!R$18),0))</f>
        <v>4.3856335724595585E-4</v>
      </c>
      <c r="S62" s="8">
        <f>IF($A62=S$1,0,IF(SUM(IMshareC!S$2:S$78)-IMshareC!S$19&gt;0,IMshareC!S62/(SUM(IMshareC!S$2:S$78)-IMshareC!S$19),0))</f>
        <v>1.8455264927557905E-3</v>
      </c>
      <c r="T62" s="8">
        <f>IF($A62=T$1,0,IF(SUM(IMshareC!T$2:T$78)-IMshareC!T$20&gt;0,IMshareC!T62/(SUM(IMshareC!T$2:T$78)-IMshareC!T$20),0))</f>
        <v>3.6962529294568111E-3</v>
      </c>
      <c r="U62" s="8">
        <f>IF($A62=U$1,0,IF(SUM(IMshareC!U$2:U$78)-IMshareC!U$21&gt;0,IMshareC!U62/(SUM(IMshareC!U$2:U$78)-IMshareC!U$21),0))</f>
        <v>4.8685725211102078E-3</v>
      </c>
      <c r="V62" s="8">
        <f>IF($A62=V$1,0,IF(SUM(IMshareC!V$2:V$78)-IMshareC!V$22&gt;0,IMshareC!V62/(SUM(IMshareC!V$2:V$78)-IMshareC!V$22),0))</f>
        <v>1.2550641346376673E-2</v>
      </c>
      <c r="W62" s="8">
        <f>IF($A62=W$1,0,IF(SUM(IMshareC!W$2:W$78)-IMshareC!W$23&gt;0,IMshareC!W62/(SUM(IMshareC!W$2:W$78)-IMshareC!W$23),0))</f>
        <v>1.1084887068418161E-3</v>
      </c>
      <c r="X62" s="8">
        <f>IF($A62=X$1,0,IF(SUM(IMshareC!X$2:X$78)-IMshareC!X$24&gt;0,IMshareC!X62/(SUM(IMshareC!X$2:X$78)-IMshareC!X$24),0))</f>
        <v>1.2055341411983944E-2</v>
      </c>
      <c r="Y62" s="8">
        <f>IF($A62=Y$1,0,IF(SUM(IMshareC!Y$2:Y$78)-IMshareC!Y$25&gt;0,IMshareC!Y62/(SUM(IMshareC!Y$2:Y$78)-IMshareC!Y$25),0))</f>
        <v>7.4120946385215617E-4</v>
      </c>
      <c r="Z62" s="8">
        <f>IF($A62=Z$1,0,IF(SUM(IMshareC!Z$2:Z$78)-IMshareC!Z$26&gt;0,IMshareC!Z62/(SUM(IMshareC!Z$2:Z$78)-IMshareC!Z$26),0))</f>
        <v>2.3586387334753778E-3</v>
      </c>
      <c r="AA62" s="8">
        <f>IF($A62=AA$1,0,IF(SUM(IMshareC!AA$2:AA$78)-IMshareC!AA$27&gt;0,IMshareC!AA62/(SUM(IMshareC!AA$2:AA$78)-IMshareC!AA$27),0))</f>
        <v>5.2733290244412765E-3</v>
      </c>
      <c r="AB62" s="8">
        <f>IF($A62=AB$1,0,IF(SUM(IMshareC!AB$2:AB$78)-IMshareC!AB$28&gt;0,IMshareC!AB62/(SUM(IMshareC!AB$2:AB$78)-IMshareC!AB$28),0))</f>
        <v>1.9541002191731985E-3</v>
      </c>
      <c r="AC62" s="8">
        <f>IF($A62=AC$1,0,IF(SUM(IMshareC!AC$2:AC$78)-IMshareC!AC$29&gt;0,IMshareC!AC62/(SUM(IMshareC!AC$2:AC$78)-IMshareC!AC$29),0))</f>
        <v>4.4013716406250195E-3</v>
      </c>
      <c r="AD62" s="8">
        <f>IF($A62=AD$1,0,IF(SUM(IMshareC!AD$2:AD$78)-IMshareC!AD$30&gt;0,IMshareC!AD62/(SUM(IMshareC!AD$2:AD$78)-IMshareC!AD$30),0))</f>
        <v>4.5184984855286272E-5</v>
      </c>
      <c r="AE62" s="8">
        <f>IF($A62=AE$1,0,IF(SUM(IMshareC!AE$2:AE$78)-IMshareC!AE$31&gt;0,IMshareC!AE62/(SUM(IMshareC!AE$2:AE$78)-IMshareC!AE$31),0))</f>
        <v>7.5289328281968112E-4</v>
      </c>
      <c r="AF62" s="8">
        <f>IF($A62=AF$1,0,IF(SUM(IMshareC!AF$2:AF$78)-IMshareC!AF$32&gt;0,IMshareC!AF62/(SUM(IMshareC!AF$2:AF$78)-IMshareC!AF$32),0))</f>
        <v>1.0443126390893068E-2</v>
      </c>
      <c r="AG62" s="8">
        <f>IF($A62=AG$1,0,IF(SUM(IMshareC!AG$2:AG$78)-IMshareC!AG$33&gt;0,IMshareC!AG62/(SUM(IMshareC!AG$2:AG$78)-IMshareC!AG$33),0))</f>
        <v>4.9662390169037669E-5</v>
      </c>
      <c r="AH62" s="8">
        <f>IF($A62=AH$1,0,IF(SUM(IMshareC!AH$2:AH$78)-IMshareC!AH$34&gt;0,IMshareC!AH62/(SUM(IMshareC!AH$2:AH$78)-IMshareC!AH$34),0))</f>
        <v>1.7246680542831042E-4</v>
      </c>
      <c r="AI62" s="8">
        <f>IF($A62=AI$1,0,IF(SUM(IMshareC!AI$2:AI$78)-IMshareC!AI$35&gt;0,IMshareC!AI62/(SUM(IMshareC!AI$2:AI$78)-IMshareC!AI$35),0))</f>
        <v>3.8079621660683196E-5</v>
      </c>
      <c r="AJ62" s="8">
        <f>IF($A62=AJ$1,0,IF(SUM(IMshareC!AJ$2:AJ$78)-IMshareC!AJ$36&gt;0,IMshareC!AJ62/(SUM(IMshareC!AJ$2:AJ$78)-IMshareC!AJ$36),0))</f>
        <v>3.7135808180142796E-2</v>
      </c>
      <c r="AK62" s="8">
        <f>IF($A62=AK$1,0,IF(SUM(IMshareC!AK$2:AK$78)-IMshareC!AK$37&gt;0,IMshareC!AK62/(SUM(IMshareC!AK$2:AK$78)-IMshareC!AK$37),0))</f>
        <v>2.0224526345973974E-4</v>
      </c>
      <c r="AL62" s="8">
        <f>IF($A62=AL$1,0,IF(SUM(IMshareC!AL$2:AL$78)-IMshareC!AL$38&gt;0,IMshareC!AL62/(SUM(IMshareC!AL$2:AL$78)-IMshareC!AL$38),0))</f>
        <v>9.4013878737328523E-3</v>
      </c>
      <c r="AM62" s="8">
        <f>IF($A62=AM$1,0,IF(SUM(IMshareC!AM$2:AM$78)-IMshareC!AM$39&gt;0,IMshareC!AM62/(SUM(IMshareC!AM$2:AM$78)-IMshareC!AM$39),0))</f>
        <v>4.3216490750488052E-3</v>
      </c>
      <c r="AN62" s="8">
        <f>IF($A62=AN$1,0,IF(SUM(IMshareC!AN$2:AN$78)-IMshareC!AN$40&gt;0,IMshareC!AN62/(SUM(IMshareC!AN$2:AN$78)-IMshareC!AN$40),0))</f>
        <v>8.5677714946564459E-4</v>
      </c>
      <c r="AO62" s="8">
        <f>IF($A62=AO$1,0,IF(SUM(IMshareC!AO$2:AO$78)-IMshareC!AO$41&gt;0,IMshareC!AO62/(SUM(IMshareC!AO$2:AO$78)-IMshareC!AO$41),0))</f>
        <v>6.9554911406446778E-5</v>
      </c>
      <c r="AP62" s="8">
        <f>IF($A62=AP$1,0,IF(SUM(IMshareC!AP$2:AP$78)-IMshareC!AP$42&gt;0,IMshareC!AP62/(SUM(IMshareC!AP$2:AP$78)-IMshareC!AP$42),0))</f>
        <v>8.48214298215771E-5</v>
      </c>
      <c r="AQ62" s="8">
        <f>IF($A62=AQ$1,0,IF(SUM(IMshareC!AQ$2:AQ$78)-IMshareC!AQ$43&gt;0,IMshareC!AQ62/(SUM(IMshareC!AQ$2:AQ$78)-IMshareC!AQ$43),0))</f>
        <v>1.3711610473588016E-4</v>
      </c>
      <c r="AR62" s="8">
        <f>IF($A62=AR$1,0,IF(SUM(IMshareC!AR$2:AR$78)-IMshareC!AR$44&gt;0,IMshareC!AR62/(SUM(IMshareC!AR$2:AR$78)-IMshareC!AR$44),0))</f>
        <v>0</v>
      </c>
      <c r="AS62" s="8">
        <f>IF($A62=AS$1,0,IF(SUM(IMshareC!AS$2:AS$78)-IMshareC!AS$45&gt;0,IMshareC!AS62/(SUM(IMshareC!AS$2:AS$78)-IMshareC!AS$45),0))</f>
        <v>8.2815184386340868E-4</v>
      </c>
      <c r="AT62" s="8">
        <f>IF($A62=AT$1,0,IF(SUM(IMshareC!AT$2:AT$78)-IMshareC!AT$46&gt;0,IMshareC!AT62/(SUM(IMshareC!AT$2:AT$78)-IMshareC!AT$46),0))</f>
        <v>1.4264118329651644E-2</v>
      </c>
      <c r="AU62" s="8">
        <f>IF($A62=AU$1,0,IF(SUM(IMshareC!AU$2:AU$78)-IMshareC!AU$47&gt;0,IMshareC!AU62/(SUM(IMshareC!AU$2:AU$78)-IMshareC!AU$47),0))</f>
        <v>8.4844182931942139E-5</v>
      </c>
      <c r="AV62" s="8">
        <f>IF($A62=AV$1,0,IF(SUM(IMshareC!AV$2:AV$78)-IMshareC!AV$48&gt;0,IMshareC!AV62/(SUM(IMshareC!AV$2:AV$78)-IMshareC!AV$48),0))</f>
        <v>0.13587008597595174</v>
      </c>
      <c r="AW62" s="8">
        <f>IF($A62=AW$1,0,IF(SUM(IMshareC!AW$2:AW$78)-IMshareC!AW$49&gt;0,IMshareC!AW62/(SUM(IMshareC!AW$2:AW$78)-IMshareC!AW$49),0))</f>
        <v>5.656321703731347E-4</v>
      </c>
      <c r="AX62" s="8">
        <f>IF($A62=AX$1,0,IF(SUM(IMshareC!AX$2:AX$78)-IMshareC!AX$50&gt;0,IMshareC!AX62/(SUM(IMshareC!AX$2:AX$78)-IMshareC!AX$50),0))</f>
        <v>1.1116202914769721E-5</v>
      </c>
      <c r="AY62" s="8">
        <f>IF($A62=AY$1,0,IF(SUM(IMshareC!AY$2:AY$78)-IMshareC!AY$51&gt;0,IMshareC!AY62/(SUM(IMshareC!AY$2:AY$78)-IMshareC!AY$51),0))</f>
        <v>0</v>
      </c>
      <c r="AZ62" s="8">
        <f>IF($A62=AZ$1,0,IF(SUM(IMshareC!AZ$2:AZ$78)-IMshareC!AZ$52&gt;0,IMshareC!AZ62/(SUM(IMshareC!AZ$2:AZ$78)-IMshareC!AZ$52),0))</f>
        <v>1.9334165846617342E-5</v>
      </c>
      <c r="BA62" s="8">
        <f>IF($A62=BA$1,0,IF(SUM(IMshareC!BA$2:BA$78)-IMshareC!BA$53&gt;0,IMshareC!BA62/(SUM(IMshareC!BA$2:BA$78)-IMshareC!BA$53),0))</f>
        <v>2.0324536341745358E-3</v>
      </c>
      <c r="BB62" s="8">
        <f>IF($A62=BB$1,0,IF(SUM(IMshareC!BB$2:BB$78)-IMshareC!BB$54&gt;0,IMshareC!BB62/(SUM(IMshareC!BB$2:BB$78)-IMshareC!BB$54),0))</f>
        <v>4.3785023505383954E-3</v>
      </c>
      <c r="BC62" s="8">
        <f>IF($A62=BC$1,0,IF(SUM(IMshareC!BC$2:BC$78)-IMshareC!BC$55&gt;0,IMshareC!BC62/(SUM(IMshareC!BC$2:BC$78)-IMshareC!BC$55),0))</f>
        <v>1.5766230784016505E-3</v>
      </c>
      <c r="BD62" s="8">
        <f>IF($A62=BD$1,0,IF(SUM(IMshareC!BD$2:BD$78)-IMshareC!BD$56&gt;0,IMshareC!BD62/(SUM(IMshareC!BD$2:BD$78)-IMshareC!BD$56),0))</f>
        <v>1.5884469821272574E-3</v>
      </c>
      <c r="BE62" s="8">
        <f>IF($A62=BE$1,0,IF(SUM(IMshareC!BE$2:BE$78)-IMshareC!BE$57&gt;0,IMshareC!BE62/(SUM(IMshareC!BE$2:BE$78)-IMshareC!BE$57),0))</f>
        <v>7.6460086879879597E-4</v>
      </c>
      <c r="BF62" s="8">
        <f>IF($A62=BF$1,0,IF(SUM(IMshareC!BF$2:BF$78)-IMshareC!BF$58&gt;0,IMshareC!BF62/(SUM(IMshareC!BF$2:BF$78)-IMshareC!BF$58),0))</f>
        <v>1.8257854946989651E-3</v>
      </c>
      <c r="BG62" s="8">
        <f>IF($A62=BG$1,0,IF(SUM(IMshareC!BG$2:BG$78)-IMshareC!BG$59&gt;0,IMshareC!BG62/(SUM(IMshareC!BG$2:BG$78)-IMshareC!BG$59),0))</f>
        <v>1.6274518826879432E-5</v>
      </c>
      <c r="BH62" s="8">
        <f>IF($A62=BH$1,0,IF(SUM(IMshareC!BH$2:BH$78)-IMshareC!BH$60&gt;0,IMshareC!BH62/(SUM(IMshareC!BH$2:BH$78)-IMshareC!BH$60),0))</f>
        <v>5.4982169623616246E-3</v>
      </c>
      <c r="BI62" s="8">
        <f>IF($A62=BI$1,0,IF(SUM(IMshareC!BI$2:BI$78)-IMshareC!BI$61&gt;0,IMshareC!BI62/(SUM(IMshareC!BI$2:BI$78)-IMshareC!BI$61),0))</f>
        <v>2.6598424412592486E-4</v>
      </c>
      <c r="BJ62" s="8">
        <f>IF($A62=BJ$1,0,IF(SUM(IMshareC!BJ$2:BJ$78)-IMshareC!BJ$62&gt;0,IMshareC!BJ62/(SUM(IMshareC!BJ$2:BJ$78)-IMshareC!BJ$62),0))</f>
        <v>0</v>
      </c>
      <c r="BK62" s="8">
        <f>IF($A62=BK$1,0,IF(SUM(IMshareC!BK$2:BK$78)-IMshareC!BK$63&gt;0,IMshareC!BK62/(SUM(IMshareC!BK$2:BK$78)-IMshareC!BK$63),0))</f>
        <v>4.1661286467671171E-3</v>
      </c>
      <c r="BL62" s="8">
        <f>IF($A62=BL$1,0,IF(SUM(IMshareC!BL$2:BL$78)-IMshareC!BL$64&gt;0,IMshareC!BL62/(SUM(IMshareC!BL$2:BL$78)-IMshareC!BL$64),0))</f>
        <v>4.3089821542535627E-5</v>
      </c>
      <c r="BM62" s="8">
        <f>IF($A62=BM$1,0,IF(SUM(IMshareC!BM$2:BM$78)-IMshareC!BM$65&gt;0,IMshareC!BM62/(SUM(IMshareC!BM$2:BM$78)-IMshareC!BM$65),0))</f>
        <v>4.6940746822273969E-6</v>
      </c>
      <c r="BN62" s="8">
        <f>IF($A62=BN$1,0,IF(SUM(IMshareC!BN$2:BN$78)-IMshareC!BN$66&gt;0,IMshareC!BN62/(SUM(IMshareC!BN$2:BN$78)-IMshareC!BN$66),0))</f>
        <v>3.695803367751366E-6</v>
      </c>
      <c r="BO62" s="8">
        <f>IF($A62=BO$1,0,IF(SUM(IMshareC!BO$2:BO$78)-IMshareC!BO$67&gt;0,IMshareC!BO62/(SUM(IMshareC!BO$2:BO$78)-IMshareC!BO$67),0))</f>
        <v>6.0441922461179935E-3</v>
      </c>
      <c r="BP62" s="8">
        <f>IF($A62=BP$1,0,IF(SUM(IMshareC!BP$2:BP$78)-IMshareC!BP$68&gt;0,IMshareC!BP62/(SUM(IMshareC!BP$2:BP$78)-IMshareC!BP$68),0))</f>
        <v>3.2606284505594476E-3</v>
      </c>
      <c r="BQ62" s="8">
        <f>IF($A62=BQ$1,0,IF(SUM(IMshareC!BQ$2:BQ$78)-IMshareC!BQ$69&gt;0,IMshareC!BQ62/(SUM(IMshareC!BQ$2:BQ$78)-IMshareC!BQ$69),0))</f>
        <v>5.2662233969116585E-3</v>
      </c>
      <c r="BR62" s="8">
        <f>IF($A62=BR$1,0,IF(SUM(IMshareC!BR$2:BR$78)-IMshareC!BR$70&gt;0,IMshareC!BR62/(SUM(IMshareC!BR$2:BR$78)-IMshareC!BR$70),0))</f>
        <v>4.286949050168634E-4</v>
      </c>
      <c r="BS62" s="8">
        <f>IF($A62=BS$1,0,IF(SUM(IMshareC!BS$2:BS$78)-IMshareC!BS$71&gt;0,IMshareC!BS62/(SUM(IMshareC!BS$2:BS$78)-IMshareC!BS$71),0))</f>
        <v>1.4329676887483631E-4</v>
      </c>
      <c r="BT62" s="8">
        <f>IF($A62=BT$1,0,IF(SUM(IMshareC!BT$2:BT$78)-IMshareC!BT$72&gt;0,IMshareC!BT62/(SUM(IMshareC!BT$2:BT$78)-IMshareC!BT$72),0))</f>
        <v>1.2917396807315563E-2</v>
      </c>
      <c r="BU62" s="8">
        <f>IF($A62=BU$1,0,IF(SUM(IMshareC!BU$2:BU$78)-IMshareC!BU$73&gt;0,IMshareC!BU62/(SUM(IMshareC!BU$2:BU$78)-IMshareC!BU$73),0))</f>
        <v>3.7226935683470069E-5</v>
      </c>
      <c r="BV62" s="8">
        <f>IF($A62=BV$1,0,IF(SUM(IMshareC!BV$2:BV$78)-IMshareC!BV$74&gt;0,IMshareC!BV62/(SUM(IMshareC!BV$2:BV$78)-IMshareC!BV$74),0))</f>
        <v>1.8064710480274119E-3</v>
      </c>
      <c r="BW62" s="8">
        <f>IF($A62=BW$1,0,IF(SUM(IMshareC!BW$2:BW$78)-IMshareC!BW$75&gt;0,IMshareC!BW62/(SUM(IMshareC!BW$2:BW$78)-IMshareC!BW$75),0))</f>
        <v>2.3069950312789173E-4</v>
      </c>
      <c r="BX62" s="8">
        <f>IF($A62=BX$1,0,IF(SUM(IMshareC!BX$2:BX$78)-IMshareC!BX$76&gt;0,IMshareC!BX62/(SUM(IMshareC!BX$2:BX$78)-IMshareC!BX$76),0))</f>
        <v>1.1181134552281758E-5</v>
      </c>
      <c r="BY62" s="8">
        <f>IF($A62=BY$1,0,IF(SUM(IMshareC!BY$2:BY$78)-IMshareC!BY$77&gt;0,IMshareC!BY62/(SUM(IMshareC!BY$2:BY$78)-IMshareC!BY$77),0))</f>
        <v>2.2761048088524292E-3</v>
      </c>
      <c r="BZ62" s="8">
        <f>IF($A62=BZ$1,0,IF(SUM(IMshareC!BZ$2:BZ$78)-IMshareC!BZ$78&gt;0,IMshareC!BZ62/(SUM(IMshareC!BZ$2:BZ$78)-IMshareC!BZ$78),0))</f>
        <v>2.3780727751271549E-3</v>
      </c>
    </row>
    <row r="63" spans="1:78">
      <c r="A63" s="4" t="s">
        <v>193</v>
      </c>
      <c r="B63" s="8">
        <f>IF($A63=B$1,0,IF(SUM(IMshareC!B$2:B$78)-IMshareC!B$2&gt;0,IMshareC!B63/(SUM(IMshareC!B$2:B$78)-IMshareC!B$2),0))</f>
        <v>1.1622631312814039E-3</v>
      </c>
      <c r="C63" s="8">
        <f>IF($A63=C$1,0,IF(SUM(IMshareC!C$2:C$78)-IMshareC!C$3&gt;0,IMshareC!C63/(SUM(IMshareC!C$2:C$78)-IMshareC!C$3),0))</f>
        <v>1.7615350088805696E-5</v>
      </c>
      <c r="D63" s="8">
        <f>IF($A63=D$1,0,IF(SUM(IMshareC!D$2:D$78)-IMshareC!D$4&gt;0,IMshareC!D63/(SUM(IMshareC!D$2:D$78)-IMshareC!D$4),0))</f>
        <v>8.1897475722770474E-6</v>
      </c>
      <c r="E63" s="8">
        <f>IF($A63=E$1,0,IF(SUM(IMshareC!E$2:E$78)-IMshareC!E$5&gt;0,IMshareC!E63/(SUM(IMshareC!E$2:E$78)-IMshareC!E$5),0))</f>
        <v>1.5427630319222833E-6</v>
      </c>
      <c r="F63" s="8">
        <f>IF($A63=F$1,0,IF(SUM(IMshareC!F$2:F$78)-IMshareC!F$6&gt;0,IMshareC!F63/(SUM(IMshareC!F$2:F$78)-IMshareC!F$6),0))</f>
        <v>0</v>
      </c>
      <c r="G63" s="8">
        <f>IF($A63=G$1,0,IF(SUM(IMshareC!G$2:G$78)-IMshareC!G$7&gt;0,IMshareC!G63/(SUM(IMshareC!G$2:G$78)-IMshareC!G$7),0))</f>
        <v>3.3533688268030536E-4</v>
      </c>
      <c r="H63" s="8">
        <f>IF($A63=H$1,0,IF(SUM(IMshareC!H$2:H$78)-IMshareC!H$8&gt;0,IMshareC!H63/(SUM(IMshareC!H$2:H$78)-IMshareC!H$8),0))</f>
        <v>0</v>
      </c>
      <c r="I63" s="8">
        <f>IF($A63=I$1,0,IF(SUM(IMshareC!I$2:I$78)-IMshareC!I$9&gt;0,IMshareC!I63/(SUM(IMshareC!I$2:I$78)-IMshareC!I$9),0))</f>
        <v>2.1202363235305174E-4</v>
      </c>
      <c r="J63" s="8">
        <f>IF($A63=J$1,0,IF(SUM(IMshareC!J$2:J$78)-IMshareC!J$10&gt;0,IMshareC!J63/(SUM(IMshareC!J$2:J$78)-IMshareC!J$10),0))</f>
        <v>0</v>
      </c>
      <c r="K63" s="8">
        <f>IF($A63=K$1,0,IF(SUM(IMshareC!K$2:K$78)-IMshareC!K$11&gt;0,IMshareC!K63/(SUM(IMshareC!K$2:K$78)-IMshareC!K$11),0))</f>
        <v>7.3957353929224331E-6</v>
      </c>
      <c r="L63" s="8">
        <f>IF($A63=L$1,0,IF(SUM(IMshareC!L$2:L$78)-IMshareC!L$12&gt;0,IMshareC!L63/(SUM(IMshareC!L$2:L$78)-IMshareC!L$12),0))</f>
        <v>2.4550848962247883E-5</v>
      </c>
      <c r="M63" s="8">
        <f>IF($A63=M$1,0,IF(SUM(IMshareC!M$2:M$78)-IMshareC!M$13&gt;0,IMshareC!M63/(SUM(IMshareC!M$2:M$78)-IMshareC!M$13),0))</f>
        <v>7.5690715869426944E-6</v>
      </c>
      <c r="N63" s="8">
        <f>IF($A63=N$1,0,IF(SUM(IMshareC!N$2:N$78)-IMshareC!N$14&gt;0,IMshareC!N63/(SUM(IMshareC!N$2:N$78)-IMshareC!N$14),0))</f>
        <v>5.0422065902655538E-5</v>
      </c>
      <c r="O63" s="8">
        <f>IF($A63=O$1,0,IF(SUM(IMshareC!O$2:O$78)-IMshareC!O$15&gt;0,IMshareC!O63/(SUM(IMshareC!O$2:O$78)-IMshareC!O$15),0))</f>
        <v>0</v>
      </c>
      <c r="P63" s="8">
        <f>IF($A63=P$1,0,IF(SUM(IMshareC!P$2:P$78)-IMshareC!P$16&gt;0,IMshareC!P63/(SUM(IMshareC!P$2:P$78)-IMshareC!P$16),0))</f>
        <v>0</v>
      </c>
      <c r="Q63" s="8">
        <f>IF($A63=Q$1,0,IF(SUM(IMshareC!Q$2:Q$78)-IMshareC!Q$17&gt;0,IMshareC!Q63/(SUM(IMshareC!Q$2:Q$78)-IMshareC!Q$17),0))</f>
        <v>4.0889236058779688E-3</v>
      </c>
      <c r="R63" s="8">
        <f>IF($A63=R$1,0,IF(SUM(IMshareC!R$2:R$78)-IMshareC!R$18&gt;0,IMshareC!R63/(SUM(IMshareC!R$2:R$78)-IMshareC!R$18),0))</f>
        <v>0</v>
      </c>
      <c r="S63" s="8">
        <f>IF($A63=S$1,0,IF(SUM(IMshareC!S$2:S$78)-IMshareC!S$19&gt;0,IMshareC!S63/(SUM(IMshareC!S$2:S$78)-IMshareC!S$19),0))</f>
        <v>0</v>
      </c>
      <c r="T63" s="8">
        <f>IF($A63=T$1,0,IF(SUM(IMshareC!T$2:T$78)-IMshareC!T$20&gt;0,IMshareC!T63/(SUM(IMshareC!T$2:T$78)-IMshareC!T$20),0))</f>
        <v>2.5604811712765634E-5</v>
      </c>
      <c r="U63" s="8">
        <f>IF($A63=U$1,0,IF(SUM(IMshareC!U$2:U$78)-IMshareC!U$21&gt;0,IMshareC!U63/(SUM(IMshareC!U$2:U$78)-IMshareC!U$21),0))</f>
        <v>2.4445589809474499E-5</v>
      </c>
      <c r="V63" s="8">
        <f>IF($A63=V$1,0,IF(SUM(IMshareC!V$2:V$78)-IMshareC!V$22&gt;0,IMshareC!V63/(SUM(IMshareC!V$2:V$78)-IMshareC!V$22),0))</f>
        <v>2.6320307493133419E-5</v>
      </c>
      <c r="W63" s="8">
        <f>IF($A63=W$1,0,IF(SUM(IMshareC!W$2:W$78)-IMshareC!W$23&gt;0,IMshareC!W63/(SUM(IMshareC!W$2:W$78)-IMshareC!W$23),0))</f>
        <v>5.0073128797872629E-3</v>
      </c>
      <c r="X63" s="8">
        <f>IF($A63=X$1,0,IF(SUM(IMshareC!X$2:X$78)-IMshareC!X$24&gt;0,IMshareC!X63/(SUM(IMshareC!X$2:X$78)-IMshareC!X$24),0))</f>
        <v>2.9711795258356276E-5</v>
      </c>
      <c r="Y63" s="8">
        <f>IF($A63=Y$1,0,IF(SUM(IMshareC!Y$2:Y$78)-IMshareC!Y$25&gt;0,IMshareC!Y63/(SUM(IMshareC!Y$2:Y$78)-IMshareC!Y$25),0))</f>
        <v>1.4685129758474367E-4</v>
      </c>
      <c r="Z63" s="8">
        <f>IF($A63=Z$1,0,IF(SUM(IMshareC!Z$2:Z$78)-IMshareC!Z$26&gt;0,IMshareC!Z63/(SUM(IMshareC!Z$2:Z$78)-IMshareC!Z$26),0))</f>
        <v>2.595678839068176E-6</v>
      </c>
      <c r="AA63" s="8">
        <f>IF($A63=AA$1,0,IF(SUM(IMshareC!AA$2:AA$78)-IMshareC!AA$27&gt;0,IMshareC!AA63/(SUM(IMshareC!AA$2:AA$78)-IMshareC!AA$27),0))</f>
        <v>5.121584289996613E-5</v>
      </c>
      <c r="AB63" s="8">
        <f>IF($A63=AB$1,0,IF(SUM(IMshareC!AB$2:AB$78)-IMshareC!AB$28&gt;0,IMshareC!AB63/(SUM(IMshareC!AB$2:AB$78)-IMshareC!AB$28),0))</f>
        <v>7.8937972749803864E-5</v>
      </c>
      <c r="AC63" s="8">
        <f>IF($A63=AC$1,0,IF(SUM(IMshareC!AC$2:AC$78)-IMshareC!AC$29&gt;0,IMshareC!AC63/(SUM(IMshareC!AC$2:AC$78)-IMshareC!AC$29),0))</f>
        <v>2.3466027725037153E-5</v>
      </c>
      <c r="AD63" s="8">
        <f>IF($A63=AD$1,0,IF(SUM(IMshareC!AD$2:AD$78)-IMshareC!AD$30&gt;0,IMshareC!AD63/(SUM(IMshareC!AD$2:AD$78)-IMshareC!AD$30),0))</f>
        <v>1.382546685947526E-5</v>
      </c>
      <c r="AE63" s="8">
        <f>IF($A63=AE$1,0,IF(SUM(IMshareC!AE$2:AE$78)-IMshareC!AE$31&gt;0,IMshareC!AE63/(SUM(IMshareC!AE$2:AE$78)-IMshareC!AE$31),0))</f>
        <v>4.5069253820849474E-4</v>
      </c>
      <c r="AF63" s="8">
        <f>IF($A63=AF$1,0,IF(SUM(IMshareC!AF$2:AF$78)-IMshareC!AF$32&gt;0,IMshareC!AF63/(SUM(IMshareC!AF$2:AF$78)-IMshareC!AF$32),0))</f>
        <v>3.0330833722951512E-5</v>
      </c>
      <c r="AG63" s="8">
        <f>IF($A63=AG$1,0,IF(SUM(IMshareC!AG$2:AG$78)-IMshareC!AG$33&gt;0,IMshareC!AG63/(SUM(IMshareC!AG$2:AG$78)-IMshareC!AG$33),0))</f>
        <v>1.9132925719252905E-8</v>
      </c>
      <c r="AH63" s="8">
        <f>IF($A63=AH$1,0,IF(SUM(IMshareC!AH$2:AH$78)-IMshareC!AH$34&gt;0,IMshareC!AH63/(SUM(IMshareC!AH$2:AH$78)-IMshareC!AH$34),0))</f>
        <v>1.3930980098752754E-5</v>
      </c>
      <c r="AI63" s="8">
        <f>IF($A63=AI$1,0,IF(SUM(IMshareC!AI$2:AI$78)-IMshareC!AI$35&gt;0,IMshareC!AI63/(SUM(IMshareC!AI$2:AI$78)-IMshareC!AI$35),0))</f>
        <v>0</v>
      </c>
      <c r="AJ63" s="8">
        <f>IF($A63=AJ$1,0,IF(SUM(IMshareC!AJ$2:AJ$78)-IMshareC!AJ$36&gt;0,IMshareC!AJ63/(SUM(IMshareC!AJ$2:AJ$78)-IMshareC!AJ$36),0))</f>
        <v>3.9014938039524071E-3</v>
      </c>
      <c r="AK63" s="8">
        <f>IF($A63=AK$1,0,IF(SUM(IMshareC!AK$2:AK$78)-IMshareC!AK$37&gt;0,IMshareC!AK63/(SUM(IMshareC!AK$2:AK$78)-IMshareC!AK$37),0))</f>
        <v>7.0511396655065852E-5</v>
      </c>
      <c r="AL63" s="8">
        <f>IF($A63=AL$1,0,IF(SUM(IMshareC!AL$2:AL$78)-IMshareC!AL$38&gt;0,IMshareC!AL63/(SUM(IMshareC!AL$2:AL$78)-IMshareC!AL$38),0))</f>
        <v>4.829641752268867E-5</v>
      </c>
      <c r="AM63" s="8">
        <f>IF($A63=AM$1,0,IF(SUM(IMshareC!AM$2:AM$78)-IMshareC!AM$39&gt;0,IMshareC!AM63/(SUM(IMshareC!AM$2:AM$78)-IMshareC!AM$39),0))</f>
        <v>0</v>
      </c>
      <c r="AN63" s="8">
        <f>IF($A63=AN$1,0,IF(SUM(IMshareC!AN$2:AN$78)-IMshareC!AN$40&gt;0,IMshareC!AN63/(SUM(IMshareC!AN$2:AN$78)-IMshareC!AN$40),0))</f>
        <v>3.8335793314407012E-7</v>
      </c>
      <c r="AO63" s="8">
        <f>IF($A63=AO$1,0,IF(SUM(IMshareC!AO$2:AO$78)-IMshareC!AO$41&gt;0,IMshareC!AO63/(SUM(IMshareC!AO$2:AO$78)-IMshareC!AO$41),0))</f>
        <v>0.15107629906157055</v>
      </c>
      <c r="AP63" s="8">
        <f>IF($A63=AP$1,0,IF(SUM(IMshareC!AP$2:AP$78)-IMshareC!AP$42&gt;0,IMshareC!AP63/(SUM(IMshareC!AP$2:AP$78)-IMshareC!AP$42),0))</f>
        <v>0</v>
      </c>
      <c r="AQ63" s="8">
        <f>IF($A63=AQ$1,0,IF(SUM(IMshareC!AQ$2:AQ$78)-IMshareC!AQ$43&gt;0,IMshareC!AQ63/(SUM(IMshareC!AQ$2:AQ$78)-IMshareC!AQ$43),0))</f>
        <v>1.7106974957022906E-5</v>
      </c>
      <c r="AR63" s="8">
        <f>IF($A63=AR$1,0,IF(SUM(IMshareC!AR$2:AR$78)-IMshareC!AR$44&gt;0,IMshareC!AR63/(SUM(IMshareC!AR$2:AR$78)-IMshareC!AR$44),0))</f>
        <v>0</v>
      </c>
      <c r="AS63" s="8">
        <f>IF($A63=AS$1,0,IF(SUM(IMshareC!AS$2:AS$78)-IMshareC!AS$45&gt;0,IMshareC!AS63/(SUM(IMshareC!AS$2:AS$78)-IMshareC!AS$45),0))</f>
        <v>1.6991534728490819E-4</v>
      </c>
      <c r="AT63" s="8">
        <f>IF($A63=AT$1,0,IF(SUM(IMshareC!AT$2:AT$78)-IMshareC!AT$46&gt;0,IMshareC!AT63/(SUM(IMshareC!AT$2:AT$78)-IMshareC!AT$46),0))</f>
        <v>0</v>
      </c>
      <c r="AU63" s="8">
        <f>IF($A63=AU$1,0,IF(SUM(IMshareC!AU$2:AU$78)-IMshareC!AU$47&gt;0,IMshareC!AU63/(SUM(IMshareC!AU$2:AU$78)-IMshareC!AU$47),0))</f>
        <v>9.3176435213621544E-4</v>
      </c>
      <c r="AV63" s="8">
        <f>IF($A63=AV$1,0,IF(SUM(IMshareC!AV$2:AV$78)-IMshareC!AV$48&gt;0,IMshareC!AV63/(SUM(IMshareC!AV$2:AV$78)-IMshareC!AV$48),0))</f>
        <v>3.2957644098438623E-6</v>
      </c>
      <c r="AW63" s="8">
        <f>IF($A63=AW$1,0,IF(SUM(IMshareC!AW$2:AW$78)-IMshareC!AW$49&gt;0,IMshareC!AW63/(SUM(IMshareC!AW$2:AW$78)-IMshareC!AW$49),0))</f>
        <v>0</v>
      </c>
      <c r="AX63" s="8">
        <f>IF($A63=AX$1,0,IF(SUM(IMshareC!AX$2:AX$78)-IMshareC!AX$50&gt;0,IMshareC!AX63/(SUM(IMshareC!AX$2:AX$78)-IMshareC!AX$50),0))</f>
        <v>0</v>
      </c>
      <c r="AY63" s="8">
        <f>IF($A63=AY$1,0,IF(SUM(IMshareC!AY$2:AY$78)-IMshareC!AY$51&gt;0,IMshareC!AY63/(SUM(IMshareC!AY$2:AY$78)-IMshareC!AY$51),0))</f>
        <v>0</v>
      </c>
      <c r="AZ63" s="8">
        <f>IF($A63=AZ$1,0,IF(SUM(IMshareC!AZ$2:AZ$78)-IMshareC!AZ$52&gt;0,IMshareC!AZ63/(SUM(IMshareC!AZ$2:AZ$78)-IMshareC!AZ$52),0))</f>
        <v>8.0482487321139205E-5</v>
      </c>
      <c r="BA63" s="8">
        <f>IF($A63=BA$1,0,IF(SUM(IMshareC!BA$2:BA$78)-IMshareC!BA$53&gt;0,IMshareC!BA63/(SUM(IMshareC!BA$2:BA$78)-IMshareC!BA$53),0))</f>
        <v>0</v>
      </c>
      <c r="BB63" s="8">
        <f>IF($A63=BB$1,0,IF(SUM(IMshareC!BB$2:BB$78)-IMshareC!BB$54&gt;0,IMshareC!BB63/(SUM(IMshareC!BB$2:BB$78)-IMshareC!BB$54),0))</f>
        <v>2.3254342307216387E-5</v>
      </c>
      <c r="BC63" s="8">
        <f>IF($A63=BC$1,0,IF(SUM(IMshareC!BC$2:BC$78)-IMshareC!BC$55&gt;0,IMshareC!BC63/(SUM(IMshareC!BC$2:BC$78)-IMshareC!BC$55),0))</f>
        <v>4.8411851590365922E-4</v>
      </c>
      <c r="BD63" s="8">
        <f>IF($A63=BD$1,0,IF(SUM(IMshareC!BD$2:BD$78)-IMshareC!BD$56&gt;0,IMshareC!BD63/(SUM(IMshareC!BD$2:BD$78)-IMshareC!BD$56),0))</f>
        <v>1.0175093231093423E-4</v>
      </c>
      <c r="BE63" s="8">
        <f>IF($A63=BE$1,0,IF(SUM(IMshareC!BE$2:BE$78)-IMshareC!BE$57&gt;0,IMshareC!BE63/(SUM(IMshareC!BE$2:BE$78)-IMshareC!BE$57),0))</f>
        <v>0</v>
      </c>
      <c r="BF63" s="8">
        <f>IF($A63=BF$1,0,IF(SUM(IMshareC!BF$2:BF$78)-IMshareC!BF$58&gt;0,IMshareC!BF63/(SUM(IMshareC!BF$2:BF$78)-IMshareC!BF$58),0))</f>
        <v>1.850944114570952E-5</v>
      </c>
      <c r="BG63" s="8">
        <f>IF($A63=BG$1,0,IF(SUM(IMshareC!BG$2:BG$78)-IMshareC!BG$59&gt;0,IMshareC!BG63/(SUM(IMshareC!BG$2:BG$78)-IMshareC!BG$59),0))</f>
        <v>1.3942295103989792E-4</v>
      </c>
      <c r="BH63" s="8">
        <f>IF($A63=BH$1,0,IF(SUM(IMshareC!BH$2:BH$78)-IMshareC!BH$60&gt;0,IMshareC!BH63/(SUM(IMshareC!BH$2:BH$78)-IMshareC!BH$60),0))</f>
        <v>1.551723832006537E-5</v>
      </c>
      <c r="BI63" s="8">
        <f>IF($A63=BI$1,0,IF(SUM(IMshareC!BI$2:BI$78)-IMshareC!BI$61&gt;0,IMshareC!BI63/(SUM(IMshareC!BI$2:BI$78)-IMshareC!BI$61),0))</f>
        <v>6.1009752194187977E-5</v>
      </c>
      <c r="BJ63" s="8">
        <f>IF($A63=BJ$1,0,IF(SUM(IMshareC!BJ$2:BJ$78)-IMshareC!BJ$62&gt;0,IMshareC!BJ63/(SUM(IMshareC!BJ$2:BJ$78)-IMshareC!BJ$62),0))</f>
        <v>1.2393211444422522E-4</v>
      </c>
      <c r="BK63" s="8">
        <f>IF($A63=BK$1,0,IF(SUM(IMshareC!BK$2:BK$78)-IMshareC!BK$63&gt;0,IMshareC!BK63/(SUM(IMshareC!BK$2:BK$78)-IMshareC!BK$63),0))</f>
        <v>0</v>
      </c>
      <c r="BL63" s="8">
        <f>IF($A63=BL$1,0,IF(SUM(IMshareC!BL$2:BL$78)-IMshareC!BL$64&gt;0,IMshareC!BL63/(SUM(IMshareC!BL$2:BL$78)-IMshareC!BL$64),0))</f>
        <v>0</v>
      </c>
      <c r="BM63" s="8">
        <f>IF($A63=BM$1,0,IF(SUM(IMshareC!BM$2:BM$78)-IMshareC!BM$65&gt;0,IMshareC!BM63/(SUM(IMshareC!BM$2:BM$78)-IMshareC!BM$65),0))</f>
        <v>0</v>
      </c>
      <c r="BN63" s="8">
        <f>IF($A63=BN$1,0,IF(SUM(IMshareC!BN$2:BN$78)-IMshareC!BN$66&gt;0,IMshareC!BN63/(SUM(IMshareC!BN$2:BN$78)-IMshareC!BN$66),0))</f>
        <v>1.766882873047591E-7</v>
      </c>
      <c r="BO63" s="8">
        <f>IF($A63=BO$1,0,IF(SUM(IMshareC!BO$2:BO$78)-IMshareC!BO$67&gt;0,IMshareC!BO63/(SUM(IMshareC!BO$2:BO$78)-IMshareC!BO$67),0))</f>
        <v>1.5192465220379541E-5</v>
      </c>
      <c r="BP63" s="8">
        <f>IF($A63=BP$1,0,IF(SUM(IMshareC!BP$2:BP$78)-IMshareC!BP$68&gt;0,IMshareC!BP63/(SUM(IMshareC!BP$2:BP$78)-IMshareC!BP$68),0))</f>
        <v>8.7113746260973133E-6</v>
      </c>
      <c r="BQ63" s="8">
        <f>IF($A63=BQ$1,0,IF(SUM(IMshareC!BQ$2:BQ$78)-IMshareC!BQ$69&gt;0,IMshareC!BQ63/(SUM(IMshareC!BQ$2:BQ$78)-IMshareC!BQ$69),0))</f>
        <v>0</v>
      </c>
      <c r="BR63" s="8">
        <f>IF($A63=BR$1,0,IF(SUM(IMshareC!BR$2:BR$78)-IMshareC!BR$70&gt;0,IMshareC!BR63/(SUM(IMshareC!BR$2:BR$78)-IMshareC!BR$70),0))</f>
        <v>3.6486202285306828E-5</v>
      </c>
      <c r="BS63" s="8">
        <f>IF($A63=BS$1,0,IF(SUM(IMshareC!BS$2:BS$78)-IMshareC!BS$71&gt;0,IMshareC!BS63/(SUM(IMshareC!BS$2:BS$78)-IMshareC!BS$71),0))</f>
        <v>4.2560223927986163E-8</v>
      </c>
      <c r="BT63" s="8">
        <f>IF($A63=BT$1,0,IF(SUM(IMshareC!BT$2:BT$78)-IMshareC!BT$72&gt;0,IMshareC!BT63/(SUM(IMshareC!BT$2:BT$78)-IMshareC!BT$72),0))</f>
        <v>4.8643039115467906E-4</v>
      </c>
      <c r="BU63" s="8">
        <f>IF($A63=BU$1,0,IF(SUM(IMshareC!BU$2:BU$78)-IMshareC!BU$73&gt;0,IMshareC!BU63/(SUM(IMshareC!BU$2:BU$78)-IMshareC!BU$73),0))</f>
        <v>5.1388793290077308E-5</v>
      </c>
      <c r="BV63" s="8">
        <f>IF($A63=BV$1,0,IF(SUM(IMshareC!BV$2:BV$78)-IMshareC!BV$74&gt;0,IMshareC!BV63/(SUM(IMshareC!BV$2:BV$78)-IMshareC!BV$74),0))</f>
        <v>6.6115409867387068E-4</v>
      </c>
      <c r="BW63" s="8">
        <f>IF($A63=BW$1,0,IF(SUM(IMshareC!BW$2:BW$78)-IMshareC!BW$75&gt;0,IMshareC!BW63/(SUM(IMshareC!BW$2:BW$78)-IMshareC!BW$75),0))</f>
        <v>2.0185380848921797E-5</v>
      </c>
      <c r="BX63" s="8">
        <f>IF($A63=BX$1,0,IF(SUM(IMshareC!BX$2:BX$78)-IMshareC!BX$76&gt;0,IMshareC!BX63/(SUM(IMshareC!BX$2:BX$78)-IMshareC!BX$76),0))</f>
        <v>4.1275192696448261E-6</v>
      </c>
      <c r="BY63" s="8">
        <f>IF($A63=BY$1,0,IF(SUM(IMshareC!BY$2:BY$78)-IMshareC!BY$77&gt;0,IMshareC!BY63/(SUM(IMshareC!BY$2:BY$78)-IMshareC!BY$77),0))</f>
        <v>1.3665926263452339E-5</v>
      </c>
      <c r="BZ63" s="8">
        <f>IF($A63=BZ$1,0,IF(SUM(IMshareC!BZ$2:BZ$78)-IMshareC!BZ$78&gt;0,IMshareC!BZ63/(SUM(IMshareC!BZ$2:BZ$78)-IMshareC!BZ$78),0))</f>
        <v>3.2012641471503489E-3</v>
      </c>
    </row>
    <row r="64" spans="1:78">
      <c r="A64" s="4" t="s">
        <v>195</v>
      </c>
      <c r="B64" s="8">
        <f>IF($A64=B$1,0,IF(SUM(IMshareC!B$2:B$78)-IMshareC!B$2&gt;0,IMshareC!B64/(SUM(IMshareC!B$2:B$78)-IMshareC!B$2),0))</f>
        <v>0</v>
      </c>
      <c r="C64" s="8">
        <f>IF($A64=C$1,0,IF(SUM(IMshareC!C$2:C$78)-IMshareC!C$3&gt;0,IMshareC!C64/(SUM(IMshareC!C$2:C$78)-IMshareC!C$3),0))</f>
        <v>0</v>
      </c>
      <c r="D64" s="8">
        <f>IF($A64=D$1,0,IF(SUM(IMshareC!D$2:D$78)-IMshareC!D$4&gt;0,IMshareC!D64/(SUM(IMshareC!D$2:D$78)-IMshareC!D$4),0))</f>
        <v>7.5828227887991872E-6</v>
      </c>
      <c r="E64" s="8">
        <f>IF($A64=E$1,0,IF(SUM(IMshareC!E$2:E$78)-IMshareC!E$5&gt;0,IMshareC!E64/(SUM(IMshareC!E$2:E$78)-IMshareC!E$5),0))</f>
        <v>1.8709842120358042E-5</v>
      </c>
      <c r="F64" s="8">
        <f>IF($A64=F$1,0,IF(SUM(IMshareC!F$2:F$78)-IMshareC!F$6&gt;0,IMshareC!F64/(SUM(IMshareC!F$2:F$78)-IMshareC!F$6),0))</f>
        <v>0</v>
      </c>
      <c r="G64" s="8">
        <f>IF($A64=G$1,0,IF(SUM(IMshareC!G$2:G$78)-IMshareC!G$7&gt;0,IMshareC!G64/(SUM(IMshareC!G$2:G$78)-IMshareC!G$7),0))</f>
        <v>1.2085926294154891E-4</v>
      </c>
      <c r="H64" s="8">
        <f>IF($A64=H$1,0,IF(SUM(IMshareC!H$2:H$78)-IMshareC!H$8&gt;0,IMshareC!H64/(SUM(IMshareC!H$2:H$78)-IMshareC!H$8),0))</f>
        <v>0</v>
      </c>
      <c r="I64" s="8">
        <f>IF($A64=I$1,0,IF(SUM(IMshareC!I$2:I$78)-IMshareC!I$9&gt;0,IMshareC!I64/(SUM(IMshareC!I$2:I$78)-IMshareC!I$9),0))</f>
        <v>0</v>
      </c>
      <c r="J64" s="8">
        <f>IF($A64=J$1,0,IF(SUM(IMshareC!J$2:J$78)-IMshareC!J$10&gt;0,IMshareC!J64/(SUM(IMshareC!J$2:J$78)-IMshareC!J$10),0))</f>
        <v>0</v>
      </c>
      <c r="K64" s="8">
        <f>IF($A64=K$1,0,IF(SUM(IMshareC!K$2:K$78)-IMshareC!K$11&gt;0,IMshareC!K64/(SUM(IMshareC!K$2:K$78)-IMshareC!K$11),0))</f>
        <v>2.6947354294499304E-8</v>
      </c>
      <c r="L64" s="8">
        <f>IF($A64=L$1,0,IF(SUM(IMshareC!L$2:L$78)-IMshareC!L$12&gt;0,IMshareC!L64/(SUM(IMshareC!L$2:L$78)-IMshareC!L$12),0))</f>
        <v>3.8305451704961656E-5</v>
      </c>
      <c r="M64" s="8">
        <f>IF($A64=M$1,0,IF(SUM(IMshareC!M$2:M$78)-IMshareC!M$13&gt;0,IMshareC!M64/(SUM(IMshareC!M$2:M$78)-IMshareC!M$13),0))</f>
        <v>1.1148157804996253E-6</v>
      </c>
      <c r="N64" s="8">
        <f>IF($A64=N$1,0,IF(SUM(IMshareC!N$2:N$78)-IMshareC!N$14&gt;0,IMshareC!N64/(SUM(IMshareC!N$2:N$78)-IMshareC!N$14),0))</f>
        <v>4.850435462328736E-9</v>
      </c>
      <c r="O64" s="8">
        <f>IF($A64=O$1,0,IF(SUM(IMshareC!O$2:O$78)-IMshareC!O$15&gt;0,IMshareC!O64/(SUM(IMshareC!O$2:O$78)-IMshareC!O$15),0))</f>
        <v>1.5524762941181734E-5</v>
      </c>
      <c r="P64" s="8">
        <f>IF($A64=P$1,0,IF(SUM(IMshareC!P$2:P$78)-IMshareC!P$16&gt;0,IMshareC!P64/(SUM(IMshareC!P$2:P$78)-IMshareC!P$16),0))</f>
        <v>0</v>
      </c>
      <c r="Q64" s="8">
        <f>IF($A64=Q$1,0,IF(SUM(IMshareC!Q$2:Q$78)-IMshareC!Q$17&gt;0,IMshareC!Q64/(SUM(IMshareC!Q$2:Q$78)-IMshareC!Q$17),0))</f>
        <v>7.1485056582844015E-4</v>
      </c>
      <c r="R64" s="8">
        <f>IF($A64=R$1,0,IF(SUM(IMshareC!R$2:R$78)-IMshareC!R$18&gt;0,IMshareC!R64/(SUM(IMshareC!R$2:R$78)-IMshareC!R$18),0))</f>
        <v>0</v>
      </c>
      <c r="S64" s="8">
        <f>IF($A64=S$1,0,IF(SUM(IMshareC!S$2:S$78)-IMshareC!S$19&gt;0,IMshareC!S64/(SUM(IMshareC!S$2:S$78)-IMshareC!S$19),0))</f>
        <v>0</v>
      </c>
      <c r="T64" s="8">
        <f>IF($A64=T$1,0,IF(SUM(IMshareC!T$2:T$78)-IMshareC!T$20&gt;0,IMshareC!T64/(SUM(IMshareC!T$2:T$78)-IMshareC!T$20),0))</f>
        <v>1.0468965999975138E-6</v>
      </c>
      <c r="U64" s="8">
        <f>IF($A64=U$1,0,IF(SUM(IMshareC!U$2:U$78)-IMshareC!U$21&gt;0,IMshareC!U64/(SUM(IMshareC!U$2:U$78)-IMshareC!U$21),0))</f>
        <v>8.5495456776781113E-6</v>
      </c>
      <c r="V64" s="8">
        <f>IF($A64=V$1,0,IF(SUM(IMshareC!V$2:V$78)-IMshareC!V$22&gt;0,IMshareC!V64/(SUM(IMshareC!V$2:V$78)-IMshareC!V$22),0))</f>
        <v>1.1730249496653363E-5</v>
      </c>
      <c r="W64" s="8">
        <f>IF($A64=W$1,0,IF(SUM(IMshareC!W$2:W$78)-IMshareC!W$23&gt;0,IMshareC!W64/(SUM(IMshareC!W$2:W$78)-IMshareC!W$23),0))</f>
        <v>4.6711158563150728E-5</v>
      </c>
      <c r="X64" s="8">
        <f>IF($A64=X$1,0,IF(SUM(IMshareC!X$2:X$78)-IMshareC!X$24&gt;0,IMshareC!X64/(SUM(IMshareC!X$2:X$78)-IMshareC!X$24),0))</f>
        <v>2.7498194031012184E-6</v>
      </c>
      <c r="Y64" s="8">
        <f>IF($A64=Y$1,0,IF(SUM(IMshareC!Y$2:Y$78)-IMshareC!Y$25&gt;0,IMshareC!Y64/(SUM(IMshareC!Y$2:Y$78)-IMshareC!Y$25),0))</f>
        <v>0</v>
      </c>
      <c r="Z64" s="8">
        <f>IF($A64=Z$1,0,IF(SUM(IMshareC!Z$2:Z$78)-IMshareC!Z$26&gt;0,IMshareC!Z64/(SUM(IMshareC!Z$2:Z$78)-IMshareC!Z$26),0))</f>
        <v>3.270553947908522E-6</v>
      </c>
      <c r="AA64" s="8">
        <f>IF($A64=AA$1,0,IF(SUM(IMshareC!AA$2:AA$78)-IMshareC!AA$27&gt;0,IMshareC!AA64/(SUM(IMshareC!AA$2:AA$78)-IMshareC!AA$27),0))</f>
        <v>5.4129437544859519E-5</v>
      </c>
      <c r="AB64" s="8">
        <f>IF($A64=AB$1,0,IF(SUM(IMshareC!AB$2:AB$78)-IMshareC!AB$28&gt;0,IMshareC!AB64/(SUM(IMshareC!AB$2:AB$78)-IMshareC!AB$28),0))</f>
        <v>1.3885814812186399E-3</v>
      </c>
      <c r="AC64" s="8">
        <f>IF($A64=AC$1,0,IF(SUM(IMshareC!AC$2:AC$78)-IMshareC!AC$29&gt;0,IMshareC!AC64/(SUM(IMshareC!AC$2:AC$78)-IMshareC!AC$29),0))</f>
        <v>8.6453993585972877E-7</v>
      </c>
      <c r="AD64" s="8">
        <f>IF($A64=AD$1,0,IF(SUM(IMshareC!AD$2:AD$78)-IMshareC!AD$30&gt;0,IMshareC!AD64/(SUM(IMshareC!AD$2:AD$78)-IMshareC!AD$30),0))</f>
        <v>1.5077856748872051E-7</v>
      </c>
      <c r="AE64" s="8">
        <f>IF($A64=AE$1,0,IF(SUM(IMshareC!AE$2:AE$78)-IMshareC!AE$31&gt;0,IMshareC!AE64/(SUM(IMshareC!AE$2:AE$78)-IMshareC!AE$31),0))</f>
        <v>6.9862583116050392E-7</v>
      </c>
      <c r="AF64" s="8">
        <f>IF($A64=AF$1,0,IF(SUM(IMshareC!AF$2:AF$78)-IMshareC!AF$32&gt;0,IMshareC!AF64/(SUM(IMshareC!AF$2:AF$78)-IMshareC!AF$32),0))</f>
        <v>3.3512194498755406E-5</v>
      </c>
      <c r="AG64" s="8">
        <f>IF($A64=AG$1,0,IF(SUM(IMshareC!AG$2:AG$78)-IMshareC!AG$33&gt;0,IMshareC!AG64/(SUM(IMshareC!AG$2:AG$78)-IMshareC!AG$33),0))</f>
        <v>6.9155153202118934E-8</v>
      </c>
      <c r="AH64" s="8">
        <f>IF($A64=AH$1,0,IF(SUM(IMshareC!AH$2:AH$78)-IMshareC!AH$34&gt;0,IMshareC!AH64/(SUM(IMshareC!AH$2:AH$78)-IMshareC!AH$34),0))</f>
        <v>4.5242824568654287E-5</v>
      </c>
      <c r="AI64" s="8">
        <f>IF($A64=AI$1,0,IF(SUM(IMshareC!AI$2:AI$78)-IMshareC!AI$35&gt;0,IMshareC!AI64/(SUM(IMshareC!AI$2:AI$78)-IMshareC!AI$35),0))</f>
        <v>3.6388653460746478E-8</v>
      </c>
      <c r="AJ64" s="8">
        <f>IF($A64=AJ$1,0,IF(SUM(IMshareC!AJ$2:AJ$78)-IMshareC!AJ$36&gt;0,IMshareC!AJ64/(SUM(IMshareC!AJ$2:AJ$78)-IMshareC!AJ$36),0))</f>
        <v>0</v>
      </c>
      <c r="AK64" s="8">
        <f>IF($A64=AK$1,0,IF(SUM(IMshareC!AK$2:AK$78)-IMshareC!AK$37&gt;0,IMshareC!AK64/(SUM(IMshareC!AK$2:AK$78)-IMshareC!AK$37),0))</f>
        <v>0</v>
      </c>
      <c r="AL64" s="8">
        <f>IF($A64=AL$1,0,IF(SUM(IMshareC!AL$2:AL$78)-IMshareC!AL$38&gt;0,IMshareC!AL64/(SUM(IMshareC!AL$2:AL$78)-IMshareC!AL$38),0))</f>
        <v>3.0354470547491909E-5</v>
      </c>
      <c r="AM64" s="8">
        <f>IF($A64=AM$1,0,IF(SUM(IMshareC!AM$2:AM$78)-IMshareC!AM$39&gt;0,IMshareC!AM64/(SUM(IMshareC!AM$2:AM$78)-IMshareC!AM$39),0))</f>
        <v>0</v>
      </c>
      <c r="AN64" s="8">
        <f>IF($A64=AN$1,0,IF(SUM(IMshareC!AN$2:AN$78)-IMshareC!AN$40&gt;0,IMshareC!AN64/(SUM(IMshareC!AN$2:AN$78)-IMshareC!AN$40),0))</f>
        <v>4.1007750442319399E-7</v>
      </c>
      <c r="AO64" s="8">
        <f>IF($A64=AO$1,0,IF(SUM(IMshareC!AO$2:AO$78)-IMshareC!AO$41&gt;0,IMshareC!AO64/(SUM(IMshareC!AO$2:AO$78)-IMshareC!AO$41),0))</f>
        <v>0</v>
      </c>
      <c r="AP64" s="8">
        <f>IF($A64=AP$1,0,IF(SUM(IMshareC!AP$2:AP$78)-IMshareC!AP$42&gt;0,IMshareC!AP64/(SUM(IMshareC!AP$2:AP$78)-IMshareC!AP$42),0))</f>
        <v>0</v>
      </c>
      <c r="AQ64" s="8">
        <f>IF($A64=AQ$1,0,IF(SUM(IMshareC!AQ$2:AQ$78)-IMshareC!AQ$43&gt;0,IMshareC!AQ64/(SUM(IMshareC!AQ$2:AQ$78)-IMshareC!AQ$43),0))</f>
        <v>2.3091858013254828E-7</v>
      </c>
      <c r="AR64" s="8">
        <f>IF($A64=AR$1,0,IF(SUM(IMshareC!AR$2:AR$78)-IMshareC!AR$44&gt;0,IMshareC!AR64/(SUM(IMshareC!AR$2:AR$78)-IMshareC!AR$44),0))</f>
        <v>0</v>
      </c>
      <c r="AS64" s="8">
        <f>IF($A64=AS$1,0,IF(SUM(IMshareC!AS$2:AS$78)-IMshareC!AS$45&gt;0,IMshareC!AS64/(SUM(IMshareC!AS$2:AS$78)-IMshareC!AS$45),0))</f>
        <v>0</v>
      </c>
      <c r="AT64" s="8">
        <f>IF($A64=AT$1,0,IF(SUM(IMshareC!AT$2:AT$78)-IMshareC!AT$46&gt;0,IMshareC!AT64/(SUM(IMshareC!AT$2:AT$78)-IMshareC!AT$46),0))</f>
        <v>0</v>
      </c>
      <c r="AU64" s="8">
        <f>IF($A64=AU$1,0,IF(SUM(IMshareC!AU$2:AU$78)-IMshareC!AU$47&gt;0,IMshareC!AU64/(SUM(IMshareC!AU$2:AU$78)-IMshareC!AU$47),0))</f>
        <v>7.987597682202229E-9</v>
      </c>
      <c r="AV64" s="8">
        <f>IF($A64=AV$1,0,IF(SUM(IMshareC!AV$2:AV$78)-IMshareC!AV$48&gt;0,IMshareC!AV64/(SUM(IMshareC!AV$2:AV$78)-IMshareC!AV$48),0))</f>
        <v>0</v>
      </c>
      <c r="AW64" s="8">
        <f>IF($A64=AW$1,0,IF(SUM(IMshareC!AW$2:AW$78)-IMshareC!AW$49&gt;0,IMshareC!AW64/(SUM(IMshareC!AW$2:AW$78)-IMshareC!AW$49),0))</f>
        <v>0</v>
      </c>
      <c r="AX64" s="8">
        <f>IF($A64=AX$1,0,IF(SUM(IMshareC!AX$2:AX$78)-IMshareC!AX$50&gt;0,IMshareC!AX64/(SUM(IMshareC!AX$2:AX$78)-IMshareC!AX$50),0))</f>
        <v>0</v>
      </c>
      <c r="AY64" s="8">
        <f>IF($A64=AY$1,0,IF(SUM(IMshareC!AY$2:AY$78)-IMshareC!AY$51&gt;0,IMshareC!AY64/(SUM(IMshareC!AY$2:AY$78)-IMshareC!AY$51),0))</f>
        <v>0</v>
      </c>
      <c r="AZ64" s="8">
        <f>IF($A64=AZ$1,0,IF(SUM(IMshareC!AZ$2:AZ$78)-IMshareC!AZ$52&gt;0,IMshareC!AZ64/(SUM(IMshareC!AZ$2:AZ$78)-IMshareC!AZ$52),0))</f>
        <v>0</v>
      </c>
      <c r="BA64" s="8">
        <f>IF($A64=BA$1,0,IF(SUM(IMshareC!BA$2:BA$78)-IMshareC!BA$53&gt;0,IMshareC!BA64/(SUM(IMshareC!BA$2:BA$78)-IMshareC!BA$53),0))</f>
        <v>0</v>
      </c>
      <c r="BB64" s="8">
        <f>IF($A64=BB$1,0,IF(SUM(IMshareC!BB$2:BB$78)-IMshareC!BB$54&gt;0,IMshareC!BB64/(SUM(IMshareC!BB$2:BB$78)-IMshareC!BB$54),0))</f>
        <v>8.7710160360309543E-5</v>
      </c>
      <c r="BC64" s="8">
        <f>IF($A64=BC$1,0,IF(SUM(IMshareC!BC$2:BC$78)-IMshareC!BC$55&gt;0,IMshareC!BC64/(SUM(IMshareC!BC$2:BC$78)-IMshareC!BC$55),0))</f>
        <v>5.4998829612013531E-4</v>
      </c>
      <c r="BD64" s="8">
        <f>IF($A64=BD$1,0,IF(SUM(IMshareC!BD$2:BD$78)-IMshareC!BD$56&gt;0,IMshareC!BD64/(SUM(IMshareC!BD$2:BD$78)-IMshareC!BD$56),0))</f>
        <v>0</v>
      </c>
      <c r="BE64" s="8">
        <f>IF($A64=BE$1,0,IF(SUM(IMshareC!BE$2:BE$78)-IMshareC!BE$57&gt;0,IMshareC!BE64/(SUM(IMshareC!BE$2:BE$78)-IMshareC!BE$57),0))</f>
        <v>0</v>
      </c>
      <c r="BF64" s="8">
        <f>IF($A64=BF$1,0,IF(SUM(IMshareC!BF$2:BF$78)-IMshareC!BF$58&gt;0,IMshareC!BF64/(SUM(IMshareC!BF$2:BF$78)-IMshareC!BF$58),0))</f>
        <v>3.8843737442392762E-5</v>
      </c>
      <c r="BG64" s="8">
        <f>IF($A64=BG$1,0,IF(SUM(IMshareC!BG$2:BG$78)-IMshareC!BG$59&gt;0,IMshareC!BG64/(SUM(IMshareC!BG$2:BG$78)-IMshareC!BG$59),0))</f>
        <v>1.1357244029150673E-6</v>
      </c>
      <c r="BH64" s="8">
        <f>IF($A64=BH$1,0,IF(SUM(IMshareC!BH$2:BH$78)-IMshareC!BH$60&gt;0,IMshareC!BH64/(SUM(IMshareC!BH$2:BH$78)-IMshareC!BH$60),0))</f>
        <v>4.8485859993386853E-9</v>
      </c>
      <c r="BI64" s="8">
        <f>IF($A64=BI$1,0,IF(SUM(IMshareC!BI$2:BI$78)-IMshareC!BI$61&gt;0,IMshareC!BI64/(SUM(IMshareC!BI$2:BI$78)-IMshareC!BI$61),0))</f>
        <v>0</v>
      </c>
      <c r="BJ64" s="8">
        <f>IF($A64=BJ$1,0,IF(SUM(IMshareC!BJ$2:BJ$78)-IMshareC!BJ$62&gt;0,IMshareC!BJ64/(SUM(IMshareC!BJ$2:BJ$78)-IMshareC!BJ$62),0))</f>
        <v>0</v>
      </c>
      <c r="BK64" s="8">
        <f>IF($A64=BK$1,0,IF(SUM(IMshareC!BK$2:BK$78)-IMshareC!BK$63&gt;0,IMshareC!BK64/(SUM(IMshareC!BK$2:BK$78)-IMshareC!BK$63),0))</f>
        <v>0</v>
      </c>
      <c r="BL64" s="8">
        <f>IF($A64=BL$1,0,IF(SUM(IMshareC!BL$2:BL$78)-IMshareC!BL$64&gt;0,IMshareC!BL64/(SUM(IMshareC!BL$2:BL$78)-IMshareC!BL$64),0))</f>
        <v>0</v>
      </c>
      <c r="BM64" s="8">
        <f>IF($A64=BM$1,0,IF(SUM(IMshareC!BM$2:BM$78)-IMshareC!BM$65&gt;0,IMshareC!BM64/(SUM(IMshareC!BM$2:BM$78)-IMshareC!BM$65),0))</f>
        <v>7.0723478754154299E-3</v>
      </c>
      <c r="BN64" s="8">
        <f>IF($A64=BN$1,0,IF(SUM(IMshareC!BN$2:BN$78)-IMshareC!BN$66&gt;0,IMshareC!BN64/(SUM(IMshareC!BN$2:BN$78)-IMshareC!BN$66),0))</f>
        <v>4.874619130995475E-9</v>
      </c>
      <c r="BO64" s="8">
        <f>IF($A64=BO$1,0,IF(SUM(IMshareC!BO$2:BO$78)-IMshareC!BO$67&gt;0,IMshareC!BO64/(SUM(IMshareC!BO$2:BO$78)-IMshareC!BO$67),0))</f>
        <v>0</v>
      </c>
      <c r="BP64" s="8">
        <f>IF($A64=BP$1,0,IF(SUM(IMshareC!BP$2:BP$78)-IMshareC!BP$68&gt;0,IMshareC!BP64/(SUM(IMshareC!BP$2:BP$78)-IMshareC!BP$68),0))</f>
        <v>0</v>
      </c>
      <c r="BQ64" s="8">
        <f>IF($A64=BQ$1,0,IF(SUM(IMshareC!BQ$2:BQ$78)-IMshareC!BQ$69&gt;0,IMshareC!BQ64/(SUM(IMshareC!BQ$2:BQ$78)-IMshareC!BQ$69),0))</f>
        <v>5.2438452577811777E-6</v>
      </c>
      <c r="BR64" s="8">
        <f>IF($A64=BR$1,0,IF(SUM(IMshareC!BR$2:BR$78)-IMshareC!BR$70&gt;0,IMshareC!BR64/(SUM(IMshareC!BR$2:BR$78)-IMshareC!BR$70),0))</f>
        <v>2.5721242295593138E-7</v>
      </c>
      <c r="BS64" s="8">
        <f>IF($A64=BS$1,0,IF(SUM(IMshareC!BS$2:BS$78)-IMshareC!BS$71&gt;0,IMshareC!BS64/(SUM(IMshareC!BS$2:BS$78)-IMshareC!BS$71),0))</f>
        <v>0</v>
      </c>
      <c r="BT64" s="8">
        <f>IF($A64=BT$1,0,IF(SUM(IMshareC!BT$2:BT$78)-IMshareC!BT$72&gt;0,IMshareC!BT64/(SUM(IMshareC!BT$2:BT$78)-IMshareC!BT$72),0))</f>
        <v>6.0568682917771119E-6</v>
      </c>
      <c r="BU64" s="8">
        <f>IF($A64=BU$1,0,IF(SUM(IMshareC!BU$2:BU$78)-IMshareC!BU$73&gt;0,IMshareC!BU64/(SUM(IMshareC!BU$2:BU$78)-IMshareC!BU$73),0))</f>
        <v>3.1861470434116641E-9</v>
      </c>
      <c r="BV64" s="8">
        <f>IF($A64=BV$1,0,IF(SUM(IMshareC!BV$2:BV$78)-IMshareC!BV$74&gt;0,IMshareC!BV64/(SUM(IMshareC!BV$2:BV$78)-IMshareC!BV$74),0))</f>
        <v>0</v>
      </c>
      <c r="BW64" s="8">
        <f>IF($A64=BW$1,0,IF(SUM(IMshareC!BW$2:BW$78)-IMshareC!BW$75&gt;0,IMshareC!BW64/(SUM(IMshareC!BW$2:BW$78)-IMshareC!BW$75),0))</f>
        <v>9.6839423933933364E-6</v>
      </c>
      <c r="BX64" s="8">
        <f>IF($A64=BX$1,0,IF(SUM(IMshareC!BX$2:BX$78)-IMshareC!BX$76&gt;0,IMshareC!BX64/(SUM(IMshareC!BX$2:BX$78)-IMshareC!BX$76),0))</f>
        <v>0</v>
      </c>
      <c r="BY64" s="8">
        <f>IF($A64=BY$1,0,IF(SUM(IMshareC!BY$2:BY$78)-IMshareC!BY$77&gt;0,IMshareC!BY64/(SUM(IMshareC!BY$2:BY$78)-IMshareC!BY$77),0))</f>
        <v>1.884540702116062E-4</v>
      </c>
      <c r="BZ64" s="8">
        <f>IF($A64=BZ$1,0,IF(SUM(IMshareC!BZ$2:BZ$78)-IMshareC!BZ$78&gt;0,IMshareC!BZ64/(SUM(IMshareC!BZ$2:BZ$78)-IMshareC!BZ$78),0))</f>
        <v>7.1046689900116619E-5</v>
      </c>
    </row>
    <row r="65" spans="1:78">
      <c r="A65" s="4" t="s">
        <v>197</v>
      </c>
      <c r="B65" s="8">
        <f>IF($A65=B$1,0,IF(SUM(IMshareC!B$2:B$78)-IMshareC!B$2&gt;0,IMshareC!B65/(SUM(IMshareC!B$2:B$78)-IMshareC!B$2),0))</f>
        <v>0</v>
      </c>
      <c r="C65" s="8">
        <f>IF($A65=C$1,0,IF(SUM(IMshareC!C$2:C$78)-IMshareC!C$3&gt;0,IMshareC!C65/(SUM(IMshareC!C$2:C$78)-IMshareC!C$3),0))</f>
        <v>0</v>
      </c>
      <c r="D65" s="8">
        <f>IF($A65=D$1,0,IF(SUM(IMshareC!D$2:D$78)-IMshareC!D$4&gt;0,IMshareC!D65/(SUM(IMshareC!D$2:D$78)-IMshareC!D$4),0))</f>
        <v>0</v>
      </c>
      <c r="E65" s="8">
        <f>IF($A65=E$1,0,IF(SUM(IMshareC!E$2:E$78)-IMshareC!E$5&gt;0,IMshareC!E65/(SUM(IMshareC!E$2:E$78)-IMshareC!E$5),0))</f>
        <v>1.3833733095490684E-10</v>
      </c>
      <c r="F65" s="8">
        <f>IF($A65=F$1,0,IF(SUM(IMshareC!F$2:F$78)-IMshareC!F$6&gt;0,IMshareC!F65/(SUM(IMshareC!F$2:F$78)-IMshareC!F$6),0))</f>
        <v>0</v>
      </c>
      <c r="G65" s="8">
        <f>IF($A65=G$1,0,IF(SUM(IMshareC!G$2:G$78)-IMshareC!G$7&gt;0,IMshareC!G65/(SUM(IMshareC!G$2:G$78)-IMshareC!G$7),0))</f>
        <v>0</v>
      </c>
      <c r="H65" s="8">
        <f>IF($A65=H$1,0,IF(SUM(IMshareC!H$2:H$78)-IMshareC!H$8&gt;0,IMshareC!H65/(SUM(IMshareC!H$2:H$78)-IMshareC!H$8),0))</f>
        <v>0</v>
      </c>
      <c r="I65" s="8">
        <f>IF($A65=I$1,0,IF(SUM(IMshareC!I$2:I$78)-IMshareC!I$9&gt;0,IMshareC!I65/(SUM(IMshareC!I$2:I$78)-IMshareC!I$9),0))</f>
        <v>1.9563190356449644E-5</v>
      </c>
      <c r="J65" s="8">
        <f>IF($A65=J$1,0,IF(SUM(IMshareC!J$2:J$78)-IMshareC!J$10&gt;0,IMshareC!J65/(SUM(IMshareC!J$2:J$78)-IMshareC!J$10),0))</f>
        <v>0</v>
      </c>
      <c r="K65" s="8">
        <f>IF($A65=K$1,0,IF(SUM(IMshareC!K$2:K$78)-IMshareC!K$11&gt;0,IMshareC!K65/(SUM(IMshareC!K$2:K$78)-IMshareC!K$11),0))</f>
        <v>6.5996618473419725E-6</v>
      </c>
      <c r="L65" s="8">
        <f>IF($A65=L$1,0,IF(SUM(IMshareC!L$2:L$78)-IMshareC!L$12&gt;0,IMshareC!L65/(SUM(IMshareC!L$2:L$78)-IMshareC!L$12),0))</f>
        <v>1.6080661582720646E-6</v>
      </c>
      <c r="M65" s="8">
        <f>IF($A65=M$1,0,IF(SUM(IMshareC!M$2:M$78)-IMshareC!M$13&gt;0,IMshareC!M65/(SUM(IMshareC!M$2:M$78)-IMshareC!M$13),0))</f>
        <v>0</v>
      </c>
      <c r="N65" s="8">
        <f>IF($A65=N$1,0,IF(SUM(IMshareC!N$2:N$78)-IMshareC!N$14&gt;0,IMshareC!N65/(SUM(IMshareC!N$2:N$78)-IMshareC!N$14),0))</f>
        <v>6.494194146784586E-9</v>
      </c>
      <c r="O65" s="8">
        <f>IF($A65=O$1,0,IF(SUM(IMshareC!O$2:O$78)-IMshareC!O$15&gt;0,IMshareC!O65/(SUM(IMshareC!O$2:O$78)-IMshareC!O$15),0))</f>
        <v>2.1562194713768883E-5</v>
      </c>
      <c r="P65" s="8">
        <f>IF($A65=P$1,0,IF(SUM(IMshareC!P$2:P$78)-IMshareC!P$16&gt;0,IMshareC!P65/(SUM(IMshareC!P$2:P$78)-IMshareC!P$16),0))</f>
        <v>0</v>
      </c>
      <c r="Q65" s="8">
        <f>IF($A65=Q$1,0,IF(SUM(IMshareC!Q$2:Q$78)-IMshareC!Q$17&gt;0,IMshareC!Q65/(SUM(IMshareC!Q$2:Q$78)-IMshareC!Q$17),0))</f>
        <v>0</v>
      </c>
      <c r="R65" s="8">
        <f>IF($A65=R$1,0,IF(SUM(IMshareC!R$2:R$78)-IMshareC!R$18&gt;0,IMshareC!R65/(SUM(IMshareC!R$2:R$78)-IMshareC!R$18),0))</f>
        <v>0</v>
      </c>
      <c r="S65" s="8">
        <f>IF($A65=S$1,0,IF(SUM(IMshareC!S$2:S$78)-IMshareC!S$19&gt;0,IMshareC!S65/(SUM(IMshareC!S$2:S$78)-IMshareC!S$19),0))</f>
        <v>0</v>
      </c>
      <c r="T65" s="8">
        <f>IF($A65=T$1,0,IF(SUM(IMshareC!T$2:T$78)-IMshareC!T$20&gt;0,IMshareC!T65/(SUM(IMshareC!T$2:T$78)-IMshareC!T$20),0))</f>
        <v>0</v>
      </c>
      <c r="U65" s="8">
        <f>IF($A65=U$1,0,IF(SUM(IMshareC!U$2:U$78)-IMshareC!U$21&gt;0,IMshareC!U65/(SUM(IMshareC!U$2:U$78)-IMshareC!U$21),0))</f>
        <v>1.111933501645622E-6</v>
      </c>
      <c r="V65" s="8">
        <f>IF($A65=V$1,0,IF(SUM(IMshareC!V$2:V$78)-IMshareC!V$22&gt;0,IMshareC!V65/(SUM(IMshareC!V$2:V$78)-IMshareC!V$22),0))</f>
        <v>0</v>
      </c>
      <c r="W65" s="8">
        <f>IF($A65=W$1,0,IF(SUM(IMshareC!W$2:W$78)-IMshareC!W$23&gt;0,IMshareC!W65/(SUM(IMshareC!W$2:W$78)-IMshareC!W$23),0))</f>
        <v>0</v>
      </c>
      <c r="X65" s="8">
        <f>IF($A65=X$1,0,IF(SUM(IMshareC!X$2:X$78)-IMshareC!X$24&gt;0,IMshareC!X65/(SUM(IMshareC!X$2:X$78)-IMshareC!X$24),0))</f>
        <v>0</v>
      </c>
      <c r="Y65" s="8">
        <f>IF($A65=Y$1,0,IF(SUM(IMshareC!Y$2:Y$78)-IMshareC!Y$25&gt;0,IMshareC!Y65/(SUM(IMshareC!Y$2:Y$78)-IMshareC!Y$25),0))</f>
        <v>0</v>
      </c>
      <c r="Z65" s="8">
        <f>IF($A65=Z$1,0,IF(SUM(IMshareC!Z$2:Z$78)-IMshareC!Z$26&gt;0,IMshareC!Z65/(SUM(IMshareC!Z$2:Z$78)-IMshareC!Z$26),0))</f>
        <v>3.3326937819948178E-6</v>
      </c>
      <c r="AA65" s="8">
        <f>IF($A65=AA$1,0,IF(SUM(IMshareC!AA$2:AA$78)-IMshareC!AA$27&gt;0,IMshareC!AA65/(SUM(IMshareC!AA$2:AA$78)-IMshareC!AA$27),0))</f>
        <v>1.9169961823139728E-5</v>
      </c>
      <c r="AB65" s="8">
        <f>IF($A65=AB$1,0,IF(SUM(IMshareC!AB$2:AB$78)-IMshareC!AB$28&gt;0,IMshareC!AB65/(SUM(IMshareC!AB$2:AB$78)-IMshareC!AB$28),0))</f>
        <v>1.4296094010064029E-6</v>
      </c>
      <c r="AC65" s="8">
        <f>IF($A65=AC$1,0,IF(SUM(IMshareC!AC$2:AC$78)-IMshareC!AC$29&gt;0,IMshareC!AC65/(SUM(IMshareC!AC$2:AC$78)-IMshareC!AC$29),0))</f>
        <v>0</v>
      </c>
      <c r="AD65" s="8">
        <f>IF($A65=AD$1,0,IF(SUM(IMshareC!AD$2:AD$78)-IMshareC!AD$30&gt;0,IMshareC!AD65/(SUM(IMshareC!AD$2:AD$78)-IMshareC!AD$30),0))</f>
        <v>0</v>
      </c>
      <c r="AE65" s="8">
        <f>IF($A65=AE$1,0,IF(SUM(IMshareC!AE$2:AE$78)-IMshareC!AE$31&gt;0,IMshareC!AE65/(SUM(IMshareC!AE$2:AE$78)-IMshareC!AE$31),0))</f>
        <v>0</v>
      </c>
      <c r="AF65" s="8">
        <f>IF($A65=AF$1,0,IF(SUM(IMshareC!AF$2:AF$78)-IMshareC!AF$32&gt;0,IMshareC!AF65/(SUM(IMshareC!AF$2:AF$78)-IMshareC!AF$32),0))</f>
        <v>0</v>
      </c>
      <c r="AG65" s="8">
        <f>IF($A65=AG$1,0,IF(SUM(IMshareC!AG$2:AG$78)-IMshareC!AG$33&gt;0,IMshareC!AG65/(SUM(IMshareC!AG$2:AG$78)-IMshareC!AG$33),0))</f>
        <v>2.5933182450794604E-6</v>
      </c>
      <c r="AH65" s="8">
        <f>IF($A65=AH$1,0,IF(SUM(IMshareC!AH$2:AH$78)-IMshareC!AH$34&gt;0,IMshareC!AH65/(SUM(IMshareC!AH$2:AH$78)-IMshareC!AH$34),0))</f>
        <v>2.2802598261725632E-6</v>
      </c>
      <c r="AI65" s="8">
        <f>IF($A65=AI$1,0,IF(SUM(IMshareC!AI$2:AI$78)-IMshareC!AI$35&gt;0,IMshareC!AI65/(SUM(IMshareC!AI$2:AI$78)-IMshareC!AI$35),0))</f>
        <v>3.2143323186942496E-7</v>
      </c>
      <c r="AJ65" s="8">
        <f>IF($A65=AJ$1,0,IF(SUM(IMshareC!AJ$2:AJ$78)-IMshareC!AJ$36&gt;0,IMshareC!AJ65/(SUM(IMshareC!AJ$2:AJ$78)-IMshareC!AJ$36),0))</f>
        <v>0</v>
      </c>
      <c r="AK65" s="8">
        <f>IF($A65=AK$1,0,IF(SUM(IMshareC!AK$2:AK$78)-IMshareC!AK$37&gt;0,IMshareC!AK65/(SUM(IMshareC!AK$2:AK$78)-IMshareC!AK$37),0))</f>
        <v>0</v>
      </c>
      <c r="AL65" s="8">
        <f>IF($A65=AL$1,0,IF(SUM(IMshareC!AL$2:AL$78)-IMshareC!AL$38&gt;0,IMshareC!AL65/(SUM(IMshareC!AL$2:AL$78)-IMshareC!AL$38),0))</f>
        <v>7.4586540005714121E-6</v>
      </c>
      <c r="AM65" s="8">
        <f>IF($A65=AM$1,0,IF(SUM(IMshareC!AM$2:AM$78)-IMshareC!AM$39&gt;0,IMshareC!AM65/(SUM(IMshareC!AM$2:AM$78)-IMshareC!AM$39),0))</f>
        <v>0</v>
      </c>
      <c r="AN65" s="8">
        <f>IF($A65=AN$1,0,IF(SUM(IMshareC!AN$2:AN$78)-IMshareC!AN$40&gt;0,IMshareC!AN65/(SUM(IMshareC!AN$2:AN$78)-IMshareC!AN$40),0))</f>
        <v>0</v>
      </c>
      <c r="AO65" s="8">
        <f>IF($A65=AO$1,0,IF(SUM(IMshareC!AO$2:AO$78)-IMshareC!AO$41&gt;0,IMshareC!AO65/(SUM(IMshareC!AO$2:AO$78)-IMshareC!AO$41),0))</f>
        <v>0</v>
      </c>
      <c r="AP65" s="8">
        <f>IF($A65=AP$1,0,IF(SUM(IMshareC!AP$2:AP$78)-IMshareC!AP$42&gt;0,IMshareC!AP65/(SUM(IMshareC!AP$2:AP$78)-IMshareC!AP$42),0))</f>
        <v>0</v>
      </c>
      <c r="AQ65" s="8">
        <f>IF($A65=AQ$1,0,IF(SUM(IMshareC!AQ$2:AQ$78)-IMshareC!AQ$43&gt;0,IMshareC!AQ65/(SUM(IMshareC!AQ$2:AQ$78)-IMshareC!AQ$43),0))</f>
        <v>0</v>
      </c>
      <c r="AR65" s="8">
        <f>IF($A65=AR$1,0,IF(SUM(IMshareC!AR$2:AR$78)-IMshareC!AR$44&gt;0,IMshareC!AR65/(SUM(IMshareC!AR$2:AR$78)-IMshareC!AR$44),0))</f>
        <v>0</v>
      </c>
      <c r="AS65" s="8">
        <f>IF($A65=AS$1,0,IF(SUM(IMshareC!AS$2:AS$78)-IMshareC!AS$45&gt;0,IMshareC!AS65/(SUM(IMshareC!AS$2:AS$78)-IMshareC!AS$45),0))</f>
        <v>0</v>
      </c>
      <c r="AT65" s="8">
        <f>IF($A65=AT$1,0,IF(SUM(IMshareC!AT$2:AT$78)-IMshareC!AT$46&gt;0,IMshareC!AT65/(SUM(IMshareC!AT$2:AT$78)-IMshareC!AT$46),0))</f>
        <v>0</v>
      </c>
      <c r="AU65" s="8">
        <f>IF($A65=AU$1,0,IF(SUM(IMshareC!AU$2:AU$78)-IMshareC!AU$47&gt;0,IMshareC!AU65/(SUM(IMshareC!AU$2:AU$78)-IMshareC!AU$47),0))</f>
        <v>0</v>
      </c>
      <c r="AV65" s="8">
        <f>IF($A65=AV$1,0,IF(SUM(IMshareC!AV$2:AV$78)-IMshareC!AV$48&gt;0,IMshareC!AV65/(SUM(IMshareC!AV$2:AV$78)-IMshareC!AV$48),0))</f>
        <v>0</v>
      </c>
      <c r="AW65" s="8">
        <f>IF($A65=AW$1,0,IF(SUM(IMshareC!AW$2:AW$78)-IMshareC!AW$49&gt;0,IMshareC!AW65/(SUM(IMshareC!AW$2:AW$78)-IMshareC!AW$49),0))</f>
        <v>0</v>
      </c>
      <c r="AX65" s="8">
        <f>IF($A65=AX$1,0,IF(SUM(IMshareC!AX$2:AX$78)-IMshareC!AX$50&gt;0,IMshareC!AX65/(SUM(IMshareC!AX$2:AX$78)-IMshareC!AX$50),0))</f>
        <v>0</v>
      </c>
      <c r="AY65" s="8">
        <f>IF($A65=AY$1,0,IF(SUM(IMshareC!AY$2:AY$78)-IMshareC!AY$51&gt;0,IMshareC!AY65/(SUM(IMshareC!AY$2:AY$78)-IMshareC!AY$51),0))</f>
        <v>0</v>
      </c>
      <c r="AZ65" s="8">
        <f>IF($A65=AZ$1,0,IF(SUM(IMshareC!AZ$2:AZ$78)-IMshareC!AZ$52&gt;0,IMshareC!AZ65/(SUM(IMshareC!AZ$2:AZ$78)-IMshareC!AZ$52),0))</f>
        <v>0</v>
      </c>
      <c r="BA65" s="8">
        <f>IF($A65=BA$1,0,IF(SUM(IMshareC!BA$2:BA$78)-IMshareC!BA$53&gt;0,IMshareC!BA65/(SUM(IMshareC!BA$2:BA$78)-IMshareC!BA$53),0))</f>
        <v>0</v>
      </c>
      <c r="BB65" s="8">
        <f>IF($A65=BB$1,0,IF(SUM(IMshareC!BB$2:BB$78)-IMshareC!BB$54&gt;0,IMshareC!BB65/(SUM(IMshareC!BB$2:BB$78)-IMshareC!BB$54),0))</f>
        <v>3.7825412336112563E-7</v>
      </c>
      <c r="BC65" s="8">
        <f>IF($A65=BC$1,0,IF(SUM(IMshareC!BC$2:BC$78)-IMshareC!BC$55&gt;0,IMshareC!BC65/(SUM(IMshareC!BC$2:BC$78)-IMshareC!BC$55),0))</f>
        <v>0</v>
      </c>
      <c r="BD65" s="8">
        <f>IF($A65=BD$1,0,IF(SUM(IMshareC!BD$2:BD$78)-IMshareC!BD$56&gt;0,IMshareC!BD65/(SUM(IMshareC!BD$2:BD$78)-IMshareC!BD$56),0))</f>
        <v>0</v>
      </c>
      <c r="BE65" s="8">
        <f>IF($A65=BE$1,0,IF(SUM(IMshareC!BE$2:BE$78)-IMshareC!BE$57&gt;0,IMshareC!BE65/(SUM(IMshareC!BE$2:BE$78)-IMshareC!BE$57),0))</f>
        <v>0</v>
      </c>
      <c r="BF65" s="8">
        <f>IF($A65=BF$1,0,IF(SUM(IMshareC!BF$2:BF$78)-IMshareC!BF$58&gt;0,IMshareC!BF65/(SUM(IMshareC!BF$2:BF$78)-IMshareC!BF$58),0))</f>
        <v>0</v>
      </c>
      <c r="BG65" s="8">
        <f>IF($A65=BG$1,0,IF(SUM(IMshareC!BG$2:BG$78)-IMshareC!BG$59&gt;0,IMshareC!BG65/(SUM(IMshareC!BG$2:BG$78)-IMshareC!BG$59),0))</f>
        <v>0</v>
      </c>
      <c r="BH65" s="8">
        <f>IF($A65=BH$1,0,IF(SUM(IMshareC!BH$2:BH$78)-IMshareC!BH$60&gt;0,IMshareC!BH65/(SUM(IMshareC!BH$2:BH$78)-IMshareC!BH$60),0))</f>
        <v>4.4298444812139798E-7</v>
      </c>
      <c r="BI65" s="8">
        <f>IF($A65=BI$1,0,IF(SUM(IMshareC!BI$2:BI$78)-IMshareC!BI$61&gt;0,IMshareC!BI65/(SUM(IMshareC!BI$2:BI$78)-IMshareC!BI$61),0))</f>
        <v>3.025537327936381E-9</v>
      </c>
      <c r="BJ65" s="8">
        <f>IF($A65=BJ$1,0,IF(SUM(IMshareC!BJ$2:BJ$78)-IMshareC!BJ$62&gt;0,IMshareC!BJ65/(SUM(IMshareC!BJ$2:BJ$78)-IMshareC!BJ$62),0))</f>
        <v>0</v>
      </c>
      <c r="BK65" s="8">
        <f>IF($A65=BK$1,0,IF(SUM(IMshareC!BK$2:BK$78)-IMshareC!BK$63&gt;0,IMshareC!BK65/(SUM(IMshareC!BK$2:BK$78)-IMshareC!BK$63),0))</f>
        <v>0</v>
      </c>
      <c r="BL65" s="8">
        <f>IF($A65=BL$1,0,IF(SUM(IMshareC!BL$2:BL$78)-IMshareC!BL$64&gt;0,IMshareC!BL65/(SUM(IMshareC!BL$2:BL$78)-IMshareC!BL$64),0))</f>
        <v>0</v>
      </c>
      <c r="BM65" s="8">
        <f>IF($A65=BM$1,0,IF(SUM(IMshareC!BM$2:BM$78)-IMshareC!BM$65&gt;0,IMshareC!BM65/(SUM(IMshareC!BM$2:BM$78)-IMshareC!BM$65),0))</f>
        <v>0</v>
      </c>
      <c r="BN65" s="8">
        <f>IF($A65=BN$1,0,IF(SUM(IMshareC!BN$2:BN$78)-IMshareC!BN$66&gt;0,IMshareC!BN65/(SUM(IMshareC!BN$2:BN$78)-IMshareC!BN$66),0))</f>
        <v>3.971813378905354E-8</v>
      </c>
      <c r="BO65" s="8">
        <f>IF($A65=BO$1,0,IF(SUM(IMshareC!BO$2:BO$78)-IMshareC!BO$67&gt;0,IMshareC!BO65/(SUM(IMshareC!BO$2:BO$78)-IMshareC!BO$67),0))</f>
        <v>0</v>
      </c>
      <c r="BP65" s="8">
        <f>IF($A65=BP$1,0,IF(SUM(IMshareC!BP$2:BP$78)-IMshareC!BP$68&gt;0,IMshareC!BP65/(SUM(IMshareC!BP$2:BP$78)-IMshareC!BP$68),0))</f>
        <v>1.8488557106735193E-8</v>
      </c>
      <c r="BQ65" s="8">
        <f>IF($A65=BQ$1,0,IF(SUM(IMshareC!BQ$2:BQ$78)-IMshareC!BQ$69&gt;0,IMshareC!BQ65/(SUM(IMshareC!BQ$2:BQ$78)-IMshareC!BQ$69),0))</f>
        <v>0</v>
      </c>
      <c r="BR65" s="8">
        <f>IF($A65=BR$1,0,IF(SUM(IMshareC!BR$2:BR$78)-IMshareC!BR$70&gt;0,IMshareC!BR65/(SUM(IMshareC!BR$2:BR$78)-IMshareC!BR$70),0))</f>
        <v>6.5869852026048092E-7</v>
      </c>
      <c r="BS65" s="8">
        <f>IF($A65=BS$1,0,IF(SUM(IMshareC!BS$2:BS$78)-IMshareC!BS$71&gt;0,IMshareC!BS65/(SUM(IMshareC!BS$2:BS$78)-IMshareC!BS$71),0))</f>
        <v>0</v>
      </c>
      <c r="BT65" s="8">
        <f>IF($A65=BT$1,0,IF(SUM(IMshareC!BT$2:BT$78)-IMshareC!BT$72&gt;0,IMshareC!BT65/(SUM(IMshareC!BT$2:BT$78)-IMshareC!BT$72),0))</f>
        <v>0</v>
      </c>
      <c r="BU65" s="8">
        <f>IF($A65=BU$1,0,IF(SUM(IMshareC!BU$2:BU$78)-IMshareC!BU$73&gt;0,IMshareC!BU65/(SUM(IMshareC!BU$2:BU$78)-IMshareC!BU$73),0))</f>
        <v>0</v>
      </c>
      <c r="BV65" s="8">
        <f>IF($A65=BV$1,0,IF(SUM(IMshareC!BV$2:BV$78)-IMshareC!BV$74&gt;0,IMshareC!BV65/(SUM(IMshareC!BV$2:BV$78)-IMshareC!BV$74),0))</f>
        <v>0</v>
      </c>
      <c r="BW65" s="8">
        <f>IF($A65=BW$1,0,IF(SUM(IMshareC!BW$2:BW$78)-IMshareC!BW$75&gt;0,IMshareC!BW65/(SUM(IMshareC!BW$2:BW$78)-IMshareC!BW$75),0))</f>
        <v>1.9176049373600945E-6</v>
      </c>
      <c r="BX65" s="8">
        <f>IF($A65=BX$1,0,IF(SUM(IMshareC!BX$2:BX$78)-IMshareC!BX$76&gt;0,IMshareC!BX65/(SUM(IMshareC!BX$2:BX$78)-IMshareC!BX$76),0))</f>
        <v>1.2333399496095769E-6</v>
      </c>
      <c r="BY65" s="8">
        <f>IF($A65=BY$1,0,IF(SUM(IMshareC!BY$2:BY$78)-IMshareC!BY$77&gt;0,IMshareC!BY65/(SUM(IMshareC!BY$2:BY$78)-IMshareC!BY$77),0))</f>
        <v>0</v>
      </c>
      <c r="BZ65" s="8">
        <f>IF($A65=BZ$1,0,IF(SUM(IMshareC!BZ$2:BZ$78)-IMshareC!BZ$78&gt;0,IMshareC!BZ65/(SUM(IMshareC!BZ$2:BZ$78)-IMshareC!BZ$78),0))</f>
        <v>5.5017246021760603E-6</v>
      </c>
    </row>
    <row r="66" spans="1:78">
      <c r="A66" s="4" t="s">
        <v>199</v>
      </c>
      <c r="B66" s="8">
        <f>IF($A66=B$1,0,IF(SUM(IMshareC!B$2:B$78)-IMshareC!B$2&gt;0,IMshareC!B66/(SUM(IMshareC!B$2:B$78)-IMshareC!B$2),0))</f>
        <v>5.9992691568343734E-3</v>
      </c>
      <c r="C66" s="8">
        <f>IF($A66=C$1,0,IF(SUM(IMshareC!C$2:C$78)-IMshareC!C$3&gt;0,IMshareC!C66/(SUM(IMshareC!C$2:C$78)-IMshareC!C$3),0))</f>
        <v>1.6283181602704505E-2</v>
      </c>
      <c r="D66" s="8">
        <f>IF($A66=D$1,0,IF(SUM(IMshareC!D$2:D$78)-IMshareC!D$4&gt;0,IMshareC!D66/(SUM(IMshareC!D$2:D$78)-IMshareC!D$4),0))</f>
        <v>1.3533481757194182E-2</v>
      </c>
      <c r="E66" s="8">
        <f>IF($A66=E$1,0,IF(SUM(IMshareC!E$2:E$78)-IMshareC!E$5&gt;0,IMshareC!E66/(SUM(IMshareC!E$2:E$78)-IMshareC!E$5),0))</f>
        <v>9.0807545848816187E-3</v>
      </c>
      <c r="F66" s="8">
        <f>IF($A66=F$1,0,IF(SUM(IMshareC!F$2:F$78)-IMshareC!F$6&gt;0,IMshareC!F66/(SUM(IMshareC!F$2:F$78)-IMshareC!F$6),0))</f>
        <v>3.5489493588341386E-2</v>
      </c>
      <c r="G66" s="8">
        <f>IF($A66=G$1,0,IF(SUM(IMshareC!G$2:G$78)-IMshareC!G$7&gt;0,IMshareC!G66/(SUM(IMshareC!G$2:G$78)-IMshareC!G$7),0))</f>
        <v>1.2281637949026562E-2</v>
      </c>
      <c r="H66" s="8">
        <f>IF($A66=H$1,0,IF(SUM(IMshareC!H$2:H$78)-IMshareC!H$8&gt;0,IMshareC!H66/(SUM(IMshareC!H$2:H$78)-IMshareC!H$8),0))</f>
        <v>1.0950313362142835E-4</v>
      </c>
      <c r="I66" s="8">
        <f>IF($A66=I$1,0,IF(SUM(IMshareC!I$2:I$78)-IMshareC!I$9&gt;0,IMshareC!I66/(SUM(IMshareC!I$2:I$78)-IMshareC!I$9),0))</f>
        <v>2.7661416029686126E-2</v>
      </c>
      <c r="J66" s="8">
        <f>IF($A66=J$1,0,IF(SUM(IMshareC!J$2:J$78)-IMshareC!J$10&gt;0,IMshareC!J66/(SUM(IMshareC!J$2:J$78)-IMshareC!J$10),0))</f>
        <v>0.70387735822115272</v>
      </c>
      <c r="K66" s="8">
        <f>IF($A66=K$1,0,IF(SUM(IMshareC!K$2:K$78)-IMshareC!K$11&gt;0,IMshareC!K66/(SUM(IMshareC!K$2:K$78)-IMshareC!K$11),0))</f>
        <v>1.1182315287886789E-2</v>
      </c>
      <c r="L66" s="8">
        <f>IF($A66=L$1,0,IF(SUM(IMshareC!L$2:L$78)-IMshareC!L$12&gt;0,IMshareC!L66/(SUM(IMshareC!L$2:L$78)-IMshareC!L$12),0))</f>
        <v>2.6358038092602783E-2</v>
      </c>
      <c r="M66" s="8">
        <f>IF($A66=M$1,0,IF(SUM(IMshareC!M$2:M$78)-IMshareC!M$13&gt;0,IMshareC!M66/(SUM(IMshareC!M$2:M$78)-IMshareC!M$13),0))</f>
        <v>4.8790764511372322E-3</v>
      </c>
      <c r="N66" s="8">
        <f>IF($A66=N$1,0,IF(SUM(IMshareC!N$2:N$78)-IMshareC!N$14&gt;0,IMshareC!N66/(SUM(IMshareC!N$2:N$78)-IMshareC!N$14),0))</f>
        <v>1.9276991672661951E-2</v>
      </c>
      <c r="O66" s="8">
        <f>IF($A66=O$1,0,IF(SUM(IMshareC!O$2:O$78)-IMshareC!O$15&gt;0,IMshareC!O66/(SUM(IMshareC!O$2:O$78)-IMshareC!O$15),0))</f>
        <v>4.5845576561301705E-5</v>
      </c>
      <c r="P66" s="8">
        <f>IF($A66=P$1,0,IF(SUM(IMshareC!P$2:P$78)-IMshareC!P$16&gt;0,IMshareC!P66/(SUM(IMshareC!P$2:P$78)-IMshareC!P$16),0))</f>
        <v>0.11903072775272186</v>
      </c>
      <c r="Q66" s="8">
        <f>IF($A66=Q$1,0,IF(SUM(IMshareC!Q$2:Q$78)-IMshareC!Q$17&gt;0,IMshareC!Q66/(SUM(IMshareC!Q$2:Q$78)-IMshareC!Q$17),0))</f>
        <v>5.9936522523292748E-2</v>
      </c>
      <c r="R66" s="8">
        <f>IF($A66=R$1,0,IF(SUM(IMshareC!R$2:R$78)-IMshareC!R$18&gt;0,IMshareC!R66/(SUM(IMshareC!R$2:R$78)-IMshareC!R$18),0))</f>
        <v>3.037337863446193E-2</v>
      </c>
      <c r="S66" s="8">
        <f>IF($A66=S$1,0,IF(SUM(IMshareC!S$2:S$78)-IMshareC!S$19&gt;0,IMshareC!S66/(SUM(IMshareC!S$2:S$78)-IMshareC!S$19),0))</f>
        <v>1.7290663169366614E-3</v>
      </c>
      <c r="T66" s="8">
        <f>IF($A66=T$1,0,IF(SUM(IMshareC!T$2:T$78)-IMshareC!T$20&gt;0,IMshareC!T66/(SUM(IMshareC!T$2:T$78)-IMshareC!T$20),0))</f>
        <v>9.9316155325079626E-3</v>
      </c>
      <c r="U66" s="8">
        <f>IF($A66=U$1,0,IF(SUM(IMshareC!U$2:U$78)-IMshareC!U$21&gt;0,IMshareC!U66/(SUM(IMshareC!U$2:U$78)-IMshareC!U$21),0))</f>
        <v>1.3791109940419511E-2</v>
      </c>
      <c r="V66" s="8">
        <f>IF($A66=V$1,0,IF(SUM(IMshareC!V$2:V$78)-IMshareC!V$22&gt;0,IMshareC!V66/(SUM(IMshareC!V$2:V$78)-IMshareC!V$22),0))</f>
        <v>4.0622783027871165E-3</v>
      </c>
      <c r="W66" s="8">
        <f>IF($A66=W$1,0,IF(SUM(IMshareC!W$2:W$78)-IMshareC!W$23&gt;0,IMshareC!W66/(SUM(IMshareC!W$2:W$78)-IMshareC!W$23),0))</f>
        <v>5.0776843819796691E-3</v>
      </c>
      <c r="X66" s="8">
        <f>IF($A66=X$1,0,IF(SUM(IMshareC!X$2:X$78)-IMshareC!X$24&gt;0,IMshareC!X66/(SUM(IMshareC!X$2:X$78)-IMshareC!X$24),0))</f>
        <v>3.5676190338892969E-3</v>
      </c>
      <c r="Y66" s="8">
        <f>IF($A66=Y$1,0,IF(SUM(IMshareC!Y$2:Y$78)-IMshareC!Y$25&gt;0,IMshareC!Y66/(SUM(IMshareC!Y$2:Y$78)-IMshareC!Y$25),0))</f>
        <v>2.038910726956911E-3</v>
      </c>
      <c r="Z66" s="8">
        <f>IF($A66=Z$1,0,IF(SUM(IMshareC!Z$2:Z$78)-IMshareC!Z$26&gt;0,IMshareC!Z66/(SUM(IMshareC!Z$2:Z$78)-IMshareC!Z$26),0))</f>
        <v>5.3363126414711873E-2</v>
      </c>
      <c r="AA66" s="8">
        <f>IF($A66=AA$1,0,IF(SUM(IMshareC!AA$2:AA$78)-IMshareC!AA$27&gt;0,IMshareC!AA66/(SUM(IMshareC!AA$2:AA$78)-IMshareC!AA$27),0))</f>
        <v>2.3863312982445796E-2</v>
      </c>
      <c r="AB66" s="8">
        <f>IF($A66=AB$1,0,IF(SUM(IMshareC!AB$2:AB$78)-IMshareC!AB$28&gt;0,IMshareC!AB66/(SUM(IMshareC!AB$2:AB$78)-IMshareC!AB$28),0))</f>
        <v>1.1575334843383139E-2</v>
      </c>
      <c r="AC66" s="8">
        <f>IF($A66=AC$1,0,IF(SUM(IMshareC!AC$2:AC$78)-IMshareC!AC$29&gt;0,IMshareC!AC66/(SUM(IMshareC!AC$2:AC$78)-IMshareC!AC$29),0))</f>
        <v>1.4027516767161892E-2</v>
      </c>
      <c r="AD66" s="8">
        <f>IF($A66=AD$1,0,IF(SUM(IMshareC!AD$2:AD$78)-IMshareC!AD$30&gt;0,IMshareC!AD66/(SUM(IMshareC!AD$2:AD$78)-IMshareC!AD$30),0))</f>
        <v>0.16273054630125969</v>
      </c>
      <c r="AE66" s="8">
        <f>IF($A66=AE$1,0,IF(SUM(IMshareC!AE$2:AE$78)-IMshareC!AE$31&gt;0,IMshareC!AE66/(SUM(IMshareC!AE$2:AE$78)-IMshareC!AE$31),0))</f>
        <v>2.4033855407778047E-4</v>
      </c>
      <c r="AF66" s="8">
        <f>IF($A66=AF$1,0,IF(SUM(IMshareC!AF$2:AF$78)-IMshareC!AF$32&gt;0,IMshareC!AF66/(SUM(IMshareC!AF$2:AF$78)-IMshareC!AF$32),0))</f>
        <v>2.8117793592872954E-2</v>
      </c>
      <c r="AG66" s="8">
        <f>IF($A66=AG$1,0,IF(SUM(IMshareC!AG$2:AG$78)-IMshareC!AG$33&gt;0,IMshareC!AG66/(SUM(IMshareC!AG$2:AG$78)-IMshareC!AG$33),0))</f>
        <v>8.1191133443113947E-2</v>
      </c>
      <c r="AH66" s="8">
        <f>IF($A66=AH$1,0,IF(SUM(IMshareC!AH$2:AH$78)-IMshareC!AH$34&gt;0,IMshareC!AH66/(SUM(IMshareC!AH$2:AH$78)-IMshareC!AH$34),0))</f>
        <v>9.9983348340975123E-2</v>
      </c>
      <c r="AI66" s="8">
        <f>IF($A66=AI$1,0,IF(SUM(IMshareC!AI$2:AI$78)-IMshareC!AI$35&gt;0,IMshareC!AI66/(SUM(IMshareC!AI$2:AI$78)-IMshareC!AI$35),0))</f>
        <v>1.1489692469942782E-3</v>
      </c>
      <c r="AJ66" s="8">
        <f>IF($A66=AJ$1,0,IF(SUM(IMshareC!AJ$2:AJ$78)-IMshareC!AJ$36&gt;0,IMshareC!AJ66/(SUM(IMshareC!AJ$2:AJ$78)-IMshareC!AJ$36),0))</f>
        <v>3.9278600028653181E-4</v>
      </c>
      <c r="AK66" s="8">
        <f>IF($A66=AK$1,0,IF(SUM(IMshareC!AK$2:AK$78)-IMshareC!AK$37&gt;0,IMshareC!AK66/(SUM(IMshareC!AK$2:AK$78)-IMshareC!AK$37),0))</f>
        <v>7.7223068279191148E-2</v>
      </c>
      <c r="AL66" s="8">
        <f>IF($A66=AL$1,0,IF(SUM(IMshareC!AL$2:AL$78)-IMshareC!AL$38&gt;0,IMshareC!AL66/(SUM(IMshareC!AL$2:AL$78)-IMshareC!AL$38),0))</f>
        <v>4.0581577985075119E-2</v>
      </c>
      <c r="AM66" s="8">
        <f>IF($A66=AM$1,0,IF(SUM(IMshareC!AM$2:AM$78)-IMshareC!AM$39&gt;0,IMshareC!AM66/(SUM(IMshareC!AM$2:AM$78)-IMshareC!AM$39),0))</f>
        <v>3.4358275440068357E-4</v>
      </c>
      <c r="AN66" s="8">
        <f>IF($A66=AN$1,0,IF(SUM(IMshareC!AN$2:AN$78)-IMshareC!AN$40&gt;0,IMshareC!AN66/(SUM(IMshareC!AN$2:AN$78)-IMshareC!AN$40),0))</f>
        <v>2.9693661944697577E-2</v>
      </c>
      <c r="AO66" s="8">
        <f>IF($A66=AO$1,0,IF(SUM(IMshareC!AO$2:AO$78)-IMshareC!AO$41&gt;0,IMshareC!AO66/(SUM(IMshareC!AO$2:AO$78)-IMshareC!AO$41),0))</f>
        <v>6.1826134929150326E-3</v>
      </c>
      <c r="AP66" s="8">
        <f>IF($A66=AP$1,0,IF(SUM(IMshareC!AP$2:AP$78)-IMshareC!AP$42&gt;0,IMshareC!AP66/(SUM(IMshareC!AP$2:AP$78)-IMshareC!AP$42),0))</f>
        <v>7.0376545366583488E-3</v>
      </c>
      <c r="AQ66" s="8">
        <f>IF($A66=AQ$1,0,IF(SUM(IMshareC!AQ$2:AQ$78)-IMshareC!AQ$43&gt;0,IMshareC!AQ66/(SUM(IMshareC!AQ$2:AQ$78)-IMshareC!AQ$43),0))</f>
        <v>4.7484626457969692E-2</v>
      </c>
      <c r="AR66" s="8">
        <f>IF($A66=AR$1,0,IF(SUM(IMshareC!AR$2:AR$78)-IMshareC!AR$44&gt;0,IMshareC!AR66/(SUM(IMshareC!AR$2:AR$78)-IMshareC!AR$44),0))</f>
        <v>2.9009783772371224E-3</v>
      </c>
      <c r="AS66" s="8">
        <f>IF($A66=AS$1,0,IF(SUM(IMshareC!AS$2:AS$78)-IMshareC!AS$45&gt;0,IMshareC!AS66/(SUM(IMshareC!AS$2:AS$78)-IMshareC!AS$45),0))</f>
        <v>2.1557232497518529E-3</v>
      </c>
      <c r="AT66" s="8">
        <f>IF($A66=AT$1,0,IF(SUM(IMshareC!AT$2:AT$78)-IMshareC!AT$46&gt;0,IMshareC!AT66/(SUM(IMshareC!AT$2:AT$78)-IMshareC!AT$46),0))</f>
        <v>7.9377964060769451E-3</v>
      </c>
      <c r="AU66" s="8">
        <f>IF($A66=AU$1,0,IF(SUM(IMshareC!AU$2:AU$78)-IMshareC!AU$47&gt;0,IMshareC!AU66/(SUM(IMshareC!AU$2:AU$78)-IMshareC!AU$47),0))</f>
        <v>3.7512090100436141E-3</v>
      </c>
      <c r="AV66" s="8">
        <f>IF($A66=AV$1,0,IF(SUM(IMshareC!AV$2:AV$78)-IMshareC!AV$48&gt;0,IMshareC!AV66/(SUM(IMshareC!AV$2:AV$78)-IMshareC!AV$48),0))</f>
        <v>6.1972445006287867E-4</v>
      </c>
      <c r="AW66" s="8">
        <f>IF($A66=AW$1,0,IF(SUM(IMshareC!AW$2:AW$78)-IMshareC!AW$49&gt;0,IMshareC!AW66/(SUM(IMshareC!AW$2:AW$78)-IMshareC!AW$49),0))</f>
        <v>1.7083169345556825E-2</v>
      </c>
      <c r="AX66" s="8">
        <f>IF($A66=AX$1,0,IF(SUM(IMshareC!AX$2:AX$78)-IMshareC!AX$50&gt;0,IMshareC!AX66/(SUM(IMshareC!AX$2:AX$78)-IMshareC!AX$50),0))</f>
        <v>5.099241187709027E-2</v>
      </c>
      <c r="AY66" s="8">
        <f>IF($A66=AY$1,0,IF(SUM(IMshareC!AY$2:AY$78)-IMshareC!AY$51&gt;0,IMshareC!AY66/(SUM(IMshareC!AY$2:AY$78)-IMshareC!AY$51),0))</f>
        <v>1.4370449207540636E-2</v>
      </c>
      <c r="AZ66" s="8">
        <f>IF($A66=AZ$1,0,IF(SUM(IMshareC!AZ$2:AZ$78)-IMshareC!AZ$52&gt;0,IMshareC!AZ66/(SUM(IMshareC!AZ$2:AZ$78)-IMshareC!AZ$52),0))</f>
        <v>0.116682248702437</v>
      </c>
      <c r="BA66" s="8">
        <f>IF($A66=BA$1,0,IF(SUM(IMshareC!BA$2:BA$78)-IMshareC!BA$53&gt;0,IMshareC!BA66/(SUM(IMshareC!BA$2:BA$78)-IMshareC!BA$53),0))</f>
        <v>7.251474611912706E-2</v>
      </c>
      <c r="BB66" s="8">
        <f>IF($A66=BB$1,0,IF(SUM(IMshareC!BB$2:BB$78)-IMshareC!BB$54&gt;0,IMshareC!BB66/(SUM(IMshareC!BB$2:BB$78)-IMshareC!BB$54),0))</f>
        <v>9.3928770654049018E-2</v>
      </c>
      <c r="BC66" s="8">
        <f>IF($A66=BC$1,0,IF(SUM(IMshareC!BC$2:BC$78)-IMshareC!BC$55&gt;0,IMshareC!BC66/(SUM(IMshareC!BC$2:BC$78)-IMshareC!BC$55),0))</f>
        <v>1.1493153777733878E-2</v>
      </c>
      <c r="BD66" s="8">
        <f>IF($A66=BD$1,0,IF(SUM(IMshareC!BD$2:BD$78)-IMshareC!BD$56&gt;0,IMshareC!BD66/(SUM(IMshareC!BD$2:BD$78)-IMshareC!BD$56),0))</f>
        <v>1.8763606382165683E-2</v>
      </c>
      <c r="BE66" s="8">
        <f>IF($A66=BE$1,0,IF(SUM(IMshareC!BE$2:BE$78)-IMshareC!BE$57&gt;0,IMshareC!BE66/(SUM(IMshareC!BE$2:BE$78)-IMshareC!BE$57),0))</f>
        <v>3.5373360651364337E-2</v>
      </c>
      <c r="BF66" s="8">
        <f>IF($A66=BF$1,0,IF(SUM(IMshareC!BF$2:BF$78)-IMshareC!BF$58&gt;0,IMshareC!BF66/(SUM(IMshareC!BF$2:BF$78)-IMshareC!BF$58),0))</f>
        <v>4.5225562741648751E-4</v>
      </c>
      <c r="BG66" s="8">
        <f>IF($A66=BG$1,0,IF(SUM(IMshareC!BG$2:BG$78)-IMshareC!BG$59&gt;0,IMshareC!BG66/(SUM(IMshareC!BG$2:BG$78)-IMshareC!BG$59),0))</f>
        <v>8.4044146037199938E-2</v>
      </c>
      <c r="BH66" s="8">
        <f>IF($A66=BH$1,0,IF(SUM(IMshareC!BH$2:BH$78)-IMshareC!BH$60&gt;0,IMshareC!BH66/(SUM(IMshareC!BH$2:BH$78)-IMshareC!BH$60),0))</f>
        <v>1.3200338414817559E-2</v>
      </c>
      <c r="BI66" s="8">
        <f>IF($A66=BI$1,0,IF(SUM(IMshareC!BI$2:BI$78)-IMshareC!BI$61&gt;0,IMshareC!BI66/(SUM(IMshareC!BI$2:BI$78)-IMshareC!BI$61),0))</f>
        <v>9.7510452647468923E-2</v>
      </c>
      <c r="BJ66" s="8">
        <f>IF($A66=BJ$1,0,IF(SUM(IMshareC!BJ$2:BJ$78)-IMshareC!BJ$62&gt;0,IMshareC!BJ66/(SUM(IMshareC!BJ$2:BJ$78)-IMshareC!BJ$62),0))</f>
        <v>3.1923554451181689E-2</v>
      </c>
      <c r="BK66" s="8">
        <f>IF($A66=BK$1,0,IF(SUM(IMshareC!BK$2:BK$78)-IMshareC!BK$63&gt;0,IMshareC!BK66/(SUM(IMshareC!BK$2:BK$78)-IMshareC!BK$63),0))</f>
        <v>1.1471133619517989E-2</v>
      </c>
      <c r="BL66" s="8">
        <f>IF($A66=BL$1,0,IF(SUM(IMshareC!BL$2:BL$78)-IMshareC!BL$64&gt;0,IMshareC!BL66/(SUM(IMshareC!BL$2:BL$78)-IMshareC!BL$64),0))</f>
        <v>2.6723639939516621E-2</v>
      </c>
      <c r="BM66" s="8">
        <f>IF($A66=BM$1,0,IF(SUM(IMshareC!BM$2:BM$78)-IMshareC!BM$65&gt;0,IMshareC!BM66/(SUM(IMshareC!BM$2:BM$78)-IMshareC!BM$65),0))</f>
        <v>2.9187057047284562E-4</v>
      </c>
      <c r="BN66" s="8">
        <f>IF($A66=BN$1,0,IF(SUM(IMshareC!BN$2:BN$78)-IMshareC!BN$66&gt;0,IMshareC!BN66/(SUM(IMshareC!BN$2:BN$78)-IMshareC!BN$66),0))</f>
        <v>0</v>
      </c>
      <c r="BO66" s="8">
        <f>IF($A66=BO$1,0,IF(SUM(IMshareC!BO$2:BO$78)-IMshareC!BO$67&gt;0,IMshareC!BO66/(SUM(IMshareC!BO$2:BO$78)-IMshareC!BO$67),0))</f>
        <v>4.0906405438444716E-3</v>
      </c>
      <c r="BP66" s="8">
        <f>IF($A66=BP$1,0,IF(SUM(IMshareC!BP$2:BP$78)-IMshareC!BP$68&gt;0,IMshareC!BP66/(SUM(IMshareC!BP$2:BP$78)-IMshareC!BP$68),0))</f>
        <v>1.5659865270890444E-2</v>
      </c>
      <c r="BQ66" s="8">
        <f>IF($A66=BQ$1,0,IF(SUM(IMshareC!BQ$2:BQ$78)-IMshareC!BQ$69&gt;0,IMshareC!BQ66/(SUM(IMshareC!BQ$2:BQ$78)-IMshareC!BQ$69),0))</f>
        <v>5.6862798182769868E-3</v>
      </c>
      <c r="BR66" s="8">
        <f>IF($A66=BR$1,0,IF(SUM(IMshareC!BR$2:BR$78)-IMshareC!BR$70&gt;0,IMshareC!BR66/(SUM(IMshareC!BR$2:BR$78)-IMshareC!BR$70),0))</f>
        <v>4.0104737858900327E-2</v>
      </c>
      <c r="BS66" s="8">
        <f>IF($A66=BS$1,0,IF(SUM(IMshareC!BS$2:BS$78)-IMshareC!BS$71&gt;0,IMshareC!BS66/(SUM(IMshareC!BS$2:BS$78)-IMshareC!BS$71),0))</f>
        <v>6.6273535981231451E-4</v>
      </c>
      <c r="BT66" s="8">
        <f>IF($A66=BT$1,0,IF(SUM(IMshareC!BT$2:BT$78)-IMshareC!BT$72&gt;0,IMshareC!BT66/(SUM(IMshareC!BT$2:BT$78)-IMshareC!BT$72),0))</f>
        <v>8.0877018399119135E-3</v>
      </c>
      <c r="BU66" s="8">
        <f>IF($A66=BU$1,0,IF(SUM(IMshareC!BU$2:BU$78)-IMshareC!BU$73&gt;0,IMshareC!BU66/(SUM(IMshareC!BU$2:BU$78)-IMshareC!BU$73),0))</f>
        <v>6.6492050324680085E-2</v>
      </c>
      <c r="BV66" s="8">
        <f>IF($A66=BV$1,0,IF(SUM(IMshareC!BV$2:BV$78)-IMshareC!BV$74&gt;0,IMshareC!BV66/(SUM(IMshareC!BV$2:BV$78)-IMshareC!BV$74),0))</f>
        <v>2.9090332000351271E-2</v>
      </c>
      <c r="BW66" s="8">
        <f>IF($A66=BW$1,0,IF(SUM(IMshareC!BW$2:BW$78)-IMshareC!BW$75&gt;0,IMshareC!BW66/(SUM(IMshareC!BW$2:BW$78)-IMshareC!BW$75),0))</f>
        <v>8.9222658372734801E-3</v>
      </c>
      <c r="BX66" s="8">
        <f>IF($A66=BX$1,0,IF(SUM(IMshareC!BX$2:BX$78)-IMshareC!BX$76&gt;0,IMshareC!BX66/(SUM(IMshareC!BX$2:BX$78)-IMshareC!BX$76),0))</f>
        <v>7.3184077629110909E-3</v>
      </c>
      <c r="BY66" s="8">
        <f>IF($A66=BY$1,0,IF(SUM(IMshareC!BY$2:BY$78)-IMshareC!BY$77&gt;0,IMshareC!BY66/(SUM(IMshareC!BY$2:BY$78)-IMshareC!BY$77),0))</f>
        <v>4.1570098642551472E-3</v>
      </c>
      <c r="BZ66" s="8">
        <f>IF($A66=BZ$1,0,IF(SUM(IMshareC!BZ$2:BZ$78)-IMshareC!BZ$78&gt;0,IMshareC!BZ66/(SUM(IMshareC!BZ$2:BZ$78)-IMshareC!BZ$78),0))</f>
        <v>8.9056299371438833E-3</v>
      </c>
    </row>
    <row r="67" spans="1:78">
      <c r="A67" s="4" t="s">
        <v>201</v>
      </c>
      <c r="B67" s="8">
        <f>IF($A67=B$1,0,IF(SUM(IMshareC!B$2:B$78)-IMshareC!B$2&gt;0,IMshareC!B67/(SUM(IMshareC!B$2:B$78)-IMshareC!B$2),0))</f>
        <v>1.9174066498098281E-3</v>
      </c>
      <c r="C67" s="8">
        <f>IF($A67=C$1,0,IF(SUM(IMshareC!C$2:C$78)-IMshareC!C$3&gt;0,IMshareC!C67/(SUM(IMshareC!C$2:C$78)-IMshareC!C$3),0))</f>
        <v>8.2280479339596178E-4</v>
      </c>
      <c r="D67" s="8">
        <f>IF($A67=D$1,0,IF(SUM(IMshareC!D$2:D$78)-IMshareC!D$4&gt;0,IMshareC!D67/(SUM(IMshareC!D$2:D$78)-IMshareC!D$4),0))</f>
        <v>5.073061622275713E-3</v>
      </c>
      <c r="E67" s="8">
        <f>IF($A67=E$1,0,IF(SUM(IMshareC!E$2:E$78)-IMshareC!E$5&gt;0,IMshareC!E67/(SUM(IMshareC!E$2:E$78)-IMshareC!E$5),0))</f>
        <v>9.8465905983399264E-5</v>
      </c>
      <c r="F67" s="8">
        <f>IF($A67=F$1,0,IF(SUM(IMshareC!F$2:F$78)-IMshareC!F$6&gt;0,IMshareC!F67/(SUM(IMshareC!F$2:F$78)-IMshareC!F$6),0))</f>
        <v>4.3114112326532357E-7</v>
      </c>
      <c r="G67" s="8">
        <f>IF($A67=G$1,0,IF(SUM(IMshareC!G$2:G$78)-IMshareC!G$7&gt;0,IMshareC!G67/(SUM(IMshareC!G$2:G$78)-IMshareC!G$7),0))</f>
        <v>1.2517964965926723E-3</v>
      </c>
      <c r="H67" s="8">
        <f>IF($A67=H$1,0,IF(SUM(IMshareC!H$2:H$78)-IMshareC!H$8&gt;0,IMshareC!H67/(SUM(IMshareC!H$2:H$78)-IMshareC!H$8),0))</f>
        <v>4.5049354836560827E-2</v>
      </c>
      <c r="I67" s="8">
        <f>IF($A67=I$1,0,IF(SUM(IMshareC!I$2:I$78)-IMshareC!I$9&gt;0,IMshareC!I67/(SUM(IMshareC!I$2:I$78)-IMshareC!I$9),0))</f>
        <v>5.3968929999677242E-4</v>
      </c>
      <c r="J67" s="8">
        <f>IF($A67=J$1,0,IF(SUM(IMshareC!J$2:J$78)-IMshareC!J$10&gt;0,IMshareC!J67/(SUM(IMshareC!J$2:J$78)-IMshareC!J$10),0))</f>
        <v>0</v>
      </c>
      <c r="K67" s="8">
        <f>IF($A67=K$1,0,IF(SUM(IMshareC!K$2:K$78)-IMshareC!K$11&gt;0,IMshareC!K67/(SUM(IMshareC!K$2:K$78)-IMshareC!K$11),0))</f>
        <v>1.0955070826155487E-4</v>
      </c>
      <c r="L67" s="8">
        <f>IF($A67=L$1,0,IF(SUM(IMshareC!L$2:L$78)-IMshareC!L$12&gt;0,IMshareC!L67/(SUM(IMshareC!L$2:L$78)-IMshareC!L$12),0))</f>
        <v>1.1761632959240928E-3</v>
      </c>
      <c r="M67" s="8">
        <f>IF($A67=M$1,0,IF(SUM(IMshareC!M$2:M$78)-IMshareC!M$13&gt;0,IMshareC!M67/(SUM(IMshareC!M$2:M$78)-IMshareC!M$13),0))</f>
        <v>4.0271593260448907E-4</v>
      </c>
      <c r="N67" s="8">
        <f>IF($A67=N$1,0,IF(SUM(IMshareC!N$2:N$78)-IMshareC!N$14&gt;0,IMshareC!N67/(SUM(IMshareC!N$2:N$78)-IMshareC!N$14),0))</f>
        <v>1.516158817685641E-5</v>
      </c>
      <c r="O67" s="8">
        <f>IF($A67=O$1,0,IF(SUM(IMshareC!O$2:O$78)-IMshareC!O$15&gt;0,IMshareC!O67/(SUM(IMshareC!O$2:O$78)-IMshareC!O$15),0))</f>
        <v>7.862498534468717E-4</v>
      </c>
      <c r="P67" s="8">
        <f>IF($A67=P$1,0,IF(SUM(IMshareC!P$2:P$78)-IMshareC!P$16&gt;0,IMshareC!P67/(SUM(IMshareC!P$2:P$78)-IMshareC!P$16),0))</f>
        <v>0</v>
      </c>
      <c r="Q67" s="8">
        <f>IF($A67=Q$1,0,IF(SUM(IMshareC!Q$2:Q$78)-IMshareC!Q$17&gt;0,IMshareC!Q67/(SUM(IMshareC!Q$2:Q$78)-IMshareC!Q$17),0))</f>
        <v>1.8830454173170035E-3</v>
      </c>
      <c r="R67" s="8">
        <f>IF($A67=R$1,0,IF(SUM(IMshareC!R$2:R$78)-IMshareC!R$18&gt;0,IMshareC!R67/(SUM(IMshareC!R$2:R$78)-IMshareC!R$18),0))</f>
        <v>4.846603165983947E-5</v>
      </c>
      <c r="S67" s="8">
        <f>IF($A67=S$1,0,IF(SUM(IMshareC!S$2:S$78)-IMshareC!S$19&gt;0,IMshareC!S67/(SUM(IMshareC!S$2:S$78)-IMshareC!S$19),0))</f>
        <v>2.5139860240873877E-5</v>
      </c>
      <c r="T67" s="8">
        <f>IF($A67=T$1,0,IF(SUM(IMshareC!T$2:T$78)-IMshareC!T$20&gt;0,IMshareC!T67/(SUM(IMshareC!T$2:T$78)-IMshareC!T$20),0))</f>
        <v>1.9574113886809534E-3</v>
      </c>
      <c r="U67" s="8">
        <f>IF($A67=U$1,0,IF(SUM(IMshareC!U$2:U$78)-IMshareC!U$21&gt;0,IMshareC!U67/(SUM(IMshareC!U$2:U$78)-IMshareC!U$21),0))</f>
        <v>1.341283067803698E-3</v>
      </c>
      <c r="V67" s="8">
        <f>IF($A67=V$1,0,IF(SUM(IMshareC!V$2:V$78)-IMshareC!V$22&gt;0,IMshareC!V67/(SUM(IMshareC!V$2:V$78)-IMshareC!V$22),0))</f>
        <v>8.7840330399495143E-3</v>
      </c>
      <c r="W67" s="8">
        <f>IF($A67=W$1,0,IF(SUM(IMshareC!W$2:W$78)-IMshareC!W$23&gt;0,IMshareC!W67/(SUM(IMshareC!W$2:W$78)-IMshareC!W$23),0))</f>
        <v>3.8378822028734814E-3</v>
      </c>
      <c r="X67" s="8">
        <f>IF($A67=X$1,0,IF(SUM(IMshareC!X$2:X$78)-IMshareC!X$24&gt;0,IMshareC!X67/(SUM(IMshareC!X$2:X$78)-IMshareC!X$24),0))</f>
        <v>1.6219346938215484E-3</v>
      </c>
      <c r="Y67" s="8">
        <f>IF($A67=Y$1,0,IF(SUM(IMshareC!Y$2:Y$78)-IMshareC!Y$25&gt;0,IMshareC!Y67/(SUM(IMshareC!Y$2:Y$78)-IMshareC!Y$25),0))</f>
        <v>4.7572591589586358E-4</v>
      </c>
      <c r="Z67" s="8">
        <f>IF($A67=Z$1,0,IF(SUM(IMshareC!Z$2:Z$78)-IMshareC!Z$26&gt;0,IMshareC!Z67/(SUM(IMshareC!Z$2:Z$78)-IMshareC!Z$26),0))</f>
        <v>1.423029576104117E-4</v>
      </c>
      <c r="AA67" s="8">
        <f>IF($A67=AA$1,0,IF(SUM(IMshareC!AA$2:AA$78)-IMshareC!AA$27&gt;0,IMshareC!AA67/(SUM(IMshareC!AA$2:AA$78)-IMshareC!AA$27),0))</f>
        <v>2.8413636372936809E-3</v>
      </c>
      <c r="AB67" s="8">
        <f>IF($A67=AB$1,0,IF(SUM(IMshareC!AB$2:AB$78)-IMshareC!AB$28&gt;0,IMshareC!AB67/(SUM(IMshareC!AB$2:AB$78)-IMshareC!AB$28),0))</f>
        <v>8.4951577069672954E-4</v>
      </c>
      <c r="AC67" s="8">
        <f>IF($A67=AC$1,0,IF(SUM(IMshareC!AC$2:AC$78)-IMshareC!AC$29&gt;0,IMshareC!AC67/(SUM(IMshareC!AC$2:AC$78)-IMshareC!AC$29),0))</f>
        <v>1.0502213210980762E-2</v>
      </c>
      <c r="AD67" s="8">
        <f>IF($A67=AD$1,0,IF(SUM(IMshareC!AD$2:AD$78)-IMshareC!AD$30&gt;0,IMshareC!AD67/(SUM(IMshareC!AD$2:AD$78)-IMshareC!AD$30),0))</f>
        <v>2.5201554768894721E-5</v>
      </c>
      <c r="AE67" s="8">
        <f>IF($A67=AE$1,0,IF(SUM(IMshareC!AE$2:AE$78)-IMshareC!AE$31&gt;0,IMshareC!AE67/(SUM(IMshareC!AE$2:AE$78)-IMshareC!AE$31),0))</f>
        <v>9.3727190782150523E-3</v>
      </c>
      <c r="AF67" s="8">
        <f>IF($A67=AF$1,0,IF(SUM(IMshareC!AF$2:AF$78)-IMshareC!AF$32&gt;0,IMshareC!AF67/(SUM(IMshareC!AF$2:AF$78)-IMshareC!AF$32),0))</f>
        <v>1.3006431245944467E-3</v>
      </c>
      <c r="AG67" s="8">
        <f>IF($A67=AG$1,0,IF(SUM(IMshareC!AG$2:AG$78)-IMshareC!AG$33&gt;0,IMshareC!AG67/(SUM(IMshareC!AG$2:AG$78)-IMshareC!AG$33),0))</f>
        <v>2.5278513667147873E-5</v>
      </c>
      <c r="AH67" s="8">
        <f>IF($A67=AH$1,0,IF(SUM(IMshareC!AH$2:AH$78)-IMshareC!AH$34&gt;0,IMshareC!AH67/(SUM(IMshareC!AH$2:AH$78)-IMshareC!AH$34),0))</f>
        <v>7.8559135005272957E-5</v>
      </c>
      <c r="AI67" s="8">
        <f>IF($A67=AI$1,0,IF(SUM(IMshareC!AI$2:AI$78)-IMshareC!AI$35&gt;0,IMshareC!AI67/(SUM(IMshareC!AI$2:AI$78)-IMshareC!AI$35),0))</f>
        <v>7.2515588092103955E-6</v>
      </c>
      <c r="AJ67" s="8">
        <f>IF($A67=AJ$1,0,IF(SUM(IMshareC!AJ$2:AJ$78)-IMshareC!AJ$36&gt;0,IMshareC!AJ67/(SUM(IMshareC!AJ$2:AJ$78)-IMshareC!AJ$36),0))</f>
        <v>1.0316339156529967E-3</v>
      </c>
      <c r="AK67" s="8">
        <f>IF($A67=AK$1,0,IF(SUM(IMshareC!AK$2:AK$78)-IMshareC!AK$37&gt;0,IMshareC!AK67/(SUM(IMshareC!AK$2:AK$78)-IMshareC!AK$37),0))</f>
        <v>2.8289003448439597E-4</v>
      </c>
      <c r="AL67" s="8">
        <f>IF($A67=AL$1,0,IF(SUM(IMshareC!AL$2:AL$78)-IMshareC!AL$38&gt;0,IMshareC!AL67/(SUM(IMshareC!AL$2:AL$78)-IMshareC!AL$38),0))</f>
        <v>2.1031809600922519E-3</v>
      </c>
      <c r="AM67" s="8">
        <f>IF($A67=AM$1,0,IF(SUM(IMshareC!AM$2:AM$78)-IMshareC!AM$39&gt;0,IMshareC!AM67/(SUM(IMshareC!AM$2:AM$78)-IMshareC!AM$39),0))</f>
        <v>2.8949479162848185E-4</v>
      </c>
      <c r="AN67" s="8">
        <f>IF($A67=AN$1,0,IF(SUM(IMshareC!AN$2:AN$78)-IMshareC!AN$40&gt;0,IMshareC!AN67/(SUM(IMshareC!AN$2:AN$78)-IMshareC!AN$40),0))</f>
        <v>9.6210615916043931E-5</v>
      </c>
      <c r="AO67" s="8">
        <f>IF($A67=AO$1,0,IF(SUM(IMshareC!AO$2:AO$78)-IMshareC!AO$41&gt;0,IMshareC!AO67/(SUM(IMshareC!AO$2:AO$78)-IMshareC!AO$41),0))</f>
        <v>3.7297681157893365E-3</v>
      </c>
      <c r="AP67" s="8">
        <f>IF($A67=AP$1,0,IF(SUM(IMshareC!AP$2:AP$78)-IMshareC!AP$42&gt;0,IMshareC!AP67/(SUM(IMshareC!AP$2:AP$78)-IMshareC!AP$42),0))</f>
        <v>0</v>
      </c>
      <c r="AQ67" s="8">
        <f>IF($A67=AQ$1,0,IF(SUM(IMshareC!AQ$2:AQ$78)-IMshareC!AQ$43&gt;0,IMshareC!AQ67/(SUM(IMshareC!AQ$2:AQ$78)-IMshareC!AQ$43),0))</f>
        <v>7.2788084438307402E-5</v>
      </c>
      <c r="AR67" s="8">
        <f>IF($A67=AR$1,0,IF(SUM(IMshareC!AR$2:AR$78)-IMshareC!AR$44&gt;0,IMshareC!AR67/(SUM(IMshareC!AR$2:AR$78)-IMshareC!AR$44),0))</f>
        <v>0</v>
      </c>
      <c r="AS67" s="8">
        <f>IF($A67=AS$1,0,IF(SUM(IMshareC!AS$2:AS$78)-IMshareC!AS$45&gt;0,IMshareC!AS67/(SUM(IMshareC!AS$2:AS$78)-IMshareC!AS$45),0))</f>
        <v>5.5231648938997295E-4</v>
      </c>
      <c r="AT67" s="8">
        <f>IF($A67=AT$1,0,IF(SUM(IMshareC!AT$2:AT$78)-IMshareC!AT$46&gt;0,IMshareC!AT67/(SUM(IMshareC!AT$2:AT$78)-IMshareC!AT$46),0))</f>
        <v>5.7289572585606646E-4</v>
      </c>
      <c r="AU67" s="8">
        <f>IF($A67=AU$1,0,IF(SUM(IMshareC!AU$2:AU$78)-IMshareC!AU$47&gt;0,IMshareC!AU67/(SUM(IMshareC!AU$2:AU$78)-IMshareC!AU$47),0))</f>
        <v>6.9770894302294511E-4</v>
      </c>
      <c r="AV67" s="8">
        <f>IF($A67=AV$1,0,IF(SUM(IMshareC!AV$2:AV$78)-IMshareC!AV$48&gt;0,IMshareC!AV67/(SUM(IMshareC!AV$2:AV$78)-IMshareC!AV$48),0))</f>
        <v>5.5469523773023285E-5</v>
      </c>
      <c r="AW67" s="8">
        <f>IF($A67=AW$1,0,IF(SUM(IMshareC!AW$2:AW$78)-IMshareC!AW$49&gt;0,IMshareC!AW67/(SUM(IMshareC!AW$2:AW$78)-IMshareC!AW$49),0))</f>
        <v>6.6132434546678883E-5</v>
      </c>
      <c r="AX67" s="8">
        <f>IF($A67=AX$1,0,IF(SUM(IMshareC!AX$2:AX$78)-IMshareC!AX$50&gt;0,IMshareC!AX67/(SUM(IMshareC!AX$2:AX$78)-IMshareC!AX$50),0))</f>
        <v>2.675668628770638E-6</v>
      </c>
      <c r="AY67" s="8">
        <f>IF($A67=AY$1,0,IF(SUM(IMshareC!AY$2:AY$78)-IMshareC!AY$51&gt;0,IMshareC!AY67/(SUM(IMshareC!AY$2:AY$78)-IMshareC!AY$51),0))</f>
        <v>0</v>
      </c>
      <c r="AZ67" s="8">
        <f>IF($A67=AZ$1,0,IF(SUM(IMshareC!AZ$2:AZ$78)-IMshareC!AZ$52&gt;0,IMshareC!AZ67/(SUM(IMshareC!AZ$2:AZ$78)-IMshareC!AZ$52),0))</f>
        <v>1.8075782342413961E-5</v>
      </c>
      <c r="BA67" s="8">
        <f>IF($A67=BA$1,0,IF(SUM(IMshareC!BA$2:BA$78)-IMshareC!BA$53&gt;0,IMshareC!BA67/(SUM(IMshareC!BA$2:BA$78)-IMshareC!BA$53),0))</f>
        <v>3.6915138249623719E-7</v>
      </c>
      <c r="BB67" s="8">
        <f>IF($A67=BB$1,0,IF(SUM(IMshareC!BB$2:BB$78)-IMshareC!BB$54&gt;0,IMshareC!BB67/(SUM(IMshareC!BB$2:BB$78)-IMshareC!BB$54),0))</f>
        <v>3.6573425396633258E-3</v>
      </c>
      <c r="BC67" s="8">
        <f>IF($A67=BC$1,0,IF(SUM(IMshareC!BC$2:BC$78)-IMshareC!BC$55&gt;0,IMshareC!BC67/(SUM(IMshareC!BC$2:BC$78)-IMshareC!BC$55),0))</f>
        <v>1.3689716662736568E-3</v>
      </c>
      <c r="BD67" s="8">
        <f>IF($A67=BD$1,0,IF(SUM(IMshareC!BD$2:BD$78)-IMshareC!BD$56&gt;0,IMshareC!BD67/(SUM(IMshareC!BD$2:BD$78)-IMshareC!BD$56),0))</f>
        <v>5.890290040068835E-4</v>
      </c>
      <c r="BE67" s="8">
        <f>IF($A67=BE$1,0,IF(SUM(IMshareC!BE$2:BE$78)-IMshareC!BE$57&gt;0,IMshareC!BE67/(SUM(IMshareC!BE$2:BE$78)-IMshareC!BE$57),0))</f>
        <v>7.9771972221390087E-3</v>
      </c>
      <c r="BF67" s="8">
        <f>IF($A67=BF$1,0,IF(SUM(IMshareC!BF$2:BF$78)-IMshareC!BF$58&gt;0,IMshareC!BF67/(SUM(IMshareC!BF$2:BF$78)-IMshareC!BF$58),0))</f>
        <v>1.352385049453581E-3</v>
      </c>
      <c r="BG67" s="8">
        <f>IF($A67=BG$1,0,IF(SUM(IMshareC!BG$2:BG$78)-IMshareC!BG$59&gt;0,IMshareC!BG67/(SUM(IMshareC!BG$2:BG$78)-IMshareC!BG$59),0))</f>
        <v>1.2457673807673233E-5</v>
      </c>
      <c r="BH67" s="8">
        <f>IF($A67=BH$1,0,IF(SUM(IMshareC!BH$2:BH$78)-IMshareC!BH$60&gt;0,IMshareC!BH67/(SUM(IMshareC!BH$2:BH$78)-IMshareC!BH$60),0))</f>
        <v>1.6798549899180611E-3</v>
      </c>
      <c r="BI67" s="8">
        <f>IF($A67=BI$1,0,IF(SUM(IMshareC!BI$2:BI$78)-IMshareC!BI$61&gt;0,IMshareC!BI67/(SUM(IMshareC!BI$2:BI$78)-IMshareC!BI$61),0))</f>
        <v>8.4093248128670262E-5</v>
      </c>
      <c r="BJ67" s="8">
        <f>IF($A67=BJ$1,0,IF(SUM(IMshareC!BJ$2:BJ$78)-IMshareC!BJ$62&gt;0,IMshareC!BJ67/(SUM(IMshareC!BJ$2:BJ$78)-IMshareC!BJ$62),0))</f>
        <v>3.1089010058203913E-3</v>
      </c>
      <c r="BK67" s="8">
        <f>IF($A67=BK$1,0,IF(SUM(IMshareC!BK$2:BK$78)-IMshareC!BK$63&gt;0,IMshareC!BK67/(SUM(IMshareC!BK$2:BK$78)-IMshareC!BK$63),0))</f>
        <v>1.2464334560333287E-2</v>
      </c>
      <c r="BL67" s="8">
        <f>IF($A67=BL$1,0,IF(SUM(IMshareC!BL$2:BL$78)-IMshareC!BL$64&gt;0,IMshareC!BL67/(SUM(IMshareC!BL$2:BL$78)-IMshareC!BL$64),0))</f>
        <v>2.3700021282415649E-5</v>
      </c>
      <c r="BM67" s="8">
        <f>IF($A67=BM$1,0,IF(SUM(IMshareC!BM$2:BM$78)-IMshareC!BM$65&gt;0,IMshareC!BM67/(SUM(IMshareC!BM$2:BM$78)-IMshareC!BM$65),0))</f>
        <v>8.6324829315185866E-6</v>
      </c>
      <c r="BN67" s="8">
        <f>IF($A67=BN$1,0,IF(SUM(IMshareC!BN$2:BN$78)-IMshareC!BN$66&gt;0,IMshareC!BN67/(SUM(IMshareC!BN$2:BN$78)-IMshareC!BN$66),0))</f>
        <v>8.7596254266046372E-6</v>
      </c>
      <c r="BO67" s="8">
        <f>IF($A67=BO$1,0,IF(SUM(IMshareC!BO$2:BO$78)-IMshareC!BO$67&gt;0,IMshareC!BO67/(SUM(IMshareC!BO$2:BO$78)-IMshareC!BO$67),0))</f>
        <v>0</v>
      </c>
      <c r="BP67" s="8">
        <f>IF($A67=BP$1,0,IF(SUM(IMshareC!BP$2:BP$78)-IMshareC!BP$68&gt;0,IMshareC!BP67/(SUM(IMshareC!BP$2:BP$78)-IMshareC!BP$68),0))</f>
        <v>2.1760876456193381E-3</v>
      </c>
      <c r="BQ67" s="8">
        <f>IF($A67=BQ$1,0,IF(SUM(IMshareC!BQ$2:BQ$78)-IMshareC!BQ$69&gt;0,IMshareC!BQ67/(SUM(IMshareC!BQ$2:BQ$78)-IMshareC!BQ$69),0))</f>
        <v>2.2085126394353569E-4</v>
      </c>
      <c r="BR67" s="8">
        <f>IF($A67=BR$1,0,IF(SUM(IMshareC!BR$2:BR$78)-IMshareC!BR$70&gt;0,IMshareC!BR67/(SUM(IMshareC!BR$2:BR$78)-IMshareC!BR$70),0))</f>
        <v>5.0846834861963477E-5</v>
      </c>
      <c r="BS67" s="8">
        <f>IF($A67=BS$1,0,IF(SUM(IMshareC!BS$2:BS$78)-IMshareC!BS$71&gt;0,IMshareC!BS67/(SUM(IMshareC!BS$2:BS$78)-IMshareC!BS$71),0))</f>
        <v>5.3642863455781432E-4</v>
      </c>
      <c r="BT67" s="8">
        <f>IF($A67=BT$1,0,IF(SUM(IMshareC!BT$2:BT$78)-IMshareC!BT$72&gt;0,IMshareC!BT67/(SUM(IMshareC!BT$2:BT$78)-IMshareC!BT$72),0))</f>
        <v>3.7746252618044325E-3</v>
      </c>
      <c r="BU67" s="8">
        <f>IF($A67=BU$1,0,IF(SUM(IMshareC!BU$2:BU$78)-IMshareC!BU$73&gt;0,IMshareC!BU67/(SUM(IMshareC!BU$2:BU$78)-IMshareC!BU$73),0))</f>
        <v>7.7224956803537741E-6</v>
      </c>
      <c r="BV67" s="8">
        <f>IF($A67=BV$1,0,IF(SUM(IMshareC!BV$2:BV$78)-IMshareC!BV$74&gt;0,IMshareC!BV67/(SUM(IMshareC!BV$2:BV$78)-IMshareC!BV$74),0))</f>
        <v>9.5659261267575456E-4</v>
      </c>
      <c r="BW67" s="8">
        <f>IF($A67=BW$1,0,IF(SUM(IMshareC!BW$2:BW$78)-IMshareC!BW$75&gt;0,IMshareC!BW67/(SUM(IMshareC!BW$2:BW$78)-IMshareC!BW$75),0))</f>
        <v>4.2868438799001797E-4</v>
      </c>
      <c r="BX67" s="8">
        <f>IF($A67=BX$1,0,IF(SUM(IMshareC!BX$2:BX$78)-IMshareC!BX$76&gt;0,IMshareC!BX67/(SUM(IMshareC!BX$2:BX$78)-IMshareC!BX$76),0))</f>
        <v>9.6654791746016635E-5</v>
      </c>
      <c r="BY67" s="8">
        <f>IF($A67=BY$1,0,IF(SUM(IMshareC!BY$2:BY$78)-IMshareC!BY$77&gt;0,IMshareC!BY67/(SUM(IMshareC!BY$2:BY$78)-IMshareC!BY$77),0))</f>
        <v>4.9560908120212959E-4</v>
      </c>
      <c r="BZ67" s="8">
        <f>IF($A67=BZ$1,0,IF(SUM(IMshareC!BZ$2:BZ$78)-IMshareC!BZ$78&gt;0,IMshareC!BZ67/(SUM(IMshareC!BZ$2:BZ$78)-IMshareC!BZ$78),0))</f>
        <v>1.9371522873423053E-3</v>
      </c>
    </row>
    <row r="68" spans="1:78">
      <c r="A68" s="4" t="s">
        <v>203</v>
      </c>
      <c r="B68" s="8">
        <f>IF($A68=B$1,0,IF(SUM(IMshareC!B$2:B$78)-IMshareC!B$2&gt;0,IMshareC!B68/(SUM(IMshareC!B$2:B$78)-IMshareC!B$2),0))</f>
        <v>5.7329127803433953E-5</v>
      </c>
      <c r="C68" s="8">
        <f>IF($A68=C$1,0,IF(SUM(IMshareC!C$2:C$78)-IMshareC!C$3&gt;0,IMshareC!C68/(SUM(IMshareC!C$2:C$78)-IMshareC!C$3),0))</f>
        <v>2.2666285188428854E-4</v>
      </c>
      <c r="D68" s="8">
        <f>IF($A68=D$1,0,IF(SUM(IMshareC!D$2:D$78)-IMshareC!D$4&gt;0,IMshareC!D68/(SUM(IMshareC!D$2:D$78)-IMshareC!D$4),0))</f>
        <v>2.1342937799476644E-3</v>
      </c>
      <c r="E68" s="8">
        <f>IF($A68=E$1,0,IF(SUM(IMshareC!E$2:E$78)-IMshareC!E$5&gt;0,IMshareC!E68/(SUM(IMshareC!E$2:E$78)-IMshareC!E$5),0))</f>
        <v>2.3345602591247829E-5</v>
      </c>
      <c r="F68" s="8">
        <f>IF($A68=F$1,0,IF(SUM(IMshareC!F$2:F$78)-IMshareC!F$6&gt;0,IMshareC!F68/(SUM(IMshareC!F$2:F$78)-IMshareC!F$6),0))</f>
        <v>9.4721536417480432E-6</v>
      </c>
      <c r="G68" s="8">
        <f>IF($A68=G$1,0,IF(SUM(IMshareC!G$2:G$78)-IMshareC!G$7&gt;0,IMshareC!G68/(SUM(IMshareC!G$2:G$78)-IMshareC!G$7),0))</f>
        <v>3.8231719431097043E-3</v>
      </c>
      <c r="H68" s="8">
        <f>IF($A68=H$1,0,IF(SUM(IMshareC!H$2:H$78)-IMshareC!H$8&gt;0,IMshareC!H68/(SUM(IMshareC!H$2:H$78)-IMshareC!H$8),0))</f>
        <v>6.3676975917510911E-3</v>
      </c>
      <c r="I68" s="8">
        <f>IF($A68=I$1,0,IF(SUM(IMshareC!I$2:I$78)-IMshareC!I$9&gt;0,IMshareC!I68/(SUM(IMshareC!I$2:I$78)-IMshareC!I$9),0))</f>
        <v>2.3398278040336214E-4</v>
      </c>
      <c r="J68" s="8">
        <f>IF($A68=J$1,0,IF(SUM(IMshareC!J$2:J$78)-IMshareC!J$10&gt;0,IMshareC!J68/(SUM(IMshareC!J$2:J$78)-IMshareC!J$10),0))</f>
        <v>0</v>
      </c>
      <c r="K68" s="8">
        <f>IF($A68=K$1,0,IF(SUM(IMshareC!K$2:K$78)-IMshareC!K$11&gt;0,IMshareC!K68/(SUM(IMshareC!K$2:K$78)-IMshareC!K$11),0))</f>
        <v>7.4735014701303592E-5</v>
      </c>
      <c r="L68" s="8">
        <f>IF($A68=L$1,0,IF(SUM(IMshareC!L$2:L$78)-IMshareC!L$12&gt;0,IMshareC!L68/(SUM(IMshareC!L$2:L$78)-IMshareC!L$12),0))</f>
        <v>8.2501974845519048E-4</v>
      </c>
      <c r="M68" s="8">
        <f>IF($A68=M$1,0,IF(SUM(IMshareC!M$2:M$78)-IMshareC!M$13&gt;0,IMshareC!M68/(SUM(IMshareC!M$2:M$78)-IMshareC!M$13),0))</f>
        <v>7.8332604375719161E-3</v>
      </c>
      <c r="N68" s="8">
        <f>IF($A68=N$1,0,IF(SUM(IMshareC!N$2:N$78)-IMshareC!N$14&gt;0,IMshareC!N68/(SUM(IMshareC!N$2:N$78)-IMshareC!N$14),0))</f>
        <v>1.0476571426597661E-5</v>
      </c>
      <c r="O68" s="8">
        <f>IF($A68=O$1,0,IF(SUM(IMshareC!O$2:O$78)-IMshareC!O$15&gt;0,IMshareC!O68/(SUM(IMshareC!O$2:O$78)-IMshareC!O$15),0))</f>
        <v>0</v>
      </c>
      <c r="P68" s="8">
        <f>IF($A68=P$1,0,IF(SUM(IMshareC!P$2:P$78)-IMshareC!P$16&gt;0,IMshareC!P68/(SUM(IMshareC!P$2:P$78)-IMshareC!P$16),0))</f>
        <v>0</v>
      </c>
      <c r="Q68" s="8">
        <f>IF($A68=Q$1,0,IF(SUM(IMshareC!Q$2:Q$78)-IMshareC!Q$17&gt;0,IMshareC!Q68/(SUM(IMshareC!Q$2:Q$78)-IMshareC!Q$17),0))</f>
        <v>1.7910815681630155E-3</v>
      </c>
      <c r="R68" s="8">
        <f>IF($A68=R$1,0,IF(SUM(IMshareC!R$2:R$78)-IMshareC!R$18&gt;0,IMshareC!R68/(SUM(IMshareC!R$2:R$78)-IMshareC!R$18),0))</f>
        <v>2.0578073327056915E-5</v>
      </c>
      <c r="S68" s="8">
        <f>IF($A68=S$1,0,IF(SUM(IMshareC!S$2:S$78)-IMshareC!S$19&gt;0,IMshareC!S68/(SUM(IMshareC!S$2:S$78)-IMshareC!S$19),0))</f>
        <v>2.1780392067731213E-3</v>
      </c>
      <c r="T68" s="8">
        <f>IF($A68=T$1,0,IF(SUM(IMshareC!T$2:T$78)-IMshareC!T$20&gt;0,IMshareC!T68/(SUM(IMshareC!T$2:T$78)-IMshareC!T$20),0))</f>
        <v>2.6544236283708634E-4</v>
      </c>
      <c r="U68" s="8">
        <f>IF($A68=U$1,0,IF(SUM(IMshareC!U$2:U$78)-IMshareC!U$21&gt;0,IMshareC!U68/(SUM(IMshareC!U$2:U$78)-IMshareC!U$21),0))</f>
        <v>9.422111121893279E-4</v>
      </c>
      <c r="V68" s="8">
        <f>IF($A68=V$1,0,IF(SUM(IMshareC!V$2:V$78)-IMshareC!V$22&gt;0,IMshareC!V68/(SUM(IMshareC!V$2:V$78)-IMshareC!V$22),0))</f>
        <v>4.5574586375709677E-3</v>
      </c>
      <c r="W68" s="8">
        <f>IF($A68=W$1,0,IF(SUM(IMshareC!W$2:W$78)-IMshareC!W$23&gt;0,IMshareC!W68/(SUM(IMshareC!W$2:W$78)-IMshareC!W$23),0))</f>
        <v>7.3006128890627862E-4</v>
      </c>
      <c r="X68" s="8">
        <f>IF($A68=X$1,0,IF(SUM(IMshareC!X$2:X$78)-IMshareC!X$24&gt;0,IMshareC!X68/(SUM(IMshareC!X$2:X$78)-IMshareC!X$24),0))</f>
        <v>6.312715900021541E-4</v>
      </c>
      <c r="Y68" s="8">
        <f>IF($A68=Y$1,0,IF(SUM(IMshareC!Y$2:Y$78)-IMshareC!Y$25&gt;0,IMshareC!Y68/(SUM(IMshareC!Y$2:Y$78)-IMshareC!Y$25),0))</f>
        <v>1.3656674325664046E-5</v>
      </c>
      <c r="Z68" s="8">
        <f>IF($A68=Z$1,0,IF(SUM(IMshareC!Z$2:Z$78)-IMshareC!Z$26&gt;0,IMshareC!Z68/(SUM(IMshareC!Z$2:Z$78)-IMshareC!Z$26),0))</f>
        <v>2.144156248136347E-4</v>
      </c>
      <c r="AA68" s="8">
        <f>IF($A68=AA$1,0,IF(SUM(IMshareC!AA$2:AA$78)-IMshareC!AA$27&gt;0,IMshareC!AA68/(SUM(IMshareC!AA$2:AA$78)-IMshareC!AA$27),0))</f>
        <v>2.2049682894022127E-4</v>
      </c>
      <c r="AB68" s="8">
        <f>IF($A68=AB$1,0,IF(SUM(IMshareC!AB$2:AB$78)-IMshareC!AB$28&gt;0,IMshareC!AB68/(SUM(IMshareC!AB$2:AB$78)-IMshareC!AB$28),0))</f>
        <v>4.5901598593792647E-4</v>
      </c>
      <c r="AC68" s="8">
        <f>IF($A68=AC$1,0,IF(SUM(IMshareC!AC$2:AC$78)-IMshareC!AC$29&gt;0,IMshareC!AC68/(SUM(IMshareC!AC$2:AC$78)-IMshareC!AC$29),0))</f>
        <v>3.0847244244653575E-3</v>
      </c>
      <c r="AD68" s="8">
        <f>IF($A68=AD$1,0,IF(SUM(IMshareC!AD$2:AD$78)-IMshareC!AD$30&gt;0,IMshareC!AD68/(SUM(IMshareC!AD$2:AD$78)-IMshareC!AD$30),0))</f>
        <v>8.0637273051948657E-6</v>
      </c>
      <c r="AE68" s="8">
        <f>IF($A68=AE$1,0,IF(SUM(IMshareC!AE$2:AE$78)-IMshareC!AE$31&gt;0,IMshareC!AE68/(SUM(IMshareC!AE$2:AE$78)-IMshareC!AE$31),0))</f>
        <v>0.10846751973012314</v>
      </c>
      <c r="AF68" s="8">
        <f>IF($A68=AF$1,0,IF(SUM(IMshareC!AF$2:AF$78)-IMshareC!AF$32&gt;0,IMshareC!AF68/(SUM(IMshareC!AF$2:AF$78)-IMshareC!AF$32),0))</f>
        <v>1.6402915065035398E-4</v>
      </c>
      <c r="AG68" s="8">
        <f>IF($A68=AG$1,0,IF(SUM(IMshareC!AG$2:AG$78)-IMshareC!AG$33&gt;0,IMshareC!AG68/(SUM(IMshareC!AG$2:AG$78)-IMshareC!AG$33),0))</f>
        <v>1.1514333008152802E-6</v>
      </c>
      <c r="AH68" s="8">
        <f>IF($A68=AH$1,0,IF(SUM(IMshareC!AH$2:AH$78)-IMshareC!AH$34&gt;0,IMshareC!AH68/(SUM(IMshareC!AH$2:AH$78)-IMshareC!AH$34),0))</f>
        <v>1.0659258307532896E-5</v>
      </c>
      <c r="AI68" s="8">
        <f>IF($A68=AI$1,0,IF(SUM(IMshareC!AI$2:AI$78)-IMshareC!AI$35&gt;0,IMshareC!AI68/(SUM(IMshareC!AI$2:AI$78)-IMshareC!AI$35),0))</f>
        <v>2.8245584387601073E-5</v>
      </c>
      <c r="AJ68" s="8">
        <f>IF($A68=AJ$1,0,IF(SUM(IMshareC!AJ$2:AJ$78)-IMshareC!AJ$36&gt;0,IMshareC!AJ68/(SUM(IMshareC!AJ$2:AJ$78)-IMshareC!AJ$36),0))</f>
        <v>9.9438902453645867E-3</v>
      </c>
      <c r="AK68" s="8">
        <f>IF($A68=AK$1,0,IF(SUM(IMshareC!AK$2:AK$78)-IMshareC!AK$37&gt;0,IMshareC!AK68/(SUM(IMshareC!AK$2:AK$78)-IMshareC!AK$37),0))</f>
        <v>5.0244647915885245E-5</v>
      </c>
      <c r="AL68" s="8">
        <f>IF($A68=AL$1,0,IF(SUM(IMshareC!AL$2:AL$78)-IMshareC!AL$38&gt;0,IMshareC!AL68/(SUM(IMshareC!AL$2:AL$78)-IMshareC!AL$38),0))</f>
        <v>7.1042938448272093E-3</v>
      </c>
      <c r="AM68" s="8">
        <f>IF($A68=AM$1,0,IF(SUM(IMshareC!AM$2:AM$78)-IMshareC!AM$39&gt;0,IMshareC!AM68/(SUM(IMshareC!AM$2:AM$78)-IMshareC!AM$39),0))</f>
        <v>6.1853563967311455E-5</v>
      </c>
      <c r="AN68" s="8">
        <f>IF($A68=AN$1,0,IF(SUM(IMshareC!AN$2:AN$78)-IMshareC!AN$40&gt;0,IMshareC!AN68/(SUM(IMshareC!AN$2:AN$78)-IMshareC!AN$40),0))</f>
        <v>4.3460064810213983E-6</v>
      </c>
      <c r="AO68" s="8">
        <f>IF($A68=AO$1,0,IF(SUM(IMshareC!AO$2:AO$78)-IMshareC!AO$41&gt;0,IMshareC!AO68/(SUM(IMshareC!AO$2:AO$78)-IMshareC!AO$41),0))</f>
        <v>0</v>
      </c>
      <c r="AP68" s="8">
        <f>IF($A68=AP$1,0,IF(SUM(IMshareC!AP$2:AP$78)-IMshareC!AP$42&gt;0,IMshareC!AP68/(SUM(IMshareC!AP$2:AP$78)-IMshareC!AP$42),0))</f>
        <v>1.5494666547695742E-5</v>
      </c>
      <c r="AQ68" s="8">
        <f>IF($A68=AQ$1,0,IF(SUM(IMshareC!AQ$2:AQ$78)-IMshareC!AQ$43&gt;0,IMshareC!AQ68/(SUM(IMshareC!AQ$2:AQ$78)-IMshareC!AQ$43),0))</f>
        <v>1.5957198743688656E-6</v>
      </c>
      <c r="AR68" s="8">
        <f>IF($A68=AR$1,0,IF(SUM(IMshareC!AR$2:AR$78)-IMshareC!AR$44&gt;0,IMshareC!AR68/(SUM(IMshareC!AR$2:AR$78)-IMshareC!AR$44),0))</f>
        <v>3.6275060354096759E-6</v>
      </c>
      <c r="AS68" s="8">
        <f>IF($A68=AS$1,0,IF(SUM(IMshareC!AS$2:AS$78)-IMshareC!AS$45&gt;0,IMshareC!AS68/(SUM(IMshareC!AS$2:AS$78)-IMshareC!AS$45),0))</f>
        <v>1.6619084612469451E-4</v>
      </c>
      <c r="AT68" s="8">
        <f>IF($A68=AT$1,0,IF(SUM(IMshareC!AT$2:AT$78)-IMshareC!AT$46&gt;0,IMshareC!AT68/(SUM(IMshareC!AT$2:AT$78)-IMshareC!AT$46),0))</f>
        <v>1.7099764113966142E-4</v>
      </c>
      <c r="AU68" s="8">
        <f>IF($A68=AU$1,0,IF(SUM(IMshareC!AU$2:AU$78)-IMshareC!AU$47&gt;0,IMshareC!AU68/(SUM(IMshareC!AU$2:AU$78)-IMshareC!AU$47),0))</f>
        <v>3.4468076966901351E-6</v>
      </c>
      <c r="AV68" s="8">
        <f>IF($A68=AV$1,0,IF(SUM(IMshareC!AV$2:AV$78)-IMshareC!AV$48&gt;0,IMshareC!AV68/(SUM(IMshareC!AV$2:AV$78)-IMshareC!AV$48),0))</f>
        <v>3.1665886823621227E-5</v>
      </c>
      <c r="AW68" s="8">
        <f>IF($A68=AW$1,0,IF(SUM(IMshareC!AW$2:AW$78)-IMshareC!AW$49&gt;0,IMshareC!AW68/(SUM(IMshareC!AW$2:AW$78)-IMshareC!AW$49),0))</f>
        <v>1.1477953853312743E-6</v>
      </c>
      <c r="AX68" s="8">
        <f>IF($A68=AX$1,0,IF(SUM(IMshareC!AX$2:AX$78)-IMshareC!AX$50&gt;0,IMshareC!AX68/(SUM(IMshareC!AX$2:AX$78)-IMshareC!AX$50),0))</f>
        <v>1.374360382059374E-5</v>
      </c>
      <c r="AY68" s="8">
        <f>IF($A68=AY$1,0,IF(SUM(IMshareC!AY$2:AY$78)-IMshareC!AY$51&gt;0,IMshareC!AY68/(SUM(IMshareC!AY$2:AY$78)-IMshareC!AY$51),0))</f>
        <v>0</v>
      </c>
      <c r="AZ68" s="8">
        <f>IF($A68=AZ$1,0,IF(SUM(IMshareC!AZ$2:AZ$78)-IMshareC!AZ$52&gt;0,IMshareC!AZ68/(SUM(IMshareC!AZ$2:AZ$78)-IMshareC!AZ$52),0))</f>
        <v>9.3529230620056623E-6</v>
      </c>
      <c r="BA68" s="8">
        <f>IF($A68=BA$1,0,IF(SUM(IMshareC!BA$2:BA$78)-IMshareC!BA$53&gt;0,IMshareC!BA68/(SUM(IMshareC!BA$2:BA$78)-IMshareC!BA$53),0))</f>
        <v>1.0148843578264163E-5</v>
      </c>
      <c r="BB68" s="8">
        <f>IF($A68=BB$1,0,IF(SUM(IMshareC!BB$2:BB$78)-IMshareC!BB$54&gt;0,IMshareC!BB68/(SUM(IMshareC!BB$2:BB$78)-IMshareC!BB$54),0))</f>
        <v>2.8292014641338606E-4</v>
      </c>
      <c r="BC68" s="8">
        <f>IF($A68=BC$1,0,IF(SUM(IMshareC!BC$2:BC$78)-IMshareC!BC$55&gt;0,IMshareC!BC68/(SUM(IMshareC!BC$2:BC$78)-IMshareC!BC$55),0))</f>
        <v>4.4808454653845627E-4</v>
      </c>
      <c r="BD68" s="8">
        <f>IF($A68=BD$1,0,IF(SUM(IMshareC!BD$2:BD$78)-IMshareC!BD$56&gt;0,IMshareC!BD68/(SUM(IMshareC!BD$2:BD$78)-IMshareC!BD$56),0))</f>
        <v>2.1412515825220534E-3</v>
      </c>
      <c r="BE68" s="8">
        <f>IF($A68=BE$1,0,IF(SUM(IMshareC!BE$2:BE$78)-IMshareC!BE$57&gt;0,IMshareC!BE68/(SUM(IMshareC!BE$2:BE$78)-IMshareC!BE$57),0))</f>
        <v>2.53275593529039E-5</v>
      </c>
      <c r="BF68" s="8">
        <f>IF($A68=BF$1,0,IF(SUM(IMshareC!BF$2:BF$78)-IMshareC!BF$58&gt;0,IMshareC!BF68/(SUM(IMshareC!BF$2:BF$78)-IMshareC!BF$58),0))</f>
        <v>3.8750839029303103E-4</v>
      </c>
      <c r="BG68" s="8">
        <f>IF($A68=BG$1,0,IF(SUM(IMshareC!BG$2:BG$78)-IMshareC!BG$59&gt;0,IMshareC!BG68/(SUM(IMshareC!BG$2:BG$78)-IMshareC!BG$59),0))</f>
        <v>1.4126456793066312E-5</v>
      </c>
      <c r="BH68" s="8">
        <f>IF($A68=BH$1,0,IF(SUM(IMshareC!BH$2:BH$78)-IMshareC!BH$60&gt;0,IMshareC!BH68/(SUM(IMshareC!BH$2:BH$78)-IMshareC!BH$60),0))</f>
        <v>1.2637341325259989E-3</v>
      </c>
      <c r="BI68" s="8">
        <f>IF($A68=BI$1,0,IF(SUM(IMshareC!BI$2:BI$78)-IMshareC!BI$61&gt;0,IMshareC!BI68/(SUM(IMshareC!BI$2:BI$78)-IMshareC!BI$61),0))</f>
        <v>1.0190056669473523E-4</v>
      </c>
      <c r="BJ68" s="8">
        <f>IF($A68=BJ$1,0,IF(SUM(IMshareC!BJ$2:BJ$78)-IMshareC!BJ$62&gt;0,IMshareC!BJ68/(SUM(IMshareC!BJ$2:BJ$78)-IMshareC!BJ$62),0))</f>
        <v>7.3439350672961905E-4</v>
      </c>
      <c r="BK68" s="8">
        <f>IF($A68=BK$1,0,IF(SUM(IMshareC!BK$2:BK$78)-IMshareC!BK$63&gt;0,IMshareC!BK68/(SUM(IMshareC!BK$2:BK$78)-IMshareC!BK$63),0))</f>
        <v>6.5954493876690739E-4</v>
      </c>
      <c r="BL68" s="8">
        <f>IF($A68=BL$1,0,IF(SUM(IMshareC!BL$2:BL$78)-IMshareC!BL$64&gt;0,IMshareC!BL68/(SUM(IMshareC!BL$2:BL$78)-IMshareC!BL$64),0))</f>
        <v>1.1174767089698291E-4</v>
      </c>
      <c r="BM68" s="8">
        <f>IF($A68=BM$1,0,IF(SUM(IMshareC!BM$2:BM$78)-IMshareC!BM$65&gt;0,IMshareC!BM68/(SUM(IMshareC!BM$2:BM$78)-IMshareC!BM$65),0))</f>
        <v>3.205724807273871E-5</v>
      </c>
      <c r="BN68" s="8">
        <f>IF($A68=BN$1,0,IF(SUM(IMshareC!BN$2:BN$78)-IMshareC!BN$66&gt;0,IMshareC!BN68/(SUM(IMshareC!BN$2:BN$78)-IMshareC!BN$66),0))</f>
        <v>3.22721881188045E-6</v>
      </c>
      <c r="BO68" s="8">
        <f>IF($A68=BO$1,0,IF(SUM(IMshareC!BO$2:BO$78)-IMshareC!BO$67&gt;0,IMshareC!BO68/(SUM(IMshareC!BO$2:BO$78)-IMshareC!BO$67),0))</f>
        <v>1.2729396409885633E-3</v>
      </c>
      <c r="BP68" s="8">
        <f>IF($A68=BP$1,0,IF(SUM(IMshareC!BP$2:BP$78)-IMshareC!BP$68&gt;0,IMshareC!BP68/(SUM(IMshareC!BP$2:BP$78)-IMshareC!BP$68),0))</f>
        <v>0</v>
      </c>
      <c r="BQ68" s="8">
        <f>IF($A68=BQ$1,0,IF(SUM(IMshareC!BQ$2:BQ$78)-IMshareC!BQ$69&gt;0,IMshareC!BQ68/(SUM(IMshareC!BQ$2:BQ$78)-IMshareC!BQ$69),0))</f>
        <v>9.6401394195494661E-5</v>
      </c>
      <c r="BR68" s="8">
        <f>IF($A68=BR$1,0,IF(SUM(IMshareC!BR$2:BR$78)-IMshareC!BR$70&gt;0,IMshareC!BR68/(SUM(IMshareC!BR$2:BR$78)-IMshareC!BR$70),0))</f>
        <v>2.5784434517987881E-5</v>
      </c>
      <c r="BS68" s="8">
        <f>IF($A68=BS$1,0,IF(SUM(IMshareC!BS$2:BS$78)-IMshareC!BS$71&gt;0,IMshareC!BS68/(SUM(IMshareC!BS$2:BS$78)-IMshareC!BS$71),0))</f>
        <v>1.225574012679781E-5</v>
      </c>
      <c r="BT68" s="8">
        <f>IF($A68=BT$1,0,IF(SUM(IMshareC!BT$2:BT$78)-IMshareC!BT$72&gt;0,IMshareC!BT68/(SUM(IMshareC!BT$2:BT$78)-IMshareC!BT$72),0))</f>
        <v>4.8647524503026241E-3</v>
      </c>
      <c r="BU68" s="8">
        <f>IF($A68=BU$1,0,IF(SUM(IMshareC!BU$2:BU$78)-IMshareC!BU$73&gt;0,IMshareC!BU68/(SUM(IMshareC!BU$2:BU$78)-IMshareC!BU$73),0))</f>
        <v>1.1502269150257939E-5</v>
      </c>
      <c r="BV68" s="8">
        <f>IF($A68=BV$1,0,IF(SUM(IMshareC!BV$2:BV$78)-IMshareC!BV$74&gt;0,IMshareC!BV68/(SUM(IMshareC!BV$2:BV$78)-IMshareC!BV$74),0))</f>
        <v>3.2032530769451602E-4</v>
      </c>
      <c r="BW68" s="8">
        <f>IF($A68=BW$1,0,IF(SUM(IMshareC!BW$2:BW$78)-IMshareC!BW$75&gt;0,IMshareC!BW68/(SUM(IMshareC!BW$2:BW$78)-IMshareC!BW$75),0))</f>
        <v>3.7430339784214036E-5</v>
      </c>
      <c r="BX68" s="8">
        <f>IF($A68=BX$1,0,IF(SUM(IMshareC!BX$2:BX$78)-IMshareC!BX$76&gt;0,IMshareC!BX68/(SUM(IMshareC!BX$2:BX$78)-IMshareC!BX$76),0))</f>
        <v>4.9066407653958449E-7</v>
      </c>
      <c r="BY68" s="8">
        <f>IF($A68=BY$1,0,IF(SUM(IMshareC!BY$2:BY$78)-IMshareC!BY$77&gt;0,IMshareC!BY68/(SUM(IMshareC!BY$2:BY$78)-IMshareC!BY$77),0))</f>
        <v>1.663691865668465E-4</v>
      </c>
      <c r="BZ68" s="8">
        <f>IF($A68=BZ$1,0,IF(SUM(IMshareC!BZ$2:BZ$78)-IMshareC!BZ$78&gt;0,IMshareC!BZ68/(SUM(IMshareC!BZ$2:BZ$78)-IMshareC!BZ$78),0))</f>
        <v>9.8581776181849061E-4</v>
      </c>
    </row>
    <row r="69" spans="1:78">
      <c r="A69" s="4" t="s">
        <v>205</v>
      </c>
      <c r="B69" s="8">
        <f>IF($A69=B$1,0,IF(SUM(IMshareC!B$2:B$78)-IMshareC!B$2&gt;0,IMshareC!B69/(SUM(IMshareC!B$2:B$78)-IMshareC!B$2),0))</f>
        <v>2.1649277731662741E-3</v>
      </c>
      <c r="C69" s="8">
        <f>IF($A69=C$1,0,IF(SUM(IMshareC!C$2:C$78)-IMshareC!C$3&gt;0,IMshareC!C69/(SUM(IMshareC!C$2:C$78)-IMshareC!C$3),0))</f>
        <v>4.1683059868566439E-3</v>
      </c>
      <c r="D69" s="8">
        <f>IF($A69=D$1,0,IF(SUM(IMshareC!D$2:D$78)-IMshareC!D$4&gt;0,IMshareC!D69/(SUM(IMshareC!D$2:D$78)-IMshareC!D$4),0))</f>
        <v>2.7592910353761214E-3</v>
      </c>
      <c r="E69" s="8">
        <f>IF($A69=E$1,0,IF(SUM(IMshareC!E$2:E$78)-IMshareC!E$5&gt;0,IMshareC!E69/(SUM(IMshareC!E$2:E$78)-IMshareC!E$5),0))</f>
        <v>1.3004054850688093E-3</v>
      </c>
      <c r="F69" s="8">
        <f>IF($A69=F$1,0,IF(SUM(IMshareC!F$2:F$78)-IMshareC!F$6&gt;0,IMshareC!F69/(SUM(IMshareC!F$2:F$78)-IMshareC!F$6),0))</f>
        <v>3.634903731021289E-5</v>
      </c>
      <c r="G69" s="8">
        <f>IF($A69=G$1,0,IF(SUM(IMshareC!G$2:G$78)-IMshareC!G$7&gt;0,IMshareC!G69/(SUM(IMshareC!G$2:G$78)-IMshareC!G$7),0))</f>
        <v>1.6575422317353483E-3</v>
      </c>
      <c r="H69" s="8">
        <f>IF($A69=H$1,0,IF(SUM(IMshareC!H$2:H$78)-IMshareC!H$8&gt;0,IMshareC!H69/(SUM(IMshareC!H$2:H$78)-IMshareC!H$8),0))</f>
        <v>0</v>
      </c>
      <c r="I69" s="8">
        <f>IF($A69=I$1,0,IF(SUM(IMshareC!I$2:I$78)-IMshareC!I$9&gt;0,IMshareC!I69/(SUM(IMshareC!I$2:I$78)-IMshareC!I$9),0))</f>
        <v>2.993462826923832E-3</v>
      </c>
      <c r="J69" s="8">
        <f>IF($A69=J$1,0,IF(SUM(IMshareC!J$2:J$78)-IMshareC!J$10&gt;0,IMshareC!J69/(SUM(IMshareC!J$2:J$78)-IMshareC!J$10),0))</f>
        <v>8.859558873474286E-6</v>
      </c>
      <c r="K69" s="8">
        <f>IF($A69=K$1,0,IF(SUM(IMshareC!K$2:K$78)-IMshareC!K$11&gt;0,IMshareC!K69/(SUM(IMshareC!K$2:K$78)-IMshareC!K$11),0))</f>
        <v>7.1780874751335754E-4</v>
      </c>
      <c r="L69" s="8">
        <f>IF($A69=L$1,0,IF(SUM(IMshareC!L$2:L$78)-IMshareC!L$12&gt;0,IMshareC!L69/(SUM(IMshareC!L$2:L$78)-IMshareC!L$12),0))</f>
        <v>3.5625427019751691E-3</v>
      </c>
      <c r="M69" s="8">
        <f>IF($A69=M$1,0,IF(SUM(IMshareC!M$2:M$78)-IMshareC!M$13&gt;0,IMshareC!M69/(SUM(IMshareC!M$2:M$78)-IMshareC!M$13),0))</f>
        <v>1.9881244372017753E-2</v>
      </c>
      <c r="N69" s="8">
        <f>IF($A69=N$1,0,IF(SUM(IMshareC!N$2:N$78)-IMshareC!N$14&gt;0,IMshareC!N69/(SUM(IMshareC!N$2:N$78)-IMshareC!N$14),0))</f>
        <v>1.6498163663578879E-4</v>
      </c>
      <c r="O69" s="8">
        <f>IF($A69=O$1,0,IF(SUM(IMshareC!O$2:O$78)-IMshareC!O$15&gt;0,IMshareC!O69/(SUM(IMshareC!O$2:O$78)-IMshareC!O$15),0))</f>
        <v>7.3815263363253105E-4</v>
      </c>
      <c r="P69" s="8">
        <f>IF($A69=P$1,0,IF(SUM(IMshareC!P$2:P$78)-IMshareC!P$16&gt;0,IMshareC!P69/(SUM(IMshareC!P$2:P$78)-IMshareC!P$16),0))</f>
        <v>0</v>
      </c>
      <c r="Q69" s="8">
        <f>IF($A69=Q$1,0,IF(SUM(IMshareC!Q$2:Q$78)-IMshareC!Q$17&gt;0,IMshareC!Q69/(SUM(IMshareC!Q$2:Q$78)-IMshareC!Q$17),0))</f>
        <v>3.5803893951349393E-3</v>
      </c>
      <c r="R69" s="8">
        <f>IF($A69=R$1,0,IF(SUM(IMshareC!R$2:R$78)-IMshareC!R$18&gt;0,IMshareC!R69/(SUM(IMshareC!R$2:R$78)-IMshareC!R$18),0))</f>
        <v>2.9899411912531679E-2</v>
      </c>
      <c r="S69" s="8">
        <f>IF($A69=S$1,0,IF(SUM(IMshareC!S$2:S$78)-IMshareC!S$19&gt;0,IMshareC!S69/(SUM(IMshareC!S$2:S$78)-IMshareC!S$19),0))</f>
        <v>8.8679381998244232E-3</v>
      </c>
      <c r="T69" s="8">
        <f>IF($A69=T$1,0,IF(SUM(IMshareC!T$2:T$78)-IMshareC!T$20&gt;0,IMshareC!T69/(SUM(IMshareC!T$2:T$78)-IMshareC!T$20),0))</f>
        <v>9.2299431875690217E-4</v>
      </c>
      <c r="U69" s="8">
        <f>IF($A69=U$1,0,IF(SUM(IMshareC!U$2:U$78)-IMshareC!U$21&gt;0,IMshareC!U69/(SUM(IMshareC!U$2:U$78)-IMshareC!U$21),0))</f>
        <v>1.3769895138721589E-3</v>
      </c>
      <c r="V69" s="8">
        <f>IF($A69=V$1,0,IF(SUM(IMshareC!V$2:V$78)-IMshareC!V$22&gt;0,IMshareC!V69/(SUM(IMshareC!V$2:V$78)-IMshareC!V$22),0))</f>
        <v>3.6399313227001656E-2</v>
      </c>
      <c r="W69" s="8">
        <f>IF($A69=W$1,0,IF(SUM(IMshareC!W$2:W$78)-IMshareC!W$23&gt;0,IMshareC!W69/(SUM(IMshareC!W$2:W$78)-IMshareC!W$23),0))</f>
        <v>3.6507167074659504E-3</v>
      </c>
      <c r="X69" s="8">
        <f>IF($A69=X$1,0,IF(SUM(IMshareC!X$2:X$78)-IMshareC!X$24&gt;0,IMshareC!X69/(SUM(IMshareC!X$2:X$78)-IMshareC!X$24),0))</f>
        <v>3.49642254343177E-3</v>
      </c>
      <c r="Y69" s="8">
        <f>IF($A69=Y$1,0,IF(SUM(IMshareC!Y$2:Y$78)-IMshareC!Y$25&gt;0,IMshareC!Y69/(SUM(IMshareC!Y$2:Y$78)-IMshareC!Y$25),0))</f>
        <v>0.12054047108591204</v>
      </c>
      <c r="Z69" s="8">
        <f>IF($A69=Z$1,0,IF(SUM(IMshareC!Z$2:Z$78)-IMshareC!Z$26&gt;0,IMshareC!Z69/(SUM(IMshareC!Z$2:Z$78)-IMshareC!Z$26),0))</f>
        <v>8.827797793979875E-3</v>
      </c>
      <c r="AA69" s="8">
        <f>IF($A69=AA$1,0,IF(SUM(IMshareC!AA$2:AA$78)-IMshareC!AA$27&gt;0,IMshareC!AA69/(SUM(IMshareC!AA$2:AA$78)-IMshareC!AA$27),0))</f>
        <v>2.495864674796084E-3</v>
      </c>
      <c r="AB69" s="8">
        <f>IF($A69=AB$1,0,IF(SUM(IMshareC!AB$2:AB$78)-IMshareC!AB$28&gt;0,IMshareC!AB69/(SUM(IMshareC!AB$2:AB$78)-IMshareC!AB$28),0))</f>
        <v>2.5122451977406825E-3</v>
      </c>
      <c r="AC69" s="8">
        <f>IF($A69=AC$1,0,IF(SUM(IMshareC!AC$2:AC$78)-IMshareC!AC$29&gt;0,IMshareC!AC69/(SUM(IMshareC!AC$2:AC$78)-IMshareC!AC$29),0))</f>
        <v>6.5740349578262578E-3</v>
      </c>
      <c r="AD69" s="8">
        <f>IF($A69=AD$1,0,IF(SUM(IMshareC!AD$2:AD$78)-IMshareC!AD$30&gt;0,IMshareC!AD69/(SUM(IMshareC!AD$2:AD$78)-IMshareC!AD$30),0))</f>
        <v>3.5476971736307262E-5</v>
      </c>
      <c r="AE69" s="8">
        <f>IF($A69=AE$1,0,IF(SUM(IMshareC!AE$2:AE$78)-IMshareC!AE$31&gt;0,IMshareC!AE69/(SUM(IMshareC!AE$2:AE$78)-IMshareC!AE$31),0))</f>
        <v>5.4750517616948997E-3</v>
      </c>
      <c r="AF69" s="8">
        <f>IF($A69=AF$1,0,IF(SUM(IMshareC!AF$2:AF$78)-IMshareC!AF$32&gt;0,IMshareC!AF69/(SUM(IMshareC!AF$2:AF$78)-IMshareC!AF$32),0))</f>
        <v>1.0304594573096668E-3</v>
      </c>
      <c r="AG69" s="8">
        <f>IF($A69=AG$1,0,IF(SUM(IMshareC!AG$2:AG$78)-IMshareC!AG$33&gt;0,IMshareC!AG69/(SUM(IMshareC!AG$2:AG$78)-IMshareC!AG$33),0))</f>
        <v>5.4352100780003898E-4</v>
      </c>
      <c r="AH69" s="8">
        <f>IF($A69=AH$1,0,IF(SUM(IMshareC!AH$2:AH$78)-IMshareC!AH$34&gt;0,IMshareC!AH69/(SUM(IMshareC!AH$2:AH$78)-IMshareC!AH$34),0))</f>
        <v>7.2738516519687494E-4</v>
      </c>
      <c r="AI69" s="8">
        <f>IF($A69=AI$1,0,IF(SUM(IMshareC!AI$2:AI$78)-IMshareC!AI$35&gt;0,IMshareC!AI69/(SUM(IMshareC!AI$2:AI$78)-IMshareC!AI$35),0))</f>
        <v>3.1121901072819947E-4</v>
      </c>
      <c r="AJ69" s="8">
        <f>IF($A69=AJ$1,0,IF(SUM(IMshareC!AJ$2:AJ$78)-IMshareC!AJ$36&gt;0,IMshareC!AJ69/(SUM(IMshareC!AJ$2:AJ$78)-IMshareC!AJ$36),0))</f>
        <v>3.45036440262253E-2</v>
      </c>
      <c r="AK69" s="8">
        <f>IF($A69=AK$1,0,IF(SUM(IMshareC!AK$2:AK$78)-IMshareC!AK$37&gt;0,IMshareC!AK69/(SUM(IMshareC!AK$2:AK$78)-IMshareC!AK$37),0))</f>
        <v>2.2517202297093783E-3</v>
      </c>
      <c r="AL69" s="8">
        <f>IF($A69=AL$1,0,IF(SUM(IMshareC!AL$2:AL$78)-IMshareC!AL$38&gt;0,IMshareC!AL69/(SUM(IMshareC!AL$2:AL$78)-IMshareC!AL$38),0))</f>
        <v>1.172284843044254E-2</v>
      </c>
      <c r="AM69" s="8">
        <f>IF($A69=AM$1,0,IF(SUM(IMshareC!AM$2:AM$78)-IMshareC!AM$39&gt;0,IMshareC!AM69/(SUM(IMshareC!AM$2:AM$78)-IMshareC!AM$39),0))</f>
        <v>2.8909857967474445E-3</v>
      </c>
      <c r="AN69" s="8">
        <f>IF($A69=AN$1,0,IF(SUM(IMshareC!AN$2:AN$78)-IMshareC!AN$40&gt;0,IMshareC!AN69/(SUM(IMshareC!AN$2:AN$78)-IMshareC!AN$40),0))</f>
        <v>1.1276973171466213E-4</v>
      </c>
      <c r="AO69" s="8">
        <f>IF($A69=AO$1,0,IF(SUM(IMshareC!AO$2:AO$78)-IMshareC!AO$41&gt;0,IMshareC!AO69/(SUM(IMshareC!AO$2:AO$78)-IMshareC!AO$41),0))</f>
        <v>2.279968141331511E-3</v>
      </c>
      <c r="AP69" s="8">
        <f>IF($A69=AP$1,0,IF(SUM(IMshareC!AP$2:AP$78)-IMshareC!AP$42&gt;0,IMshareC!AP69/(SUM(IMshareC!AP$2:AP$78)-IMshareC!AP$42),0))</f>
        <v>3.1728219879955896E-6</v>
      </c>
      <c r="AQ69" s="8">
        <f>IF($A69=AQ$1,0,IF(SUM(IMshareC!AQ$2:AQ$78)-IMshareC!AQ$43&gt;0,IMshareC!AQ69/(SUM(IMshareC!AQ$2:AQ$78)-IMshareC!AQ$43),0))</f>
        <v>1.7782950739447207E-4</v>
      </c>
      <c r="AR69" s="8">
        <f>IF($A69=AR$1,0,IF(SUM(IMshareC!AR$2:AR$78)-IMshareC!AR$44&gt;0,IMshareC!AR69/(SUM(IMshareC!AR$2:AR$78)-IMshareC!AR$44),0))</f>
        <v>1.7977966077039841E-4</v>
      </c>
      <c r="AS69" s="8">
        <f>IF($A69=AS$1,0,IF(SUM(IMshareC!AS$2:AS$78)-IMshareC!AS$45&gt;0,IMshareC!AS69/(SUM(IMshareC!AS$2:AS$78)-IMshareC!AS$45),0))</f>
        <v>2.4772182851825371E-2</v>
      </c>
      <c r="AT69" s="8">
        <f>IF($A69=AT$1,0,IF(SUM(IMshareC!AT$2:AT$78)-IMshareC!AT$46&gt;0,IMshareC!AT69/(SUM(IMshareC!AT$2:AT$78)-IMshareC!AT$46),0))</f>
        <v>7.3963637907642954E-4</v>
      </c>
      <c r="AU69" s="8">
        <f>IF($A69=AU$1,0,IF(SUM(IMshareC!AU$2:AU$78)-IMshareC!AU$47&gt;0,IMshareC!AU69/(SUM(IMshareC!AU$2:AU$78)-IMshareC!AU$47),0))</f>
        <v>2.056988060329841E-2</v>
      </c>
      <c r="AV69" s="8">
        <f>IF($A69=AV$1,0,IF(SUM(IMshareC!AV$2:AV$78)-IMshareC!AV$48&gt;0,IMshareC!AV69/(SUM(IMshareC!AV$2:AV$78)-IMshareC!AV$48),0))</f>
        <v>2.4282169345450424E-3</v>
      </c>
      <c r="AW69" s="8">
        <f>IF($A69=AW$1,0,IF(SUM(IMshareC!AW$2:AW$78)-IMshareC!AW$49&gt;0,IMshareC!AW69/(SUM(IMshareC!AW$2:AW$78)-IMshareC!AW$49),0))</f>
        <v>8.3692655477065188E-5</v>
      </c>
      <c r="AX69" s="8">
        <f>IF($A69=AX$1,0,IF(SUM(IMshareC!AX$2:AX$78)-IMshareC!AX$50&gt;0,IMshareC!AX69/(SUM(IMshareC!AX$2:AX$78)-IMshareC!AX$50),0))</f>
        <v>2.4179206379238541E-5</v>
      </c>
      <c r="AY69" s="8">
        <f>IF($A69=AY$1,0,IF(SUM(IMshareC!AY$2:AY$78)-IMshareC!AY$51&gt;0,IMshareC!AY69/(SUM(IMshareC!AY$2:AY$78)-IMshareC!AY$51),0))</f>
        <v>0</v>
      </c>
      <c r="AZ69" s="8">
        <f>IF($A69=AZ$1,0,IF(SUM(IMshareC!AZ$2:AZ$78)-IMshareC!AZ$52&gt;0,IMshareC!AZ69/(SUM(IMshareC!AZ$2:AZ$78)-IMshareC!AZ$52),0))</f>
        <v>2.4247170786558341E-4</v>
      </c>
      <c r="BA69" s="8">
        <f>IF($A69=BA$1,0,IF(SUM(IMshareC!BA$2:BA$78)-IMshareC!BA$53&gt;0,IMshareC!BA69/(SUM(IMshareC!BA$2:BA$78)-IMshareC!BA$53),0))</f>
        <v>1.4857722668273955E-4</v>
      </c>
      <c r="BB69" s="8">
        <f>IF($A69=BB$1,0,IF(SUM(IMshareC!BB$2:BB$78)-IMshareC!BB$54&gt;0,IMshareC!BB69/(SUM(IMshareC!BB$2:BB$78)-IMshareC!BB$54),0))</f>
        <v>3.2638735600077789E-3</v>
      </c>
      <c r="BC69" s="8">
        <f>IF($A69=BC$1,0,IF(SUM(IMshareC!BC$2:BC$78)-IMshareC!BC$55&gt;0,IMshareC!BC69/(SUM(IMshareC!BC$2:BC$78)-IMshareC!BC$55),0))</f>
        <v>3.2164551922364504E-2</v>
      </c>
      <c r="BD69" s="8">
        <f>IF($A69=BD$1,0,IF(SUM(IMshareC!BD$2:BD$78)-IMshareC!BD$56&gt;0,IMshareC!BD69/(SUM(IMshareC!BD$2:BD$78)-IMshareC!BD$56),0))</f>
        <v>4.8794981264137886E-3</v>
      </c>
      <c r="BE69" s="8">
        <f>IF($A69=BE$1,0,IF(SUM(IMshareC!BE$2:BE$78)-IMshareC!BE$57&gt;0,IMshareC!BE69/(SUM(IMshareC!BE$2:BE$78)-IMshareC!BE$57),0))</f>
        <v>2.8731751496707562E-3</v>
      </c>
      <c r="BF69" s="8">
        <f>IF($A69=BF$1,0,IF(SUM(IMshareC!BF$2:BF$78)-IMshareC!BF$58&gt;0,IMshareC!BF69/(SUM(IMshareC!BF$2:BF$78)-IMshareC!BF$58),0))</f>
        <v>7.418145820296893E-3</v>
      </c>
      <c r="BG69" s="8">
        <f>IF($A69=BG$1,0,IF(SUM(IMshareC!BG$2:BG$78)-IMshareC!BG$59&gt;0,IMshareC!BG69/(SUM(IMshareC!BG$2:BG$78)-IMshareC!BG$59),0))</f>
        <v>4.1088546031122027E-5</v>
      </c>
      <c r="BH69" s="8">
        <f>IF($A69=BH$1,0,IF(SUM(IMshareC!BH$2:BH$78)-IMshareC!BH$60&gt;0,IMshareC!BH69/(SUM(IMshareC!BH$2:BH$78)-IMshareC!BH$60),0))</f>
        <v>8.4650466798421517E-3</v>
      </c>
      <c r="BI69" s="8">
        <f>IF($A69=BI$1,0,IF(SUM(IMshareC!BI$2:BI$78)-IMshareC!BI$61&gt;0,IMshareC!BI69/(SUM(IMshareC!BI$2:BI$78)-IMshareC!BI$61),0))</f>
        <v>4.6994937025833403E-4</v>
      </c>
      <c r="BJ69" s="8">
        <f>IF($A69=BJ$1,0,IF(SUM(IMshareC!BJ$2:BJ$78)-IMshareC!BJ$62&gt;0,IMshareC!BJ69/(SUM(IMshareC!BJ$2:BJ$78)-IMshareC!BJ$62),0))</f>
        <v>1.6933836050673611E-3</v>
      </c>
      <c r="BK69" s="8">
        <f>IF($A69=BK$1,0,IF(SUM(IMshareC!BK$2:BK$78)-IMshareC!BK$63&gt;0,IMshareC!BK69/(SUM(IMshareC!BK$2:BK$78)-IMshareC!BK$63),0))</f>
        <v>9.4508189238124644E-4</v>
      </c>
      <c r="BL69" s="8">
        <f>IF($A69=BL$1,0,IF(SUM(IMshareC!BL$2:BL$78)-IMshareC!BL$64&gt;0,IMshareC!BL69/(SUM(IMshareC!BL$2:BL$78)-IMshareC!BL$64),0))</f>
        <v>2.9524559013688468E-3</v>
      </c>
      <c r="BM69" s="8">
        <f>IF($A69=BM$1,0,IF(SUM(IMshareC!BM$2:BM$78)-IMshareC!BM$65&gt;0,IMshareC!BM69/(SUM(IMshareC!BM$2:BM$78)-IMshareC!BM$65),0))</f>
        <v>1.7758447343537596E-3</v>
      </c>
      <c r="BN69" s="8">
        <f>IF($A69=BN$1,0,IF(SUM(IMshareC!BN$2:BN$78)-IMshareC!BN$66&gt;0,IMshareC!BN69/(SUM(IMshareC!BN$2:BN$78)-IMshareC!BN$66),0))</f>
        <v>2.4821531799836659E-5</v>
      </c>
      <c r="BO69" s="8">
        <f>IF($A69=BO$1,0,IF(SUM(IMshareC!BO$2:BO$78)-IMshareC!BO$67&gt;0,IMshareC!BO69/(SUM(IMshareC!BO$2:BO$78)-IMshareC!BO$67),0))</f>
        <v>1.1478930129053471E-2</v>
      </c>
      <c r="BP69" s="8">
        <f>IF($A69=BP$1,0,IF(SUM(IMshareC!BP$2:BP$78)-IMshareC!BP$68&gt;0,IMshareC!BP69/(SUM(IMshareC!BP$2:BP$78)-IMshareC!BP$68),0))</f>
        <v>1.9722305645215941E-3</v>
      </c>
      <c r="BQ69" s="8">
        <f>IF($A69=BQ$1,0,IF(SUM(IMshareC!BQ$2:BQ$78)-IMshareC!BQ$69&gt;0,IMshareC!BQ69/(SUM(IMshareC!BQ$2:BQ$78)-IMshareC!BQ$69),0))</f>
        <v>0</v>
      </c>
      <c r="BR69" s="8">
        <f>IF($A69=BR$1,0,IF(SUM(IMshareC!BR$2:BR$78)-IMshareC!BR$70&gt;0,IMshareC!BR69/(SUM(IMshareC!BR$2:BR$78)-IMshareC!BR$70),0))</f>
        <v>2.1838162296017921E-4</v>
      </c>
      <c r="BS69" s="8">
        <f>IF($A69=BS$1,0,IF(SUM(IMshareC!BS$2:BS$78)-IMshareC!BS$71&gt;0,IMshareC!BS69/(SUM(IMshareC!BS$2:BS$78)-IMshareC!BS$71),0))</f>
        <v>2.2347662761997421E-4</v>
      </c>
      <c r="BT69" s="8">
        <f>IF($A69=BT$1,0,IF(SUM(IMshareC!BT$2:BT$78)-IMshareC!BT$72&gt;0,IMshareC!BT69/(SUM(IMshareC!BT$2:BT$78)-IMshareC!BT$72),0))</f>
        <v>2.6635513772123778E-3</v>
      </c>
      <c r="BU69" s="8">
        <f>IF($A69=BU$1,0,IF(SUM(IMshareC!BU$2:BU$78)-IMshareC!BU$73&gt;0,IMshareC!BU69/(SUM(IMshareC!BU$2:BU$78)-IMshareC!BU$73),0))</f>
        <v>3.8353492177696619E-5</v>
      </c>
      <c r="BV69" s="8">
        <f>IF($A69=BV$1,0,IF(SUM(IMshareC!BV$2:BV$78)-IMshareC!BV$74&gt;0,IMshareC!BV69/(SUM(IMshareC!BV$2:BV$78)-IMshareC!BV$74),0))</f>
        <v>8.4822971897098251E-4</v>
      </c>
      <c r="BW69" s="8">
        <f>IF($A69=BW$1,0,IF(SUM(IMshareC!BW$2:BW$78)-IMshareC!BW$75&gt;0,IMshareC!BW69/(SUM(IMshareC!BW$2:BW$78)-IMshareC!BW$75),0))</f>
        <v>3.9392451036896208E-4</v>
      </c>
      <c r="BX69" s="8">
        <f>IF($A69=BX$1,0,IF(SUM(IMshareC!BX$2:BX$78)-IMshareC!BX$76&gt;0,IMshareC!BX69/(SUM(IMshareC!BX$2:BX$78)-IMshareC!BX$76),0))</f>
        <v>1.2796605717157347E-5</v>
      </c>
      <c r="BY69" s="8">
        <f>IF($A69=BY$1,0,IF(SUM(IMshareC!BY$2:BY$78)-IMshareC!BY$77&gt;0,IMshareC!BY69/(SUM(IMshareC!BY$2:BY$78)-IMshareC!BY$77),0))</f>
        <v>4.5048475995807993E-3</v>
      </c>
      <c r="BZ69" s="8">
        <f>IF($A69=BZ$1,0,IF(SUM(IMshareC!BZ$2:BZ$78)-IMshareC!BZ$78&gt;0,IMshareC!BZ69/(SUM(IMshareC!BZ$2:BZ$78)-IMshareC!BZ$78),0))</f>
        <v>3.1538704974707812E-3</v>
      </c>
    </row>
    <row r="70" spans="1:78">
      <c r="A70" s="4" t="s">
        <v>207</v>
      </c>
      <c r="B70" s="8">
        <f>IF($A70=B$1,0,IF(SUM(IMshareC!B$2:B$78)-IMshareC!B$2&gt;0,IMshareC!B70/(SUM(IMshareC!B$2:B$78)-IMshareC!B$2),0))</f>
        <v>5.4091755555372031E-2</v>
      </c>
      <c r="C70" s="8">
        <f>IF($A70=C$1,0,IF(SUM(IMshareC!C$2:C$78)-IMshareC!C$3&gt;0,IMshareC!C70/(SUM(IMshareC!C$2:C$78)-IMshareC!C$3),0))</f>
        <v>3.3256466665332995E-2</v>
      </c>
      <c r="D70" s="8">
        <f>IF($A70=D$1,0,IF(SUM(IMshareC!D$2:D$78)-IMshareC!D$4&gt;0,IMshareC!D70/(SUM(IMshareC!D$2:D$78)-IMshareC!D$4),0))</f>
        <v>3.4459305703171267E-2</v>
      </c>
      <c r="E70" s="8">
        <f>IF($A70=E$1,0,IF(SUM(IMshareC!E$2:E$78)-IMshareC!E$5&gt;0,IMshareC!E70/(SUM(IMshareC!E$2:E$78)-IMshareC!E$5),0))</f>
        <v>2.454343460594301E-2</v>
      </c>
      <c r="F70" s="8">
        <f>IF($A70=F$1,0,IF(SUM(IMshareC!F$2:F$78)-IMshareC!F$6&gt;0,IMshareC!F70/(SUM(IMshareC!F$2:F$78)-IMshareC!F$6),0))</f>
        <v>1.1053329443209941E-3</v>
      </c>
      <c r="G70" s="8">
        <f>IF($A70=G$1,0,IF(SUM(IMshareC!G$2:G$78)-IMshareC!G$7&gt;0,IMshareC!G70/(SUM(IMshareC!G$2:G$78)-IMshareC!G$7),0))</f>
        <v>1.4731782925641672E-2</v>
      </c>
      <c r="H70" s="8">
        <f>IF($A70=H$1,0,IF(SUM(IMshareC!H$2:H$78)-IMshareC!H$8&gt;0,IMshareC!H70/(SUM(IMshareC!H$2:H$78)-IMshareC!H$8),0))</f>
        <v>2.1471962482751747E-5</v>
      </c>
      <c r="I70" s="8">
        <f>IF($A70=I$1,0,IF(SUM(IMshareC!I$2:I$78)-IMshareC!I$9&gt;0,IMshareC!I70/(SUM(IMshareC!I$2:I$78)-IMshareC!I$9),0))</f>
        <v>1.7954708138914404E-2</v>
      </c>
      <c r="J70" s="8">
        <f>IF($A70=J$1,0,IF(SUM(IMshareC!J$2:J$78)-IMshareC!J$10&gt;0,IMshareC!J70/(SUM(IMshareC!J$2:J$78)-IMshareC!J$10),0))</f>
        <v>1.3074079558255311E-2</v>
      </c>
      <c r="K70" s="8">
        <f>IF($A70=K$1,0,IF(SUM(IMshareC!K$2:K$78)-IMshareC!K$11&gt;0,IMshareC!K70/(SUM(IMshareC!K$2:K$78)-IMshareC!K$11),0))</f>
        <v>5.3402521398022318E-2</v>
      </c>
      <c r="L70" s="8">
        <f>IF($A70=L$1,0,IF(SUM(IMshareC!L$2:L$78)-IMshareC!L$12&gt;0,IMshareC!L70/(SUM(IMshareC!L$2:L$78)-IMshareC!L$12),0))</f>
        <v>4.5396044944808076E-2</v>
      </c>
      <c r="M70" s="8">
        <f>IF($A70=M$1,0,IF(SUM(IMshareC!M$2:M$78)-IMshareC!M$13&gt;0,IMshareC!M70/(SUM(IMshareC!M$2:M$78)-IMshareC!M$13),0))</f>
        <v>2.3459766613416994E-2</v>
      </c>
      <c r="N70" s="8">
        <f>IF($A70=N$1,0,IF(SUM(IMshareC!N$2:N$78)-IMshareC!N$14&gt;0,IMshareC!N70/(SUM(IMshareC!N$2:N$78)-IMshareC!N$14),0))</f>
        <v>2.066021238520999E-2</v>
      </c>
      <c r="O70" s="8">
        <f>IF($A70=O$1,0,IF(SUM(IMshareC!O$2:O$78)-IMshareC!O$15&gt;0,IMshareC!O70/(SUM(IMshareC!O$2:O$78)-IMshareC!O$15),0))</f>
        <v>2.7162580282694554E-3</v>
      </c>
      <c r="P70" s="8">
        <f>IF($A70=P$1,0,IF(SUM(IMshareC!P$2:P$78)-IMshareC!P$16&gt;0,IMshareC!P70/(SUM(IMshareC!P$2:P$78)-IMshareC!P$16),0))</f>
        <v>0</v>
      </c>
      <c r="Q70" s="8">
        <f>IF($A70=Q$1,0,IF(SUM(IMshareC!Q$2:Q$78)-IMshareC!Q$17&gt;0,IMshareC!Q70/(SUM(IMshareC!Q$2:Q$78)-IMshareC!Q$17),0))</f>
        <v>8.4339605713436329E-3</v>
      </c>
      <c r="R70" s="8">
        <f>IF($A70=R$1,0,IF(SUM(IMshareC!R$2:R$78)-IMshareC!R$18&gt;0,IMshareC!R70/(SUM(IMshareC!R$2:R$78)-IMshareC!R$18),0))</f>
        <v>2.3192187948236288E-2</v>
      </c>
      <c r="S70" s="8">
        <f>IF($A70=S$1,0,IF(SUM(IMshareC!S$2:S$78)-IMshareC!S$19&gt;0,IMshareC!S70/(SUM(IMshareC!S$2:S$78)-IMshareC!S$19),0))</f>
        <v>4.8162244839135178E-3</v>
      </c>
      <c r="T70" s="8">
        <f>IF($A70=T$1,0,IF(SUM(IMshareC!T$2:T$78)-IMshareC!T$20&gt;0,IMshareC!T70/(SUM(IMshareC!T$2:T$78)-IMshareC!T$20),0))</f>
        <v>2.1195004028890095E-2</v>
      </c>
      <c r="U70" s="8">
        <f>IF($A70=U$1,0,IF(SUM(IMshareC!U$2:U$78)-IMshareC!U$21&gt;0,IMshareC!U70/(SUM(IMshareC!U$2:U$78)-IMshareC!U$21),0))</f>
        <v>7.0941443730510825E-2</v>
      </c>
      <c r="V70" s="8">
        <f>IF($A70=V$1,0,IF(SUM(IMshareC!V$2:V$78)-IMshareC!V$22&gt;0,IMshareC!V70/(SUM(IMshareC!V$2:V$78)-IMshareC!V$22),0))</f>
        <v>2.2019964029342198E-2</v>
      </c>
      <c r="W70" s="8">
        <f>IF($A70=W$1,0,IF(SUM(IMshareC!W$2:W$78)-IMshareC!W$23&gt;0,IMshareC!W70/(SUM(IMshareC!W$2:W$78)-IMshareC!W$23),0))</f>
        <v>1.9944176144399972E-2</v>
      </c>
      <c r="X70" s="8">
        <f>IF($A70=X$1,0,IF(SUM(IMshareC!X$2:X$78)-IMshareC!X$24&gt;0,IMshareC!X70/(SUM(IMshareC!X$2:X$78)-IMshareC!X$24),0))</f>
        <v>2.6508379165528728E-2</v>
      </c>
      <c r="Y70" s="8">
        <f>IF($A70=Y$1,0,IF(SUM(IMshareC!Y$2:Y$78)-IMshareC!Y$25&gt;0,IMshareC!Y70/(SUM(IMshareC!Y$2:Y$78)-IMshareC!Y$25),0))</f>
        <v>4.8598071055927776E-2</v>
      </c>
      <c r="Z70" s="8">
        <f>IF($A70=Z$1,0,IF(SUM(IMshareC!Z$2:Z$78)-IMshareC!Z$26&gt;0,IMshareC!Z70/(SUM(IMshareC!Z$2:Z$78)-IMshareC!Z$26),0))</f>
        <v>1.6353263480530789E-2</v>
      </c>
      <c r="AA70" s="8">
        <f>IF($A70=AA$1,0,IF(SUM(IMshareC!AA$2:AA$78)-IMshareC!AA$27&gt;0,IMshareC!AA70/(SUM(IMshareC!AA$2:AA$78)-IMshareC!AA$27),0))</f>
        <v>2.1379302033821938E-2</v>
      </c>
      <c r="AB70" s="8">
        <f>IF($A70=AB$1,0,IF(SUM(IMshareC!AB$2:AB$78)-IMshareC!AB$28&gt;0,IMshareC!AB70/(SUM(IMshareC!AB$2:AB$78)-IMshareC!AB$28),0))</f>
        <v>4.814599838183023E-2</v>
      </c>
      <c r="AC70" s="8">
        <f>IF($A70=AC$1,0,IF(SUM(IMshareC!AC$2:AC$78)-IMshareC!AC$29&gt;0,IMshareC!AC70/(SUM(IMshareC!AC$2:AC$78)-IMshareC!AC$29),0))</f>
        <v>3.8104158236178663E-3</v>
      </c>
      <c r="AD70" s="8">
        <f>IF($A70=AD$1,0,IF(SUM(IMshareC!AD$2:AD$78)-IMshareC!AD$30&gt;0,IMshareC!AD70/(SUM(IMshareC!AD$2:AD$78)-IMshareC!AD$30),0))</f>
        <v>1.7296357442861971E-2</v>
      </c>
      <c r="AE70" s="8">
        <f>IF($A70=AE$1,0,IF(SUM(IMshareC!AE$2:AE$78)-IMshareC!AE$31&gt;0,IMshareC!AE70/(SUM(IMshareC!AE$2:AE$78)-IMshareC!AE$31),0))</f>
        <v>4.5989637012610607E-3</v>
      </c>
      <c r="AF70" s="8">
        <f>IF($A70=AF$1,0,IF(SUM(IMshareC!AF$2:AF$78)-IMshareC!AF$32&gt;0,IMshareC!AF70/(SUM(IMshareC!AF$2:AF$78)-IMshareC!AF$32),0))</f>
        <v>6.3816373006771463E-3</v>
      </c>
      <c r="AG70" s="8">
        <f>IF($A70=AG$1,0,IF(SUM(IMshareC!AG$2:AG$78)-IMshareC!AG$33&gt;0,IMshareC!AG70/(SUM(IMshareC!AG$2:AG$78)-IMshareC!AG$33),0))</f>
        <v>2.3280573804600125E-2</v>
      </c>
      <c r="AH70" s="8">
        <f>IF($A70=AH$1,0,IF(SUM(IMshareC!AH$2:AH$78)-IMshareC!AH$34&gt;0,IMshareC!AH70/(SUM(IMshareC!AH$2:AH$78)-IMshareC!AH$34),0))</f>
        <v>5.4118630976942531E-3</v>
      </c>
      <c r="AI70" s="8">
        <f>IF($A70=AI$1,0,IF(SUM(IMshareC!AI$2:AI$78)-IMshareC!AI$35&gt;0,IMshareC!AI70/(SUM(IMshareC!AI$2:AI$78)-IMshareC!AI$35),0))</f>
        <v>4.6439460959284062E-3</v>
      </c>
      <c r="AJ70" s="8">
        <f>IF($A70=AJ$1,0,IF(SUM(IMshareC!AJ$2:AJ$78)-IMshareC!AJ$36&gt;0,IMshareC!AJ70/(SUM(IMshareC!AJ$2:AJ$78)-IMshareC!AJ$36),0))</f>
        <v>1.3757881985375007E-2</v>
      </c>
      <c r="AK70" s="8">
        <f>IF($A70=AK$1,0,IF(SUM(IMshareC!AK$2:AK$78)-IMshareC!AK$37&gt;0,IMshareC!AK70/(SUM(IMshareC!AK$2:AK$78)-IMshareC!AK$37),0))</f>
        <v>1.6739067786766974E-2</v>
      </c>
      <c r="AL70" s="8">
        <f>IF($A70=AL$1,0,IF(SUM(IMshareC!AL$2:AL$78)-IMshareC!AL$38&gt;0,IMshareC!AL70/(SUM(IMshareC!AL$2:AL$78)-IMshareC!AL$38),0))</f>
        <v>9.2120440886060122E-3</v>
      </c>
      <c r="AM70" s="8">
        <f>IF($A70=AM$1,0,IF(SUM(IMshareC!AM$2:AM$78)-IMshareC!AM$39&gt;0,IMshareC!AM70/(SUM(IMshareC!AM$2:AM$78)-IMshareC!AM$39),0))</f>
        <v>3.8006845949305277E-4</v>
      </c>
      <c r="AN70" s="8">
        <f>IF($A70=AN$1,0,IF(SUM(IMshareC!AN$2:AN$78)-IMshareC!AN$40&gt;0,IMshareC!AN70/(SUM(IMshareC!AN$2:AN$78)-IMshareC!AN$40),0))</f>
        <v>3.2277440131390459E-2</v>
      </c>
      <c r="AO70" s="8">
        <f>IF($A70=AO$1,0,IF(SUM(IMshareC!AO$2:AO$78)-IMshareC!AO$41&gt;0,IMshareC!AO70/(SUM(IMshareC!AO$2:AO$78)-IMshareC!AO$41),0))</f>
        <v>3.3935509367440949E-4</v>
      </c>
      <c r="AP70" s="8">
        <f>IF($A70=AP$1,0,IF(SUM(IMshareC!AP$2:AP$78)-IMshareC!AP$42&gt;0,IMshareC!AP70/(SUM(IMshareC!AP$2:AP$78)-IMshareC!AP$42),0))</f>
        <v>0.52138314818535914</v>
      </c>
      <c r="AQ70" s="8">
        <f>IF($A70=AQ$1,0,IF(SUM(IMshareC!AQ$2:AQ$78)-IMshareC!AQ$43&gt;0,IMshareC!AQ70/(SUM(IMshareC!AQ$2:AQ$78)-IMshareC!AQ$43),0))</f>
        <v>1.2172487977560313E-2</v>
      </c>
      <c r="AR70" s="8">
        <f>IF($A70=AR$1,0,IF(SUM(IMshareC!AR$2:AR$78)-IMshareC!AR$44&gt;0,IMshareC!AR70/(SUM(IMshareC!AR$2:AR$78)-IMshareC!AR$44),0))</f>
        <v>0.94501435546753909</v>
      </c>
      <c r="AS70" s="8">
        <f>IF($A70=AS$1,0,IF(SUM(IMshareC!AS$2:AS$78)-IMshareC!AS$45&gt;0,IMshareC!AS70/(SUM(IMshareC!AS$2:AS$78)-IMshareC!AS$45),0))</f>
        <v>7.6510234684392421E-3</v>
      </c>
      <c r="AT70" s="8">
        <f>IF($A70=AT$1,0,IF(SUM(IMshareC!AT$2:AT$78)-IMshareC!AT$46&gt;0,IMshareC!AT70/(SUM(IMshareC!AT$2:AT$78)-IMshareC!AT$46),0))</f>
        <v>6.6721289325645805E-3</v>
      </c>
      <c r="AU70" s="8">
        <f>IF($A70=AU$1,0,IF(SUM(IMshareC!AU$2:AU$78)-IMshareC!AU$47&gt;0,IMshareC!AU70/(SUM(IMshareC!AU$2:AU$78)-IMshareC!AU$47),0))</f>
        <v>1.2663682856458899E-2</v>
      </c>
      <c r="AV70" s="8">
        <f>IF($A70=AV$1,0,IF(SUM(IMshareC!AV$2:AV$78)-IMshareC!AV$48&gt;0,IMshareC!AV70/(SUM(IMshareC!AV$2:AV$78)-IMshareC!AV$48),0))</f>
        <v>4.3547508691422539E-3</v>
      </c>
      <c r="AW70" s="8">
        <f>IF($A70=AW$1,0,IF(SUM(IMshareC!AW$2:AW$78)-IMshareC!AW$49&gt;0,IMshareC!AW70/(SUM(IMshareC!AW$2:AW$78)-IMshareC!AW$49),0))</f>
        <v>3.0289631081359337E-2</v>
      </c>
      <c r="AX70" s="8">
        <f>IF($A70=AX$1,0,IF(SUM(IMshareC!AX$2:AX$78)-IMshareC!AX$50&gt;0,IMshareC!AX70/(SUM(IMshareC!AX$2:AX$78)-IMshareC!AX$50),0))</f>
        <v>8.159259321665885E-4</v>
      </c>
      <c r="AY70" s="8">
        <f>IF($A70=AY$1,0,IF(SUM(IMshareC!AY$2:AY$78)-IMshareC!AY$51&gt;0,IMshareC!AY70/(SUM(IMshareC!AY$2:AY$78)-IMshareC!AY$51),0))</f>
        <v>0.32463844451823853</v>
      </c>
      <c r="AZ70" s="8">
        <f>IF($A70=AZ$1,0,IF(SUM(IMshareC!AZ$2:AZ$78)-IMshareC!AZ$52&gt;0,IMshareC!AZ70/(SUM(IMshareC!AZ$2:AZ$78)-IMshareC!AZ$52),0))</f>
        <v>1.9673705793888271E-2</v>
      </c>
      <c r="BA70" s="8">
        <f>IF($A70=BA$1,0,IF(SUM(IMshareC!BA$2:BA$78)-IMshareC!BA$53&gt;0,IMshareC!BA70/(SUM(IMshareC!BA$2:BA$78)-IMshareC!BA$53),0))</f>
        <v>5.8531089561739754E-4</v>
      </c>
      <c r="BB70" s="8">
        <f>IF($A70=BB$1,0,IF(SUM(IMshareC!BB$2:BB$78)-IMshareC!BB$54&gt;0,IMshareC!BB70/(SUM(IMshareC!BB$2:BB$78)-IMshareC!BB$54),0))</f>
        <v>1.1428446784435171E-2</v>
      </c>
      <c r="BC70" s="8">
        <f>IF($A70=BC$1,0,IF(SUM(IMshareC!BC$2:BC$78)-IMshareC!BC$55&gt;0,IMshareC!BC70/(SUM(IMshareC!BC$2:BC$78)-IMshareC!BC$55),0))</f>
        <v>4.6411560643019004E-2</v>
      </c>
      <c r="BD70" s="8">
        <f>IF($A70=BD$1,0,IF(SUM(IMshareC!BD$2:BD$78)-IMshareC!BD$56&gt;0,IMshareC!BD70/(SUM(IMshareC!BD$2:BD$78)-IMshareC!BD$56),0))</f>
        <v>0.11287545637064213</v>
      </c>
      <c r="BE70" s="8">
        <f>IF($A70=BE$1,0,IF(SUM(IMshareC!BE$2:BE$78)-IMshareC!BE$57&gt;0,IMshareC!BE70/(SUM(IMshareC!BE$2:BE$78)-IMshareC!BE$57),0))</f>
        <v>1.1409020754020959E-2</v>
      </c>
      <c r="BF70" s="8">
        <f>IF($A70=BF$1,0,IF(SUM(IMshareC!BF$2:BF$78)-IMshareC!BF$58&gt;0,IMshareC!BF70/(SUM(IMshareC!BF$2:BF$78)-IMshareC!BF$58),0))</f>
        <v>9.8407175135729243E-3</v>
      </c>
      <c r="BG70" s="8">
        <f>IF($A70=BG$1,0,IF(SUM(IMshareC!BG$2:BG$78)-IMshareC!BG$59&gt;0,IMshareC!BG70/(SUM(IMshareC!BG$2:BG$78)-IMshareC!BG$59),0))</f>
        <v>3.4785305344094894E-2</v>
      </c>
      <c r="BH70" s="8">
        <f>IF($A70=BH$1,0,IF(SUM(IMshareC!BH$2:BH$78)-IMshareC!BH$60&gt;0,IMshareC!BH70/(SUM(IMshareC!BH$2:BH$78)-IMshareC!BH$60),0))</f>
        <v>2.2500783238929411E-2</v>
      </c>
      <c r="BI70" s="8">
        <f>IF($A70=BI$1,0,IF(SUM(IMshareC!BI$2:BI$78)-IMshareC!BI$61&gt;0,IMshareC!BI70/(SUM(IMshareC!BI$2:BI$78)-IMshareC!BI$61),0))</f>
        <v>1.0009194457880993E-2</v>
      </c>
      <c r="BJ70" s="8">
        <f>IF($A70=BJ$1,0,IF(SUM(IMshareC!BJ$2:BJ$78)-IMshareC!BJ$62&gt;0,IMshareC!BJ70/(SUM(IMshareC!BJ$2:BJ$78)-IMshareC!BJ$62),0))</f>
        <v>2.4471678774524185E-3</v>
      </c>
      <c r="BK70" s="8">
        <f>IF($A70=BK$1,0,IF(SUM(IMshareC!BK$2:BK$78)-IMshareC!BK$63&gt;0,IMshareC!BK70/(SUM(IMshareC!BK$2:BK$78)-IMshareC!BK$63),0))</f>
        <v>1.3193921054182377E-3</v>
      </c>
      <c r="BL70" s="8">
        <f>IF($A70=BL$1,0,IF(SUM(IMshareC!BL$2:BL$78)-IMshareC!BL$64&gt;0,IMshareC!BL70/(SUM(IMshareC!BL$2:BL$78)-IMshareC!BL$64),0))</f>
        <v>1.0666004579854441E-3</v>
      </c>
      <c r="BM70" s="8">
        <f>IF($A70=BM$1,0,IF(SUM(IMshareC!BM$2:BM$78)-IMshareC!BM$65&gt;0,IMshareC!BM70/(SUM(IMshareC!BM$2:BM$78)-IMshareC!BM$65),0))</f>
        <v>0</v>
      </c>
      <c r="BN70" s="8">
        <f>IF($A70=BN$1,0,IF(SUM(IMshareC!BN$2:BN$78)-IMshareC!BN$66&gt;0,IMshareC!BN70/(SUM(IMshareC!BN$2:BN$78)-IMshareC!BN$66),0))</f>
        <v>3.9999043989700812E-2</v>
      </c>
      <c r="BO70" s="8">
        <f>IF($A70=BO$1,0,IF(SUM(IMshareC!BO$2:BO$78)-IMshareC!BO$67&gt;0,IMshareC!BO70/(SUM(IMshareC!BO$2:BO$78)-IMshareC!BO$67),0))</f>
        <v>2.4487949870868463E-2</v>
      </c>
      <c r="BP70" s="8">
        <f>IF($A70=BP$1,0,IF(SUM(IMshareC!BP$2:BP$78)-IMshareC!BP$68&gt;0,IMshareC!BP70/(SUM(IMshareC!BP$2:BP$78)-IMshareC!BP$68),0))</f>
        <v>4.4066410606641612E-2</v>
      </c>
      <c r="BQ70" s="8">
        <f>IF($A70=BQ$1,0,IF(SUM(IMshareC!BQ$2:BQ$78)-IMshareC!BQ$69&gt;0,IMshareC!BQ70/(SUM(IMshareC!BQ$2:BQ$78)-IMshareC!BQ$69),0))</f>
        <v>2.1360561113972137E-2</v>
      </c>
      <c r="BR70" s="8">
        <f>IF($A70=BR$1,0,IF(SUM(IMshareC!BR$2:BR$78)-IMshareC!BR$70&gt;0,IMshareC!BR70/(SUM(IMshareC!BR$2:BR$78)-IMshareC!BR$70),0))</f>
        <v>0</v>
      </c>
      <c r="BS70" s="8">
        <f>IF($A70=BS$1,0,IF(SUM(IMshareC!BS$2:BS$78)-IMshareC!BS$71&gt;0,IMshareC!BS70/(SUM(IMshareC!BS$2:BS$78)-IMshareC!BS$71),0))</f>
        <v>2.2098498260566781E-2</v>
      </c>
      <c r="BT70" s="8">
        <f>IF($A70=BT$1,0,IF(SUM(IMshareC!BT$2:BT$78)-IMshareC!BT$72&gt;0,IMshareC!BT70/(SUM(IMshareC!BT$2:BT$78)-IMshareC!BT$72),0))</f>
        <v>3.5440644100479403E-2</v>
      </c>
      <c r="BU70" s="8">
        <f>IF($A70=BU$1,0,IF(SUM(IMshareC!BU$2:BU$78)-IMshareC!BU$73&gt;0,IMshareC!BU70/(SUM(IMshareC!BU$2:BU$78)-IMshareC!BU$73),0))</f>
        <v>1.8773081739427482E-2</v>
      </c>
      <c r="BV70" s="8">
        <f>IF($A70=BV$1,0,IF(SUM(IMshareC!BV$2:BV$78)-IMshareC!BV$74&gt;0,IMshareC!BV70/(SUM(IMshareC!BV$2:BV$78)-IMshareC!BV$74),0))</f>
        <v>4.0465724121469239E-2</v>
      </c>
      <c r="BW70" s="8">
        <f>IF($A70=BW$1,0,IF(SUM(IMshareC!BW$2:BW$78)-IMshareC!BW$75&gt;0,IMshareC!BW70/(SUM(IMshareC!BW$2:BW$78)-IMshareC!BW$75),0))</f>
        <v>4.3851137575362804E-2</v>
      </c>
      <c r="BX70" s="8">
        <f>IF($A70=BX$1,0,IF(SUM(IMshareC!BX$2:BX$78)-IMshareC!BX$76&gt;0,IMshareC!BX70/(SUM(IMshareC!BX$2:BX$78)-IMshareC!BX$76),0))</f>
        <v>7.9073264844968967E-3</v>
      </c>
      <c r="BY70" s="8">
        <f>IF($A70=BY$1,0,IF(SUM(IMshareC!BY$2:BY$78)-IMshareC!BY$77&gt;0,IMshareC!BY70/(SUM(IMshareC!BY$2:BY$78)-IMshareC!BY$77),0))</f>
        <v>6.1107779882542117E-2</v>
      </c>
      <c r="BZ70" s="8">
        <f>IF($A70=BZ$1,0,IF(SUM(IMshareC!BZ$2:BZ$78)-IMshareC!BZ$78&gt;0,IMshareC!BZ70/(SUM(IMshareC!BZ$2:BZ$78)-IMshareC!BZ$78),0))</f>
        <v>2.1370155547312145E-2</v>
      </c>
    </row>
    <row r="71" spans="1:78">
      <c r="A71" s="4" t="s">
        <v>209</v>
      </c>
      <c r="B71" s="8">
        <f>IF($A71=B$1,0,IF(SUM(IMshareC!B$2:B$78)-IMshareC!B$2&gt;0,IMshareC!B71/(SUM(IMshareC!B$2:B$78)-IMshareC!B$2),0))</f>
        <v>9.299145352337589E-4</v>
      </c>
      <c r="C71" s="8">
        <f>IF($A71=C$1,0,IF(SUM(IMshareC!C$2:C$78)-IMshareC!C$3&gt;0,IMshareC!C71/(SUM(IMshareC!C$2:C$78)-IMshareC!C$3),0))</f>
        <v>3.0135873330445432E-4</v>
      </c>
      <c r="D71" s="8">
        <f>IF($A71=D$1,0,IF(SUM(IMshareC!D$2:D$78)-IMshareC!D$4&gt;0,IMshareC!D71/(SUM(IMshareC!D$2:D$78)-IMshareC!D$4),0))</f>
        <v>3.0968995040059127E-4</v>
      </c>
      <c r="E71" s="8">
        <f>IF($A71=E$1,0,IF(SUM(IMshareC!E$2:E$78)-IMshareC!E$5&gt;0,IMshareC!E71/(SUM(IMshareC!E$2:E$78)-IMshareC!E$5),0))</f>
        <v>1.6604444547505753E-5</v>
      </c>
      <c r="F71" s="8">
        <f>IF($A71=F$1,0,IF(SUM(IMshareC!F$2:F$78)-IMshareC!F$6&gt;0,IMshareC!F71/(SUM(IMshareC!F$2:F$78)-IMshareC!F$6),0))</f>
        <v>0</v>
      </c>
      <c r="G71" s="8">
        <f>IF($A71=G$1,0,IF(SUM(IMshareC!G$2:G$78)-IMshareC!G$7&gt;0,IMshareC!G71/(SUM(IMshareC!G$2:G$78)-IMshareC!G$7),0))</f>
        <v>9.6172906784848801E-5</v>
      </c>
      <c r="H71" s="8">
        <f>IF($A71=H$1,0,IF(SUM(IMshareC!H$2:H$78)-IMshareC!H$8&gt;0,IMshareC!H71/(SUM(IMshareC!H$2:H$78)-IMshareC!H$8),0))</f>
        <v>0</v>
      </c>
      <c r="I71" s="8">
        <f>IF($A71=I$1,0,IF(SUM(IMshareC!I$2:I$78)-IMshareC!I$9&gt;0,IMshareC!I71/(SUM(IMshareC!I$2:I$78)-IMshareC!I$9),0))</f>
        <v>1.8166000882060342E-4</v>
      </c>
      <c r="J71" s="8">
        <f>IF($A71=J$1,0,IF(SUM(IMshareC!J$2:J$78)-IMshareC!J$10&gt;0,IMshareC!J71/(SUM(IMshareC!J$2:J$78)-IMshareC!J$10),0))</f>
        <v>0</v>
      </c>
      <c r="K71" s="8">
        <f>IF($A71=K$1,0,IF(SUM(IMshareC!K$2:K$78)-IMshareC!K$11&gt;0,IMshareC!K71/(SUM(IMshareC!K$2:K$78)-IMshareC!K$11),0))</f>
        <v>9.5160080722636397E-5</v>
      </c>
      <c r="L71" s="8">
        <f>IF($A71=L$1,0,IF(SUM(IMshareC!L$2:L$78)-IMshareC!L$12&gt;0,IMshareC!L71/(SUM(IMshareC!L$2:L$78)-IMshareC!L$12),0))</f>
        <v>4.3634475263787951E-4</v>
      </c>
      <c r="M71" s="8">
        <f>IF($A71=M$1,0,IF(SUM(IMshareC!M$2:M$78)-IMshareC!M$13&gt;0,IMshareC!M71/(SUM(IMshareC!M$2:M$78)-IMshareC!M$13),0))</f>
        <v>1.4449406854924963E-6</v>
      </c>
      <c r="N71" s="8">
        <f>IF($A71=N$1,0,IF(SUM(IMshareC!N$2:N$78)-IMshareC!N$14&gt;0,IMshareC!N71/(SUM(IMshareC!N$2:N$78)-IMshareC!N$14),0))</f>
        <v>1.255419347909971E-6</v>
      </c>
      <c r="O71" s="8">
        <f>IF($A71=O$1,0,IF(SUM(IMshareC!O$2:O$78)-IMshareC!O$15&gt;0,IMshareC!O71/(SUM(IMshareC!O$2:O$78)-IMshareC!O$15),0))</f>
        <v>2.2903864190383947E-5</v>
      </c>
      <c r="P71" s="8">
        <f>IF($A71=P$1,0,IF(SUM(IMshareC!P$2:P$78)-IMshareC!P$16&gt;0,IMshareC!P71/(SUM(IMshareC!P$2:P$78)-IMshareC!P$16),0))</f>
        <v>0</v>
      </c>
      <c r="Q71" s="8">
        <f>IF($A71=Q$1,0,IF(SUM(IMshareC!Q$2:Q$78)-IMshareC!Q$17&gt;0,IMshareC!Q71/(SUM(IMshareC!Q$2:Q$78)-IMshareC!Q$17),0))</f>
        <v>1.6483502161616567E-4</v>
      </c>
      <c r="R71" s="8">
        <f>IF($A71=R$1,0,IF(SUM(IMshareC!R$2:R$78)-IMshareC!R$18&gt;0,IMshareC!R71/(SUM(IMshareC!R$2:R$78)-IMshareC!R$18),0))</f>
        <v>1.7354751589104476E-6</v>
      </c>
      <c r="S71" s="8">
        <f>IF($A71=S$1,0,IF(SUM(IMshareC!S$2:S$78)-IMshareC!S$19&gt;0,IMshareC!S71/(SUM(IMshareC!S$2:S$78)-IMshareC!S$19),0))</f>
        <v>0</v>
      </c>
      <c r="T71" s="8">
        <f>IF($A71=T$1,0,IF(SUM(IMshareC!T$2:T$78)-IMshareC!T$20&gt;0,IMshareC!T71/(SUM(IMshareC!T$2:T$78)-IMshareC!T$20),0))</f>
        <v>4.9869779655837198E-4</v>
      </c>
      <c r="U71" s="8">
        <f>IF($A71=U$1,0,IF(SUM(IMshareC!U$2:U$78)-IMshareC!U$21&gt;0,IMshareC!U71/(SUM(IMshareC!U$2:U$78)-IMshareC!U$21),0))</f>
        <v>5.56037245010883E-4</v>
      </c>
      <c r="V71" s="8">
        <f>IF($A71=V$1,0,IF(SUM(IMshareC!V$2:V$78)-IMshareC!V$22&gt;0,IMshareC!V71/(SUM(IMshareC!V$2:V$78)-IMshareC!V$22),0))</f>
        <v>3.3800031046548442E-6</v>
      </c>
      <c r="W71" s="8">
        <f>IF($A71=W$1,0,IF(SUM(IMshareC!W$2:W$78)-IMshareC!W$23&gt;0,IMshareC!W71/(SUM(IMshareC!W$2:W$78)-IMshareC!W$23),0))</f>
        <v>1.6782545725739623E-4</v>
      </c>
      <c r="X71" s="8">
        <f>IF($A71=X$1,0,IF(SUM(IMshareC!X$2:X$78)-IMshareC!X$24&gt;0,IMshareC!X71/(SUM(IMshareC!X$2:X$78)-IMshareC!X$24),0))</f>
        <v>2.8495143306566236E-3</v>
      </c>
      <c r="Y71" s="8">
        <f>IF($A71=Y$1,0,IF(SUM(IMshareC!Y$2:Y$78)-IMshareC!Y$25&gt;0,IMshareC!Y71/(SUM(IMshareC!Y$2:Y$78)-IMshareC!Y$25),0))</f>
        <v>4.9300434060554899E-3</v>
      </c>
      <c r="Z71" s="8">
        <f>IF($A71=Z$1,0,IF(SUM(IMshareC!Z$2:Z$78)-IMshareC!Z$26&gt;0,IMshareC!Z71/(SUM(IMshareC!Z$2:Z$78)-IMshareC!Z$26),0))</f>
        <v>6.9841369397685498E-4</v>
      </c>
      <c r="AA71" s="8">
        <f>IF($A71=AA$1,0,IF(SUM(IMshareC!AA$2:AA$78)-IMshareC!AA$27&gt;0,IMshareC!AA71/(SUM(IMshareC!AA$2:AA$78)-IMshareC!AA$27),0))</f>
        <v>1.6752217329271058E-2</v>
      </c>
      <c r="AB71" s="8">
        <f>IF($A71=AB$1,0,IF(SUM(IMshareC!AB$2:AB$78)-IMshareC!AB$28&gt;0,IMshareC!AB71/(SUM(IMshareC!AB$2:AB$78)-IMshareC!AB$28),0))</f>
        <v>9.3937796490768818E-4</v>
      </c>
      <c r="AC71" s="8">
        <f>IF($A71=AC$1,0,IF(SUM(IMshareC!AC$2:AC$78)-IMshareC!AC$29&gt;0,IMshareC!AC71/(SUM(IMshareC!AC$2:AC$78)-IMshareC!AC$29),0))</f>
        <v>1.0914754906858823E-6</v>
      </c>
      <c r="AD71" s="8">
        <f>IF($A71=AD$1,0,IF(SUM(IMshareC!AD$2:AD$78)-IMshareC!AD$30&gt;0,IMshareC!AD71/(SUM(IMshareC!AD$2:AD$78)-IMshareC!AD$30),0))</f>
        <v>4.1309092598193277E-6</v>
      </c>
      <c r="AE71" s="8">
        <f>IF($A71=AE$1,0,IF(SUM(IMshareC!AE$2:AE$78)-IMshareC!AE$31&gt;0,IMshareC!AE71/(SUM(IMshareC!AE$2:AE$78)-IMshareC!AE$31),0))</f>
        <v>0</v>
      </c>
      <c r="AF71" s="8">
        <f>IF($A71=AF$1,0,IF(SUM(IMshareC!AF$2:AF$78)-IMshareC!AF$32&gt;0,IMshareC!AF71/(SUM(IMshareC!AF$2:AF$78)-IMshareC!AF$32),0))</f>
        <v>4.1403198416855051E-7</v>
      </c>
      <c r="AG71" s="8">
        <f>IF($A71=AG$1,0,IF(SUM(IMshareC!AG$2:AG$78)-IMshareC!AG$33&gt;0,IMshareC!AG71/(SUM(IMshareC!AG$2:AG$78)-IMshareC!AG$33),0))</f>
        <v>2.0314095735945093E-5</v>
      </c>
      <c r="AH71" s="8">
        <f>IF($A71=AH$1,0,IF(SUM(IMshareC!AH$2:AH$78)-IMshareC!AH$34&gt;0,IMshareC!AH71/(SUM(IMshareC!AH$2:AH$78)-IMshareC!AH$34),0))</f>
        <v>2.5809873126908657E-9</v>
      </c>
      <c r="AI71" s="8">
        <f>IF($A71=AI$1,0,IF(SUM(IMshareC!AI$2:AI$78)-IMshareC!AI$35&gt;0,IMshareC!AI71/(SUM(IMshareC!AI$2:AI$78)-IMshareC!AI$35),0))</f>
        <v>1.1598727601222212E-5</v>
      </c>
      <c r="AJ71" s="8">
        <f>IF($A71=AJ$1,0,IF(SUM(IMshareC!AJ$2:AJ$78)-IMshareC!AJ$36&gt;0,IMshareC!AJ71/(SUM(IMshareC!AJ$2:AJ$78)-IMshareC!AJ$36),0))</f>
        <v>2.4826755527323742E-4</v>
      </c>
      <c r="AK71" s="8">
        <f>IF($A71=AK$1,0,IF(SUM(IMshareC!AK$2:AK$78)-IMshareC!AK$37&gt;0,IMshareC!AK71/(SUM(IMshareC!AK$2:AK$78)-IMshareC!AK$37),0))</f>
        <v>0</v>
      </c>
      <c r="AL71" s="8">
        <f>IF($A71=AL$1,0,IF(SUM(IMshareC!AL$2:AL$78)-IMshareC!AL$38&gt;0,IMshareC!AL71/(SUM(IMshareC!AL$2:AL$78)-IMshareC!AL$38),0))</f>
        <v>1.174310949923915E-2</v>
      </c>
      <c r="AM71" s="8">
        <f>IF($A71=AM$1,0,IF(SUM(IMshareC!AM$2:AM$78)-IMshareC!AM$39&gt;0,IMshareC!AM71/(SUM(IMshareC!AM$2:AM$78)-IMshareC!AM$39),0))</f>
        <v>1.1577749013584303E-3</v>
      </c>
      <c r="AN71" s="8">
        <f>IF($A71=AN$1,0,IF(SUM(IMshareC!AN$2:AN$78)-IMshareC!AN$40&gt;0,IMshareC!AN71/(SUM(IMshareC!AN$2:AN$78)-IMshareC!AN$40),0))</f>
        <v>9.1233755506901068E-6</v>
      </c>
      <c r="AO71" s="8">
        <f>IF($A71=AO$1,0,IF(SUM(IMshareC!AO$2:AO$78)-IMshareC!AO$41&gt;0,IMshareC!AO71/(SUM(IMshareC!AO$2:AO$78)-IMshareC!AO$41),0))</f>
        <v>0</v>
      </c>
      <c r="AP71" s="8">
        <f>IF($A71=AP$1,0,IF(SUM(IMshareC!AP$2:AP$78)-IMshareC!AP$42&gt;0,IMshareC!AP71/(SUM(IMshareC!AP$2:AP$78)-IMshareC!AP$42),0))</f>
        <v>0</v>
      </c>
      <c r="AQ71" s="8">
        <f>IF($A71=AQ$1,0,IF(SUM(IMshareC!AQ$2:AQ$78)-IMshareC!AQ$43&gt;0,IMshareC!AQ71/(SUM(IMshareC!AQ$2:AQ$78)-IMshareC!AQ$43),0))</f>
        <v>9.7364549037135167E-7</v>
      </c>
      <c r="AR71" s="8">
        <f>IF($A71=AR$1,0,IF(SUM(IMshareC!AR$2:AR$78)-IMshareC!AR$44&gt;0,IMshareC!AR71/(SUM(IMshareC!AR$2:AR$78)-IMshareC!AR$44),0))</f>
        <v>0</v>
      </c>
      <c r="AS71" s="8">
        <f>IF($A71=AS$1,0,IF(SUM(IMshareC!AS$2:AS$78)-IMshareC!AS$45&gt;0,IMshareC!AS71/(SUM(IMshareC!AS$2:AS$78)-IMshareC!AS$45),0))</f>
        <v>0</v>
      </c>
      <c r="AT71" s="8">
        <f>IF($A71=AT$1,0,IF(SUM(IMshareC!AT$2:AT$78)-IMshareC!AT$46&gt;0,IMshareC!AT71/(SUM(IMshareC!AT$2:AT$78)-IMshareC!AT$46),0))</f>
        <v>2.1062532507069888E-5</v>
      </c>
      <c r="AU71" s="8">
        <f>IF($A71=AU$1,0,IF(SUM(IMshareC!AU$2:AU$78)-IMshareC!AU$47&gt;0,IMshareC!AU71/(SUM(IMshareC!AU$2:AU$78)-IMshareC!AU$47),0))</f>
        <v>0</v>
      </c>
      <c r="AV71" s="8">
        <f>IF($A71=AV$1,0,IF(SUM(IMshareC!AV$2:AV$78)-IMshareC!AV$48&gt;0,IMshareC!AV71/(SUM(IMshareC!AV$2:AV$78)-IMshareC!AV$48),0))</f>
        <v>9.5919707297885112E-2</v>
      </c>
      <c r="AW71" s="8">
        <f>IF($A71=AW$1,0,IF(SUM(IMshareC!AW$2:AW$78)-IMshareC!AW$49&gt;0,IMshareC!AW71/(SUM(IMshareC!AW$2:AW$78)-IMshareC!AW$49),0))</f>
        <v>1.0807264923706551E-5</v>
      </c>
      <c r="AX71" s="8">
        <f>IF($A71=AX$1,0,IF(SUM(IMshareC!AX$2:AX$78)-IMshareC!AX$50&gt;0,IMshareC!AX71/(SUM(IMshareC!AX$2:AX$78)-IMshareC!AX$50),0))</f>
        <v>0</v>
      </c>
      <c r="AY71" s="8">
        <f>IF($A71=AY$1,0,IF(SUM(IMshareC!AY$2:AY$78)-IMshareC!AY$51&gt;0,IMshareC!AY71/(SUM(IMshareC!AY$2:AY$78)-IMshareC!AY$51),0))</f>
        <v>0</v>
      </c>
      <c r="AZ71" s="8">
        <f>IF($A71=AZ$1,0,IF(SUM(IMshareC!AZ$2:AZ$78)-IMshareC!AZ$52&gt;0,IMshareC!AZ71/(SUM(IMshareC!AZ$2:AZ$78)-IMshareC!AZ$52),0))</f>
        <v>3.8432446435366868E-8</v>
      </c>
      <c r="BA71" s="8">
        <f>IF($A71=BA$1,0,IF(SUM(IMshareC!BA$2:BA$78)-IMshareC!BA$53&gt;0,IMshareC!BA71/(SUM(IMshareC!BA$2:BA$78)-IMshareC!BA$53),0))</f>
        <v>0</v>
      </c>
      <c r="BB71" s="8">
        <f>IF($A71=BB$1,0,IF(SUM(IMshareC!BB$2:BB$78)-IMshareC!BB$54&gt;0,IMshareC!BB71/(SUM(IMshareC!BB$2:BB$78)-IMshareC!BB$54),0))</f>
        <v>6.8748879251575031E-5</v>
      </c>
      <c r="BC71" s="8">
        <f>IF($A71=BC$1,0,IF(SUM(IMshareC!BC$2:BC$78)-IMshareC!BC$55&gt;0,IMshareC!BC71/(SUM(IMshareC!BC$2:BC$78)-IMshareC!BC$55),0))</f>
        <v>3.9692199127770514E-3</v>
      </c>
      <c r="BD71" s="8">
        <f>IF($A71=BD$1,0,IF(SUM(IMshareC!BD$2:BD$78)-IMshareC!BD$56&gt;0,IMshareC!BD71/(SUM(IMshareC!BD$2:BD$78)-IMshareC!BD$56),0))</f>
        <v>1.5166812813024552E-4</v>
      </c>
      <c r="BE71" s="8">
        <f>IF($A71=BE$1,0,IF(SUM(IMshareC!BE$2:BE$78)-IMshareC!BE$57&gt;0,IMshareC!BE71/(SUM(IMshareC!BE$2:BE$78)-IMshareC!BE$57),0))</f>
        <v>0</v>
      </c>
      <c r="BF71" s="8">
        <f>IF($A71=BF$1,0,IF(SUM(IMshareC!BF$2:BF$78)-IMshareC!BF$58&gt;0,IMshareC!BF71/(SUM(IMshareC!BF$2:BF$78)-IMshareC!BF$58),0))</f>
        <v>1.6363053368473191E-4</v>
      </c>
      <c r="BG71" s="8">
        <f>IF($A71=BG$1,0,IF(SUM(IMshareC!BG$2:BG$78)-IMshareC!BG$59&gt;0,IMshareC!BG71/(SUM(IMshareC!BG$2:BG$78)-IMshareC!BG$59),0))</f>
        <v>2.0564462002836273E-8</v>
      </c>
      <c r="BH71" s="8">
        <f>IF($A71=BH$1,0,IF(SUM(IMshareC!BH$2:BH$78)-IMshareC!BH$60&gt;0,IMshareC!BH71/(SUM(IMshareC!BH$2:BH$78)-IMshareC!BH$60),0))</f>
        <v>1.637706892996628E-4</v>
      </c>
      <c r="BI71" s="8">
        <f>IF($A71=BI$1,0,IF(SUM(IMshareC!BI$2:BI$78)-IMshareC!BI$61&gt;0,IMshareC!BI71/(SUM(IMshareC!BI$2:BI$78)-IMshareC!BI$61),0))</f>
        <v>5.1159962853260023E-5</v>
      </c>
      <c r="BJ71" s="8">
        <f>IF($A71=BJ$1,0,IF(SUM(IMshareC!BJ$2:BJ$78)-IMshareC!BJ$62&gt;0,IMshareC!BJ71/(SUM(IMshareC!BJ$2:BJ$78)-IMshareC!BJ$62),0))</f>
        <v>2.0079706002670122E-5</v>
      </c>
      <c r="BK71" s="8">
        <f>IF($A71=BK$1,0,IF(SUM(IMshareC!BK$2:BK$78)-IMshareC!BK$63&gt;0,IMshareC!BK71/(SUM(IMshareC!BK$2:BK$78)-IMshareC!BK$63),0))</f>
        <v>1.3215131020154938E-6</v>
      </c>
      <c r="BL71" s="8">
        <f>IF($A71=BL$1,0,IF(SUM(IMshareC!BL$2:BL$78)-IMshareC!BL$64&gt;0,IMshareC!BL71/(SUM(IMshareC!BL$2:BL$78)-IMshareC!BL$64),0))</f>
        <v>2.049803040461158E-6</v>
      </c>
      <c r="BM71" s="8">
        <f>IF($A71=BM$1,0,IF(SUM(IMshareC!BM$2:BM$78)-IMshareC!BM$65&gt;0,IMshareC!BM71/(SUM(IMshareC!BM$2:BM$78)-IMshareC!BM$65),0))</f>
        <v>4.3069975935362749E-4</v>
      </c>
      <c r="BN71" s="8">
        <f>IF($A71=BN$1,0,IF(SUM(IMshareC!BN$2:BN$78)-IMshareC!BN$66&gt;0,IMshareC!BN71/(SUM(IMshareC!BN$2:BN$78)-IMshareC!BN$66),0))</f>
        <v>7.7173247577849731E-7</v>
      </c>
      <c r="BO71" s="8">
        <f>IF($A71=BO$1,0,IF(SUM(IMshareC!BO$2:BO$78)-IMshareC!BO$67&gt;0,IMshareC!BO71/(SUM(IMshareC!BO$2:BO$78)-IMshareC!BO$67),0))</f>
        <v>6.5885390572753403E-4</v>
      </c>
      <c r="BP71" s="8">
        <f>IF($A71=BP$1,0,IF(SUM(IMshareC!BP$2:BP$78)-IMshareC!BP$68&gt;0,IMshareC!BP71/(SUM(IMshareC!BP$2:BP$78)-IMshareC!BP$68),0))</f>
        <v>1.0034891991741435E-3</v>
      </c>
      <c r="BQ71" s="8">
        <f>IF($A71=BQ$1,0,IF(SUM(IMshareC!BQ$2:BQ$78)-IMshareC!BQ$69&gt;0,IMshareC!BQ71/(SUM(IMshareC!BQ$2:BQ$78)-IMshareC!BQ$69),0))</f>
        <v>6.4023696475197449E-6</v>
      </c>
      <c r="BR71" s="8">
        <f>IF($A71=BR$1,0,IF(SUM(IMshareC!BR$2:BR$78)-IMshareC!BR$70&gt;0,IMshareC!BR71/(SUM(IMshareC!BR$2:BR$78)-IMshareC!BR$70),0))</f>
        <v>2.2762186303108492E-6</v>
      </c>
      <c r="BS71" s="8">
        <f>IF($A71=BS$1,0,IF(SUM(IMshareC!BS$2:BS$78)-IMshareC!BS$71&gt;0,IMshareC!BS71/(SUM(IMshareC!BS$2:BS$78)-IMshareC!BS$71),0))</f>
        <v>0</v>
      </c>
      <c r="BT71" s="8">
        <f>IF($A71=BT$1,0,IF(SUM(IMshareC!BT$2:BT$78)-IMshareC!BT$72&gt;0,IMshareC!BT71/(SUM(IMshareC!BT$2:BT$78)-IMshareC!BT$72),0))</f>
        <v>2.6559555679830932E-4</v>
      </c>
      <c r="BU71" s="8">
        <f>IF($A71=BU$1,0,IF(SUM(IMshareC!BU$2:BU$78)-IMshareC!BU$73&gt;0,IMshareC!BU71/(SUM(IMshareC!BU$2:BU$78)-IMshareC!BU$73),0))</f>
        <v>3.099732531948322E-7</v>
      </c>
      <c r="BV71" s="8">
        <f>IF($A71=BV$1,0,IF(SUM(IMshareC!BV$2:BV$78)-IMshareC!BV$74&gt;0,IMshareC!BV71/(SUM(IMshareC!BV$2:BV$78)-IMshareC!BV$74),0))</f>
        <v>2.5202181021236118E-4</v>
      </c>
      <c r="BW71" s="8">
        <f>IF($A71=BW$1,0,IF(SUM(IMshareC!BW$2:BW$78)-IMshareC!BW$75&gt;0,IMshareC!BW71/(SUM(IMshareC!BW$2:BW$78)-IMshareC!BW$75),0))</f>
        <v>1.0476278006999327E-4</v>
      </c>
      <c r="BX71" s="8">
        <f>IF($A71=BX$1,0,IF(SUM(IMshareC!BX$2:BX$78)-IMshareC!BX$76&gt;0,IMshareC!BX71/(SUM(IMshareC!BX$2:BX$78)-IMshareC!BX$76),0))</f>
        <v>1.1816636419316689E-6</v>
      </c>
      <c r="BY71" s="8">
        <f>IF($A71=BY$1,0,IF(SUM(IMshareC!BY$2:BY$78)-IMshareC!BY$77&gt;0,IMshareC!BY71/(SUM(IMshareC!BY$2:BY$78)-IMshareC!BY$77),0))</f>
        <v>1.3591808224310871E-4</v>
      </c>
      <c r="BZ71" s="8">
        <f>IF($A71=BZ$1,0,IF(SUM(IMshareC!BZ$2:BZ$78)-IMshareC!BZ$78&gt;0,IMshareC!BZ71/(SUM(IMshareC!BZ$2:BZ$78)-IMshareC!BZ$78),0))</f>
        <v>1.6032595820177539E-4</v>
      </c>
    </row>
    <row r="72" spans="1:78">
      <c r="A72" s="4" t="s">
        <v>211</v>
      </c>
      <c r="B72" s="8">
        <f>IF($A72=B$1,0,IF(SUM(IMshareC!B$2:B$78)-IMshareC!B$2&gt;0,IMshareC!B72/(SUM(IMshareC!B$2:B$78)-IMshareC!B$2),0))</f>
        <v>6.2379333022675651E-4</v>
      </c>
      <c r="C72" s="8">
        <f>IF($A72=C$1,0,IF(SUM(IMshareC!C$2:C$78)-IMshareC!C$3&gt;0,IMshareC!C72/(SUM(IMshareC!C$2:C$78)-IMshareC!C$3),0))</f>
        <v>2.6488249748477156E-4</v>
      </c>
      <c r="D72" s="8">
        <f>IF($A72=D$1,0,IF(SUM(IMshareC!D$2:D$78)-IMshareC!D$4&gt;0,IMshareC!D72/(SUM(IMshareC!D$2:D$78)-IMshareC!D$4),0))</f>
        <v>1.2447291391572233E-3</v>
      </c>
      <c r="E72" s="8">
        <f>IF($A72=E$1,0,IF(SUM(IMshareC!E$2:E$78)-IMshareC!E$5&gt;0,IMshareC!E72/(SUM(IMshareC!E$2:E$78)-IMshareC!E$5),0))</f>
        <v>1.7520188777339992E-4</v>
      </c>
      <c r="F72" s="8">
        <f>IF($A72=F$1,0,IF(SUM(IMshareC!F$2:F$78)-IMshareC!F$6&gt;0,IMshareC!F72/(SUM(IMshareC!F$2:F$78)-IMshareC!F$6),0))</f>
        <v>3.8285995174970455E-3</v>
      </c>
      <c r="G72" s="8">
        <f>IF($A72=G$1,0,IF(SUM(IMshareC!G$2:G$78)-IMshareC!G$7&gt;0,IMshareC!G72/(SUM(IMshareC!G$2:G$78)-IMshareC!G$7),0))</f>
        <v>1.2165326986681832E-2</v>
      </c>
      <c r="H72" s="8">
        <f>IF($A72=H$1,0,IF(SUM(IMshareC!H$2:H$78)-IMshareC!H$8&gt;0,IMshareC!H72/(SUM(IMshareC!H$2:H$78)-IMshareC!H$8),0))</f>
        <v>5.1785118565321461E-2</v>
      </c>
      <c r="I72" s="8">
        <f>IF($A72=I$1,0,IF(SUM(IMshareC!I$2:I$78)-IMshareC!I$9&gt;0,IMshareC!I72/(SUM(IMshareC!I$2:I$78)-IMshareC!I$9),0))</f>
        <v>4.7492654033754691E-5</v>
      </c>
      <c r="J72" s="8">
        <f>IF($A72=J$1,0,IF(SUM(IMshareC!J$2:J$78)-IMshareC!J$10&gt;0,IMshareC!J72/(SUM(IMshareC!J$2:J$78)-IMshareC!J$10),0))</f>
        <v>1.637483269458359E-5</v>
      </c>
      <c r="K72" s="8">
        <f>IF($A72=K$1,0,IF(SUM(IMshareC!K$2:K$78)-IMshareC!K$11&gt;0,IMshareC!K72/(SUM(IMshareC!K$2:K$78)-IMshareC!K$11),0))</f>
        <v>4.4346118468523842E-5</v>
      </c>
      <c r="L72" s="8">
        <f>IF($A72=L$1,0,IF(SUM(IMshareC!L$2:L$78)-IMshareC!L$12&gt;0,IMshareC!L72/(SUM(IMshareC!L$2:L$78)-IMshareC!L$12),0))</f>
        <v>4.6409081602167418E-4</v>
      </c>
      <c r="M72" s="8">
        <f>IF($A72=M$1,0,IF(SUM(IMshareC!M$2:M$78)-IMshareC!M$13&gt;0,IMshareC!M72/(SUM(IMshareC!M$2:M$78)-IMshareC!M$13),0))</f>
        <v>1.0033223018357162E-3</v>
      </c>
      <c r="N72" s="8">
        <f>IF($A72=N$1,0,IF(SUM(IMshareC!N$2:N$78)-IMshareC!N$14&gt;0,IMshareC!N72/(SUM(IMshareC!N$2:N$78)-IMshareC!N$14),0))</f>
        <v>7.7455445182789361E-6</v>
      </c>
      <c r="O72" s="8">
        <f>IF($A72=O$1,0,IF(SUM(IMshareC!O$2:O$78)-IMshareC!O$15&gt;0,IMshareC!O72/(SUM(IMshareC!O$2:O$78)-IMshareC!O$15),0))</f>
        <v>1.1015185226428382E-2</v>
      </c>
      <c r="P72" s="8">
        <f>IF($A72=P$1,0,IF(SUM(IMshareC!P$2:P$78)-IMshareC!P$16&gt;0,IMshareC!P72/(SUM(IMshareC!P$2:P$78)-IMshareC!P$16),0))</f>
        <v>3.3130765038222806E-2</v>
      </c>
      <c r="Q72" s="8">
        <f>IF($A72=Q$1,0,IF(SUM(IMshareC!Q$2:Q$78)-IMshareC!Q$17&gt;0,IMshareC!Q72/(SUM(IMshareC!Q$2:Q$78)-IMshareC!Q$17),0))</f>
        <v>2.7753948122768955E-3</v>
      </c>
      <c r="R72" s="8">
        <f>IF($A72=R$1,0,IF(SUM(IMshareC!R$2:R$78)-IMshareC!R$18&gt;0,IMshareC!R72/(SUM(IMshareC!R$2:R$78)-IMshareC!R$18),0))</f>
        <v>2.0990222738550258E-4</v>
      </c>
      <c r="S72" s="8">
        <f>IF($A72=S$1,0,IF(SUM(IMshareC!S$2:S$78)-IMshareC!S$19&gt;0,IMshareC!S72/(SUM(IMshareC!S$2:S$78)-IMshareC!S$19),0))</f>
        <v>9.6906803820391186E-5</v>
      </c>
      <c r="T72" s="8">
        <f>IF($A72=T$1,0,IF(SUM(IMshareC!T$2:T$78)-IMshareC!T$20&gt;0,IMshareC!T72/(SUM(IMshareC!T$2:T$78)-IMshareC!T$20),0))</f>
        <v>4.7107637214373918E-4</v>
      </c>
      <c r="U72" s="8">
        <f>IF($A72=U$1,0,IF(SUM(IMshareC!U$2:U$78)-IMshareC!U$21&gt;0,IMshareC!U72/(SUM(IMshareC!U$2:U$78)-IMshareC!U$21),0))</f>
        <v>2.1335430089892168E-3</v>
      </c>
      <c r="V72" s="8">
        <f>IF($A72=V$1,0,IF(SUM(IMshareC!V$2:V$78)-IMshareC!V$22&gt;0,IMshareC!V72/(SUM(IMshareC!V$2:V$78)-IMshareC!V$22),0))</f>
        <v>1.3002886956180364E-3</v>
      </c>
      <c r="W72" s="8">
        <f>IF($A72=W$1,0,IF(SUM(IMshareC!W$2:W$78)-IMshareC!W$23&gt;0,IMshareC!W72/(SUM(IMshareC!W$2:W$78)-IMshareC!W$23),0))</f>
        <v>1.0304011608345843E-2</v>
      </c>
      <c r="X72" s="8">
        <f>IF($A72=X$1,0,IF(SUM(IMshareC!X$2:X$78)-IMshareC!X$24&gt;0,IMshareC!X72/(SUM(IMshareC!X$2:X$78)-IMshareC!X$24),0))</f>
        <v>3.2262048561907419E-3</v>
      </c>
      <c r="Y72" s="8">
        <f>IF($A72=Y$1,0,IF(SUM(IMshareC!Y$2:Y$78)-IMshareC!Y$25&gt;0,IMshareC!Y72/(SUM(IMshareC!Y$2:Y$78)-IMshareC!Y$25),0))</f>
        <v>8.896432804735123E-5</v>
      </c>
      <c r="Z72" s="8">
        <f>IF($A72=Z$1,0,IF(SUM(IMshareC!Z$2:Z$78)-IMshareC!Z$26&gt;0,IMshareC!Z72/(SUM(IMshareC!Z$2:Z$78)-IMshareC!Z$26),0))</f>
        <v>1.5950758730093781E-4</v>
      </c>
      <c r="AA72" s="8">
        <f>IF($A72=AA$1,0,IF(SUM(IMshareC!AA$2:AA$78)-IMshareC!AA$27&gt;0,IMshareC!AA72/(SUM(IMshareC!AA$2:AA$78)-IMshareC!AA$27),0))</f>
        <v>1.1014248038081964E-3</v>
      </c>
      <c r="AB72" s="8">
        <f>IF($A72=AB$1,0,IF(SUM(IMshareC!AB$2:AB$78)-IMshareC!AB$28&gt;0,IMshareC!AB72/(SUM(IMshareC!AB$2:AB$78)-IMshareC!AB$28),0))</f>
        <v>6.9206333552374326E-4</v>
      </c>
      <c r="AC72" s="8">
        <f>IF($A72=AC$1,0,IF(SUM(IMshareC!AC$2:AC$78)-IMshareC!AC$29&gt;0,IMshareC!AC72/(SUM(IMshareC!AC$2:AC$78)-IMshareC!AC$29),0))</f>
        <v>6.7292689360788957E-2</v>
      </c>
      <c r="AD72" s="8">
        <f>IF($A72=AD$1,0,IF(SUM(IMshareC!AD$2:AD$78)-IMshareC!AD$30&gt;0,IMshareC!AD72/(SUM(IMshareC!AD$2:AD$78)-IMshareC!AD$30),0))</f>
        <v>2.5326814850937459E-5</v>
      </c>
      <c r="AE72" s="8">
        <f>IF($A72=AE$1,0,IF(SUM(IMshareC!AE$2:AE$78)-IMshareC!AE$31&gt;0,IMshareC!AE72/(SUM(IMshareC!AE$2:AE$78)-IMshareC!AE$31),0))</f>
        <v>1.8150186411964226E-3</v>
      </c>
      <c r="AF72" s="8">
        <f>IF($A72=AF$1,0,IF(SUM(IMshareC!AF$2:AF$78)-IMshareC!AF$32&gt;0,IMshareC!AF72/(SUM(IMshareC!AF$2:AF$78)-IMshareC!AF$32),0))</f>
        <v>7.5211243985544383E-4</v>
      </c>
      <c r="AG72" s="8">
        <f>IF($A72=AG$1,0,IF(SUM(IMshareC!AG$2:AG$78)-IMshareC!AG$33&gt;0,IMshareC!AG72/(SUM(IMshareC!AG$2:AG$78)-IMshareC!AG$33),0))</f>
        <v>1.0471703815042192E-4</v>
      </c>
      <c r="AH72" s="8">
        <f>IF($A72=AH$1,0,IF(SUM(IMshareC!AH$2:AH$78)-IMshareC!AH$34&gt;0,IMshareC!AH72/(SUM(IMshareC!AH$2:AH$78)-IMshareC!AH$34),0))</f>
        <v>2.9032299570824581E-4</v>
      </c>
      <c r="AI72" s="8">
        <f>IF($A72=AI$1,0,IF(SUM(IMshareC!AI$2:AI$78)-IMshareC!AI$35&gt;0,IMshareC!AI72/(SUM(IMshareC!AI$2:AI$78)-IMshareC!AI$35),0))</f>
        <v>2.4355029806803764E-5</v>
      </c>
      <c r="AJ72" s="8">
        <f>IF($A72=AJ$1,0,IF(SUM(IMshareC!AJ$2:AJ$78)-IMshareC!AJ$36&gt;0,IMshareC!AJ72/(SUM(IMshareC!AJ$2:AJ$78)-IMshareC!AJ$36),0))</f>
        <v>4.3423813362186882E-4</v>
      </c>
      <c r="AK72" s="8">
        <f>IF($A72=AK$1,0,IF(SUM(IMshareC!AK$2:AK$78)-IMshareC!AK$37&gt;0,IMshareC!AK72/(SUM(IMshareC!AK$2:AK$78)-IMshareC!AK$37),0))</f>
        <v>4.9315755265339465E-4</v>
      </c>
      <c r="AL72" s="8">
        <f>IF($A72=AL$1,0,IF(SUM(IMshareC!AL$2:AL$78)-IMshareC!AL$38&gt;0,IMshareC!AL72/(SUM(IMshareC!AL$2:AL$78)-IMshareC!AL$38),0))</f>
        <v>8.5931538406363445E-4</v>
      </c>
      <c r="AM72" s="8">
        <f>IF($A72=AM$1,0,IF(SUM(IMshareC!AM$2:AM$78)-IMshareC!AM$39&gt;0,IMshareC!AM72/(SUM(IMshareC!AM$2:AM$78)-IMshareC!AM$39),0))</f>
        <v>1.3767744942002611E-2</v>
      </c>
      <c r="AN72" s="8">
        <f>IF($A72=AN$1,0,IF(SUM(IMshareC!AN$2:AN$78)-IMshareC!AN$40&gt;0,IMshareC!AN72/(SUM(IMshareC!AN$2:AN$78)-IMshareC!AN$40),0))</f>
        <v>9.9154524260457281E-6</v>
      </c>
      <c r="AO72" s="8">
        <f>IF($A72=AO$1,0,IF(SUM(IMshareC!AO$2:AO$78)-IMshareC!AO$41&gt;0,IMshareC!AO72/(SUM(IMshareC!AO$2:AO$78)-IMshareC!AO$41),0))</f>
        <v>1.9127282026479547E-2</v>
      </c>
      <c r="AP72" s="8">
        <f>IF($A72=AP$1,0,IF(SUM(IMshareC!AP$2:AP$78)-IMshareC!AP$42&gt;0,IMshareC!AP72/(SUM(IMshareC!AP$2:AP$78)-IMshareC!AP$42),0))</f>
        <v>4.1824139445757855E-4</v>
      </c>
      <c r="AQ72" s="8">
        <f>IF($A72=AQ$1,0,IF(SUM(IMshareC!AQ$2:AQ$78)-IMshareC!AQ$43&gt;0,IMshareC!AQ72/(SUM(IMshareC!AQ$2:AQ$78)-IMshareC!AQ$43),0))</f>
        <v>2.5556527109125329E-6</v>
      </c>
      <c r="AR72" s="8">
        <f>IF($A72=AR$1,0,IF(SUM(IMshareC!AR$2:AR$78)-IMshareC!AR$44&gt;0,IMshareC!AR72/(SUM(IMshareC!AR$2:AR$78)-IMshareC!AR$44),0))</f>
        <v>1.1584320324445783E-4</v>
      </c>
      <c r="AS72" s="8">
        <f>IF($A72=AS$1,0,IF(SUM(IMshareC!AS$2:AS$78)-IMshareC!AS$45&gt;0,IMshareC!AS72/(SUM(IMshareC!AS$2:AS$78)-IMshareC!AS$45),0))</f>
        <v>1.8615897815138841E-4</v>
      </c>
      <c r="AT72" s="8">
        <f>IF($A72=AT$1,0,IF(SUM(IMshareC!AT$2:AT$78)-IMshareC!AT$46&gt;0,IMshareC!AT72/(SUM(IMshareC!AT$2:AT$78)-IMshareC!AT$46),0))</f>
        <v>2.3179934294567238E-4</v>
      </c>
      <c r="AU72" s="8">
        <f>IF($A72=AU$1,0,IF(SUM(IMshareC!AU$2:AU$78)-IMshareC!AU$47&gt;0,IMshareC!AU72/(SUM(IMshareC!AU$2:AU$78)-IMshareC!AU$47),0))</f>
        <v>2.616258768879503E-4</v>
      </c>
      <c r="AV72" s="8">
        <f>IF($A72=AV$1,0,IF(SUM(IMshareC!AV$2:AV$78)-IMshareC!AV$48&gt;0,IMshareC!AV72/(SUM(IMshareC!AV$2:AV$78)-IMshareC!AV$48),0))</f>
        <v>4.6570059047246759E-3</v>
      </c>
      <c r="AW72" s="8">
        <f>IF($A72=AW$1,0,IF(SUM(IMshareC!AW$2:AW$78)-IMshareC!AW$49&gt;0,IMshareC!AW72/(SUM(IMshareC!AW$2:AW$78)-IMshareC!AW$49),0))</f>
        <v>7.6363701194166641E-5</v>
      </c>
      <c r="AX72" s="8">
        <f>IF($A72=AX$1,0,IF(SUM(IMshareC!AX$2:AX$78)-IMshareC!AX$50&gt;0,IMshareC!AX72/(SUM(IMshareC!AX$2:AX$78)-IMshareC!AX$50),0))</f>
        <v>1.036543038428281E-4</v>
      </c>
      <c r="AY72" s="8">
        <f>IF($A72=AY$1,0,IF(SUM(IMshareC!AY$2:AY$78)-IMshareC!AY$51&gt;0,IMshareC!AY72/(SUM(IMshareC!AY$2:AY$78)-IMshareC!AY$51),0))</f>
        <v>3.8163315586434008E-4</v>
      </c>
      <c r="AZ72" s="8">
        <f>IF($A72=AZ$1,0,IF(SUM(IMshareC!AZ$2:AZ$78)-IMshareC!AZ$52&gt;0,IMshareC!AZ72/(SUM(IMshareC!AZ$2:AZ$78)-IMshareC!AZ$52),0))</f>
        <v>6.5306343068992851E-6</v>
      </c>
      <c r="BA72" s="8">
        <f>IF($A72=BA$1,0,IF(SUM(IMshareC!BA$2:BA$78)-IMshareC!BA$53&gt;0,IMshareC!BA72/(SUM(IMshareC!BA$2:BA$78)-IMshareC!BA$53),0))</f>
        <v>8.5568700533538919E-3</v>
      </c>
      <c r="BB72" s="8">
        <f>IF($A72=BB$1,0,IF(SUM(IMshareC!BB$2:BB$78)-IMshareC!BB$54&gt;0,IMshareC!BB72/(SUM(IMshareC!BB$2:BB$78)-IMshareC!BB$54),0))</f>
        <v>2.5614500464590887E-4</v>
      </c>
      <c r="BC72" s="8">
        <f>IF($A72=BC$1,0,IF(SUM(IMshareC!BC$2:BC$78)-IMshareC!BC$55&gt;0,IMshareC!BC72/(SUM(IMshareC!BC$2:BC$78)-IMshareC!BC$55),0))</f>
        <v>3.2801185281518063E-4</v>
      </c>
      <c r="BD72" s="8">
        <f>IF($A72=BD$1,0,IF(SUM(IMshareC!BD$2:BD$78)-IMshareC!BD$56&gt;0,IMshareC!BD72/(SUM(IMshareC!BD$2:BD$78)-IMshareC!BD$56),0))</f>
        <v>2.4198436509875176E-4</v>
      </c>
      <c r="BE72" s="8">
        <f>IF($A72=BE$1,0,IF(SUM(IMshareC!BE$2:BE$78)-IMshareC!BE$57&gt;0,IMshareC!BE72/(SUM(IMshareC!BE$2:BE$78)-IMshareC!BE$57),0))</f>
        <v>9.5122853089826109E-3</v>
      </c>
      <c r="BF72" s="8">
        <f>IF($A72=BF$1,0,IF(SUM(IMshareC!BF$2:BF$78)-IMshareC!BF$58&gt;0,IMshareC!BF72/(SUM(IMshareC!BF$2:BF$78)-IMshareC!BF$58),0))</f>
        <v>1.2186353244560599E-3</v>
      </c>
      <c r="BG72" s="8">
        <f>IF($A72=BG$1,0,IF(SUM(IMshareC!BG$2:BG$78)-IMshareC!BG$59&gt;0,IMshareC!BG72/(SUM(IMshareC!BG$2:BG$78)-IMshareC!BG$59),0))</f>
        <v>4.3916101791169323E-6</v>
      </c>
      <c r="BH72" s="8">
        <f>IF($A72=BH$1,0,IF(SUM(IMshareC!BH$2:BH$78)-IMshareC!BH$60&gt;0,IMshareC!BH72/(SUM(IMshareC!BH$2:BH$78)-IMshareC!BH$60),0))</f>
        <v>5.4757836568940482E-4</v>
      </c>
      <c r="BI72" s="8">
        <f>IF($A72=BI$1,0,IF(SUM(IMshareC!BI$2:BI$78)-IMshareC!BI$61&gt;0,IMshareC!BI72/(SUM(IMshareC!BI$2:BI$78)-IMshareC!BI$61),0))</f>
        <v>2.6006965022341578E-4</v>
      </c>
      <c r="BJ72" s="8">
        <f>IF($A72=BJ$1,0,IF(SUM(IMshareC!BJ$2:BJ$78)-IMshareC!BJ$62&gt;0,IMshareC!BJ72/(SUM(IMshareC!BJ$2:BJ$78)-IMshareC!BJ$62),0))</f>
        <v>1.4378384041739331E-3</v>
      </c>
      <c r="BK72" s="8">
        <f>IF($A72=BK$1,0,IF(SUM(IMshareC!BK$2:BK$78)-IMshareC!BK$63&gt;0,IMshareC!BK72/(SUM(IMshareC!BK$2:BK$78)-IMshareC!BK$63),0))</f>
        <v>9.4583713844152567E-3</v>
      </c>
      <c r="BL72" s="8">
        <f>IF($A72=BL$1,0,IF(SUM(IMshareC!BL$2:BL$78)-IMshareC!BL$64&gt;0,IMshareC!BL72/(SUM(IMshareC!BL$2:BL$78)-IMshareC!BL$64),0))</f>
        <v>2.7291820514826958E-3</v>
      </c>
      <c r="BM72" s="8">
        <f>IF($A72=BM$1,0,IF(SUM(IMshareC!BM$2:BM$78)-IMshareC!BM$65&gt;0,IMshareC!BM72/(SUM(IMshareC!BM$2:BM$78)-IMshareC!BM$65),0))</f>
        <v>0.39529367726160036</v>
      </c>
      <c r="BN72" s="8">
        <f>IF($A72=BN$1,0,IF(SUM(IMshareC!BN$2:BN$78)-IMshareC!BN$66&gt;0,IMshareC!BN72/(SUM(IMshareC!BN$2:BN$78)-IMshareC!BN$66),0))</f>
        <v>2.1168137582621028E-6</v>
      </c>
      <c r="BO72" s="8">
        <f>IF($A72=BO$1,0,IF(SUM(IMshareC!BO$2:BO$78)-IMshareC!BO$67&gt;0,IMshareC!BO72/(SUM(IMshareC!BO$2:BO$78)-IMshareC!BO$67),0))</f>
        <v>9.5949906909358605E-5</v>
      </c>
      <c r="BP72" s="8">
        <f>IF($A72=BP$1,0,IF(SUM(IMshareC!BP$2:BP$78)-IMshareC!BP$68&gt;0,IMshareC!BP72/(SUM(IMshareC!BP$2:BP$78)-IMshareC!BP$68),0))</f>
        <v>2.0380146903865221E-3</v>
      </c>
      <c r="BQ72" s="8">
        <f>IF($A72=BQ$1,0,IF(SUM(IMshareC!BQ$2:BQ$78)-IMshareC!BQ$69&gt;0,IMshareC!BQ72/(SUM(IMshareC!BQ$2:BQ$78)-IMshareC!BQ$69),0))</f>
        <v>3.8286170381159193E-4</v>
      </c>
      <c r="BR72" s="8">
        <f>IF($A72=BR$1,0,IF(SUM(IMshareC!BR$2:BR$78)-IMshareC!BR$70&gt;0,IMshareC!BR72/(SUM(IMshareC!BR$2:BR$78)-IMshareC!BR$70),0))</f>
        <v>1.3489896523854723E-5</v>
      </c>
      <c r="BS72" s="8">
        <f>IF($A72=BS$1,0,IF(SUM(IMshareC!BS$2:BS$78)-IMshareC!BS$71&gt;0,IMshareC!BS72/(SUM(IMshareC!BS$2:BS$78)-IMshareC!BS$71),0))</f>
        <v>7.637576732658593E-4</v>
      </c>
      <c r="BT72" s="8">
        <f>IF($A72=BT$1,0,IF(SUM(IMshareC!BT$2:BT$78)-IMshareC!BT$72&gt;0,IMshareC!BT72/(SUM(IMshareC!BT$2:BT$78)-IMshareC!BT$72),0))</f>
        <v>0</v>
      </c>
      <c r="BU72" s="8">
        <f>IF($A72=BU$1,0,IF(SUM(IMshareC!BU$2:BU$78)-IMshareC!BU$73&gt;0,IMshareC!BU72/(SUM(IMshareC!BU$2:BU$78)-IMshareC!BU$73),0))</f>
        <v>5.0283156612735109E-6</v>
      </c>
      <c r="BV72" s="8">
        <f>IF($A72=BV$1,0,IF(SUM(IMshareC!BV$2:BV$78)-IMshareC!BV$74&gt;0,IMshareC!BV72/(SUM(IMshareC!BV$2:BV$78)-IMshareC!BV$74),0))</f>
        <v>7.2424965522284663E-4</v>
      </c>
      <c r="BW72" s="8">
        <f>IF($A72=BW$1,0,IF(SUM(IMshareC!BW$2:BW$78)-IMshareC!BW$75&gt;0,IMshareC!BW72/(SUM(IMshareC!BW$2:BW$78)-IMshareC!BW$75),0))</f>
        <v>2.0777685693981635E-4</v>
      </c>
      <c r="BX72" s="8">
        <f>IF($A72=BX$1,0,IF(SUM(IMshareC!BX$2:BX$78)-IMshareC!BX$76&gt;0,IMshareC!BX72/(SUM(IMshareC!BX$2:BX$78)-IMshareC!BX$76),0))</f>
        <v>1.6075503557912806E-5</v>
      </c>
      <c r="BY72" s="8">
        <f>IF($A72=BY$1,0,IF(SUM(IMshareC!BY$2:BY$78)-IMshareC!BY$77&gt;0,IMshareC!BY72/(SUM(IMshareC!BY$2:BY$78)-IMshareC!BY$77),0))</f>
        <v>2.6062277631944538E-3</v>
      </c>
      <c r="BZ72" s="8">
        <f>IF($A72=BZ$1,0,IF(SUM(IMshareC!BZ$2:BZ$78)-IMshareC!BZ$78&gt;0,IMshareC!BZ72/(SUM(IMshareC!BZ$2:BZ$78)-IMshareC!BZ$78),0))</f>
        <v>7.6049641029686662E-3</v>
      </c>
    </row>
    <row r="73" spans="1:78">
      <c r="A73" s="4" t="s">
        <v>213</v>
      </c>
      <c r="B73" s="8">
        <f>IF($A73=B$1,0,IF(SUM(IMshareC!B$2:B$78)-IMshareC!B$2&gt;0,IMshareC!B73/(SUM(IMshareC!B$2:B$78)-IMshareC!B$2),0))</f>
        <v>4.8965991946242217E-2</v>
      </c>
      <c r="C73" s="8">
        <f>IF($A73=C$1,0,IF(SUM(IMshareC!C$2:C$78)-IMshareC!C$3&gt;0,IMshareC!C73/(SUM(IMshareC!C$2:C$78)-IMshareC!C$3),0))</f>
        <v>0.14808255472780918</v>
      </c>
      <c r="D73" s="8">
        <f>IF($A73=D$1,0,IF(SUM(IMshareC!D$2:D$78)-IMshareC!D$4&gt;0,IMshareC!D73/(SUM(IMshareC!D$2:D$78)-IMshareC!D$4),0))</f>
        <v>0.14865698454282894</v>
      </c>
      <c r="E73" s="8">
        <f>IF($A73=E$1,0,IF(SUM(IMshareC!E$2:E$78)-IMshareC!E$5&gt;0,IMshareC!E73/(SUM(IMshareC!E$2:E$78)-IMshareC!E$5),0))</f>
        <v>0.11757159888935165</v>
      </c>
      <c r="F73" s="8">
        <f>IF($A73=F$1,0,IF(SUM(IMshareC!F$2:F$78)-IMshareC!F$6&gt;0,IMshareC!F73/(SUM(IMshareC!F$2:F$78)-IMshareC!F$6),0))</f>
        <v>6.473927106519727E-3</v>
      </c>
      <c r="G73" s="8">
        <f>IF($A73=G$1,0,IF(SUM(IMshareC!G$2:G$78)-IMshareC!G$7&gt;0,IMshareC!G73/(SUM(IMshareC!G$2:G$78)-IMshareC!G$7),0))</f>
        <v>3.5566732616312914E-2</v>
      </c>
      <c r="H73" s="8">
        <f>IF($A73=H$1,0,IF(SUM(IMshareC!H$2:H$78)-IMshareC!H$8&gt;0,IMshareC!H73/(SUM(IMshareC!H$2:H$78)-IMshareC!H$8),0))</f>
        <v>7.926237289562658E-4</v>
      </c>
      <c r="I73" s="8">
        <f>IF($A73=I$1,0,IF(SUM(IMshareC!I$2:I$78)-IMshareC!I$9&gt;0,IMshareC!I73/(SUM(IMshareC!I$2:I$78)-IMshareC!I$9),0))</f>
        <v>0.14956992824763782</v>
      </c>
      <c r="J73" s="8">
        <f>IF($A73=J$1,0,IF(SUM(IMshareC!J$2:J$78)-IMshareC!J$10&gt;0,IMshareC!J73/(SUM(IMshareC!J$2:J$78)-IMshareC!J$10),0))</f>
        <v>7.3790945014956142E-4</v>
      </c>
      <c r="K73" s="8">
        <f>IF($A73=K$1,0,IF(SUM(IMshareC!K$2:K$78)-IMshareC!K$11&gt;0,IMshareC!K73/(SUM(IMshareC!K$2:K$78)-IMshareC!K$11),0))</f>
        <v>0.18952837469978995</v>
      </c>
      <c r="L73" s="8">
        <f>IF($A73=L$1,0,IF(SUM(IMshareC!L$2:L$78)-IMshareC!L$12&gt;0,IMshareC!L73/(SUM(IMshareC!L$2:L$78)-IMshareC!L$12),0))</f>
        <v>0.14273136267685008</v>
      </c>
      <c r="M73" s="8">
        <f>IF($A73=M$1,0,IF(SUM(IMshareC!M$2:M$78)-IMshareC!M$13&gt;0,IMshareC!M73/(SUM(IMshareC!M$2:M$78)-IMshareC!M$13),0))</f>
        <v>1.5303236155673352E-2</v>
      </c>
      <c r="N73" s="8">
        <f>IF($A73=N$1,0,IF(SUM(IMshareC!N$2:N$78)-IMshareC!N$14&gt;0,IMshareC!N73/(SUM(IMshareC!N$2:N$78)-IMshareC!N$14),0))</f>
        <v>0.42883612277502198</v>
      </c>
      <c r="O73" s="8">
        <f>IF($A73=O$1,0,IF(SUM(IMshareC!O$2:O$78)-IMshareC!O$15&gt;0,IMshareC!O73/(SUM(IMshareC!O$2:O$78)-IMshareC!O$15),0))</f>
        <v>3.6318367859587428E-3</v>
      </c>
      <c r="P73" s="8">
        <f>IF($A73=P$1,0,IF(SUM(IMshareC!P$2:P$78)-IMshareC!P$16&gt;0,IMshareC!P73/(SUM(IMshareC!P$2:P$78)-IMshareC!P$16),0))</f>
        <v>5.41856875061173E-4</v>
      </c>
      <c r="Q73" s="8">
        <f>IF($A73=Q$1,0,IF(SUM(IMshareC!Q$2:Q$78)-IMshareC!Q$17&gt;0,IMshareC!Q73/(SUM(IMshareC!Q$2:Q$78)-IMshareC!Q$17),0))</f>
        <v>3.1760795538364396E-2</v>
      </c>
      <c r="R73" s="8">
        <f>IF($A73=R$1,0,IF(SUM(IMshareC!R$2:R$78)-IMshareC!R$18&gt;0,IMshareC!R73/(SUM(IMshareC!R$2:R$78)-IMshareC!R$18),0))</f>
        <v>5.5194808562070159E-2</v>
      </c>
      <c r="S73" s="8">
        <f>IF($A73=S$1,0,IF(SUM(IMshareC!S$2:S$78)-IMshareC!S$19&gt;0,IMshareC!S73/(SUM(IMshareC!S$2:S$78)-IMshareC!S$19),0))</f>
        <v>7.5328377019641974E-3</v>
      </c>
      <c r="T73" s="8">
        <f>IF($A73=T$1,0,IF(SUM(IMshareC!T$2:T$78)-IMshareC!T$20&gt;0,IMshareC!T73/(SUM(IMshareC!T$2:T$78)-IMshareC!T$20),0))</f>
        <v>5.6202921481936605E-2</v>
      </c>
      <c r="U73" s="8">
        <f>IF($A73=U$1,0,IF(SUM(IMshareC!U$2:U$78)-IMshareC!U$21&gt;0,IMshareC!U73/(SUM(IMshareC!U$2:U$78)-IMshareC!U$21),0))</f>
        <v>0.1892199901149898</v>
      </c>
      <c r="V73" s="8">
        <f>IF($A73=V$1,0,IF(SUM(IMshareC!V$2:V$78)-IMshareC!V$22&gt;0,IMshareC!V73/(SUM(IMshareC!V$2:V$78)-IMshareC!V$22),0))</f>
        <v>5.2406265079354204E-2</v>
      </c>
      <c r="W73" s="8">
        <f>IF($A73=W$1,0,IF(SUM(IMshareC!W$2:W$78)-IMshareC!W$23&gt;0,IMshareC!W73/(SUM(IMshareC!W$2:W$78)-IMshareC!W$23),0))</f>
        <v>0.16908741527082294</v>
      </c>
      <c r="X73" s="8">
        <f>IF($A73=X$1,0,IF(SUM(IMshareC!X$2:X$78)-IMshareC!X$24&gt;0,IMshareC!X73/(SUM(IMshareC!X$2:X$78)-IMshareC!X$24),0))</f>
        <v>2.8455623798127747E-2</v>
      </c>
      <c r="Y73" s="8">
        <f>IF($A73=Y$1,0,IF(SUM(IMshareC!Y$2:Y$78)-IMshareC!Y$25&gt;0,IMshareC!Y73/(SUM(IMshareC!Y$2:Y$78)-IMshareC!Y$25),0))</f>
        <v>0.12464261404352205</v>
      </c>
      <c r="Z73" s="8">
        <f>IF($A73=Z$1,0,IF(SUM(IMshareC!Z$2:Z$78)-IMshareC!Z$26&gt;0,IMshareC!Z73/(SUM(IMshareC!Z$2:Z$78)-IMshareC!Z$26),0))</f>
        <v>0.3436418015523659</v>
      </c>
      <c r="AA73" s="8">
        <f>IF($A73=AA$1,0,IF(SUM(IMshareC!AA$2:AA$78)-IMshareC!AA$27&gt;0,IMshareC!AA73/(SUM(IMshareC!AA$2:AA$78)-IMshareC!AA$27),0))</f>
        <v>0.19181643731583287</v>
      </c>
      <c r="AB73" s="8">
        <f>IF($A73=AB$1,0,IF(SUM(IMshareC!AB$2:AB$78)-IMshareC!AB$28&gt;0,IMshareC!AB73/(SUM(IMshareC!AB$2:AB$78)-IMshareC!AB$28),0))</f>
        <v>0.12872207884526146</v>
      </c>
      <c r="AC73" s="8">
        <f>IF($A73=AC$1,0,IF(SUM(IMshareC!AC$2:AC$78)-IMshareC!AC$29&gt;0,IMshareC!AC73/(SUM(IMshareC!AC$2:AC$78)-IMshareC!AC$29),0))</f>
        <v>6.3699599034322037E-3</v>
      </c>
      <c r="AD73" s="8">
        <f>IF($A73=AD$1,0,IF(SUM(IMshareC!AD$2:AD$78)-IMshareC!AD$30&gt;0,IMshareC!AD73/(SUM(IMshareC!AD$2:AD$78)-IMshareC!AD$30),0))</f>
        <v>0.26330332583486871</v>
      </c>
      <c r="AE73" s="8">
        <f>IF($A73=AE$1,0,IF(SUM(IMshareC!AE$2:AE$78)-IMshareC!AE$31&gt;0,IMshareC!AE73/(SUM(IMshareC!AE$2:AE$78)-IMshareC!AE$31),0))</f>
        <v>7.3654205792295525E-3</v>
      </c>
      <c r="AF73" s="8">
        <f>IF($A73=AF$1,0,IF(SUM(IMshareC!AF$2:AF$78)-IMshareC!AF$32&gt;0,IMshareC!AF73/(SUM(IMshareC!AF$2:AF$78)-IMshareC!AF$32),0))</f>
        <v>3.2103120502640206E-2</v>
      </c>
      <c r="AG73" s="8">
        <f>IF($A73=AG$1,0,IF(SUM(IMshareC!AG$2:AG$78)-IMshareC!AG$33&gt;0,IMshareC!AG73/(SUM(IMshareC!AG$2:AG$78)-IMshareC!AG$33),0))</f>
        <v>0.22601993105320392</v>
      </c>
      <c r="AH73" s="8">
        <f>IF($A73=AH$1,0,IF(SUM(IMshareC!AH$2:AH$78)-IMshareC!AH$34&gt;0,IMshareC!AH73/(SUM(IMshareC!AH$2:AH$78)-IMshareC!AH$34),0))</f>
        <v>5.9145127243251494E-2</v>
      </c>
      <c r="AI73" s="8">
        <f>IF($A73=AI$1,0,IF(SUM(IMshareC!AI$2:AI$78)-IMshareC!AI$35&gt;0,IMshareC!AI73/(SUM(IMshareC!AI$2:AI$78)-IMshareC!AI$35),0))</f>
        <v>1.7177349765768023E-2</v>
      </c>
      <c r="AJ73" s="8">
        <f>IF($A73=AJ$1,0,IF(SUM(IMshareC!AJ$2:AJ$78)-IMshareC!AJ$36&gt;0,IMshareC!AJ73/(SUM(IMshareC!AJ$2:AJ$78)-IMshareC!AJ$36),0))</f>
        <v>3.0376045782573195E-2</v>
      </c>
      <c r="AK73" s="8">
        <f>IF($A73=AK$1,0,IF(SUM(IMshareC!AK$2:AK$78)-IMshareC!AK$37&gt;0,IMshareC!AK73/(SUM(IMshareC!AK$2:AK$78)-IMshareC!AK$37),0))</f>
        <v>8.78639558151251E-2</v>
      </c>
      <c r="AL73" s="8">
        <f>IF($A73=AL$1,0,IF(SUM(IMshareC!AL$2:AL$78)-IMshareC!AL$38&gt;0,IMshareC!AL73/(SUM(IMshareC!AL$2:AL$78)-IMshareC!AL$38),0))</f>
        <v>3.7806736893033203E-2</v>
      </c>
      <c r="AM73" s="8">
        <f>IF($A73=AM$1,0,IF(SUM(IMshareC!AM$2:AM$78)-IMshareC!AM$39&gt;0,IMshareC!AM73/(SUM(IMshareC!AM$2:AM$78)-IMshareC!AM$39),0))</f>
        <v>3.4010107295527628E-2</v>
      </c>
      <c r="AN73" s="8">
        <f>IF($A73=AN$1,0,IF(SUM(IMshareC!AN$2:AN$78)-IMshareC!AN$40&gt;0,IMshareC!AN73/(SUM(IMshareC!AN$2:AN$78)-IMshareC!AN$40),0))</f>
        <v>0.5516759258431525</v>
      </c>
      <c r="AO73" s="8">
        <f>IF($A73=AO$1,0,IF(SUM(IMshareC!AO$2:AO$78)-IMshareC!AO$41&gt;0,IMshareC!AO73/(SUM(IMshareC!AO$2:AO$78)-IMshareC!AO$41),0))</f>
        <v>7.2683496164385199E-4</v>
      </c>
      <c r="AP73" s="8">
        <f>IF($A73=AP$1,0,IF(SUM(IMshareC!AP$2:AP$78)-IMshareC!AP$42&gt;0,IMshareC!AP73/(SUM(IMshareC!AP$2:AP$78)-IMshareC!AP$42),0))</f>
        <v>0.15329554810997753</v>
      </c>
      <c r="AQ73" s="8">
        <f>IF($A73=AQ$1,0,IF(SUM(IMshareC!AQ$2:AQ$78)-IMshareC!AQ$43&gt;0,IMshareC!AQ73/(SUM(IMshareC!AQ$2:AQ$78)-IMshareC!AQ$43),0))</f>
        <v>0.3044520971414521</v>
      </c>
      <c r="AR73" s="8">
        <f>IF($A73=AR$1,0,IF(SUM(IMshareC!AR$2:AR$78)-IMshareC!AR$44&gt;0,IMshareC!AR73/(SUM(IMshareC!AR$2:AR$78)-IMshareC!AR$44),0))</f>
        <v>0</v>
      </c>
      <c r="AS73" s="8">
        <f>IF($A73=AS$1,0,IF(SUM(IMshareC!AS$2:AS$78)-IMshareC!AS$45&gt;0,IMshareC!AS73/(SUM(IMshareC!AS$2:AS$78)-IMshareC!AS$45),0))</f>
        <v>9.3168114181527456E-2</v>
      </c>
      <c r="AT73" s="8">
        <f>IF($A73=AT$1,0,IF(SUM(IMshareC!AT$2:AT$78)-IMshareC!AT$46&gt;0,IMshareC!AT73/(SUM(IMshareC!AT$2:AT$78)-IMshareC!AT$46),0))</f>
        <v>3.9474098803898856E-2</v>
      </c>
      <c r="AU73" s="8">
        <f>IF($A73=AU$1,0,IF(SUM(IMshareC!AU$2:AU$78)-IMshareC!AU$47&gt;0,IMshareC!AU73/(SUM(IMshareC!AU$2:AU$78)-IMshareC!AU$47),0))</f>
        <v>0.27301961897346128</v>
      </c>
      <c r="AV73" s="8">
        <f>IF($A73=AV$1,0,IF(SUM(IMshareC!AV$2:AV$78)-IMshareC!AV$48&gt;0,IMshareC!AV73/(SUM(IMshareC!AV$2:AV$78)-IMshareC!AV$48),0))</f>
        <v>4.726677208929881E-2</v>
      </c>
      <c r="AW73" s="8">
        <f>IF($A73=AW$1,0,IF(SUM(IMshareC!AW$2:AW$78)-IMshareC!AW$49&gt;0,IMshareC!AW73/(SUM(IMshareC!AW$2:AW$78)-IMshareC!AW$49),0))</f>
        <v>0.14381292815096042</v>
      </c>
      <c r="AX73" s="8">
        <f>IF($A73=AX$1,0,IF(SUM(IMshareC!AX$2:AX$78)-IMshareC!AX$50&gt;0,IMshareC!AX73/(SUM(IMshareC!AX$2:AX$78)-IMshareC!AX$50),0))</f>
        <v>9.0281245955463968E-2</v>
      </c>
      <c r="AY73" s="8">
        <f>IF($A73=AY$1,0,IF(SUM(IMshareC!AY$2:AY$78)-IMshareC!AY$51&gt;0,IMshareC!AY73/(SUM(IMshareC!AY$2:AY$78)-IMshareC!AY$51),0))</f>
        <v>4.5093668268580121E-4</v>
      </c>
      <c r="AZ73" s="8">
        <f>IF($A73=AZ$1,0,IF(SUM(IMshareC!AZ$2:AZ$78)-IMshareC!AZ$52&gt;0,IMshareC!AZ73/(SUM(IMshareC!AZ$2:AZ$78)-IMshareC!AZ$52),0))</f>
        <v>0.27232027361970701</v>
      </c>
      <c r="BA73" s="8">
        <f>IF($A73=BA$1,0,IF(SUM(IMshareC!BA$2:BA$78)-IMshareC!BA$53&gt;0,IMshareC!BA73/(SUM(IMshareC!BA$2:BA$78)-IMshareC!BA$53),0))</f>
        <v>5.5981497167348945E-4</v>
      </c>
      <c r="BB73" s="8">
        <f>IF($A73=BB$1,0,IF(SUM(IMshareC!BB$2:BB$78)-IMshareC!BB$54&gt;0,IMshareC!BB73/(SUM(IMshareC!BB$2:BB$78)-IMshareC!BB$54),0))</f>
        <v>6.1508459505931187E-2</v>
      </c>
      <c r="BC73" s="8">
        <f>IF($A73=BC$1,0,IF(SUM(IMshareC!BC$2:BC$78)-IMshareC!BC$55&gt;0,IMshareC!BC73/(SUM(IMshareC!BC$2:BC$78)-IMshareC!BC$55),0))</f>
        <v>0.17880128149252797</v>
      </c>
      <c r="BD73" s="8">
        <f>IF($A73=BD$1,0,IF(SUM(IMshareC!BD$2:BD$78)-IMshareC!BD$56&gt;0,IMshareC!BD73/(SUM(IMshareC!BD$2:BD$78)-IMshareC!BD$56),0))</f>
        <v>0.13335121542859144</v>
      </c>
      <c r="BE73" s="8">
        <f>IF($A73=BE$1,0,IF(SUM(IMshareC!BE$2:BE$78)-IMshareC!BE$57&gt;0,IMshareC!BE73/(SUM(IMshareC!BE$2:BE$78)-IMshareC!BE$57),0))</f>
        <v>5.790243083377505E-3</v>
      </c>
      <c r="BF73" s="8">
        <f>IF($A73=BF$1,0,IF(SUM(IMshareC!BF$2:BF$78)-IMshareC!BF$58&gt;0,IMshareC!BF73/(SUM(IMshareC!BF$2:BF$78)-IMshareC!BF$58),0))</f>
        <v>1.118038440928317E-2</v>
      </c>
      <c r="BG73" s="8">
        <f>IF($A73=BG$1,0,IF(SUM(IMshareC!BG$2:BG$78)-IMshareC!BG$59&gt;0,IMshareC!BG73/(SUM(IMshareC!BG$2:BG$78)-IMshareC!BG$59),0))</f>
        <v>0.22349503401425933</v>
      </c>
      <c r="BH73" s="8">
        <f>IF($A73=BH$1,0,IF(SUM(IMshareC!BH$2:BH$78)-IMshareC!BH$60&gt;0,IMshareC!BH73/(SUM(IMshareC!BH$2:BH$78)-IMshareC!BH$60),0))</f>
        <v>0.1291950472137442</v>
      </c>
      <c r="BI73" s="8">
        <f>IF($A73=BI$1,0,IF(SUM(IMshareC!BI$2:BI$78)-IMshareC!BI$61&gt;0,IMshareC!BI73/(SUM(IMshareC!BI$2:BI$78)-IMshareC!BI$61),0))</f>
        <v>0.10926823428514043</v>
      </c>
      <c r="BJ73" s="8">
        <f>IF($A73=BJ$1,0,IF(SUM(IMshareC!BJ$2:BJ$78)-IMshareC!BJ$62&gt;0,IMshareC!BJ73/(SUM(IMshareC!BJ$2:BJ$78)-IMshareC!BJ$62),0))</f>
        <v>3.692154810019449E-2</v>
      </c>
      <c r="BK73" s="8">
        <f>IF($A73=BK$1,0,IF(SUM(IMshareC!BK$2:BK$78)-IMshareC!BK$63&gt;0,IMshareC!BK73/(SUM(IMshareC!BK$2:BK$78)-IMshareC!BK$63),0))</f>
        <v>1.1257888120409919E-2</v>
      </c>
      <c r="BL73" s="8">
        <f>IF($A73=BL$1,0,IF(SUM(IMshareC!BL$2:BL$78)-IMshareC!BL$64&gt;0,IMshareC!BL73/(SUM(IMshareC!BL$2:BL$78)-IMshareC!BL$64),0))</f>
        <v>3.094193577321336E-3</v>
      </c>
      <c r="BM73" s="8">
        <f>IF($A73=BM$1,0,IF(SUM(IMshareC!BM$2:BM$78)-IMshareC!BM$65&gt;0,IMshareC!BM73/(SUM(IMshareC!BM$2:BM$78)-IMshareC!BM$65),0))</f>
        <v>4.7435751559370964E-3</v>
      </c>
      <c r="BN73" s="8">
        <f>IF($A73=BN$1,0,IF(SUM(IMshareC!BN$2:BN$78)-IMshareC!BN$66&gt;0,IMshareC!BN73/(SUM(IMshareC!BN$2:BN$78)-IMshareC!BN$66),0))</f>
        <v>0.43358577722588659</v>
      </c>
      <c r="BO73" s="8">
        <f>IF($A73=BO$1,0,IF(SUM(IMshareC!BO$2:BO$78)-IMshareC!BO$67&gt;0,IMshareC!BO73/(SUM(IMshareC!BO$2:BO$78)-IMshareC!BO$67),0))</f>
        <v>0.15831409910743793</v>
      </c>
      <c r="BP73" s="8">
        <f>IF($A73=BP$1,0,IF(SUM(IMshareC!BP$2:BP$78)-IMshareC!BP$68&gt;0,IMshareC!BP73/(SUM(IMshareC!BP$2:BP$78)-IMshareC!BP$68),0))</f>
        <v>8.0048730176264418E-2</v>
      </c>
      <c r="BQ73" s="8">
        <f>IF($A73=BQ$1,0,IF(SUM(IMshareC!BQ$2:BQ$78)-IMshareC!BQ$69&gt;0,IMshareC!BQ73/(SUM(IMshareC!BQ$2:BQ$78)-IMshareC!BQ$69),0))</f>
        <v>9.1837175129801787E-2</v>
      </c>
      <c r="BR73" s="8">
        <f>IF($A73=BR$1,0,IF(SUM(IMshareC!BR$2:BR$78)-IMshareC!BR$70&gt;0,IMshareC!BR73/(SUM(IMshareC!BR$2:BR$78)-IMshareC!BR$70),0))</f>
        <v>0.3067804977026134</v>
      </c>
      <c r="BS73" s="8">
        <f>IF($A73=BS$1,0,IF(SUM(IMshareC!BS$2:BS$78)-IMshareC!BS$71&gt;0,IMshareC!BS73/(SUM(IMshareC!BS$2:BS$78)-IMshareC!BS$71),0))</f>
        <v>0.1389961870105311</v>
      </c>
      <c r="BT73" s="8">
        <f>IF($A73=BT$1,0,IF(SUM(IMshareC!BT$2:BT$78)-IMshareC!BT$72&gt;0,IMshareC!BT73/(SUM(IMshareC!BT$2:BT$78)-IMshareC!BT$72),0))</f>
        <v>0.16367642860523676</v>
      </c>
      <c r="BU73" s="8">
        <f>IF($A73=BU$1,0,IF(SUM(IMshareC!BU$2:BU$78)-IMshareC!BU$73&gt;0,IMshareC!BU73/(SUM(IMshareC!BU$2:BU$78)-IMshareC!BU$73),0))</f>
        <v>0</v>
      </c>
      <c r="BV73" s="8">
        <f>IF($A73=BV$1,0,IF(SUM(IMshareC!BV$2:BV$78)-IMshareC!BV$74&gt;0,IMshareC!BV73/(SUM(IMshareC!BV$2:BV$78)-IMshareC!BV$74),0))</f>
        <v>0.1734468630951774</v>
      </c>
      <c r="BW73" s="8">
        <f>IF($A73=BW$1,0,IF(SUM(IMshareC!BW$2:BW$78)-IMshareC!BW$75&gt;0,IMshareC!BW73/(SUM(IMshareC!BW$2:BW$78)-IMshareC!BW$75),0))</f>
        <v>0.17157606767304148</v>
      </c>
      <c r="BX73" s="8">
        <f>IF($A73=BX$1,0,IF(SUM(IMshareC!BX$2:BX$78)-IMshareC!BX$76&gt;0,IMshareC!BX73/(SUM(IMshareC!BX$2:BX$78)-IMshareC!BX$76),0))</f>
        <v>0.17571053203946557</v>
      </c>
      <c r="BY73" s="8">
        <f>IF($A73=BY$1,0,IF(SUM(IMshareC!BY$2:BY$78)-IMshareC!BY$77&gt;0,IMshareC!BY73/(SUM(IMshareC!BY$2:BY$78)-IMshareC!BY$77),0))</f>
        <v>6.5917410078097607E-2</v>
      </c>
      <c r="BZ73" s="8">
        <f>IF($A73=BZ$1,0,IF(SUM(IMshareC!BZ$2:BZ$78)-IMshareC!BZ$78&gt;0,IMshareC!BZ73/(SUM(IMshareC!BZ$2:BZ$78)-IMshareC!BZ$78),0))</f>
        <v>2.4668718361370415E-2</v>
      </c>
    </row>
    <row r="74" spans="1:78">
      <c r="A74" s="4" t="s">
        <v>215</v>
      </c>
      <c r="B74" s="8">
        <f>IF($A74=B$1,0,IF(SUM(IMshareC!B$2:B$78)-IMshareC!B$2&gt;0,IMshareC!B74/(SUM(IMshareC!B$2:B$78)-IMshareC!B$2),0))</f>
        <v>6.8110801234785867E-4</v>
      </c>
      <c r="C74" s="8">
        <f>IF($A74=C$1,0,IF(SUM(IMshareC!C$2:C$78)-IMshareC!C$3&gt;0,IMshareC!C74/(SUM(IMshareC!C$2:C$78)-IMshareC!C$3),0))</f>
        <v>8.0418282669092345E-5</v>
      </c>
      <c r="D74" s="8">
        <f>IF($A74=D$1,0,IF(SUM(IMshareC!D$2:D$78)-IMshareC!D$4&gt;0,IMshareC!D74/(SUM(IMshareC!D$2:D$78)-IMshareC!D$4),0))</f>
        <v>1.5790372865723971E-6</v>
      </c>
      <c r="E74" s="8">
        <f>IF($A74=E$1,0,IF(SUM(IMshareC!E$2:E$78)-IMshareC!E$5&gt;0,IMshareC!E74/(SUM(IMshareC!E$2:E$78)-IMshareC!E$5),0))</f>
        <v>2.8049433723352766E-6</v>
      </c>
      <c r="F74" s="8">
        <f>IF($A74=F$1,0,IF(SUM(IMshareC!F$2:F$78)-IMshareC!F$6&gt;0,IMshareC!F74/(SUM(IMshareC!F$2:F$78)-IMshareC!F$6),0))</f>
        <v>0</v>
      </c>
      <c r="G74" s="8">
        <f>IF($A74=G$1,0,IF(SUM(IMshareC!G$2:G$78)-IMshareC!G$7&gt;0,IMshareC!G74/(SUM(IMshareC!G$2:G$78)-IMshareC!G$7),0))</f>
        <v>7.7969526944552834E-4</v>
      </c>
      <c r="H74" s="8">
        <f>IF($A74=H$1,0,IF(SUM(IMshareC!H$2:H$78)-IMshareC!H$8&gt;0,IMshareC!H74/(SUM(IMshareC!H$2:H$78)-IMshareC!H$8),0))</f>
        <v>3.1574586461514879E-3</v>
      </c>
      <c r="I74" s="8">
        <f>IF($A74=I$1,0,IF(SUM(IMshareC!I$2:I$78)-IMshareC!I$9&gt;0,IMshareC!I74/(SUM(IMshareC!I$2:I$78)-IMshareC!I$9),0))</f>
        <v>6.634760360728587E-6</v>
      </c>
      <c r="J74" s="8">
        <f>IF($A74=J$1,0,IF(SUM(IMshareC!J$2:J$78)-IMshareC!J$10&gt;0,IMshareC!J74/(SUM(IMshareC!J$2:J$78)-IMshareC!J$10),0))</f>
        <v>0</v>
      </c>
      <c r="K74" s="8">
        <f>IF($A74=K$1,0,IF(SUM(IMshareC!K$2:K$78)-IMshareC!K$11&gt;0,IMshareC!K74/(SUM(IMshareC!K$2:K$78)-IMshareC!K$11),0))</f>
        <v>6.4027211344937452E-6</v>
      </c>
      <c r="L74" s="8">
        <f>IF($A74=L$1,0,IF(SUM(IMshareC!L$2:L$78)-IMshareC!L$12&gt;0,IMshareC!L74/(SUM(IMshareC!L$2:L$78)-IMshareC!L$12),0))</f>
        <v>5.931561330039045E-7</v>
      </c>
      <c r="M74" s="8">
        <f>IF($A74=M$1,0,IF(SUM(IMshareC!M$2:M$78)-IMshareC!M$13&gt;0,IMshareC!M74/(SUM(IMshareC!M$2:M$78)-IMshareC!M$13),0))</f>
        <v>4.2242765975875816E-4</v>
      </c>
      <c r="N74" s="8">
        <f>IF($A74=N$1,0,IF(SUM(IMshareC!N$2:N$78)-IMshareC!N$14&gt;0,IMshareC!N74/(SUM(IMshareC!N$2:N$78)-IMshareC!N$14),0))</f>
        <v>5.4087475309064532E-7</v>
      </c>
      <c r="O74" s="8">
        <f>IF($A74=O$1,0,IF(SUM(IMshareC!O$2:O$78)-IMshareC!O$15&gt;0,IMshareC!O74/(SUM(IMshareC!O$2:O$78)-IMshareC!O$15),0))</f>
        <v>9.1338712159427484E-5</v>
      </c>
      <c r="P74" s="8">
        <f>IF($A74=P$1,0,IF(SUM(IMshareC!P$2:P$78)-IMshareC!P$16&gt;0,IMshareC!P74/(SUM(IMshareC!P$2:P$78)-IMshareC!P$16),0))</f>
        <v>0</v>
      </c>
      <c r="Q74" s="8">
        <f>IF($A74=Q$1,0,IF(SUM(IMshareC!Q$2:Q$78)-IMshareC!Q$17&gt;0,IMshareC!Q74/(SUM(IMshareC!Q$2:Q$78)-IMshareC!Q$17),0))</f>
        <v>3.33177304381276E-3</v>
      </c>
      <c r="R74" s="8">
        <f>IF($A74=R$1,0,IF(SUM(IMshareC!R$2:R$78)-IMshareC!R$18&gt;0,IMshareC!R74/(SUM(IMshareC!R$2:R$78)-IMshareC!R$18),0))</f>
        <v>2.9014737541178369E-5</v>
      </c>
      <c r="S74" s="8">
        <f>IF($A74=S$1,0,IF(SUM(IMshareC!S$2:S$78)-IMshareC!S$19&gt;0,IMshareC!S74/(SUM(IMshareC!S$2:S$78)-IMshareC!S$19),0))</f>
        <v>1.1144307945162702E-4</v>
      </c>
      <c r="T74" s="8">
        <f>IF($A74=T$1,0,IF(SUM(IMshareC!T$2:T$78)-IMshareC!T$20&gt;0,IMshareC!T74/(SUM(IMshareC!T$2:T$78)-IMshareC!T$20),0))</f>
        <v>5.0130548122552544E-5</v>
      </c>
      <c r="U74" s="8">
        <f>IF($A74=U$1,0,IF(SUM(IMshareC!U$2:U$78)-IMshareC!U$21&gt;0,IMshareC!U74/(SUM(IMshareC!U$2:U$78)-IMshareC!U$21),0))</f>
        <v>1.7638724064980299E-5</v>
      </c>
      <c r="V74" s="8">
        <f>IF($A74=V$1,0,IF(SUM(IMshareC!V$2:V$78)-IMshareC!V$22&gt;0,IMshareC!V74/(SUM(IMshareC!V$2:V$78)-IMshareC!V$22),0))</f>
        <v>3.07707429798946E-4</v>
      </c>
      <c r="W74" s="8">
        <f>IF($A74=W$1,0,IF(SUM(IMshareC!W$2:W$78)-IMshareC!W$23&gt;0,IMshareC!W74/(SUM(IMshareC!W$2:W$78)-IMshareC!W$23),0))</f>
        <v>3.2203780536467063E-3</v>
      </c>
      <c r="X74" s="8">
        <f>IF($A74=X$1,0,IF(SUM(IMshareC!X$2:X$78)-IMshareC!X$24&gt;0,IMshareC!X74/(SUM(IMshareC!X$2:X$78)-IMshareC!X$24),0))</f>
        <v>4.988133141286844E-5</v>
      </c>
      <c r="Y74" s="8">
        <f>IF($A74=Y$1,0,IF(SUM(IMshareC!Y$2:Y$78)-IMshareC!Y$25&gt;0,IMshareC!Y74/(SUM(IMshareC!Y$2:Y$78)-IMshareC!Y$25),0))</f>
        <v>1.6366823173546748E-5</v>
      </c>
      <c r="Z74" s="8">
        <f>IF($A74=Z$1,0,IF(SUM(IMshareC!Z$2:Z$78)-IMshareC!Z$26&gt;0,IMshareC!Z74/(SUM(IMshareC!Z$2:Z$78)-IMshareC!Z$26),0))</f>
        <v>3.5838453156692317E-5</v>
      </c>
      <c r="AA74" s="8">
        <f>IF($A74=AA$1,0,IF(SUM(IMshareC!AA$2:AA$78)-IMshareC!AA$27&gt;0,IMshareC!AA74/(SUM(IMshareC!AA$2:AA$78)-IMshareC!AA$27),0))</f>
        <v>2.9479649434339159E-6</v>
      </c>
      <c r="AB74" s="8">
        <f>IF($A74=AB$1,0,IF(SUM(IMshareC!AB$2:AB$78)-IMshareC!AB$28&gt;0,IMshareC!AB74/(SUM(IMshareC!AB$2:AB$78)-IMshareC!AB$28),0))</f>
        <v>3.5207480876752353E-7</v>
      </c>
      <c r="AC74" s="8">
        <f>IF($A74=AC$1,0,IF(SUM(IMshareC!AC$2:AC$78)-IMshareC!AC$29&gt;0,IMshareC!AC74/(SUM(IMshareC!AC$2:AC$78)-IMshareC!AC$29),0))</f>
        <v>8.7777037337078287E-6</v>
      </c>
      <c r="AD74" s="8">
        <f>IF($A74=AD$1,0,IF(SUM(IMshareC!AD$2:AD$78)-IMshareC!AD$30&gt;0,IMshareC!AD74/(SUM(IMshareC!AD$2:AD$78)-IMshareC!AD$30),0))</f>
        <v>1.0772567359372319E-6</v>
      </c>
      <c r="AE74" s="8">
        <f>IF($A74=AE$1,0,IF(SUM(IMshareC!AE$2:AE$78)-IMshareC!AE$31&gt;0,IMshareC!AE74/(SUM(IMshareC!AE$2:AE$78)-IMshareC!AE$31),0))</f>
        <v>9.499057672069433E-6</v>
      </c>
      <c r="AF74" s="8">
        <f>IF($A74=AF$1,0,IF(SUM(IMshareC!AF$2:AF$78)-IMshareC!AF$32&gt;0,IMshareC!AF74/(SUM(IMshareC!AF$2:AF$78)-IMshareC!AF$32),0))</f>
        <v>2.8382966886701727E-3</v>
      </c>
      <c r="AG74" s="8">
        <f>IF($A74=AG$1,0,IF(SUM(IMshareC!AG$2:AG$78)-IMshareC!AG$33&gt;0,IMshareC!AG74/(SUM(IMshareC!AG$2:AG$78)-IMshareC!AG$33),0))</f>
        <v>2.0262501381312763E-5</v>
      </c>
      <c r="AH74" s="8">
        <f>IF($A74=AH$1,0,IF(SUM(IMshareC!AH$2:AH$78)-IMshareC!AH$34&gt;0,IMshareC!AH74/(SUM(IMshareC!AH$2:AH$78)-IMshareC!AH$34),0))</f>
        <v>1.0727709483585355E-5</v>
      </c>
      <c r="AI74" s="8">
        <f>IF($A74=AI$1,0,IF(SUM(IMshareC!AI$2:AI$78)-IMshareC!AI$35&gt;0,IMshareC!AI74/(SUM(IMshareC!AI$2:AI$78)-IMshareC!AI$35),0))</f>
        <v>5.7934640479579196E-8</v>
      </c>
      <c r="AJ74" s="8">
        <f>IF($A74=AJ$1,0,IF(SUM(IMshareC!AJ$2:AJ$78)-IMshareC!AJ$36&gt;0,IMshareC!AJ74/(SUM(IMshareC!AJ$2:AJ$78)-IMshareC!AJ$36),0))</f>
        <v>0</v>
      </c>
      <c r="AK74" s="8">
        <f>IF($A74=AK$1,0,IF(SUM(IMshareC!AK$2:AK$78)-IMshareC!AK$37&gt;0,IMshareC!AK74/(SUM(IMshareC!AK$2:AK$78)-IMshareC!AK$37),0))</f>
        <v>2.3644540195710706E-5</v>
      </c>
      <c r="AL74" s="8">
        <f>IF($A74=AL$1,0,IF(SUM(IMshareC!AL$2:AL$78)-IMshareC!AL$38&gt;0,IMshareC!AL74/(SUM(IMshareC!AL$2:AL$78)-IMshareC!AL$38),0))</f>
        <v>1.9637110480639982E-6</v>
      </c>
      <c r="AM74" s="8">
        <f>IF($A74=AM$1,0,IF(SUM(IMshareC!AM$2:AM$78)-IMshareC!AM$39&gt;0,IMshareC!AM74/(SUM(IMshareC!AM$2:AM$78)-IMshareC!AM$39),0))</f>
        <v>0</v>
      </c>
      <c r="AN74" s="8">
        <f>IF($A74=AN$1,0,IF(SUM(IMshareC!AN$2:AN$78)-IMshareC!AN$40&gt;0,IMshareC!AN74/(SUM(IMshareC!AN$2:AN$78)-IMshareC!AN$40),0))</f>
        <v>3.1338888253483195E-7</v>
      </c>
      <c r="AO74" s="8">
        <f>IF($A74=AO$1,0,IF(SUM(IMshareC!AO$2:AO$78)-IMshareC!AO$41&gt;0,IMshareC!AO74/(SUM(IMshareC!AO$2:AO$78)-IMshareC!AO$41),0))</f>
        <v>9.5459165422771847E-3</v>
      </c>
      <c r="AP74" s="8">
        <f>IF($A74=AP$1,0,IF(SUM(IMshareC!AP$2:AP$78)-IMshareC!AP$42&gt;0,IMshareC!AP74/(SUM(IMshareC!AP$2:AP$78)-IMshareC!AP$42),0))</f>
        <v>0</v>
      </c>
      <c r="AQ74" s="8">
        <f>IF($A74=AQ$1,0,IF(SUM(IMshareC!AQ$2:AQ$78)-IMshareC!AQ$43&gt;0,IMshareC!AQ74/(SUM(IMshareC!AQ$2:AQ$78)-IMshareC!AQ$43),0))</f>
        <v>4.0876416930067415E-6</v>
      </c>
      <c r="AR74" s="8">
        <f>IF($A74=AR$1,0,IF(SUM(IMshareC!AR$2:AR$78)-IMshareC!AR$44&gt;0,IMshareC!AR74/(SUM(IMshareC!AR$2:AR$78)-IMshareC!AR$44),0))</f>
        <v>0</v>
      </c>
      <c r="AS74" s="8">
        <f>IF($A74=AS$1,0,IF(SUM(IMshareC!AS$2:AS$78)-IMshareC!AS$45&gt;0,IMshareC!AS74/(SUM(IMshareC!AS$2:AS$78)-IMshareC!AS$45),0))</f>
        <v>2.2100709303912929E-5</v>
      </c>
      <c r="AT74" s="8">
        <f>IF($A74=AT$1,0,IF(SUM(IMshareC!AT$2:AT$78)-IMshareC!AT$46&gt;0,IMshareC!AT74/(SUM(IMshareC!AT$2:AT$78)-IMshareC!AT$46),0))</f>
        <v>0</v>
      </c>
      <c r="AU74" s="8">
        <f>IF($A74=AU$1,0,IF(SUM(IMshareC!AU$2:AU$78)-IMshareC!AU$47&gt;0,IMshareC!AU74/(SUM(IMshareC!AU$2:AU$78)-IMshareC!AU$47),0))</f>
        <v>7.9747864251030165E-5</v>
      </c>
      <c r="AV74" s="8">
        <f>IF($A74=AV$1,0,IF(SUM(IMshareC!AV$2:AV$78)-IMshareC!AV$48&gt;0,IMshareC!AV74/(SUM(IMshareC!AV$2:AV$78)-IMshareC!AV$48),0))</f>
        <v>1.4483302819315352E-5</v>
      </c>
      <c r="AW74" s="8">
        <f>IF($A74=AW$1,0,IF(SUM(IMshareC!AW$2:AW$78)-IMshareC!AW$49&gt;0,IMshareC!AW74/(SUM(IMshareC!AW$2:AW$78)-IMshareC!AW$49),0))</f>
        <v>2.7607549522393527E-5</v>
      </c>
      <c r="AX74" s="8">
        <f>IF($A74=AX$1,0,IF(SUM(IMshareC!AX$2:AX$78)-IMshareC!AX$50&gt;0,IMshareC!AX74/(SUM(IMshareC!AX$2:AX$78)-IMshareC!AX$50),0))</f>
        <v>4.4789606561848982E-6</v>
      </c>
      <c r="AY74" s="8">
        <f>IF($A74=AY$1,0,IF(SUM(IMshareC!AY$2:AY$78)-IMshareC!AY$51&gt;0,IMshareC!AY74/(SUM(IMshareC!AY$2:AY$78)-IMshareC!AY$51),0))</f>
        <v>0</v>
      </c>
      <c r="AZ74" s="8">
        <f>IF($A74=AZ$1,0,IF(SUM(IMshareC!AZ$2:AZ$78)-IMshareC!AZ$52&gt;0,IMshareC!AZ74/(SUM(IMshareC!AZ$2:AZ$78)-IMshareC!AZ$52),0))</f>
        <v>5.9406205666135322E-7</v>
      </c>
      <c r="BA74" s="8">
        <f>IF($A74=BA$1,0,IF(SUM(IMshareC!BA$2:BA$78)-IMshareC!BA$53&gt;0,IMshareC!BA74/(SUM(IMshareC!BA$2:BA$78)-IMshareC!BA$53),0))</f>
        <v>0</v>
      </c>
      <c r="BB74" s="8">
        <f>IF($A74=BB$1,0,IF(SUM(IMshareC!BB$2:BB$78)-IMshareC!BB$54&gt;0,IMshareC!BB74/(SUM(IMshareC!BB$2:BB$78)-IMshareC!BB$54),0))</f>
        <v>4.1246931186373782E-6</v>
      </c>
      <c r="BC74" s="8">
        <f>IF($A74=BC$1,0,IF(SUM(IMshareC!BC$2:BC$78)-IMshareC!BC$55&gt;0,IMshareC!BC74/(SUM(IMshareC!BC$2:BC$78)-IMshareC!BC$55),0))</f>
        <v>3.851349460484266E-5</v>
      </c>
      <c r="BD74" s="8">
        <f>IF($A74=BD$1,0,IF(SUM(IMshareC!BD$2:BD$78)-IMshareC!BD$56&gt;0,IMshareC!BD74/(SUM(IMshareC!BD$2:BD$78)-IMshareC!BD$56),0))</f>
        <v>2.4668446034873296E-7</v>
      </c>
      <c r="BE74" s="8">
        <f>IF($A74=BE$1,0,IF(SUM(IMshareC!BE$2:BE$78)-IMshareC!BE$57&gt;0,IMshareC!BE74/(SUM(IMshareC!BE$2:BE$78)-IMshareC!BE$57),0))</f>
        <v>1.891419284236592E-4</v>
      </c>
      <c r="BF74" s="8">
        <f>IF($A74=BF$1,0,IF(SUM(IMshareC!BF$2:BF$78)-IMshareC!BF$58&gt;0,IMshareC!BF74/(SUM(IMshareC!BF$2:BF$78)-IMshareC!BF$58),0))</f>
        <v>5.9137013380035992E-4</v>
      </c>
      <c r="BG74" s="8">
        <f>IF($A74=BG$1,0,IF(SUM(IMshareC!BG$2:BG$78)-IMshareC!BG$59&gt;0,IMshareC!BG74/(SUM(IMshareC!BG$2:BG$78)-IMshareC!BG$59),0))</f>
        <v>1.4926564554867673E-7</v>
      </c>
      <c r="BH74" s="8">
        <f>IF($A74=BH$1,0,IF(SUM(IMshareC!BH$2:BH$78)-IMshareC!BH$60&gt;0,IMshareC!BH74/(SUM(IMshareC!BH$2:BH$78)-IMshareC!BH$60),0))</f>
        <v>1.000610626733342E-3</v>
      </c>
      <c r="BI74" s="8">
        <f>IF($A74=BI$1,0,IF(SUM(IMshareC!BI$2:BI$78)-IMshareC!BI$61&gt;0,IMshareC!BI74/(SUM(IMshareC!BI$2:BI$78)-IMshareC!BI$61),0))</f>
        <v>3.4008591123608985E-7</v>
      </c>
      <c r="BJ74" s="8">
        <f>IF($A74=BJ$1,0,IF(SUM(IMshareC!BJ$2:BJ$78)-IMshareC!BJ$62&gt;0,IMshareC!BJ74/(SUM(IMshareC!BJ$2:BJ$78)-IMshareC!BJ$62),0))</f>
        <v>3.7950286854046885E-5</v>
      </c>
      <c r="BK74" s="8">
        <f>IF($A74=BK$1,0,IF(SUM(IMshareC!BK$2:BK$78)-IMshareC!BK$63&gt;0,IMshareC!BK74/(SUM(IMshareC!BK$2:BK$78)-IMshareC!BK$63),0))</f>
        <v>6.433130541942814E-4</v>
      </c>
      <c r="BL74" s="8">
        <f>IF($A74=BL$1,0,IF(SUM(IMshareC!BL$2:BL$78)-IMshareC!BL$64&gt;0,IMshareC!BL74/(SUM(IMshareC!BL$2:BL$78)-IMshareC!BL$64),0))</f>
        <v>6.9542391918746109E-3</v>
      </c>
      <c r="BM74" s="8">
        <f>IF($A74=BM$1,0,IF(SUM(IMshareC!BM$2:BM$78)-IMshareC!BM$65&gt;0,IMshareC!BM74/(SUM(IMshareC!BM$2:BM$78)-IMshareC!BM$65),0))</f>
        <v>0</v>
      </c>
      <c r="BN74" s="8">
        <f>IF($A74=BN$1,0,IF(SUM(IMshareC!BN$2:BN$78)-IMshareC!BN$66&gt;0,IMshareC!BN74/(SUM(IMshareC!BN$2:BN$78)-IMshareC!BN$66),0))</f>
        <v>8.5860094556104367E-8</v>
      </c>
      <c r="BO74" s="8">
        <f>IF($A74=BO$1,0,IF(SUM(IMshareC!BO$2:BO$78)-IMshareC!BO$67&gt;0,IMshareC!BO74/(SUM(IMshareC!BO$2:BO$78)-IMshareC!BO$67),0))</f>
        <v>2.1066722258282982E-4</v>
      </c>
      <c r="BP74" s="8">
        <f>IF($A74=BP$1,0,IF(SUM(IMshareC!BP$2:BP$78)-IMshareC!BP$68&gt;0,IMshareC!BP74/(SUM(IMshareC!BP$2:BP$78)-IMshareC!BP$68),0))</f>
        <v>4.59917037979887E-5</v>
      </c>
      <c r="BQ74" s="8">
        <f>IF($A74=BQ$1,0,IF(SUM(IMshareC!BQ$2:BQ$78)-IMshareC!BQ$69&gt;0,IMshareC!BQ74/(SUM(IMshareC!BQ$2:BQ$78)-IMshareC!BQ$69),0))</f>
        <v>4.6932578887739663E-6</v>
      </c>
      <c r="BR74" s="8">
        <f>IF($A74=BR$1,0,IF(SUM(IMshareC!BR$2:BR$78)-IMshareC!BR$70&gt;0,IMshareC!BR74/(SUM(IMshareC!BR$2:BR$78)-IMshareC!BR$70),0))</f>
        <v>8.6844262204747332E-6</v>
      </c>
      <c r="BS74" s="8">
        <f>IF($A74=BS$1,0,IF(SUM(IMshareC!BS$2:BS$78)-IMshareC!BS$71&gt;0,IMshareC!BS74/(SUM(IMshareC!BS$2:BS$78)-IMshareC!BS$71),0))</f>
        <v>0</v>
      </c>
      <c r="BT74" s="8">
        <f>IF($A74=BT$1,0,IF(SUM(IMshareC!BT$2:BT$78)-IMshareC!BT$72&gt;0,IMshareC!BT74/(SUM(IMshareC!BT$2:BT$78)-IMshareC!BT$72),0))</f>
        <v>1.1473085424618865E-4</v>
      </c>
      <c r="BU74" s="8">
        <f>IF($A74=BU$1,0,IF(SUM(IMshareC!BU$2:BU$78)-IMshareC!BU$73&gt;0,IMshareC!BU74/(SUM(IMshareC!BU$2:BU$78)-IMshareC!BU$73),0))</f>
        <v>5.9081702622100736E-7</v>
      </c>
      <c r="BV74" s="8">
        <f>IF($A74=BV$1,0,IF(SUM(IMshareC!BV$2:BV$78)-IMshareC!BV$74&gt;0,IMshareC!BV74/(SUM(IMshareC!BV$2:BV$78)-IMshareC!BV$74),0))</f>
        <v>0</v>
      </c>
      <c r="BW74" s="8">
        <f>IF($A74=BW$1,0,IF(SUM(IMshareC!BW$2:BW$78)-IMshareC!BW$75&gt;0,IMshareC!BW74/(SUM(IMshareC!BW$2:BW$78)-IMshareC!BW$75),0))</f>
        <v>1.1802164968322356E-5</v>
      </c>
      <c r="BX74" s="8">
        <f>IF($A74=BX$1,0,IF(SUM(IMshareC!BX$2:BX$78)-IMshareC!BX$76&gt;0,IMshareC!BX74/(SUM(IMshareC!BX$2:BX$78)-IMshareC!BX$76),0))</f>
        <v>7.6799724201922812E-8</v>
      </c>
      <c r="BY74" s="8">
        <f>IF($A74=BY$1,0,IF(SUM(IMshareC!BY$2:BY$78)-IMshareC!BY$77&gt;0,IMshareC!BY74/(SUM(IMshareC!BY$2:BY$78)-IMshareC!BY$77),0))</f>
        <v>3.9075214935068993E-4</v>
      </c>
      <c r="BZ74" s="8">
        <f>IF($A74=BZ$1,0,IF(SUM(IMshareC!BZ$2:BZ$78)-IMshareC!BZ$78&gt;0,IMshareC!BZ74/(SUM(IMshareC!BZ$2:BZ$78)-IMshareC!BZ$78),0))</f>
        <v>9.6366141793857252E-4</v>
      </c>
    </row>
    <row r="75" spans="1:78">
      <c r="A75" s="4" t="s">
        <v>217</v>
      </c>
      <c r="B75" s="8">
        <f>IF($A75=B$1,0,IF(SUM(IMshareC!B$2:B$78)-IMshareC!B$2&gt;0,IMshareC!B75/(SUM(IMshareC!B$2:B$78)-IMshareC!B$2),0))</f>
        <v>3.894651141991741E-2</v>
      </c>
      <c r="C75" s="8">
        <f>IF($A75=C$1,0,IF(SUM(IMshareC!C$2:C$78)-IMshareC!C$3&gt;0,IMshareC!C75/(SUM(IMshareC!C$2:C$78)-IMshareC!C$3),0))</f>
        <v>0.15222207832662368</v>
      </c>
      <c r="D75" s="8">
        <f>IF($A75=D$1,0,IF(SUM(IMshareC!D$2:D$78)-IMshareC!D$4&gt;0,IMshareC!D75/(SUM(IMshareC!D$2:D$78)-IMshareC!D$4),0))</f>
        <v>4.286257789954203E-2</v>
      </c>
      <c r="E75" s="8">
        <f>IF($A75=E$1,0,IF(SUM(IMshareC!E$2:E$78)-IMshareC!E$5&gt;0,IMshareC!E75/(SUM(IMshareC!E$2:E$78)-IMshareC!E$5),0))</f>
        <v>1.3885377589370163E-2</v>
      </c>
      <c r="F75" s="8">
        <f>IF($A75=F$1,0,IF(SUM(IMshareC!F$2:F$78)-IMshareC!F$6&gt;0,IMshareC!F75/(SUM(IMshareC!F$2:F$78)-IMshareC!F$6),0))</f>
        <v>5.4824177457556298E-3</v>
      </c>
      <c r="G75" s="8">
        <f>IF($A75=G$1,0,IF(SUM(IMshareC!G$2:G$78)-IMshareC!G$7&gt;0,IMshareC!G75/(SUM(IMshareC!G$2:G$78)-IMshareC!G$7),0))</f>
        <v>5.107106006200568E-2</v>
      </c>
      <c r="H75" s="8">
        <f>IF($A75=H$1,0,IF(SUM(IMshareC!H$2:H$78)-IMshareC!H$8&gt;0,IMshareC!H75/(SUM(IMshareC!H$2:H$78)-IMshareC!H$8),0))</f>
        <v>7.6194326088902262E-3</v>
      </c>
      <c r="I75" s="8">
        <f>IF($A75=I$1,0,IF(SUM(IMshareC!I$2:I$78)-IMshareC!I$9&gt;0,IMshareC!I75/(SUM(IMshareC!I$2:I$78)-IMshareC!I$9),0))</f>
        <v>5.4698147316483321E-2</v>
      </c>
      <c r="J75" s="8">
        <f>IF($A75=J$1,0,IF(SUM(IMshareC!J$2:J$78)-IMshareC!J$10&gt;0,IMshareC!J75/(SUM(IMshareC!J$2:J$78)-IMshareC!J$10),0))</f>
        <v>3.4523801237351687E-2</v>
      </c>
      <c r="K75" s="8">
        <f>IF($A75=K$1,0,IF(SUM(IMshareC!K$2:K$78)-IMshareC!K$11&gt;0,IMshareC!K75/(SUM(IMshareC!K$2:K$78)-IMshareC!K$11),0))</f>
        <v>0.20493123643592376</v>
      </c>
      <c r="L75" s="8">
        <f>IF($A75=L$1,0,IF(SUM(IMshareC!L$2:L$78)-IMshareC!L$12&gt;0,IMshareC!L75/(SUM(IMshareC!L$2:L$78)-IMshareC!L$12),0))</f>
        <v>6.2852884509012261E-2</v>
      </c>
      <c r="M75" s="8">
        <f>IF($A75=M$1,0,IF(SUM(IMshareC!M$2:M$78)-IMshareC!M$13&gt;0,IMshareC!M75/(SUM(IMshareC!M$2:M$78)-IMshareC!M$13),0))</f>
        <v>0.24087135846055233</v>
      </c>
      <c r="N75" s="8">
        <f>IF($A75=N$1,0,IF(SUM(IMshareC!N$2:N$78)-IMshareC!N$14&gt;0,IMshareC!N75/(SUM(IMshareC!N$2:N$78)-IMshareC!N$14),0))</f>
        <v>3.4585089941955E-2</v>
      </c>
      <c r="O75" s="8">
        <f>IF($A75=O$1,0,IF(SUM(IMshareC!O$2:O$78)-IMshareC!O$15&gt;0,IMshareC!O75/(SUM(IMshareC!O$2:O$78)-IMshareC!O$15),0))</f>
        <v>3.3620371955829044E-2</v>
      </c>
      <c r="P75" s="8">
        <f>IF($A75=P$1,0,IF(SUM(IMshareC!P$2:P$78)-IMshareC!P$16&gt;0,IMshareC!P75/(SUM(IMshareC!P$2:P$78)-IMshareC!P$16),0))</f>
        <v>0.13114573578441896</v>
      </c>
      <c r="Q75" s="8">
        <f>IF($A75=Q$1,0,IF(SUM(IMshareC!Q$2:Q$78)-IMshareC!Q$17&gt;0,IMshareC!Q75/(SUM(IMshareC!Q$2:Q$78)-IMshareC!Q$17),0))</f>
        <v>0.17166489001623159</v>
      </c>
      <c r="R75" s="8">
        <f>IF($A75=R$1,0,IF(SUM(IMshareC!R$2:R$78)-IMshareC!R$18&gt;0,IMshareC!R75/(SUM(IMshareC!R$2:R$78)-IMshareC!R$18),0))</f>
        <v>0.41984843478267975</v>
      </c>
      <c r="S75" s="8">
        <f>IF($A75=S$1,0,IF(SUM(IMshareC!S$2:S$78)-IMshareC!S$19&gt;0,IMshareC!S75/(SUM(IMshareC!S$2:S$78)-IMshareC!S$19),0))</f>
        <v>1.5445029960269514E-2</v>
      </c>
      <c r="T75" s="8">
        <f>IF($A75=T$1,0,IF(SUM(IMshareC!T$2:T$78)-IMshareC!T$20&gt;0,IMshareC!T75/(SUM(IMshareC!T$2:T$78)-IMshareC!T$20),0))</f>
        <v>1.5158466857096006E-2</v>
      </c>
      <c r="U75" s="8">
        <f>IF($A75=U$1,0,IF(SUM(IMshareC!U$2:U$78)-IMshareC!U$21&gt;0,IMshareC!U75/(SUM(IMshareC!U$2:U$78)-IMshareC!U$21),0))</f>
        <v>9.4464362057952292E-2</v>
      </c>
      <c r="V75" s="8">
        <f>IF($A75=V$1,0,IF(SUM(IMshareC!V$2:V$78)-IMshareC!V$22&gt;0,IMshareC!V75/(SUM(IMshareC!V$2:V$78)-IMshareC!V$22),0))</f>
        <v>1.8146069210841009E-2</v>
      </c>
      <c r="W75" s="8">
        <f>IF($A75=W$1,0,IF(SUM(IMshareC!W$2:W$78)-IMshareC!W$23&gt;0,IMshareC!W75/(SUM(IMshareC!W$2:W$78)-IMshareC!W$23),0))</f>
        <v>3.1935862794806889E-2</v>
      </c>
      <c r="X75" s="8">
        <f>IF($A75=X$1,0,IF(SUM(IMshareC!X$2:X$78)-IMshareC!X$24&gt;0,IMshareC!X75/(SUM(IMshareC!X$2:X$78)-IMshareC!X$24),0))</f>
        <v>4.8494758110724581E-2</v>
      </c>
      <c r="Y75" s="8">
        <f>IF($A75=Y$1,0,IF(SUM(IMshareC!Y$2:Y$78)-IMshareC!Y$25&gt;0,IMshareC!Y75/(SUM(IMshareC!Y$2:Y$78)-IMshareC!Y$25),0))</f>
        <v>0.12902425283534485</v>
      </c>
      <c r="Z75" s="8">
        <f>IF($A75=Z$1,0,IF(SUM(IMshareC!Z$2:Z$78)-IMshareC!Z$26&gt;0,IMshareC!Z75/(SUM(IMshareC!Z$2:Z$78)-IMshareC!Z$26),0))</f>
        <v>4.0475405934458891E-2</v>
      </c>
      <c r="AA75" s="8">
        <f>IF($A75=AA$1,0,IF(SUM(IMshareC!AA$2:AA$78)-IMshareC!AA$27&gt;0,IMshareC!AA75/(SUM(IMshareC!AA$2:AA$78)-IMshareC!AA$27),0))</f>
        <v>6.038355105745135E-2</v>
      </c>
      <c r="AB75" s="8">
        <f>IF($A75=AB$1,0,IF(SUM(IMshareC!AB$2:AB$78)-IMshareC!AB$28&gt;0,IMshareC!AB75/(SUM(IMshareC!AB$2:AB$78)-IMshareC!AB$28),0))</f>
        <v>0.10727161158188127</v>
      </c>
      <c r="AC75" s="8">
        <f>IF($A75=AC$1,0,IF(SUM(IMshareC!AC$2:AC$78)-IMshareC!AC$29&gt;0,IMshareC!AC75/(SUM(IMshareC!AC$2:AC$78)-IMshareC!AC$29),0))</f>
        <v>2.2535011546797983E-2</v>
      </c>
      <c r="AD75" s="8">
        <f>IF($A75=AD$1,0,IF(SUM(IMshareC!AD$2:AD$78)-IMshareC!AD$30&gt;0,IMshareC!AD75/(SUM(IMshareC!AD$2:AD$78)-IMshareC!AD$30),0))</f>
        <v>1.8654425772315651E-2</v>
      </c>
      <c r="AE75" s="8">
        <f>IF($A75=AE$1,0,IF(SUM(IMshareC!AE$2:AE$78)-IMshareC!AE$31&gt;0,IMshareC!AE75/(SUM(IMshareC!AE$2:AE$78)-IMshareC!AE$31),0))</f>
        <v>1.0117149973950834E-2</v>
      </c>
      <c r="AF75" s="8">
        <f>IF($A75=AF$1,0,IF(SUM(IMshareC!AF$2:AF$78)-IMshareC!AF$32&gt;0,IMshareC!AF75/(SUM(IMshareC!AF$2:AF$78)-IMshareC!AF$32),0))</f>
        <v>2.3766493608111412E-2</v>
      </c>
      <c r="AG75" s="8">
        <f>IF($A75=AG$1,0,IF(SUM(IMshareC!AG$2:AG$78)-IMshareC!AG$33&gt;0,IMshareC!AG75/(SUM(IMshareC!AG$2:AG$78)-IMshareC!AG$33),0))</f>
        <v>5.6666124413017735E-3</v>
      </c>
      <c r="AH75" s="8">
        <f>IF($A75=AH$1,0,IF(SUM(IMshareC!AH$2:AH$78)-IMshareC!AH$34&gt;0,IMshareC!AH75/(SUM(IMshareC!AH$2:AH$78)-IMshareC!AH$34),0))</f>
        <v>2.2029988304423268E-2</v>
      </c>
      <c r="AI75" s="8">
        <f>IF($A75=AI$1,0,IF(SUM(IMshareC!AI$2:AI$78)-IMshareC!AI$35&gt;0,IMshareC!AI75/(SUM(IMshareC!AI$2:AI$78)-IMshareC!AI$35),0))</f>
        <v>0.16443993281189542</v>
      </c>
      <c r="AJ75" s="8">
        <f>IF($A75=AJ$1,0,IF(SUM(IMshareC!AJ$2:AJ$78)-IMshareC!AJ$36&gt;0,IMshareC!AJ75/(SUM(IMshareC!AJ$2:AJ$78)-IMshareC!AJ$36),0))</f>
        <v>6.4498050280248423E-2</v>
      </c>
      <c r="AK75" s="8">
        <f>IF($A75=AK$1,0,IF(SUM(IMshareC!AK$2:AK$78)-IMshareC!AK$37&gt;0,IMshareC!AK75/(SUM(IMshareC!AK$2:AK$78)-IMshareC!AK$37),0))</f>
        <v>0.22348017167514825</v>
      </c>
      <c r="AL75" s="8">
        <f>IF($A75=AL$1,0,IF(SUM(IMshareC!AL$2:AL$78)-IMshareC!AL$38&gt;0,IMshareC!AL75/(SUM(IMshareC!AL$2:AL$78)-IMshareC!AL$38),0))</f>
        <v>3.100729236448754E-2</v>
      </c>
      <c r="AM75" s="8">
        <f>IF($A75=AM$1,0,IF(SUM(IMshareC!AM$2:AM$78)-IMshareC!AM$39&gt;0,IMshareC!AM75/(SUM(IMshareC!AM$2:AM$78)-IMshareC!AM$39),0))</f>
        <v>0.10677275194438791</v>
      </c>
      <c r="AN75" s="8">
        <f>IF($A75=AN$1,0,IF(SUM(IMshareC!AN$2:AN$78)-IMshareC!AN$40&gt;0,IMshareC!AN75/(SUM(IMshareC!AN$2:AN$78)-IMshareC!AN$40),0))</f>
        <v>9.0970340884661008E-2</v>
      </c>
      <c r="AO75" s="8">
        <f>IF($A75=AO$1,0,IF(SUM(IMshareC!AO$2:AO$78)-IMshareC!AO$41&gt;0,IMshareC!AO75/(SUM(IMshareC!AO$2:AO$78)-IMshareC!AO$41),0))</f>
        <v>2.3123869430678647E-2</v>
      </c>
      <c r="AP75" s="8">
        <f>IF($A75=AP$1,0,IF(SUM(IMshareC!AP$2:AP$78)-IMshareC!AP$42&gt;0,IMshareC!AP75/(SUM(IMshareC!AP$2:AP$78)-IMshareC!AP$42),0))</f>
        <v>3.9712502672689266E-3</v>
      </c>
      <c r="AQ75" s="8">
        <f>IF($A75=AQ$1,0,IF(SUM(IMshareC!AQ$2:AQ$78)-IMshareC!AQ$43&gt;0,IMshareC!AQ75/(SUM(IMshareC!AQ$2:AQ$78)-IMshareC!AQ$43),0))</f>
        <v>4.3949753953078104E-2</v>
      </c>
      <c r="AR75" s="8">
        <f>IF($A75=AR$1,0,IF(SUM(IMshareC!AR$2:AR$78)-IMshareC!AR$44&gt;0,IMshareC!AR75/(SUM(IMshareC!AR$2:AR$78)-IMshareC!AR$44),0))</f>
        <v>6.0921857245826354E-4</v>
      </c>
      <c r="AS75" s="8">
        <f>IF($A75=AS$1,0,IF(SUM(IMshareC!AS$2:AS$78)-IMshareC!AS$45&gt;0,IMshareC!AS75/(SUM(IMshareC!AS$2:AS$78)-IMshareC!AS$45),0))</f>
        <v>1.68225655246458E-2</v>
      </c>
      <c r="AT75" s="8">
        <f>IF($A75=AT$1,0,IF(SUM(IMshareC!AT$2:AT$78)-IMshareC!AT$46&gt;0,IMshareC!AT75/(SUM(IMshareC!AT$2:AT$78)-IMshareC!AT$46),0))</f>
        <v>0.15954474641838021</v>
      </c>
      <c r="AU75" s="8">
        <f>IF($A75=AU$1,0,IF(SUM(IMshareC!AU$2:AU$78)-IMshareC!AU$47&gt;0,IMshareC!AU75/(SUM(IMshareC!AU$2:AU$78)-IMshareC!AU$47),0))</f>
        <v>6.560796517277403E-3</v>
      </c>
      <c r="AV75" s="8">
        <f>IF($A75=AV$1,0,IF(SUM(IMshareC!AV$2:AV$78)-IMshareC!AV$48&gt;0,IMshareC!AV75/(SUM(IMshareC!AV$2:AV$78)-IMshareC!AV$48),0))</f>
        <v>6.8000507802895641E-3</v>
      </c>
      <c r="AW75" s="8">
        <f>IF($A75=AW$1,0,IF(SUM(IMshareC!AW$2:AW$78)-IMshareC!AW$49&gt;0,IMshareC!AW75/(SUM(IMshareC!AW$2:AW$78)-IMshareC!AW$49),0))</f>
        <v>7.9546331794374509E-2</v>
      </c>
      <c r="AX75" s="8">
        <f>IF($A75=AX$1,0,IF(SUM(IMshareC!AX$2:AX$78)-IMshareC!AX$50&gt;0,IMshareC!AX75/(SUM(IMshareC!AX$2:AX$78)-IMshareC!AX$50),0))</f>
        <v>3.7605925479924848E-3</v>
      </c>
      <c r="AY75" s="8">
        <f>IF($A75=AY$1,0,IF(SUM(IMshareC!AY$2:AY$78)-IMshareC!AY$51&gt;0,IMshareC!AY75/(SUM(IMshareC!AY$2:AY$78)-IMshareC!AY$51),0))</f>
        <v>3.8071840879032523E-2</v>
      </c>
      <c r="AZ75" s="8">
        <f>IF($A75=AZ$1,0,IF(SUM(IMshareC!AZ$2:AZ$78)-IMshareC!AZ$52&gt;0,IMshareC!AZ75/(SUM(IMshareC!AZ$2:AZ$78)-IMshareC!AZ$52),0))</f>
        <v>0.13756276104494861</v>
      </c>
      <c r="BA75" s="8">
        <f>IF($A75=BA$1,0,IF(SUM(IMshareC!BA$2:BA$78)-IMshareC!BA$53&gt;0,IMshareC!BA75/(SUM(IMshareC!BA$2:BA$78)-IMshareC!BA$53),0))</f>
        <v>3.7869053886823725E-2</v>
      </c>
      <c r="BB75" s="8">
        <f>IF($A75=BB$1,0,IF(SUM(IMshareC!BB$2:BB$78)-IMshareC!BB$54&gt;0,IMshareC!BB75/(SUM(IMshareC!BB$2:BB$78)-IMshareC!BB$54),0))</f>
        <v>6.6798299642789688E-2</v>
      </c>
      <c r="BC75" s="8">
        <f>IF($A75=BC$1,0,IF(SUM(IMshareC!BC$2:BC$78)-IMshareC!BC$55&gt;0,IMshareC!BC75/(SUM(IMshareC!BC$2:BC$78)-IMshareC!BC$55),0))</f>
        <v>9.4839153087624486E-2</v>
      </c>
      <c r="BD75" s="8">
        <f>IF($A75=BD$1,0,IF(SUM(IMshareC!BD$2:BD$78)-IMshareC!BD$56&gt;0,IMshareC!BD75/(SUM(IMshareC!BD$2:BD$78)-IMshareC!BD$56),0))</f>
        <v>0.11062846519080932</v>
      </c>
      <c r="BE75" s="8">
        <f>IF($A75=BE$1,0,IF(SUM(IMshareC!BE$2:BE$78)-IMshareC!BE$57&gt;0,IMshareC!BE75/(SUM(IMshareC!BE$2:BE$78)-IMshareC!BE$57),0))</f>
        <v>8.1067840404381059E-2</v>
      </c>
      <c r="BF75" s="8">
        <f>IF($A75=BF$1,0,IF(SUM(IMshareC!BF$2:BF$78)-IMshareC!BF$58&gt;0,IMshareC!BF75/(SUM(IMshareC!BF$2:BF$78)-IMshareC!BF$58),0))</f>
        <v>8.2336299353941003E-2</v>
      </c>
      <c r="BG75" s="8">
        <f>IF($A75=BG$1,0,IF(SUM(IMshareC!BG$2:BG$78)-IMshareC!BG$59&gt;0,IMshareC!BG75/(SUM(IMshareC!BG$2:BG$78)-IMshareC!BG$59),0))</f>
        <v>0.10021105398045102</v>
      </c>
      <c r="BH75" s="8">
        <f>IF($A75=BH$1,0,IF(SUM(IMshareC!BH$2:BH$78)-IMshareC!BH$60&gt;0,IMshareC!BH75/(SUM(IMshareC!BH$2:BH$78)-IMshareC!BH$60),0))</f>
        <v>1.7550161171527641E-2</v>
      </c>
      <c r="BI75" s="8">
        <f>IF($A75=BI$1,0,IF(SUM(IMshareC!BI$2:BI$78)-IMshareC!BI$61&gt;0,IMshareC!BI75/(SUM(IMshareC!BI$2:BI$78)-IMshareC!BI$61),0))</f>
        <v>1.8870782285893655E-2</v>
      </c>
      <c r="BJ75" s="8">
        <f>IF($A75=BJ$1,0,IF(SUM(IMshareC!BJ$2:BJ$78)-IMshareC!BJ$62&gt;0,IMshareC!BJ75/(SUM(IMshareC!BJ$2:BJ$78)-IMshareC!BJ$62),0))</f>
        <v>1.3643105268836032E-2</v>
      </c>
      <c r="BK75" s="8">
        <f>IF($A75=BK$1,0,IF(SUM(IMshareC!BK$2:BK$78)-IMshareC!BK$63&gt;0,IMshareC!BK75/(SUM(IMshareC!BK$2:BK$78)-IMshareC!BK$63),0))</f>
        <v>1.1796579465415957E-2</v>
      </c>
      <c r="BL75" s="8">
        <f>IF($A75=BL$1,0,IF(SUM(IMshareC!BL$2:BL$78)-IMshareC!BL$64&gt;0,IMshareC!BL75/(SUM(IMshareC!BL$2:BL$78)-IMshareC!BL$64),0))</f>
        <v>0.10333586013005459</v>
      </c>
      <c r="BM75" s="8">
        <f>IF($A75=BM$1,0,IF(SUM(IMshareC!BM$2:BM$78)-IMshareC!BM$65&gt;0,IMshareC!BM75/(SUM(IMshareC!BM$2:BM$78)-IMshareC!BM$65),0))</f>
        <v>1.5438570025252656E-2</v>
      </c>
      <c r="BN75" s="8">
        <f>IF($A75=BN$1,0,IF(SUM(IMshareC!BN$2:BN$78)-IMshareC!BN$66&gt;0,IMshareC!BN75/(SUM(IMshareC!BN$2:BN$78)-IMshareC!BN$66),0))</f>
        <v>1.460772616741487E-2</v>
      </c>
      <c r="BO75" s="8">
        <f>IF($A75=BO$1,0,IF(SUM(IMshareC!BO$2:BO$78)-IMshareC!BO$67&gt;0,IMshareC!BO75/(SUM(IMshareC!BO$2:BO$78)-IMshareC!BO$67),0))</f>
        <v>1.0276820691124542E-2</v>
      </c>
      <c r="BP75" s="8">
        <f>IF($A75=BP$1,0,IF(SUM(IMshareC!BP$2:BP$78)-IMshareC!BP$68&gt;0,IMshareC!BP75/(SUM(IMshareC!BP$2:BP$78)-IMshareC!BP$68),0))</f>
        <v>0.14196430982780464</v>
      </c>
      <c r="BQ75" s="8">
        <f>IF($A75=BQ$1,0,IF(SUM(IMshareC!BQ$2:BQ$78)-IMshareC!BQ$69&gt;0,IMshareC!BQ75/(SUM(IMshareC!BQ$2:BQ$78)-IMshareC!BQ$69),0))</f>
        <v>3.2413612020165961E-2</v>
      </c>
      <c r="BR75" s="8">
        <f>IF($A75=BR$1,0,IF(SUM(IMshareC!BR$2:BR$78)-IMshareC!BR$70&gt;0,IMshareC!BR75/(SUM(IMshareC!BR$2:BR$78)-IMshareC!BR$70),0))</f>
        <v>7.984438488776556E-2</v>
      </c>
      <c r="BS75" s="8">
        <f>IF($A75=BS$1,0,IF(SUM(IMshareC!BS$2:BS$78)-IMshareC!BS$71&gt;0,IMshareC!BS75/(SUM(IMshareC!BS$2:BS$78)-IMshareC!BS$71),0))</f>
        <v>9.7449889611677561E-3</v>
      </c>
      <c r="BT75" s="8">
        <f>IF($A75=BT$1,0,IF(SUM(IMshareC!BT$2:BT$78)-IMshareC!BT$72&gt;0,IMshareC!BT75/(SUM(IMshareC!BT$2:BT$78)-IMshareC!BT$72),0))</f>
        <v>4.9545881275296716E-2</v>
      </c>
      <c r="BU75" s="8">
        <f>IF($A75=BU$1,0,IF(SUM(IMshareC!BU$2:BU$78)-IMshareC!BU$73&gt;0,IMshareC!BU75/(SUM(IMshareC!BU$2:BU$78)-IMshareC!BU$73),0))</f>
        <v>7.1885546197204331E-2</v>
      </c>
      <c r="BV75" s="8">
        <f>IF($A75=BV$1,0,IF(SUM(IMshareC!BV$2:BV$78)-IMshareC!BV$74&gt;0,IMshareC!BV75/(SUM(IMshareC!BV$2:BV$78)-IMshareC!BV$74),0))</f>
        <v>2.404562997881696E-2</v>
      </c>
      <c r="BW75" s="8">
        <f>IF($A75=BW$1,0,IF(SUM(IMshareC!BW$2:BW$78)-IMshareC!BW$75&gt;0,IMshareC!BW75/(SUM(IMshareC!BW$2:BW$78)-IMshareC!BW$75),0))</f>
        <v>0</v>
      </c>
      <c r="BX75" s="8">
        <f>IF($A75=BX$1,0,IF(SUM(IMshareC!BX$2:BX$78)-IMshareC!BX$76&gt;0,IMshareC!BX75/(SUM(IMshareC!BX$2:BX$78)-IMshareC!BX$76),0))</f>
        <v>5.9291602649553195E-2</v>
      </c>
      <c r="BY75" s="8">
        <f>IF($A75=BY$1,0,IF(SUM(IMshareC!BY$2:BY$78)-IMshareC!BY$77&gt;0,IMshareC!BY75/(SUM(IMshareC!BY$2:BY$78)-IMshareC!BY$77),0))</f>
        <v>8.7725207053861762E-2</v>
      </c>
      <c r="BZ75" s="8">
        <f>IF($A75=BZ$1,0,IF(SUM(IMshareC!BZ$2:BZ$78)-IMshareC!BZ$78&gt;0,IMshareC!BZ75/(SUM(IMshareC!BZ$2:BZ$78)-IMshareC!BZ$78),0))</f>
        <v>0.15088392395518926</v>
      </c>
    </row>
    <row r="76" spans="1:78">
      <c r="A76" s="4" t="s">
        <v>219</v>
      </c>
      <c r="B76" s="8">
        <f>IF($A76=B$1,0,IF(SUM(IMshareC!B$2:B$78)-IMshareC!B$2&gt;0,IMshareC!B76/(SUM(IMshareC!B$2:B$78)-IMshareC!B$2),0))</f>
        <v>9.4393833354265988E-2</v>
      </c>
      <c r="C76" s="8">
        <f>IF($A76=C$1,0,IF(SUM(IMshareC!C$2:C$78)-IMshareC!C$3&gt;0,IMshareC!C76/(SUM(IMshareC!C$2:C$78)-IMshareC!C$3),0))</f>
        <v>2.9593537758151493E-2</v>
      </c>
      <c r="D76" s="8">
        <f>IF($A76=D$1,0,IF(SUM(IMshareC!D$2:D$78)-IMshareC!D$4&gt;0,IMshareC!D76/(SUM(IMshareC!D$2:D$78)-IMshareC!D$4),0))</f>
        <v>1.4895344433471403E-3</v>
      </c>
      <c r="E76" s="8">
        <f>IF($A76=E$1,0,IF(SUM(IMshareC!E$2:E$78)-IMshareC!E$5&gt;0,IMshareC!E76/(SUM(IMshareC!E$2:E$78)-IMshareC!E$5),0))</f>
        <v>4.3181320468353039E-5</v>
      </c>
      <c r="F76" s="8">
        <f>IF($A76=F$1,0,IF(SUM(IMshareC!F$2:F$78)-IMshareC!F$6&gt;0,IMshareC!F76/(SUM(IMshareC!F$2:F$78)-IMshareC!F$6),0))</f>
        <v>6.3478374934594688E-5</v>
      </c>
      <c r="G76" s="8">
        <f>IF($A76=G$1,0,IF(SUM(IMshareC!G$2:G$78)-IMshareC!G$7&gt;0,IMshareC!G76/(SUM(IMshareC!G$2:G$78)-IMshareC!G$7),0))</f>
        <v>2.7806702368237845E-5</v>
      </c>
      <c r="H76" s="8">
        <f>IF($A76=H$1,0,IF(SUM(IMshareC!H$2:H$78)-IMshareC!H$8&gt;0,IMshareC!H76/(SUM(IMshareC!H$2:H$78)-IMshareC!H$8),0))</f>
        <v>0</v>
      </c>
      <c r="I76" s="8">
        <f>IF($A76=I$1,0,IF(SUM(IMshareC!I$2:I$78)-IMshareC!I$9&gt;0,IMshareC!I76/(SUM(IMshareC!I$2:I$78)-IMshareC!I$9),0))</f>
        <v>9.9025566052451219E-2</v>
      </c>
      <c r="J76" s="8">
        <f>IF($A76=J$1,0,IF(SUM(IMshareC!J$2:J$78)-IMshareC!J$10&gt;0,IMshareC!J76/(SUM(IMshareC!J$2:J$78)-IMshareC!J$10),0))</f>
        <v>4.8098241132837178E-4</v>
      </c>
      <c r="K76" s="8">
        <f>IF($A76=K$1,0,IF(SUM(IMshareC!K$2:K$78)-IMshareC!K$11&gt;0,IMshareC!K76/(SUM(IMshareC!K$2:K$78)-IMshareC!K$11),0))</f>
        <v>1.8139145550554406E-2</v>
      </c>
      <c r="L76" s="8">
        <f>IF($A76=L$1,0,IF(SUM(IMshareC!L$2:L$78)-IMshareC!L$12&gt;0,IMshareC!L76/(SUM(IMshareC!L$2:L$78)-IMshareC!L$12),0))</f>
        <v>1.0885914917037559E-2</v>
      </c>
      <c r="M76" s="8">
        <f>IF($A76=M$1,0,IF(SUM(IMshareC!M$2:M$78)-IMshareC!M$13&gt;0,IMshareC!M76/(SUM(IMshareC!M$2:M$78)-IMshareC!M$13),0))</f>
        <v>7.6904250428605292E-3</v>
      </c>
      <c r="N76" s="8">
        <f>IF($A76=N$1,0,IF(SUM(IMshareC!N$2:N$78)-IMshareC!N$14&gt;0,IMshareC!N76/(SUM(IMshareC!N$2:N$78)-IMshareC!N$14),0))</f>
        <v>4.396067518084084E-2</v>
      </c>
      <c r="O76" s="8">
        <f>IF($A76=O$1,0,IF(SUM(IMshareC!O$2:O$78)-IMshareC!O$15&gt;0,IMshareC!O76/(SUM(IMshareC!O$2:O$78)-IMshareC!O$15),0))</f>
        <v>3.5615644681310488E-3</v>
      </c>
      <c r="P76" s="8">
        <f>IF($A76=P$1,0,IF(SUM(IMshareC!P$2:P$78)-IMshareC!P$16&gt;0,IMshareC!P76/(SUM(IMshareC!P$2:P$78)-IMshareC!P$16),0))</f>
        <v>0</v>
      </c>
      <c r="Q76" s="8">
        <f>IF($A76=Q$1,0,IF(SUM(IMshareC!Q$2:Q$78)-IMshareC!Q$17&gt;0,IMshareC!Q76/(SUM(IMshareC!Q$2:Q$78)-IMshareC!Q$17),0))</f>
        <v>9.1648194356209675E-3</v>
      </c>
      <c r="R76" s="8">
        <f>IF($A76=R$1,0,IF(SUM(IMshareC!R$2:R$78)-IMshareC!R$18&gt;0,IMshareC!R76/(SUM(IMshareC!R$2:R$78)-IMshareC!R$18),0))</f>
        <v>2.7225213813286929E-3</v>
      </c>
      <c r="S76" s="8">
        <f>IF($A76=S$1,0,IF(SUM(IMshareC!S$2:S$78)-IMshareC!S$19&gt;0,IMshareC!S76/(SUM(IMshareC!S$2:S$78)-IMshareC!S$19),0))</f>
        <v>6.9070254281985099E-4</v>
      </c>
      <c r="T76" s="8">
        <f>IF($A76=T$1,0,IF(SUM(IMshareC!T$2:T$78)-IMshareC!T$20&gt;0,IMshareC!T76/(SUM(IMshareC!T$2:T$78)-IMshareC!T$20),0))</f>
        <v>3.7522617281950832E-2</v>
      </c>
      <c r="U76" s="8">
        <f>IF($A76=U$1,0,IF(SUM(IMshareC!U$2:U$78)-IMshareC!U$21&gt;0,IMshareC!U76/(SUM(IMshareC!U$2:U$78)-IMshareC!U$21),0))</f>
        <v>7.7805313624161607E-3</v>
      </c>
      <c r="V76" s="8">
        <f>IF($A76=V$1,0,IF(SUM(IMshareC!V$2:V$78)-IMshareC!V$22&gt;0,IMshareC!V76/(SUM(IMshareC!V$2:V$78)-IMshareC!V$22),0))</f>
        <v>2.0234877155142654E-4</v>
      </c>
      <c r="W76" s="8">
        <f>IF($A76=W$1,0,IF(SUM(IMshareC!W$2:W$78)-IMshareC!W$23&gt;0,IMshareC!W76/(SUM(IMshareC!W$2:W$78)-IMshareC!W$23),0))</f>
        <v>4.08304876811455E-2</v>
      </c>
      <c r="X76" s="8">
        <f>IF($A76=X$1,0,IF(SUM(IMshareC!X$2:X$78)-IMshareC!X$24&gt;0,IMshareC!X76/(SUM(IMshareC!X$2:X$78)-IMshareC!X$24),0))</f>
        <v>7.3336815934900157E-3</v>
      </c>
      <c r="Y76" s="8">
        <f>IF($A76=Y$1,0,IF(SUM(IMshareC!Y$2:Y$78)-IMshareC!Y$25&gt;0,IMshareC!Y76/(SUM(IMshareC!Y$2:Y$78)-IMshareC!Y$25),0))</f>
        <v>1.5198330151523975E-3</v>
      </c>
      <c r="Z76" s="8">
        <f>IF($A76=Z$1,0,IF(SUM(IMshareC!Z$2:Z$78)-IMshareC!Z$26&gt;0,IMshareC!Z76/(SUM(IMshareC!Z$2:Z$78)-IMshareC!Z$26),0))</f>
        <v>1.3678061314277409E-3</v>
      </c>
      <c r="AA76" s="8">
        <f>IF($A76=AA$1,0,IF(SUM(IMshareC!AA$2:AA$78)-IMshareC!AA$27&gt;0,IMshareC!AA76/(SUM(IMshareC!AA$2:AA$78)-IMshareC!AA$27),0))</f>
        <v>1.6549290405554976E-3</v>
      </c>
      <c r="AB76" s="8">
        <f>IF($A76=AB$1,0,IF(SUM(IMshareC!AB$2:AB$78)-IMshareC!AB$28&gt;0,IMshareC!AB76/(SUM(IMshareC!AB$2:AB$78)-IMshareC!AB$28),0))</f>
        <v>1.5289816149229437E-2</v>
      </c>
      <c r="AC76" s="8">
        <f>IF($A76=AC$1,0,IF(SUM(IMshareC!AC$2:AC$78)-IMshareC!AC$29&gt;0,IMshareC!AC76/(SUM(IMshareC!AC$2:AC$78)-IMshareC!AC$29),0))</f>
        <v>5.9070875054538177E-5</v>
      </c>
      <c r="AD76" s="8">
        <f>IF($A76=AD$1,0,IF(SUM(IMshareC!AD$2:AD$78)-IMshareC!AD$30&gt;0,IMshareC!AD76/(SUM(IMshareC!AD$2:AD$78)-IMshareC!AD$30),0))</f>
        <v>2.4547219991747721E-2</v>
      </c>
      <c r="AE76" s="8">
        <f>IF($A76=AE$1,0,IF(SUM(IMshareC!AE$2:AE$78)-IMshareC!AE$31&gt;0,IMshareC!AE76/(SUM(IMshareC!AE$2:AE$78)-IMshareC!AE$31),0))</f>
        <v>0</v>
      </c>
      <c r="AF76" s="8">
        <f>IF($A76=AF$1,0,IF(SUM(IMshareC!AF$2:AF$78)-IMshareC!AF$32&gt;0,IMshareC!AF76/(SUM(IMshareC!AF$2:AF$78)-IMshareC!AF$32),0))</f>
        <v>5.3228116090028356E-4</v>
      </c>
      <c r="AG76" s="8">
        <f>IF($A76=AG$1,0,IF(SUM(IMshareC!AG$2:AG$78)-IMshareC!AG$33&gt;0,IMshareC!AG76/(SUM(IMshareC!AG$2:AG$78)-IMshareC!AG$33),0))</f>
        <v>1.4270661475188521E-2</v>
      </c>
      <c r="AH76" s="8">
        <f>IF($A76=AH$1,0,IF(SUM(IMshareC!AH$2:AH$78)-IMshareC!AH$34&gt;0,IMshareC!AH76/(SUM(IMshareC!AH$2:AH$78)-IMshareC!AH$34),0))</f>
        <v>8.1456607730612026E-3</v>
      </c>
      <c r="AI76" s="8">
        <f>IF($A76=AI$1,0,IF(SUM(IMshareC!AI$2:AI$78)-IMshareC!AI$35&gt;0,IMshareC!AI76/(SUM(IMshareC!AI$2:AI$78)-IMshareC!AI$35),0))</f>
        <v>8.1233546814412299E-5</v>
      </c>
      <c r="AJ76" s="8">
        <f>IF($A76=AJ$1,0,IF(SUM(IMshareC!AJ$2:AJ$78)-IMshareC!AJ$36&gt;0,IMshareC!AJ76/(SUM(IMshareC!AJ$2:AJ$78)-IMshareC!AJ$36),0))</f>
        <v>1.6438083136936306E-3</v>
      </c>
      <c r="AK76" s="8">
        <f>IF($A76=AK$1,0,IF(SUM(IMshareC!AK$2:AK$78)-IMshareC!AK$37&gt;0,IMshareC!AK76/(SUM(IMshareC!AK$2:AK$78)-IMshareC!AK$37),0))</f>
        <v>1.0510420340925471E-2</v>
      </c>
      <c r="AL76" s="8">
        <f>IF($A76=AL$1,0,IF(SUM(IMshareC!AL$2:AL$78)-IMshareC!AL$38&gt;0,IMshareC!AL76/(SUM(IMshareC!AL$2:AL$78)-IMshareC!AL$38),0))</f>
        <v>5.8802785618940526E-4</v>
      </c>
      <c r="AM76" s="8">
        <f>IF($A76=AM$1,0,IF(SUM(IMshareC!AM$2:AM$78)-IMshareC!AM$39&gt;0,IMshareC!AM76/(SUM(IMshareC!AM$2:AM$78)-IMshareC!AM$39),0))</f>
        <v>1.2126495065687151E-2</v>
      </c>
      <c r="AN76" s="8">
        <f>IF($A76=AN$1,0,IF(SUM(IMshareC!AN$2:AN$78)-IMshareC!AN$40&gt;0,IMshareC!AN76/(SUM(IMshareC!AN$2:AN$78)-IMshareC!AN$40),0))</f>
        <v>2.6263035194318742E-3</v>
      </c>
      <c r="AO76" s="8">
        <f>IF($A76=AO$1,0,IF(SUM(IMshareC!AO$2:AO$78)-IMshareC!AO$41&gt;0,IMshareC!AO76/(SUM(IMshareC!AO$2:AO$78)-IMshareC!AO$41),0))</f>
        <v>0</v>
      </c>
      <c r="AP76" s="8">
        <f>IF($A76=AP$1,0,IF(SUM(IMshareC!AP$2:AP$78)-IMshareC!AP$42&gt;0,IMshareC!AP76/(SUM(IMshareC!AP$2:AP$78)-IMshareC!AP$42),0))</f>
        <v>4.491740609522646E-3</v>
      </c>
      <c r="AQ76" s="8">
        <f>IF($A76=AQ$1,0,IF(SUM(IMshareC!AQ$2:AQ$78)-IMshareC!AQ$43&gt;0,IMshareC!AQ76/(SUM(IMshareC!AQ$2:AQ$78)-IMshareC!AQ$43),0))</f>
        <v>4.0254136542471775E-3</v>
      </c>
      <c r="AR76" s="8">
        <f>IF($A76=AR$1,0,IF(SUM(IMshareC!AR$2:AR$78)-IMshareC!AR$44&gt;0,IMshareC!AR76/(SUM(IMshareC!AR$2:AR$78)-IMshareC!AR$44),0))</f>
        <v>4.0575716419064597E-3</v>
      </c>
      <c r="AS76" s="8">
        <f>IF($A76=AS$1,0,IF(SUM(IMshareC!AS$2:AS$78)-IMshareC!AS$45&gt;0,IMshareC!AS76/(SUM(IMshareC!AS$2:AS$78)-IMshareC!AS$45),0))</f>
        <v>4.761384261437322E-4</v>
      </c>
      <c r="AT76" s="8">
        <f>IF($A76=AT$1,0,IF(SUM(IMshareC!AT$2:AT$78)-IMshareC!AT$46&gt;0,IMshareC!AT76/(SUM(IMshareC!AT$2:AT$78)-IMshareC!AT$46),0))</f>
        <v>2.3548057579987139E-4</v>
      </c>
      <c r="AU76" s="8">
        <f>IF($A76=AU$1,0,IF(SUM(IMshareC!AU$2:AU$78)-IMshareC!AU$47&gt;0,IMshareC!AU76/(SUM(IMshareC!AU$2:AU$78)-IMshareC!AU$47),0))</f>
        <v>2.3547447069807589E-3</v>
      </c>
      <c r="AV76" s="8">
        <f>IF($A76=AV$1,0,IF(SUM(IMshareC!AV$2:AV$78)-IMshareC!AV$48&gt;0,IMshareC!AV76/(SUM(IMshareC!AV$2:AV$78)-IMshareC!AV$48),0))</f>
        <v>1.9988259544243033E-4</v>
      </c>
      <c r="AW76" s="8">
        <f>IF($A76=AW$1,0,IF(SUM(IMshareC!AW$2:AW$78)-IMshareC!AW$49&gt;0,IMshareC!AW76/(SUM(IMshareC!AW$2:AW$78)-IMshareC!AW$49),0))</f>
        <v>6.3986855324795824E-2</v>
      </c>
      <c r="AX76" s="8">
        <f>IF($A76=AX$1,0,IF(SUM(IMshareC!AX$2:AX$78)-IMshareC!AX$50&gt;0,IMshareC!AX76/(SUM(IMshareC!AX$2:AX$78)-IMshareC!AX$50),0))</f>
        <v>0</v>
      </c>
      <c r="AY76" s="8">
        <f>IF($A76=AY$1,0,IF(SUM(IMshareC!AY$2:AY$78)-IMshareC!AY$51&gt;0,IMshareC!AY76/(SUM(IMshareC!AY$2:AY$78)-IMshareC!AY$51),0))</f>
        <v>0.31975413436583355</v>
      </c>
      <c r="AZ76" s="8">
        <f>IF($A76=AZ$1,0,IF(SUM(IMshareC!AZ$2:AZ$78)-IMshareC!AZ$52&gt;0,IMshareC!AZ76/(SUM(IMshareC!AZ$2:AZ$78)-IMshareC!AZ$52),0))</f>
        <v>3.1681585686459422E-2</v>
      </c>
      <c r="BA76" s="8">
        <f>IF($A76=BA$1,0,IF(SUM(IMshareC!BA$2:BA$78)-IMshareC!BA$53&gt;0,IMshareC!BA76/(SUM(IMshareC!BA$2:BA$78)-IMshareC!BA$53),0))</f>
        <v>5.7051891949442351E-5</v>
      </c>
      <c r="BB76" s="8">
        <f>IF($A76=BB$1,0,IF(SUM(IMshareC!BB$2:BB$78)-IMshareC!BB$54&gt;0,IMshareC!BB76/(SUM(IMshareC!BB$2:BB$78)-IMshareC!BB$54),0))</f>
        <v>5.5972261218254327E-2</v>
      </c>
      <c r="BC76" s="8">
        <f>IF($A76=BC$1,0,IF(SUM(IMshareC!BC$2:BC$78)-IMshareC!BC$55&gt;0,IMshareC!BC76/(SUM(IMshareC!BC$2:BC$78)-IMshareC!BC$55),0))</f>
        <v>3.9815142906056492E-3</v>
      </c>
      <c r="BD76" s="8">
        <f>IF($A76=BD$1,0,IF(SUM(IMshareC!BD$2:BD$78)-IMshareC!BD$56&gt;0,IMshareC!BD76/(SUM(IMshareC!BD$2:BD$78)-IMshareC!BD$56),0))</f>
        <v>3.7928508615120309E-2</v>
      </c>
      <c r="BE76" s="8">
        <f>IF($A76=BE$1,0,IF(SUM(IMshareC!BE$2:BE$78)-IMshareC!BE$57&gt;0,IMshareC!BE76/(SUM(IMshareC!BE$2:BE$78)-IMshareC!BE$57),0))</f>
        <v>1.040032591070041E-3</v>
      </c>
      <c r="BF76" s="8">
        <f>IF($A76=BF$1,0,IF(SUM(IMshareC!BF$2:BF$78)-IMshareC!BF$58&gt;0,IMshareC!BF76/(SUM(IMshareC!BF$2:BF$78)-IMshareC!BF$58),0))</f>
        <v>0.21293268974588819</v>
      </c>
      <c r="BG76" s="8">
        <f>IF($A76=BG$1,0,IF(SUM(IMshareC!BG$2:BG$78)-IMshareC!BG$59&gt;0,IMshareC!BG76/(SUM(IMshareC!BG$2:BG$78)-IMshareC!BG$59),0))</f>
        <v>3.3185525082349445E-4</v>
      </c>
      <c r="BH76" s="8">
        <f>IF($A76=BH$1,0,IF(SUM(IMshareC!BH$2:BH$78)-IMshareC!BH$60&gt;0,IMshareC!BH76/(SUM(IMshareC!BH$2:BH$78)-IMshareC!BH$60),0))</f>
        <v>1.237583614523975E-2</v>
      </c>
      <c r="BI76" s="8">
        <f>IF($A76=BI$1,0,IF(SUM(IMshareC!BI$2:BI$78)-IMshareC!BI$61&gt;0,IMshareC!BI76/(SUM(IMshareC!BI$2:BI$78)-IMshareC!BI$61),0))</f>
        <v>3.2937520395553293E-4</v>
      </c>
      <c r="BJ76" s="8">
        <f>IF($A76=BJ$1,0,IF(SUM(IMshareC!BJ$2:BJ$78)-IMshareC!BJ$62&gt;0,IMshareC!BJ76/(SUM(IMshareC!BJ$2:BJ$78)-IMshareC!BJ$62),0))</f>
        <v>3.1916177233067724E-5</v>
      </c>
      <c r="BK76" s="8">
        <f>IF($A76=BK$1,0,IF(SUM(IMshareC!BK$2:BK$78)-IMshareC!BK$63&gt;0,IMshareC!BK76/(SUM(IMshareC!BK$2:BK$78)-IMshareC!BK$63),0))</f>
        <v>6.2469756061469671E-4</v>
      </c>
      <c r="BL76" s="8">
        <f>IF($A76=BL$1,0,IF(SUM(IMshareC!BL$2:BL$78)-IMshareC!BL$64&gt;0,IMshareC!BL76/(SUM(IMshareC!BL$2:BL$78)-IMshareC!BL$64),0))</f>
        <v>1.263210324295287E-5</v>
      </c>
      <c r="BM76" s="8">
        <f>IF($A76=BM$1,0,IF(SUM(IMshareC!BM$2:BM$78)-IMshareC!BM$65&gt;0,IMshareC!BM76/(SUM(IMshareC!BM$2:BM$78)-IMshareC!BM$65),0))</f>
        <v>0</v>
      </c>
      <c r="BN76" s="8">
        <f>IF($A76=BN$1,0,IF(SUM(IMshareC!BN$2:BN$78)-IMshareC!BN$66&gt;0,IMshareC!BN76/(SUM(IMshareC!BN$2:BN$78)-IMshareC!BN$66),0))</f>
        <v>4.3628174002344946E-3</v>
      </c>
      <c r="BO76" s="8">
        <f>IF($A76=BO$1,0,IF(SUM(IMshareC!BO$2:BO$78)-IMshareC!BO$67&gt;0,IMshareC!BO76/(SUM(IMshareC!BO$2:BO$78)-IMshareC!BO$67),0))</f>
        <v>1.6791693052716893E-3</v>
      </c>
      <c r="BP76" s="8">
        <f>IF($A76=BP$1,0,IF(SUM(IMshareC!BP$2:BP$78)-IMshareC!BP$68&gt;0,IMshareC!BP76/(SUM(IMshareC!BP$2:BP$78)-IMshareC!BP$68),0))</f>
        <v>1.6524754352800993E-3</v>
      </c>
      <c r="BQ76" s="8">
        <f>IF($A76=BQ$1,0,IF(SUM(IMshareC!BQ$2:BQ$78)-IMshareC!BQ$69&gt;0,IMshareC!BQ76/(SUM(IMshareC!BQ$2:BQ$78)-IMshareC!BQ$69),0))</f>
        <v>1.0405374998671165E-3</v>
      </c>
      <c r="BR76" s="8">
        <f>IF($A76=BR$1,0,IF(SUM(IMshareC!BR$2:BR$78)-IMshareC!BR$70&gt;0,IMshareC!BR76/(SUM(IMshareC!BR$2:BR$78)-IMshareC!BR$70),0))</f>
        <v>5.3084567191585474E-3</v>
      </c>
      <c r="BS76" s="8">
        <f>IF($A76=BS$1,0,IF(SUM(IMshareC!BS$2:BS$78)-IMshareC!BS$71&gt;0,IMshareC!BS76/(SUM(IMshareC!BS$2:BS$78)-IMshareC!BS$71),0))</f>
        <v>1.006798729559409E-2</v>
      </c>
      <c r="BT76" s="8">
        <f>IF($A76=BT$1,0,IF(SUM(IMshareC!BT$2:BT$78)-IMshareC!BT$72&gt;0,IMshareC!BT76/(SUM(IMshareC!BT$2:BT$78)-IMshareC!BT$72),0))</f>
        <v>5.8870159802574214E-2</v>
      </c>
      <c r="BU76" s="8">
        <f>IF($A76=BU$1,0,IF(SUM(IMshareC!BU$2:BU$78)-IMshareC!BU$73&gt;0,IMshareC!BU76/(SUM(IMshareC!BU$2:BU$78)-IMshareC!BU$73),0))</f>
        <v>1.3915836578787011E-2</v>
      </c>
      <c r="BV76" s="8">
        <f>IF($A76=BV$1,0,IF(SUM(IMshareC!BV$2:BV$78)-IMshareC!BV$74&gt;0,IMshareC!BV76/(SUM(IMshareC!BV$2:BV$78)-IMshareC!BV$74),0))</f>
        <v>2.5504420091531959E-2</v>
      </c>
      <c r="BW76" s="8">
        <f>IF($A76=BW$1,0,IF(SUM(IMshareC!BW$2:BW$78)-IMshareC!BW$75&gt;0,IMshareC!BW76/(SUM(IMshareC!BW$2:BW$78)-IMshareC!BW$75),0))</f>
        <v>4.9735556038488345E-2</v>
      </c>
      <c r="BX76" s="8">
        <f>IF($A76=BX$1,0,IF(SUM(IMshareC!BX$2:BX$78)-IMshareC!BX$76&gt;0,IMshareC!BX76/(SUM(IMshareC!BX$2:BX$78)-IMshareC!BX$76),0))</f>
        <v>0</v>
      </c>
      <c r="BY76" s="8">
        <f>IF($A76=BY$1,0,IF(SUM(IMshareC!BY$2:BY$78)-IMshareC!BY$77&gt;0,IMshareC!BY76/(SUM(IMshareC!BY$2:BY$78)-IMshareC!BY$77),0))</f>
        <v>2.4760355674092679E-2</v>
      </c>
      <c r="BZ76" s="8">
        <f>IF($A76=BZ$1,0,IF(SUM(IMshareC!BZ$2:BZ$78)-IMshareC!BZ$78&gt;0,IMshareC!BZ76/(SUM(IMshareC!BZ$2:BZ$78)-IMshareC!BZ$78),0))</f>
        <v>8.8821548057723521E-2</v>
      </c>
    </row>
    <row r="77" spans="1:78">
      <c r="A77" s="4" t="s">
        <v>221</v>
      </c>
      <c r="B77" s="8">
        <f>IF($A77=B$1,0,IF(SUM(IMshareC!B$2:B$78)-IMshareC!B$2&gt;0,IMshareC!B77/(SUM(IMshareC!B$2:B$78)-IMshareC!B$2),0))</f>
        <v>7.9838748492948872E-5</v>
      </c>
      <c r="C77" s="8">
        <f>IF($A77=C$1,0,IF(SUM(IMshareC!C$2:C$78)-IMshareC!C$3&gt;0,IMshareC!C77/(SUM(IMshareC!C$2:C$78)-IMshareC!C$3),0))</f>
        <v>4.9513295304337763E-4</v>
      </c>
      <c r="D77" s="8">
        <f>IF($A77=D$1,0,IF(SUM(IMshareC!D$2:D$78)-IMshareC!D$4&gt;0,IMshareC!D77/(SUM(IMshareC!D$2:D$78)-IMshareC!D$4),0))</f>
        <v>2.2881108994689213E-5</v>
      </c>
      <c r="E77" s="8">
        <f>IF($A77=E$1,0,IF(SUM(IMshareC!E$2:E$78)-IMshareC!E$5&gt;0,IMshareC!E77/(SUM(IMshareC!E$2:E$78)-IMshareC!E$5),0))</f>
        <v>1.7069665649581725E-5</v>
      </c>
      <c r="F77" s="8">
        <f>IF($A77=F$1,0,IF(SUM(IMshareC!F$2:F$78)-IMshareC!F$6&gt;0,IMshareC!F77/(SUM(IMshareC!F$2:F$78)-IMshareC!F$6),0))</f>
        <v>0</v>
      </c>
      <c r="G77" s="8">
        <f>IF($A77=G$1,0,IF(SUM(IMshareC!G$2:G$78)-IMshareC!G$7&gt;0,IMshareC!G77/(SUM(IMshareC!G$2:G$78)-IMshareC!G$7),0))</f>
        <v>1.5058357490890571E-3</v>
      </c>
      <c r="H77" s="8">
        <f>IF($A77=H$1,0,IF(SUM(IMshareC!H$2:H$78)-IMshareC!H$8&gt;0,IMshareC!H77/(SUM(IMshareC!H$2:H$78)-IMshareC!H$8),0))</f>
        <v>0</v>
      </c>
      <c r="I77" s="8">
        <f>IF($A77=I$1,0,IF(SUM(IMshareC!I$2:I$78)-IMshareC!I$9&gt;0,IMshareC!I77/(SUM(IMshareC!I$2:I$78)-IMshareC!I$9),0))</f>
        <v>5.8098801932373986E-5</v>
      </c>
      <c r="J77" s="8">
        <f>IF($A77=J$1,0,IF(SUM(IMshareC!J$2:J$78)-IMshareC!J$10&gt;0,IMshareC!J77/(SUM(IMshareC!J$2:J$78)-IMshareC!J$10),0))</f>
        <v>0</v>
      </c>
      <c r="K77" s="8">
        <f>IF($A77=K$1,0,IF(SUM(IMshareC!K$2:K$78)-IMshareC!K$11&gt;0,IMshareC!K77/(SUM(IMshareC!K$2:K$78)-IMshareC!K$11),0))</f>
        <v>6.0809904994914918E-5</v>
      </c>
      <c r="L77" s="8">
        <f>IF($A77=L$1,0,IF(SUM(IMshareC!L$2:L$78)-IMshareC!L$12&gt;0,IMshareC!L77/(SUM(IMshareC!L$2:L$78)-IMshareC!L$12),0))</f>
        <v>4.8667392586392228E-4</v>
      </c>
      <c r="M77" s="8">
        <f>IF($A77=M$1,0,IF(SUM(IMshareC!M$2:M$78)-IMshareC!M$13&gt;0,IMshareC!M77/(SUM(IMshareC!M$2:M$78)-IMshareC!M$13),0))</f>
        <v>3.3495431469085894E-3</v>
      </c>
      <c r="N77" s="8">
        <f>IF($A77=N$1,0,IF(SUM(IMshareC!N$2:N$78)-IMshareC!N$14&gt;0,IMshareC!N77/(SUM(IMshareC!N$2:N$78)-IMshareC!N$14),0))</f>
        <v>4.4969815355024726E-6</v>
      </c>
      <c r="O77" s="8">
        <f>IF($A77=O$1,0,IF(SUM(IMshareC!O$2:O$78)-IMshareC!O$15&gt;0,IMshareC!O77/(SUM(IMshareC!O$2:O$78)-IMshareC!O$15),0))</f>
        <v>1.7185136742102014E-3</v>
      </c>
      <c r="P77" s="8">
        <f>IF($A77=P$1,0,IF(SUM(IMshareC!P$2:P$78)-IMshareC!P$16&gt;0,IMshareC!P77/(SUM(IMshareC!P$2:P$78)-IMshareC!P$16),0))</f>
        <v>2.268438211960214E-2</v>
      </c>
      <c r="Q77" s="8">
        <f>IF($A77=Q$1,0,IF(SUM(IMshareC!Q$2:Q$78)-IMshareC!Q$17&gt;0,IMshareC!Q77/(SUM(IMshareC!Q$2:Q$78)-IMshareC!Q$17),0))</f>
        <v>4.288263290633416E-5</v>
      </c>
      <c r="R77" s="8">
        <f>IF($A77=R$1,0,IF(SUM(IMshareC!R$2:R$78)-IMshareC!R$18&gt;0,IMshareC!R77/(SUM(IMshareC!R$2:R$78)-IMshareC!R$18),0))</f>
        <v>6.4328094770295572E-5</v>
      </c>
      <c r="S77" s="8">
        <f>IF($A77=S$1,0,IF(SUM(IMshareC!S$2:S$78)-IMshareC!S$19&gt;0,IMshareC!S77/(SUM(IMshareC!S$2:S$78)-IMshareC!S$19),0))</f>
        <v>0</v>
      </c>
      <c r="T77" s="8">
        <f>IF($A77=T$1,0,IF(SUM(IMshareC!T$2:T$78)-IMshareC!T$20&gt;0,IMshareC!T77/(SUM(IMshareC!T$2:T$78)-IMshareC!T$20),0))</f>
        <v>7.1393170493937237E-6</v>
      </c>
      <c r="U77" s="8">
        <f>IF($A77=U$1,0,IF(SUM(IMshareC!U$2:U$78)-IMshareC!U$21&gt;0,IMshareC!U77/(SUM(IMshareC!U$2:U$78)-IMshareC!U$21),0))</f>
        <v>5.188513627875212E-5</v>
      </c>
      <c r="V77" s="8">
        <f>IF($A77=V$1,0,IF(SUM(IMshareC!V$2:V$78)-IMshareC!V$22&gt;0,IMshareC!V77/(SUM(IMshareC!V$2:V$78)-IMshareC!V$22),0))</f>
        <v>3.6275045692054857E-5</v>
      </c>
      <c r="W77" s="8">
        <f>IF($A77=W$1,0,IF(SUM(IMshareC!W$2:W$78)-IMshareC!W$23&gt;0,IMshareC!W77/(SUM(IMshareC!W$2:W$78)-IMshareC!W$23),0))</f>
        <v>1.2309038743420182E-4</v>
      </c>
      <c r="X77" s="8">
        <f>IF($A77=X$1,0,IF(SUM(IMshareC!X$2:X$78)-IMshareC!X$24&gt;0,IMshareC!X77/(SUM(IMshareC!X$2:X$78)-IMshareC!X$24),0))</f>
        <v>6.9205080316802212E-5</v>
      </c>
      <c r="Y77" s="8">
        <f>IF($A77=Y$1,0,IF(SUM(IMshareC!Y$2:Y$78)-IMshareC!Y$25&gt;0,IMshareC!Y77/(SUM(IMshareC!Y$2:Y$78)-IMshareC!Y$25),0))</f>
        <v>1.5585910400306235E-6</v>
      </c>
      <c r="Z77" s="8">
        <f>IF($A77=Z$1,0,IF(SUM(IMshareC!Z$2:Z$78)-IMshareC!Z$26&gt;0,IMshareC!Z77/(SUM(IMshareC!Z$2:Z$78)-IMshareC!Z$26),0))</f>
        <v>5.0968899972229753E-5</v>
      </c>
      <c r="AA77" s="8">
        <f>IF($A77=AA$1,0,IF(SUM(IMshareC!AA$2:AA$78)-IMshareC!AA$27&gt;0,IMshareC!AA77/(SUM(IMshareC!AA$2:AA$78)-IMshareC!AA$27),0))</f>
        <v>2.7149255484551163E-4</v>
      </c>
      <c r="AB77" s="8">
        <f>IF($A77=AB$1,0,IF(SUM(IMshareC!AB$2:AB$78)-IMshareC!AB$28&gt;0,IMshareC!AB77/(SUM(IMshareC!AB$2:AB$78)-IMshareC!AB$28),0))</f>
        <v>2.2800904943136454E-4</v>
      </c>
      <c r="AC77" s="8">
        <f>IF($A77=AC$1,0,IF(SUM(IMshareC!AC$2:AC$78)-IMshareC!AC$29&gt;0,IMshareC!AC77/(SUM(IMshareC!AC$2:AC$78)-IMshareC!AC$29),0))</f>
        <v>8.0455016825831867E-6</v>
      </c>
      <c r="AD77" s="8">
        <f>IF($A77=AD$1,0,IF(SUM(IMshareC!AD$2:AD$78)-IMshareC!AD$30&gt;0,IMshareC!AD77/(SUM(IMshareC!AD$2:AD$78)-IMshareC!AD$30),0))</f>
        <v>3.0675183534264868E-6</v>
      </c>
      <c r="AE77" s="8">
        <f>IF($A77=AE$1,0,IF(SUM(IMshareC!AE$2:AE$78)-IMshareC!AE$31&gt;0,IMshareC!AE77/(SUM(IMshareC!AE$2:AE$78)-IMshareC!AE$31),0))</f>
        <v>9.8359756132258692E-5</v>
      </c>
      <c r="AF77" s="8">
        <f>IF($A77=AF$1,0,IF(SUM(IMshareC!AF$2:AF$78)-IMshareC!AF$32&gt;0,IMshareC!AF77/(SUM(IMshareC!AF$2:AF$78)-IMshareC!AF$32),0))</f>
        <v>2.8874332538984073E-5</v>
      </c>
      <c r="AG77" s="8">
        <f>IF($A77=AG$1,0,IF(SUM(IMshareC!AG$2:AG$78)-IMshareC!AG$33&gt;0,IMshareC!AG77/(SUM(IMshareC!AG$2:AG$78)-IMshareC!AG$33),0))</f>
        <v>5.3141124892281597E-6</v>
      </c>
      <c r="AH77" s="8">
        <f>IF($A77=AH$1,0,IF(SUM(IMshareC!AH$2:AH$78)-IMshareC!AH$34&gt;0,IMshareC!AH77/(SUM(IMshareC!AH$2:AH$78)-IMshareC!AH$34),0))</f>
        <v>6.9872040065920338E-6</v>
      </c>
      <c r="AI77" s="8">
        <f>IF($A77=AI$1,0,IF(SUM(IMshareC!AI$2:AI$78)-IMshareC!AI$35&gt;0,IMshareC!AI77/(SUM(IMshareC!AI$2:AI$78)-IMshareC!AI$35),0))</f>
        <v>2.5141695826566504E-6</v>
      </c>
      <c r="AJ77" s="8">
        <f>IF($A77=AJ$1,0,IF(SUM(IMshareC!AJ$2:AJ$78)-IMshareC!AJ$36&gt;0,IMshareC!AJ77/(SUM(IMshareC!AJ$2:AJ$78)-IMshareC!AJ$36),0))</f>
        <v>7.4385059455750693E-5</v>
      </c>
      <c r="AK77" s="8">
        <f>IF($A77=AK$1,0,IF(SUM(IMshareC!AK$2:AK$78)-IMshareC!AK$37&gt;0,IMshareC!AK77/(SUM(IMshareC!AK$2:AK$78)-IMshareC!AK$37),0))</f>
        <v>5.4889111168614132E-6</v>
      </c>
      <c r="AL77" s="8">
        <f>IF($A77=AL$1,0,IF(SUM(IMshareC!AL$2:AL$78)-IMshareC!AL$38&gt;0,IMshareC!AL77/(SUM(IMshareC!AL$2:AL$78)-IMshareC!AL$38),0))</f>
        <v>2.9772286538582048E-5</v>
      </c>
      <c r="AM77" s="8">
        <f>IF($A77=AM$1,0,IF(SUM(IMshareC!AM$2:AM$78)-IMshareC!AM$39&gt;0,IMshareC!AM77/(SUM(IMshareC!AM$2:AM$78)-IMshareC!AM$39),0))</f>
        <v>0</v>
      </c>
      <c r="AN77" s="8">
        <f>IF($A77=AN$1,0,IF(SUM(IMshareC!AN$2:AN$78)-IMshareC!AN$40&gt;0,IMshareC!AN77/(SUM(IMshareC!AN$2:AN$78)-IMshareC!AN$40),0))</f>
        <v>1.3583959421623032E-6</v>
      </c>
      <c r="AO77" s="8">
        <f>IF($A77=AO$1,0,IF(SUM(IMshareC!AO$2:AO$78)-IMshareC!AO$41&gt;0,IMshareC!AO77/(SUM(IMshareC!AO$2:AO$78)-IMshareC!AO$41),0))</f>
        <v>1.7469862864531716E-4</v>
      </c>
      <c r="AP77" s="8">
        <f>IF($A77=AP$1,0,IF(SUM(IMshareC!AP$2:AP$78)-IMshareC!AP$42&gt;0,IMshareC!AP77/(SUM(IMshareC!AP$2:AP$78)-IMshareC!AP$42),0))</f>
        <v>0</v>
      </c>
      <c r="AQ77" s="8">
        <f>IF($A77=AQ$1,0,IF(SUM(IMshareC!AQ$2:AQ$78)-IMshareC!AQ$43&gt;0,IMshareC!AQ77/(SUM(IMshareC!AQ$2:AQ$78)-IMshareC!AQ$43),0))</f>
        <v>5.0765060325918836E-7</v>
      </c>
      <c r="AR77" s="8">
        <f>IF($A77=AR$1,0,IF(SUM(IMshareC!AR$2:AR$78)-IMshareC!AR$44&gt;0,IMshareC!AR77/(SUM(IMshareC!AR$2:AR$78)-IMshareC!AR$44),0))</f>
        <v>0</v>
      </c>
      <c r="AS77" s="8">
        <f>IF($A77=AS$1,0,IF(SUM(IMshareC!AS$2:AS$78)-IMshareC!AS$45&gt;0,IMshareC!AS77/(SUM(IMshareC!AS$2:AS$78)-IMshareC!AS$45),0))</f>
        <v>6.0973688348658943E-6</v>
      </c>
      <c r="AT77" s="8">
        <f>IF($A77=AT$1,0,IF(SUM(IMshareC!AT$2:AT$78)-IMshareC!AT$46&gt;0,IMshareC!AT77/(SUM(IMshareC!AT$2:AT$78)-IMshareC!AT$46),0))</f>
        <v>1.2391415943316294E-5</v>
      </c>
      <c r="AU77" s="8">
        <f>IF($A77=AU$1,0,IF(SUM(IMshareC!AU$2:AU$78)-IMshareC!AU$47&gt;0,IMshareC!AU77/(SUM(IMshareC!AU$2:AU$78)-IMshareC!AU$47),0))</f>
        <v>3.75130736065876E-6</v>
      </c>
      <c r="AV77" s="8">
        <f>IF($A77=AV$1,0,IF(SUM(IMshareC!AV$2:AV$78)-IMshareC!AV$48&gt;0,IMshareC!AV77/(SUM(IMshareC!AV$2:AV$78)-IMshareC!AV$48),0))</f>
        <v>1.0342662222399022E-5</v>
      </c>
      <c r="AW77" s="8">
        <f>IF($A77=AW$1,0,IF(SUM(IMshareC!AW$2:AW$78)-IMshareC!AW$49&gt;0,IMshareC!AW77/(SUM(IMshareC!AW$2:AW$78)-IMshareC!AW$49),0))</f>
        <v>1.4752528712640885E-6</v>
      </c>
      <c r="AX77" s="8">
        <f>IF($A77=AX$1,0,IF(SUM(IMshareC!AX$2:AX$78)-IMshareC!AX$50&gt;0,IMshareC!AX77/(SUM(IMshareC!AX$2:AX$78)-IMshareC!AX$50),0))</f>
        <v>0</v>
      </c>
      <c r="AY77" s="8">
        <f>IF($A77=AY$1,0,IF(SUM(IMshareC!AY$2:AY$78)-IMshareC!AY$51&gt;0,IMshareC!AY77/(SUM(IMshareC!AY$2:AY$78)-IMshareC!AY$51),0))</f>
        <v>0</v>
      </c>
      <c r="AZ77" s="8">
        <f>IF($A77=AZ$1,0,IF(SUM(IMshareC!AZ$2:AZ$78)-IMshareC!AZ$52&gt;0,IMshareC!AZ77/(SUM(IMshareC!AZ$2:AZ$78)-IMshareC!AZ$52),0))</f>
        <v>7.903822160990684E-7</v>
      </c>
      <c r="BA77" s="8">
        <f>IF($A77=BA$1,0,IF(SUM(IMshareC!BA$2:BA$78)-IMshareC!BA$53&gt;0,IMshareC!BA77/(SUM(IMshareC!BA$2:BA$78)-IMshareC!BA$53),0))</f>
        <v>2.957791664037496E-3</v>
      </c>
      <c r="BB77" s="8">
        <f>IF($A77=BB$1,0,IF(SUM(IMshareC!BB$2:BB$78)-IMshareC!BB$54&gt;0,IMshareC!BB77/(SUM(IMshareC!BB$2:BB$78)-IMshareC!BB$54),0))</f>
        <v>1.0075082024343682E-4</v>
      </c>
      <c r="BC77" s="8">
        <f>IF($A77=BC$1,0,IF(SUM(IMshareC!BC$2:BC$78)-IMshareC!BC$55&gt;0,IMshareC!BC77/(SUM(IMshareC!BC$2:BC$78)-IMshareC!BC$55),0))</f>
        <v>5.3370480225869344E-5</v>
      </c>
      <c r="BD77" s="8">
        <f>IF($A77=BD$1,0,IF(SUM(IMshareC!BD$2:BD$78)-IMshareC!BD$56&gt;0,IMshareC!BD77/(SUM(IMshareC!BD$2:BD$78)-IMshareC!BD$56),0))</f>
        <v>1.9639735455806423E-5</v>
      </c>
      <c r="BE77" s="8">
        <f>IF($A77=BE$1,0,IF(SUM(IMshareC!BE$2:BE$78)-IMshareC!BE$57&gt;0,IMshareC!BE77/(SUM(IMshareC!BE$2:BE$78)-IMshareC!BE$57),0))</f>
        <v>3.7489879426703487E-4</v>
      </c>
      <c r="BF77" s="8">
        <f>IF($A77=BF$1,0,IF(SUM(IMshareC!BF$2:BF$78)-IMshareC!BF$58&gt;0,IMshareC!BF77/(SUM(IMshareC!BF$2:BF$78)-IMshareC!BF$58),0))</f>
        <v>1.849162156527471E-4</v>
      </c>
      <c r="BG77" s="8">
        <f>IF($A77=BG$1,0,IF(SUM(IMshareC!BG$2:BG$78)-IMshareC!BG$59&gt;0,IMshareC!BG77/(SUM(IMshareC!BG$2:BG$78)-IMshareC!BG$59),0))</f>
        <v>1.3887539335640102E-5</v>
      </c>
      <c r="BH77" s="8">
        <f>IF($A77=BH$1,0,IF(SUM(IMshareC!BH$2:BH$78)-IMshareC!BH$60&gt;0,IMshareC!BH77/(SUM(IMshareC!BH$2:BH$78)-IMshareC!BH$60),0))</f>
        <v>2.8565444415103861E-5</v>
      </c>
      <c r="BI77" s="8">
        <f>IF($A77=BI$1,0,IF(SUM(IMshareC!BI$2:BI$78)-IMshareC!BI$61&gt;0,IMshareC!BI77/(SUM(IMshareC!BI$2:BI$78)-IMshareC!BI$61),0))</f>
        <v>1.2435533068782991E-6</v>
      </c>
      <c r="BJ77" s="8">
        <f>IF($A77=BJ$1,0,IF(SUM(IMshareC!BJ$2:BJ$78)-IMshareC!BJ$62&gt;0,IMshareC!BJ77/(SUM(IMshareC!BJ$2:BJ$78)-IMshareC!BJ$62),0))</f>
        <v>6.3383404230648782E-6</v>
      </c>
      <c r="BK77" s="8">
        <f>IF($A77=BK$1,0,IF(SUM(IMshareC!BK$2:BK$78)-IMshareC!BK$63&gt;0,IMshareC!BK77/(SUM(IMshareC!BK$2:BK$78)-IMshareC!BK$63),0))</f>
        <v>0</v>
      </c>
      <c r="BL77" s="8">
        <f>IF($A77=BL$1,0,IF(SUM(IMshareC!BL$2:BL$78)-IMshareC!BL$64&gt;0,IMshareC!BL77/(SUM(IMshareC!BL$2:BL$78)-IMshareC!BL$64),0))</f>
        <v>1.747041020373458E-5</v>
      </c>
      <c r="BM77" s="8">
        <f>IF($A77=BM$1,0,IF(SUM(IMshareC!BM$2:BM$78)-IMshareC!BM$65&gt;0,IMshareC!BM77/(SUM(IMshareC!BM$2:BM$78)-IMshareC!BM$65),0))</f>
        <v>1.4214223918806137E-2</v>
      </c>
      <c r="BN77" s="8">
        <f>IF($A77=BN$1,0,IF(SUM(IMshareC!BN$2:BN$78)-IMshareC!BN$66&gt;0,IMshareC!BN77/(SUM(IMshareC!BN$2:BN$78)-IMshareC!BN$66),0))</f>
        <v>1.4658316312285461E-6</v>
      </c>
      <c r="BO77" s="8">
        <f>IF($A77=BO$1,0,IF(SUM(IMshareC!BO$2:BO$78)-IMshareC!BO$67&gt;0,IMshareC!BO77/(SUM(IMshareC!BO$2:BO$78)-IMshareC!BO$67),0))</f>
        <v>9.6039700992325266E-6</v>
      </c>
      <c r="BP77" s="8">
        <f>IF($A77=BP$1,0,IF(SUM(IMshareC!BP$2:BP$78)-IMshareC!BP$68&gt;0,IMshareC!BP77/(SUM(IMshareC!BP$2:BP$78)-IMshareC!BP$68),0))</f>
        <v>3.6792709318669105E-6</v>
      </c>
      <c r="BQ77" s="8">
        <f>IF($A77=BQ$1,0,IF(SUM(IMshareC!BQ$2:BQ$78)-IMshareC!BQ$69&gt;0,IMshareC!BQ77/(SUM(IMshareC!BQ$2:BQ$78)-IMshareC!BQ$69),0))</f>
        <v>2.3554622782714267E-4</v>
      </c>
      <c r="BR77" s="8">
        <f>IF($A77=BR$1,0,IF(SUM(IMshareC!BR$2:BR$78)-IMshareC!BR$70&gt;0,IMshareC!BR77/(SUM(IMshareC!BR$2:BR$78)-IMshareC!BR$70),0))</f>
        <v>6.5747594213400518E-6</v>
      </c>
      <c r="BS77" s="8">
        <f>IF($A77=BS$1,0,IF(SUM(IMshareC!BS$2:BS$78)-IMshareC!BS$71&gt;0,IMshareC!BS77/(SUM(IMshareC!BS$2:BS$78)-IMshareC!BS$71),0))</f>
        <v>1.908355875251393E-6</v>
      </c>
      <c r="BT77" s="8">
        <f>IF($A77=BT$1,0,IF(SUM(IMshareC!BT$2:BT$78)-IMshareC!BT$72&gt;0,IMshareC!BT77/(SUM(IMshareC!BT$2:BT$78)-IMshareC!BT$72),0))</f>
        <v>1.0161986862228383E-5</v>
      </c>
      <c r="BU77" s="8">
        <f>IF($A77=BU$1,0,IF(SUM(IMshareC!BU$2:BU$78)-IMshareC!BU$73&gt;0,IMshareC!BU77/(SUM(IMshareC!BU$2:BU$78)-IMshareC!BU$73),0))</f>
        <v>2.3532519821769689E-7</v>
      </c>
      <c r="BV77" s="8">
        <f>IF($A77=BV$1,0,IF(SUM(IMshareC!BV$2:BV$78)-IMshareC!BV$74&gt;0,IMshareC!BV77/(SUM(IMshareC!BV$2:BV$78)-IMshareC!BV$74),0))</f>
        <v>2.6855737184764081E-6</v>
      </c>
      <c r="BW77" s="8">
        <f>IF($A77=BW$1,0,IF(SUM(IMshareC!BW$2:BW$78)-IMshareC!BW$75&gt;0,IMshareC!BW77/(SUM(IMshareC!BW$2:BW$78)-IMshareC!BW$75),0))</f>
        <v>3.1884822927302225E-5</v>
      </c>
      <c r="BX77" s="8">
        <f>IF($A77=BX$1,0,IF(SUM(IMshareC!BX$2:BX$78)-IMshareC!BX$76&gt;0,IMshareC!BX77/(SUM(IMshareC!BX$2:BX$78)-IMshareC!BX$76),0))</f>
        <v>4.4782968020978222E-6</v>
      </c>
      <c r="BY77" s="8">
        <f>IF($A77=BY$1,0,IF(SUM(IMshareC!BY$2:BY$78)-IMshareC!BY$77&gt;0,IMshareC!BY77/(SUM(IMshareC!BY$2:BY$78)-IMshareC!BY$77),0))</f>
        <v>0</v>
      </c>
      <c r="BZ77" s="8">
        <f>IF($A77=BZ$1,0,IF(SUM(IMshareC!BZ$2:BZ$78)-IMshareC!BZ$78&gt;0,IMshareC!BZ77/(SUM(IMshareC!BZ$2:BZ$78)-IMshareC!BZ$78),0))</f>
        <v>1.2614771781007129E-2</v>
      </c>
    </row>
    <row r="78" spans="1:78">
      <c r="A78" s="4" t="s">
        <v>223</v>
      </c>
      <c r="B78" s="8">
        <f>IF($A78=B$1,0,IF(SUM(IMshareC!B$2:B$78)-IMshareC!B$2&gt;0,IMshareC!B78/(SUM(IMshareC!B$2:B$78)-IMshareC!B$2),0))</f>
        <v>1.810340274636793E-3</v>
      </c>
      <c r="C78" s="8">
        <f>IF($A78=C$1,0,IF(SUM(IMshareC!C$2:C$78)-IMshareC!C$3&gt;0,IMshareC!C78/(SUM(IMshareC!C$2:C$78)-IMshareC!C$3),0))</f>
        <v>8.8556434483475573E-4</v>
      </c>
      <c r="D78" s="8">
        <f>IF($A78=D$1,0,IF(SUM(IMshareC!D$2:D$78)-IMshareC!D$4&gt;0,IMshareC!D78/(SUM(IMshareC!D$2:D$78)-IMshareC!D$4),0))</f>
        <v>2.9098117443557775E-3</v>
      </c>
      <c r="E78" s="8">
        <f>IF($A78=E$1,0,IF(SUM(IMshareC!E$2:E$78)-IMshareC!E$5&gt;0,IMshareC!E78/(SUM(IMshareC!E$2:E$78)-IMshareC!E$5),0))</f>
        <v>3.1886731522795064E-4</v>
      </c>
      <c r="F78" s="8">
        <f>IF($A78=F$1,0,IF(SUM(IMshareC!F$2:F$78)-IMshareC!F$6&gt;0,IMshareC!F78/(SUM(IMshareC!F$2:F$78)-IMshareC!F$6),0))</f>
        <v>1.7766425130838692E-3</v>
      </c>
      <c r="G78" s="8">
        <f>IF($A78=G$1,0,IF(SUM(IMshareC!G$2:G$78)-IMshareC!G$7&gt;0,IMshareC!G78/(SUM(IMshareC!G$2:G$78)-IMshareC!G$7),0))</f>
        <v>1.4231471849819932E-2</v>
      </c>
      <c r="H78" s="8">
        <f>IF($A78=H$1,0,IF(SUM(IMshareC!H$2:H$78)-IMshareC!H$8&gt;0,IMshareC!H78/(SUM(IMshareC!H$2:H$78)-IMshareC!H$8),0))</f>
        <v>4.9596682797292596E-2</v>
      </c>
      <c r="I78" s="8">
        <f>IF($A78=I$1,0,IF(SUM(IMshareC!I$2:I$78)-IMshareC!I$9&gt;0,IMshareC!I78/(SUM(IMshareC!I$2:I$78)-IMshareC!I$9),0))</f>
        <v>5.0818165817020531E-4</v>
      </c>
      <c r="J78" s="8">
        <f>IF($A78=J$1,0,IF(SUM(IMshareC!J$2:J$78)-IMshareC!J$10&gt;0,IMshareC!J78/(SUM(IMshareC!J$2:J$78)-IMshareC!J$10),0))</f>
        <v>6.3300028194700203E-5</v>
      </c>
      <c r="K78" s="8">
        <f>IF($A78=K$1,0,IF(SUM(IMshareC!K$2:K$78)-IMshareC!K$11&gt;0,IMshareC!K78/(SUM(IMshareC!K$2:K$78)-IMshareC!K$11),0))</f>
        <v>4.014826258609324E-4</v>
      </c>
      <c r="L78" s="8">
        <f>IF($A78=L$1,0,IF(SUM(IMshareC!L$2:L$78)-IMshareC!L$12&gt;0,IMshareC!L78/(SUM(IMshareC!L$2:L$78)-IMshareC!L$12),0))</f>
        <v>3.9574630404354948E-3</v>
      </c>
      <c r="M78" s="8">
        <f>IF($A78=M$1,0,IF(SUM(IMshareC!M$2:M$78)-IMshareC!M$13&gt;0,IMshareC!M78/(SUM(IMshareC!M$2:M$78)-IMshareC!M$13),0))</f>
        <v>5.6487774922945079E-2</v>
      </c>
      <c r="N78" s="8">
        <f>IF($A78=N$1,0,IF(SUM(IMshareC!N$2:N$78)-IMshareC!N$14&gt;0,IMshareC!N78/(SUM(IMshareC!N$2:N$78)-IMshareC!N$14),0))</f>
        <v>2.499036238996912E-5</v>
      </c>
      <c r="O78" s="8">
        <f>IF($A78=O$1,0,IF(SUM(IMshareC!O$2:O$78)-IMshareC!O$15&gt;0,IMshareC!O78/(SUM(IMshareC!O$2:O$78)-IMshareC!O$15),0))</f>
        <v>8.9552673718854239E-2</v>
      </c>
      <c r="P78" s="8">
        <f>IF($A78=P$1,0,IF(SUM(IMshareC!P$2:P$78)-IMshareC!P$16&gt;0,IMshareC!P78/(SUM(IMshareC!P$2:P$78)-IMshareC!P$16),0))</f>
        <v>3.8240486603641585E-2</v>
      </c>
      <c r="Q78" s="8">
        <f>IF($A78=Q$1,0,IF(SUM(IMshareC!Q$2:Q$78)-IMshareC!Q$17&gt;0,IMshareC!Q78/(SUM(IMshareC!Q$2:Q$78)-IMshareC!Q$17),0))</f>
        <v>9.4651670911623882E-4</v>
      </c>
      <c r="R78" s="8">
        <f>IF($A78=R$1,0,IF(SUM(IMshareC!R$2:R$78)-IMshareC!R$18&gt;0,IMshareC!R78/(SUM(IMshareC!R$2:R$78)-IMshareC!R$18),0))</f>
        <v>3.9222292815956055E-3</v>
      </c>
      <c r="S78" s="8">
        <f>IF($A78=S$1,0,IF(SUM(IMshareC!S$2:S$78)-IMshareC!S$19&gt;0,IMshareC!S78/(SUM(IMshareC!S$2:S$78)-IMshareC!S$19),0))</f>
        <v>1.1966161504688262E-3</v>
      </c>
      <c r="T78" s="8">
        <f>IF($A78=T$1,0,IF(SUM(IMshareC!T$2:T$78)-IMshareC!T$20&gt;0,IMshareC!T78/(SUM(IMshareC!T$2:T$78)-IMshareC!T$20),0))</f>
        <v>1.2482518095882078E-3</v>
      </c>
      <c r="U78" s="8">
        <f>IF($A78=U$1,0,IF(SUM(IMshareC!U$2:U$78)-IMshareC!U$21&gt;0,IMshareC!U78/(SUM(IMshareC!U$2:U$78)-IMshareC!U$21),0))</f>
        <v>8.6677073273219263E-4</v>
      </c>
      <c r="V78" s="8">
        <f>IF($A78=V$1,0,IF(SUM(IMshareC!V$2:V$78)-IMshareC!V$22&gt;0,IMshareC!V78/(SUM(IMshareC!V$2:V$78)-IMshareC!V$22),0))</f>
        <v>1.7929010024764647E-3</v>
      </c>
      <c r="W78" s="8">
        <f>IF($A78=W$1,0,IF(SUM(IMshareC!W$2:W$78)-IMshareC!W$23&gt;0,IMshareC!W78/(SUM(IMshareC!W$2:W$78)-IMshareC!W$23),0))</f>
        <v>6.7770962446558258E-3</v>
      </c>
      <c r="X78" s="8">
        <f>IF($A78=X$1,0,IF(SUM(IMshareC!X$2:X$78)-IMshareC!X$24&gt;0,IMshareC!X78/(SUM(IMshareC!X$2:X$78)-IMshareC!X$24),0))</f>
        <v>3.2993171350479879E-3</v>
      </c>
      <c r="Y78" s="8">
        <f>IF($A78=Y$1,0,IF(SUM(IMshareC!Y$2:Y$78)-IMshareC!Y$25&gt;0,IMshareC!Y78/(SUM(IMshareC!Y$2:Y$78)-IMshareC!Y$25),0))</f>
        <v>7.7757340629633596E-3</v>
      </c>
      <c r="Z78" s="8">
        <f>IF($A78=Z$1,0,IF(SUM(IMshareC!Z$2:Z$78)-IMshareC!Z$26&gt;0,IMshareC!Z78/(SUM(IMshareC!Z$2:Z$78)-IMshareC!Z$26),0))</f>
        <v>2.581780872954046E-2</v>
      </c>
      <c r="AA78" s="8">
        <f>IF($A78=AA$1,0,IF(SUM(IMshareC!AA$2:AA$78)-IMshareC!AA$27&gt;0,IMshareC!AA78/(SUM(IMshareC!AA$2:AA$78)-IMshareC!AA$27),0))</f>
        <v>1.1690274761590794E-3</v>
      </c>
      <c r="AB78" s="8">
        <f>IF($A78=AB$1,0,IF(SUM(IMshareC!AB$2:AB$78)-IMshareC!AB$28&gt;0,IMshareC!AB78/(SUM(IMshareC!AB$2:AB$78)-IMshareC!AB$28),0))</f>
        <v>2.1663898670239196E-3</v>
      </c>
      <c r="AC78" s="8">
        <f>IF($A78=AC$1,0,IF(SUM(IMshareC!AC$2:AC$78)-IMshareC!AC$29&gt;0,IMshareC!AC78/(SUM(IMshareC!AC$2:AC$78)-IMshareC!AC$29),0))</f>
        <v>3.9685821981180503E-4</v>
      </c>
      <c r="AD78" s="8">
        <f>IF($A78=AD$1,0,IF(SUM(IMshareC!AD$2:AD$78)-IMshareC!AD$30&gt;0,IMshareC!AD78/(SUM(IMshareC!AD$2:AD$78)-IMshareC!AD$30),0))</f>
        <v>5.330665030685946E-4</v>
      </c>
      <c r="AE78" s="8">
        <f>IF($A78=AE$1,0,IF(SUM(IMshareC!AE$2:AE$78)-IMshareC!AE$31&gt;0,IMshareC!AE78/(SUM(IMshareC!AE$2:AE$78)-IMshareC!AE$31),0))</f>
        <v>4.529934961878976E-3</v>
      </c>
      <c r="AF78" s="8">
        <f>IF($A78=AF$1,0,IF(SUM(IMshareC!AF$2:AF$78)-IMshareC!AF$32&gt;0,IMshareC!AF78/(SUM(IMshareC!AF$2:AF$78)-IMshareC!AF$32),0))</f>
        <v>1.0734140675851598E-2</v>
      </c>
      <c r="AG78" s="8">
        <f>IF($A78=AG$1,0,IF(SUM(IMshareC!AG$2:AG$78)-IMshareC!AG$33&gt;0,IMshareC!AG78/(SUM(IMshareC!AG$2:AG$78)-IMshareC!AG$33),0))</f>
        <v>4.4837665647303165E-4</v>
      </c>
      <c r="AH78" s="8">
        <f>IF($A78=AH$1,0,IF(SUM(IMshareC!AH$2:AH$78)-IMshareC!AH$34&gt;0,IMshareC!AH78/(SUM(IMshareC!AH$2:AH$78)-IMshareC!AH$34),0))</f>
        <v>6.5141427841471358E-3</v>
      </c>
      <c r="AI78" s="8">
        <f>IF($A78=AI$1,0,IF(SUM(IMshareC!AI$2:AI$78)-IMshareC!AI$35&gt;0,IMshareC!AI78/(SUM(IMshareC!AI$2:AI$78)-IMshareC!AI$35),0))</f>
        <v>1.4752220355627484E-4</v>
      </c>
      <c r="AJ78" s="8">
        <f>IF($A78=AJ$1,0,IF(SUM(IMshareC!AJ$2:AJ$78)-IMshareC!AJ$36&gt;0,IMshareC!AJ78/(SUM(IMshareC!AJ$2:AJ$78)-IMshareC!AJ$36),0))</f>
        <v>8.3890595964031679E-4</v>
      </c>
      <c r="AK78" s="8">
        <f>IF($A78=AK$1,0,IF(SUM(IMshareC!AK$2:AK$78)-IMshareC!AK$37&gt;0,IMshareC!AK78/(SUM(IMshareC!AK$2:AK$78)-IMshareC!AK$37),0))</f>
        <v>5.0202425522678621E-4</v>
      </c>
      <c r="AL78" s="8">
        <f>IF($A78=AL$1,0,IF(SUM(IMshareC!AL$2:AL$78)-IMshareC!AL$38&gt;0,IMshareC!AL78/(SUM(IMshareC!AL$2:AL$78)-IMshareC!AL$38),0))</f>
        <v>2.6838731620111599E-3</v>
      </c>
      <c r="AM78" s="8">
        <f>IF($A78=AM$1,0,IF(SUM(IMshareC!AM$2:AM$78)-IMshareC!AM$39&gt;0,IMshareC!AM78/(SUM(IMshareC!AM$2:AM$78)-IMshareC!AM$39),0))</f>
        <v>4.4833497233508438E-3</v>
      </c>
      <c r="AN78" s="8">
        <f>IF($A78=AN$1,0,IF(SUM(IMshareC!AN$2:AN$78)-IMshareC!AN$40&gt;0,IMshareC!AN78/(SUM(IMshareC!AN$2:AN$78)-IMshareC!AN$40),0))</f>
        <v>6.915229298853055E-5</v>
      </c>
      <c r="AO78" s="8">
        <f>IF($A78=AO$1,0,IF(SUM(IMshareC!AO$2:AO$78)-IMshareC!AO$41&gt;0,IMshareC!AO78/(SUM(IMshareC!AO$2:AO$78)-IMshareC!AO$41),0))</f>
        <v>9.2528757469578616E-5</v>
      </c>
      <c r="AP78" s="8">
        <f>IF($A78=AP$1,0,IF(SUM(IMshareC!AP$2:AP$78)-IMshareC!AP$42&gt;0,IMshareC!AP78/(SUM(IMshareC!AP$2:AP$78)-IMshareC!AP$42),0))</f>
        <v>0</v>
      </c>
      <c r="AQ78" s="8">
        <f>IF($A78=AQ$1,0,IF(SUM(IMshareC!AQ$2:AQ$78)-IMshareC!AQ$43&gt;0,IMshareC!AQ78/(SUM(IMshareC!AQ$2:AQ$78)-IMshareC!AQ$43),0))</f>
        <v>3.3553115286256645E-2</v>
      </c>
      <c r="AR78" s="8">
        <f>IF($A78=AR$1,0,IF(SUM(IMshareC!AR$2:AR$78)-IMshareC!AR$44&gt;0,IMshareC!AR78/(SUM(IMshareC!AR$2:AR$78)-IMshareC!AR$44),0))</f>
        <v>0</v>
      </c>
      <c r="AS78" s="8">
        <f>IF($A78=AS$1,0,IF(SUM(IMshareC!AS$2:AS$78)-IMshareC!AS$45&gt;0,IMshareC!AS78/(SUM(IMshareC!AS$2:AS$78)-IMshareC!AS$45),0))</f>
        <v>4.5084485818392642E-4</v>
      </c>
      <c r="AT78" s="8">
        <f>IF($A78=AT$1,0,IF(SUM(IMshareC!AT$2:AT$78)-IMshareC!AT$46&gt;0,IMshareC!AT78/(SUM(IMshareC!AT$2:AT$78)-IMshareC!AT$46),0))</f>
        <v>7.4549772229396344E-3</v>
      </c>
      <c r="AU78" s="8">
        <f>IF($A78=AU$1,0,IF(SUM(IMshareC!AU$2:AU$78)-IMshareC!AU$47&gt;0,IMshareC!AU78/(SUM(IMshareC!AU$2:AU$78)-IMshareC!AU$47),0))</f>
        <v>2.409809786901608E-4</v>
      </c>
      <c r="AV78" s="8">
        <f>IF($A78=AV$1,0,IF(SUM(IMshareC!AV$2:AV$78)-IMshareC!AV$48&gt;0,IMshareC!AV78/(SUM(IMshareC!AV$2:AV$78)-IMshareC!AV$48),0))</f>
        <v>5.566323155233667E-4</v>
      </c>
      <c r="AW78" s="8">
        <f>IF($A78=AW$1,0,IF(SUM(IMshareC!AW$2:AW$78)-IMshareC!AW$49&gt;0,IMshareC!AW78/(SUM(IMshareC!AW$2:AW$78)-IMshareC!AW$49),0))</f>
        <v>7.0731835762777193E-5</v>
      </c>
      <c r="AX78" s="8">
        <f>IF($A78=AX$1,0,IF(SUM(IMshareC!AX$2:AX$78)-IMshareC!AX$50&gt;0,IMshareC!AX78/(SUM(IMshareC!AX$2:AX$78)-IMshareC!AX$50),0))</f>
        <v>1.3552440111737891E-4</v>
      </c>
      <c r="AY78" s="8">
        <f>IF($A78=AY$1,0,IF(SUM(IMshareC!AY$2:AY$78)-IMshareC!AY$51&gt;0,IMshareC!AY78/(SUM(IMshareC!AY$2:AY$78)-IMshareC!AY$51),0))</f>
        <v>0</v>
      </c>
      <c r="AZ78" s="8">
        <f>IF($A78=AZ$1,0,IF(SUM(IMshareC!AZ$2:AZ$78)-IMshareC!AZ$52&gt;0,IMshareC!AZ78/(SUM(IMshareC!AZ$2:AZ$78)-IMshareC!AZ$52),0))</f>
        <v>4.3669585699613678E-3</v>
      </c>
      <c r="BA78" s="8">
        <f>IF($A78=BA$1,0,IF(SUM(IMshareC!BA$2:BA$78)-IMshareC!BA$53&gt;0,IMshareC!BA78/(SUM(IMshareC!BA$2:BA$78)-IMshareC!BA$53),0))</f>
        <v>7.268946371470051E-3</v>
      </c>
      <c r="BB78" s="8">
        <f>IF($A78=BB$1,0,IF(SUM(IMshareC!BB$2:BB$78)-IMshareC!BB$54&gt;0,IMshareC!BB78/(SUM(IMshareC!BB$2:BB$78)-IMshareC!BB$54),0))</f>
        <v>2.3760116525565625E-3</v>
      </c>
      <c r="BC78" s="8">
        <f>IF($A78=BC$1,0,IF(SUM(IMshareC!BC$2:BC$78)-IMshareC!BC$55&gt;0,IMshareC!BC78/(SUM(IMshareC!BC$2:BC$78)-IMshareC!BC$55),0))</f>
        <v>2.7909262830406876E-4</v>
      </c>
      <c r="BD78" s="8">
        <f>IF($A78=BD$1,0,IF(SUM(IMshareC!BD$2:BD$78)-IMshareC!BD$56&gt;0,IMshareC!BD78/(SUM(IMshareC!BD$2:BD$78)-IMshareC!BD$56),0))</f>
        <v>4.6724744674694722E-4</v>
      </c>
      <c r="BE78" s="8">
        <f>IF($A78=BE$1,0,IF(SUM(IMshareC!BE$2:BE$78)-IMshareC!BE$57&gt;0,IMshareC!BE78/(SUM(IMshareC!BE$2:BE$78)-IMshareC!BE$57),0))</f>
        <v>4.4170270183458427E-2</v>
      </c>
      <c r="BF78" s="8">
        <f>IF($A78=BF$1,0,IF(SUM(IMshareC!BF$2:BF$78)-IMshareC!BF$58&gt;0,IMshareC!BF78/(SUM(IMshareC!BF$2:BF$78)-IMshareC!BF$58),0))</f>
        <v>1.080156866801384E-3</v>
      </c>
      <c r="BG78" s="8">
        <f>IF($A78=BG$1,0,IF(SUM(IMshareC!BG$2:BG$78)-IMshareC!BG$59&gt;0,IMshareC!BG78/(SUM(IMshareC!BG$2:BG$78)-IMshareC!BG$59),0))</f>
        <v>9.1938741795208361E-6</v>
      </c>
      <c r="BH78" s="8">
        <f>IF($A78=BH$1,0,IF(SUM(IMshareC!BH$2:BH$78)-IMshareC!BH$60&gt;0,IMshareC!BH78/(SUM(IMshareC!BH$2:BH$78)-IMshareC!BH$60),0))</f>
        <v>1.8969572601369041E-3</v>
      </c>
      <c r="BI78" s="8">
        <f>IF($A78=BI$1,0,IF(SUM(IMshareC!BI$2:BI$78)-IMshareC!BI$61&gt;0,IMshareC!BI78/(SUM(IMshareC!BI$2:BI$78)-IMshareC!BI$61),0))</f>
        <v>1.4512357455133914E-4</v>
      </c>
      <c r="BJ78" s="8">
        <f>IF($A78=BJ$1,0,IF(SUM(IMshareC!BJ$2:BJ$78)-IMshareC!BJ$62&gt;0,IMshareC!BJ78/(SUM(IMshareC!BJ$2:BJ$78)-IMshareC!BJ$62),0))</f>
        <v>8.9085849826521198E-4</v>
      </c>
      <c r="BK78" s="8">
        <f>IF($A78=BK$1,0,IF(SUM(IMshareC!BK$2:BK$78)-IMshareC!BK$63&gt;0,IMshareC!BK78/(SUM(IMshareC!BK$2:BK$78)-IMshareC!BK$63),0))</f>
        <v>2.7750349571626632E-2</v>
      </c>
      <c r="BL78" s="8">
        <f>IF($A78=BL$1,0,IF(SUM(IMshareC!BL$2:BL$78)-IMshareC!BL$64&gt;0,IMshareC!BL78/(SUM(IMshareC!BL$2:BL$78)-IMshareC!BL$64),0))</f>
        <v>0.39977305418432041</v>
      </c>
      <c r="BM78" s="8">
        <f>IF($A78=BM$1,0,IF(SUM(IMshareC!BM$2:BM$78)-IMshareC!BM$65&gt;0,IMshareC!BM78/(SUM(IMshareC!BM$2:BM$78)-IMshareC!BM$65),0))</f>
        <v>1.4016941173975016E-2</v>
      </c>
      <c r="BN78" s="8">
        <f>IF($A78=BN$1,0,IF(SUM(IMshareC!BN$2:BN$78)-IMshareC!BN$66&gt;0,IMshareC!BN78/(SUM(IMshareC!BN$2:BN$78)-IMshareC!BN$66),0))</f>
        <v>5.9585792646641302E-5</v>
      </c>
      <c r="BO78" s="8">
        <f>IF($A78=BO$1,0,IF(SUM(IMshareC!BO$2:BO$78)-IMshareC!BO$67&gt;0,IMshareC!BO78/(SUM(IMshareC!BO$2:BO$78)-IMshareC!BO$67),0))</f>
        <v>3.4662138760226134E-2</v>
      </c>
      <c r="BP78" s="8">
        <f>IF($A78=BP$1,0,IF(SUM(IMshareC!BP$2:BP$78)-IMshareC!BP$68&gt;0,IMshareC!BP78/(SUM(IMshareC!BP$2:BP$78)-IMshareC!BP$68),0))</f>
        <v>2.9720021260582698E-3</v>
      </c>
      <c r="BQ78" s="8">
        <f>IF($A78=BQ$1,0,IF(SUM(IMshareC!BQ$2:BQ$78)-IMshareC!BQ$69&gt;0,IMshareC!BQ78/(SUM(IMshareC!BQ$2:BQ$78)-IMshareC!BQ$69),0))</f>
        <v>2.7789942629385159E-3</v>
      </c>
      <c r="BR78" s="8">
        <f>IF($A78=BR$1,0,IF(SUM(IMshareC!BR$2:BR$78)-IMshareC!BR$70&gt;0,IMshareC!BR78/(SUM(IMshareC!BR$2:BR$78)-IMshareC!BR$70),0))</f>
        <v>1.7218121816194303E-4</v>
      </c>
      <c r="BS78" s="8">
        <f>IF($A78=BS$1,0,IF(SUM(IMshareC!BS$2:BS$78)-IMshareC!BS$71&gt;0,IMshareC!BS78/(SUM(IMshareC!BS$2:BS$78)-IMshareC!BS$71),0))</f>
        <v>0.1654536883136348</v>
      </c>
      <c r="BT78" s="8">
        <f>IF($A78=BT$1,0,IF(SUM(IMshareC!BT$2:BT$78)-IMshareC!BT$72&gt;0,IMshareC!BT78/(SUM(IMshareC!BT$2:BT$78)-IMshareC!BT$72),0))</f>
        <v>2.6683194143707527E-3</v>
      </c>
      <c r="BU78" s="8">
        <f>IF($A78=BU$1,0,IF(SUM(IMshareC!BU$2:BU$78)-IMshareC!BU$73&gt;0,IMshareC!BU78/(SUM(IMshareC!BU$2:BU$78)-IMshareC!BU$73),0))</f>
        <v>6.9013583991772866E-6</v>
      </c>
      <c r="BV78" s="8">
        <f>IF($A78=BV$1,0,IF(SUM(IMshareC!BV$2:BV$78)-IMshareC!BV$74&gt;0,IMshareC!BV78/(SUM(IMshareC!BV$2:BV$78)-IMshareC!BV$74),0))</f>
        <v>2.556838334644893E-3</v>
      </c>
      <c r="BW78" s="8">
        <f>IF($A78=BW$1,0,IF(SUM(IMshareC!BW$2:BW$78)-IMshareC!BW$75&gt;0,IMshareC!BW78/(SUM(IMshareC!BW$2:BW$78)-IMshareC!BW$75),0))</f>
        <v>9.4835293275440449E-4</v>
      </c>
      <c r="BX78" s="8">
        <f>IF($A78=BX$1,0,IF(SUM(IMshareC!BX$2:BX$78)-IMshareC!BX$76&gt;0,IMshareC!BX78/(SUM(IMshareC!BX$2:BX$78)-IMshareC!BX$76),0))</f>
        <v>3.0601852852716693E-4</v>
      </c>
      <c r="BY78" s="8">
        <f>IF($A78=BY$1,0,IF(SUM(IMshareC!BY$2:BY$78)-IMshareC!BY$77&gt;0,IMshareC!BY78/(SUM(IMshareC!BY$2:BY$78)-IMshareC!BY$77),0))</f>
        <v>5.666401068983265E-3</v>
      </c>
      <c r="BZ78" s="8">
        <f>IF($A78=BZ$1,0,IF(SUM(IMshareC!BZ$2:BZ$78)-IMshareC!BZ$78&gt;0,IMshareC!BZ78/(SUM(IMshareC!BZ$2:BZ$78)-IMshareC!BZ$78),0))</f>
        <v>0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Z78"/>
  <sheetViews>
    <sheetView showGridLines="0" workbookViewId="0">
      <selection activeCell="B2" sqref="B2:BZ78"/>
    </sheetView>
  </sheetViews>
  <sheetFormatPr defaultRowHeight="13.8"/>
  <cols>
    <col min="1" max="78" width="14" customWidth="1"/>
  </cols>
  <sheetData>
    <row r="1" spans="1:78" ht="24">
      <c r="A1" s="1" t="s">
        <v>390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123271.97900000001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103.199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</row>
    <row r="3" spans="1:78">
      <c r="A3" s="4" t="s">
        <v>72</v>
      </c>
      <c r="B3" s="9">
        <v>0</v>
      </c>
      <c r="C3" s="9">
        <v>2046140000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74788.554000000004</v>
      </c>
      <c r="O3" s="9">
        <v>0</v>
      </c>
      <c r="P3" s="9">
        <v>0</v>
      </c>
      <c r="Q3" s="9">
        <v>0</v>
      </c>
      <c r="R3" s="9">
        <v>0</v>
      </c>
      <c r="S3" s="9">
        <v>25273.168000000001</v>
      </c>
      <c r="T3" s="9">
        <v>0</v>
      </c>
      <c r="U3" s="9">
        <v>40493.932000000001</v>
      </c>
      <c r="V3" s="9">
        <v>0</v>
      </c>
      <c r="W3" s="9">
        <v>0</v>
      </c>
      <c r="X3" s="9">
        <v>2843.2310000000002</v>
      </c>
      <c r="Y3" s="9">
        <v>0</v>
      </c>
      <c r="Z3" s="9">
        <v>0</v>
      </c>
      <c r="AA3" s="9">
        <v>0</v>
      </c>
      <c r="AB3" s="9">
        <v>123336.359</v>
      </c>
      <c r="AC3" s="9">
        <v>0</v>
      </c>
      <c r="AD3" s="9">
        <v>0</v>
      </c>
      <c r="AE3" s="9">
        <v>0</v>
      </c>
      <c r="AF3" s="9">
        <v>0</v>
      </c>
      <c r="AG3" s="9">
        <v>236770.76699999999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90000</v>
      </c>
      <c r="AZ3" s="9">
        <v>327833.66100000002</v>
      </c>
      <c r="BA3" s="9">
        <v>20809.278999999999</v>
      </c>
      <c r="BB3" s="9">
        <v>1074.1099999999999</v>
      </c>
      <c r="BC3" s="9">
        <v>0</v>
      </c>
      <c r="BD3" s="9">
        <v>126749.374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812914.44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40102.258000000002</v>
      </c>
      <c r="BX3" s="9">
        <v>13046.031999999999</v>
      </c>
      <c r="BY3" s="9">
        <v>0</v>
      </c>
      <c r="BZ3" s="9">
        <v>241191.66</v>
      </c>
    </row>
    <row r="4" spans="1:78">
      <c r="A4" s="4" t="s">
        <v>74</v>
      </c>
      <c r="B4" s="9">
        <v>0</v>
      </c>
      <c r="C4" s="9">
        <v>842111.18700000003</v>
      </c>
      <c r="D4" s="9">
        <v>2472200000</v>
      </c>
      <c r="E4" s="9">
        <v>31573986.873</v>
      </c>
      <c r="F4" s="9">
        <v>0</v>
      </c>
      <c r="G4" s="9">
        <v>18044930.390000001</v>
      </c>
      <c r="H4" s="9">
        <v>41911.336000000003</v>
      </c>
      <c r="I4" s="9">
        <v>1072306</v>
      </c>
      <c r="J4" s="9">
        <v>0</v>
      </c>
      <c r="K4" s="9">
        <v>1895496.0930000001</v>
      </c>
      <c r="L4" s="9">
        <v>12851145.594000001</v>
      </c>
      <c r="M4" s="9">
        <v>199232.003</v>
      </c>
      <c r="N4" s="9">
        <v>49221</v>
      </c>
      <c r="O4" s="9">
        <v>0</v>
      </c>
      <c r="P4" s="9">
        <v>0</v>
      </c>
      <c r="Q4" s="9">
        <v>260970.93</v>
      </c>
      <c r="R4" s="9">
        <v>98614.845000000001</v>
      </c>
      <c r="S4" s="9">
        <v>55271.362999999998</v>
      </c>
      <c r="T4" s="9">
        <v>3290845</v>
      </c>
      <c r="U4" s="9">
        <v>42810539.798</v>
      </c>
      <c r="V4" s="9">
        <v>6971272.1050000004</v>
      </c>
      <c r="W4" s="9">
        <v>110359.496</v>
      </c>
      <c r="X4" s="9">
        <v>4847907.2369999997</v>
      </c>
      <c r="Y4" s="9">
        <v>121903.06</v>
      </c>
      <c r="Z4" s="9">
        <v>3568012.0010000002</v>
      </c>
      <c r="AA4" s="9">
        <v>841610.14100000006</v>
      </c>
      <c r="AB4" s="9">
        <v>304961058.079</v>
      </c>
      <c r="AC4" s="9">
        <v>1217767.5430000001</v>
      </c>
      <c r="AD4" s="9">
        <v>165292.81700000001</v>
      </c>
      <c r="AE4" s="9">
        <v>2109158</v>
      </c>
      <c r="AF4" s="9">
        <v>40835227</v>
      </c>
      <c r="AG4" s="9">
        <v>305499.93800000002</v>
      </c>
      <c r="AH4" s="9">
        <v>694191.77099999995</v>
      </c>
      <c r="AI4" s="9">
        <v>6055412.7601999994</v>
      </c>
      <c r="AJ4" s="9">
        <v>802021.60299999989</v>
      </c>
      <c r="AK4" s="9">
        <v>5780000</v>
      </c>
      <c r="AL4" s="9">
        <v>2525434.895</v>
      </c>
      <c r="AM4" s="9">
        <v>164868.45300000001</v>
      </c>
      <c r="AN4" s="9">
        <v>4403978.4639999997</v>
      </c>
      <c r="AO4" s="9">
        <v>261261.36</v>
      </c>
      <c r="AP4" s="9">
        <v>74813.13</v>
      </c>
      <c r="AQ4" s="9">
        <v>146494.85999999999</v>
      </c>
      <c r="AR4" s="9">
        <v>85876.115999999995</v>
      </c>
      <c r="AS4" s="9">
        <v>43497</v>
      </c>
      <c r="AT4" s="9">
        <v>0</v>
      </c>
      <c r="AU4" s="9">
        <v>35484.58</v>
      </c>
      <c r="AV4" s="9">
        <v>0</v>
      </c>
      <c r="AW4" s="9">
        <v>261746.821</v>
      </c>
      <c r="AX4" s="9">
        <v>387156.48800000001</v>
      </c>
      <c r="AY4" s="9">
        <v>0</v>
      </c>
      <c r="AZ4" s="9">
        <v>239575.935</v>
      </c>
      <c r="BA4" s="9">
        <v>0</v>
      </c>
      <c r="BB4" s="9">
        <v>20121665.204999998</v>
      </c>
      <c r="BC4" s="9">
        <v>16678204.841</v>
      </c>
      <c r="BD4" s="9">
        <v>3447174.3450000002</v>
      </c>
      <c r="BE4" s="9">
        <v>0</v>
      </c>
      <c r="BF4" s="9">
        <v>0</v>
      </c>
      <c r="BG4" s="9">
        <v>610405.95700000005</v>
      </c>
      <c r="BH4" s="9">
        <v>4349497</v>
      </c>
      <c r="BI4" s="9">
        <v>172341.93599999999</v>
      </c>
      <c r="BJ4" s="9">
        <v>54775597.719999999</v>
      </c>
      <c r="BK4" s="9">
        <v>522479.55499999999</v>
      </c>
      <c r="BL4" s="9">
        <v>43732.059000000001</v>
      </c>
      <c r="BM4" s="9">
        <v>0</v>
      </c>
      <c r="BN4" s="9">
        <v>1548867.523</v>
      </c>
      <c r="BO4" s="9">
        <v>178835.03700000001</v>
      </c>
      <c r="BP4" s="9">
        <v>1002180.73</v>
      </c>
      <c r="BQ4" s="9">
        <v>1458924.11</v>
      </c>
      <c r="BR4" s="9">
        <v>70393.606</v>
      </c>
      <c r="BS4" s="9">
        <v>0</v>
      </c>
      <c r="BT4" s="9">
        <v>2921553</v>
      </c>
      <c r="BU4" s="9">
        <v>2744361.76</v>
      </c>
      <c r="BV4" s="9">
        <v>2111735.9980000001</v>
      </c>
      <c r="BW4" s="9">
        <v>12286288</v>
      </c>
      <c r="BX4" s="9">
        <v>0</v>
      </c>
      <c r="BY4" s="9">
        <v>257432.54199999999</v>
      </c>
      <c r="BZ4" s="9">
        <v>2185237.87</v>
      </c>
    </row>
    <row r="5" spans="1:78">
      <c r="A5" s="4" t="s">
        <v>77</v>
      </c>
      <c r="B5" s="9">
        <v>928593.51</v>
      </c>
      <c r="C5" s="9">
        <v>7864967.8559999997</v>
      </c>
      <c r="D5" s="9">
        <v>62989321.335000001</v>
      </c>
      <c r="E5" s="9">
        <v>5711882229.2323875</v>
      </c>
      <c r="F5" s="9">
        <v>1584627.578</v>
      </c>
      <c r="G5" s="9">
        <v>4560363.3669999996</v>
      </c>
      <c r="H5" s="9">
        <v>848345.45400000003</v>
      </c>
      <c r="I5" s="9">
        <v>100882686</v>
      </c>
      <c r="J5" s="9">
        <v>0</v>
      </c>
      <c r="K5" s="9">
        <v>121916511.26000001</v>
      </c>
      <c r="L5" s="9">
        <v>151890149.44</v>
      </c>
      <c r="M5" s="9">
        <v>6657294.5419999994</v>
      </c>
      <c r="N5" s="9">
        <v>18935425</v>
      </c>
      <c r="O5" s="9">
        <v>20208.258000000002</v>
      </c>
      <c r="P5" s="9">
        <v>78924.508000000002</v>
      </c>
      <c r="Q5" s="9">
        <v>7276112.71</v>
      </c>
      <c r="R5" s="9">
        <v>20625271.309999999</v>
      </c>
      <c r="S5" s="9">
        <v>2019135.4509999999</v>
      </c>
      <c r="T5" s="9">
        <v>7599867</v>
      </c>
      <c r="U5" s="9">
        <v>1775921000.5969999</v>
      </c>
      <c r="V5" s="9">
        <v>328312088.58700001</v>
      </c>
      <c r="W5" s="9">
        <v>56637.440999999999</v>
      </c>
      <c r="X5" s="9">
        <v>17809910.704</v>
      </c>
      <c r="Y5" s="9">
        <v>1740744.4</v>
      </c>
      <c r="Z5" s="9">
        <v>142399197.377</v>
      </c>
      <c r="AA5" s="9">
        <v>1212953941.3829999</v>
      </c>
      <c r="AB5" s="9">
        <v>700357285.66700006</v>
      </c>
      <c r="AC5" s="9">
        <v>8130468.426</v>
      </c>
      <c r="AD5" s="9">
        <v>5933407.2079999996</v>
      </c>
      <c r="AE5" s="9">
        <v>3687719</v>
      </c>
      <c r="AF5" s="9">
        <v>17170503</v>
      </c>
      <c r="AG5" s="9">
        <v>135.71700000000001</v>
      </c>
      <c r="AH5" s="9">
        <v>607845.50399999996</v>
      </c>
      <c r="AI5" s="9">
        <v>60085531.402999997</v>
      </c>
      <c r="AJ5" s="9">
        <v>18534544.063000001</v>
      </c>
      <c r="AK5" s="9">
        <v>32230000</v>
      </c>
      <c r="AL5" s="9">
        <v>214652523.03099999</v>
      </c>
      <c r="AM5" s="9">
        <v>2230228.162</v>
      </c>
      <c r="AN5" s="9">
        <v>30482209.412999999</v>
      </c>
      <c r="AO5" s="9">
        <v>2734746.9160000002</v>
      </c>
      <c r="AP5" s="9">
        <v>31155.266</v>
      </c>
      <c r="AQ5" s="9">
        <v>70431725</v>
      </c>
      <c r="AR5" s="9">
        <v>99434.116999999998</v>
      </c>
      <c r="AS5" s="9">
        <v>2462726</v>
      </c>
      <c r="AT5" s="9">
        <v>192675253.23199999</v>
      </c>
      <c r="AU5" s="9">
        <v>991794.897</v>
      </c>
      <c r="AV5" s="9">
        <v>4690754.966</v>
      </c>
      <c r="AW5" s="9">
        <v>28416544.534000002</v>
      </c>
      <c r="AX5" s="9">
        <v>3905734.176</v>
      </c>
      <c r="AY5" s="9">
        <v>0</v>
      </c>
      <c r="AZ5" s="9">
        <v>338729.859</v>
      </c>
      <c r="BA5" s="9">
        <v>28.774999999999999</v>
      </c>
      <c r="BB5" s="9">
        <v>680678894.02199996</v>
      </c>
      <c r="BC5" s="9">
        <v>446338411.94199997</v>
      </c>
      <c r="BD5" s="9">
        <v>18245903.238000002</v>
      </c>
      <c r="BE5" s="9">
        <v>20469825.596000001</v>
      </c>
      <c r="BF5" s="9">
        <v>3059534.9509999999</v>
      </c>
      <c r="BG5" s="9">
        <v>7156641.6960000005</v>
      </c>
      <c r="BH5" s="9">
        <v>42528927</v>
      </c>
      <c r="BI5" s="9">
        <v>148588498.766</v>
      </c>
      <c r="BJ5" s="9">
        <v>42668999.020000003</v>
      </c>
      <c r="BK5" s="9">
        <v>10452148.959000001</v>
      </c>
      <c r="BL5" s="9">
        <v>205081.05179999999</v>
      </c>
      <c r="BM5" s="9">
        <v>33467.707009999998</v>
      </c>
      <c r="BN5" s="9">
        <v>5771310.9179999996</v>
      </c>
      <c r="BO5" s="9">
        <v>569009.56000000006</v>
      </c>
      <c r="BP5" s="9">
        <v>5380171.8190000001</v>
      </c>
      <c r="BQ5" s="9">
        <v>1661227023.2850001</v>
      </c>
      <c r="BR5" s="9">
        <v>2145629.6170000001</v>
      </c>
      <c r="BS5" s="9">
        <v>287926.99800000002</v>
      </c>
      <c r="BT5" s="9">
        <v>34764728</v>
      </c>
      <c r="BU5" s="9">
        <v>48020825.210000001</v>
      </c>
      <c r="BV5" s="9">
        <v>7442513.7910000002</v>
      </c>
      <c r="BW5" s="9">
        <v>1080504508</v>
      </c>
      <c r="BX5" s="9">
        <v>330571.74800000002</v>
      </c>
      <c r="BY5" s="9">
        <v>2905389.6549999998</v>
      </c>
      <c r="BZ5" s="9">
        <v>27646928.225000001</v>
      </c>
    </row>
    <row r="6" spans="1:78">
      <c r="A6" s="4" t="s">
        <v>79</v>
      </c>
      <c r="B6" s="9">
        <v>0</v>
      </c>
      <c r="C6" s="9">
        <v>0</v>
      </c>
      <c r="D6" s="9">
        <v>2210.3490000000002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9662.25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</row>
    <row r="7" spans="1:78">
      <c r="A7" s="4" t="s">
        <v>81</v>
      </c>
      <c r="B7" s="9">
        <v>0</v>
      </c>
      <c r="C7" s="9">
        <v>0</v>
      </c>
      <c r="D7" s="9">
        <v>150717.57999999999</v>
      </c>
      <c r="E7" s="9">
        <v>584094.42700000003</v>
      </c>
      <c r="F7" s="9">
        <v>0</v>
      </c>
      <c r="G7" s="9">
        <v>59964000</v>
      </c>
      <c r="H7" s="9">
        <v>51520.27</v>
      </c>
      <c r="I7" s="9">
        <v>0</v>
      </c>
      <c r="J7" s="9">
        <v>0</v>
      </c>
      <c r="K7" s="9">
        <v>0</v>
      </c>
      <c r="L7" s="9">
        <v>484215.712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147202.766</v>
      </c>
      <c r="T7" s="9">
        <v>87164.327999999994</v>
      </c>
      <c r="U7" s="9">
        <v>860024.81400000001</v>
      </c>
      <c r="V7" s="9">
        <v>259706.03</v>
      </c>
      <c r="W7" s="9">
        <v>0</v>
      </c>
      <c r="X7" s="9">
        <v>32328.593000000001</v>
      </c>
      <c r="Y7" s="9">
        <v>0</v>
      </c>
      <c r="Z7" s="9">
        <v>0</v>
      </c>
      <c r="AA7" s="9">
        <v>305268.25</v>
      </c>
      <c r="AB7" s="9">
        <v>0</v>
      </c>
      <c r="AC7" s="9">
        <v>760335.86300000001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836.12097000000006</v>
      </c>
      <c r="AJ7" s="9">
        <v>429019.06300000002</v>
      </c>
      <c r="AK7" s="9">
        <v>8291000</v>
      </c>
      <c r="AL7" s="9">
        <v>121216.428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1531047.423</v>
      </c>
      <c r="BC7" s="9">
        <v>49444.75</v>
      </c>
      <c r="BD7" s="9">
        <v>0</v>
      </c>
      <c r="BE7" s="9">
        <v>0</v>
      </c>
      <c r="BF7" s="9">
        <v>0</v>
      </c>
      <c r="BG7" s="9">
        <v>0</v>
      </c>
      <c r="BH7" s="9">
        <v>14391</v>
      </c>
      <c r="BI7" s="9">
        <v>0</v>
      </c>
      <c r="BJ7" s="9">
        <v>8448045.5399999991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118812.455</v>
      </c>
      <c r="BU7" s="9">
        <v>0</v>
      </c>
      <c r="BV7" s="9">
        <v>19651.93</v>
      </c>
      <c r="BW7" s="9">
        <v>0</v>
      </c>
      <c r="BX7" s="9">
        <v>0</v>
      </c>
      <c r="BY7" s="9">
        <v>0</v>
      </c>
      <c r="BZ7" s="9">
        <v>32920</v>
      </c>
    </row>
    <row r="8" spans="1:78">
      <c r="A8" s="4" t="s">
        <v>83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75749.2</v>
      </c>
    </row>
    <row r="9" spans="1:78">
      <c r="A9" s="4" t="s">
        <v>85</v>
      </c>
      <c r="B9" s="9">
        <v>15007.91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973100000</v>
      </c>
      <c r="J9" s="9">
        <v>0</v>
      </c>
      <c r="K9" s="9">
        <v>0</v>
      </c>
      <c r="L9" s="9">
        <v>0</v>
      </c>
      <c r="M9" s="9">
        <v>31500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296457.40299999999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1240</v>
      </c>
      <c r="AX9" s="9">
        <v>0</v>
      </c>
      <c r="AY9" s="9">
        <v>0</v>
      </c>
      <c r="AZ9" s="9">
        <v>0</v>
      </c>
      <c r="BA9" s="9">
        <v>0</v>
      </c>
      <c r="BB9" s="9">
        <v>31096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25542732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28500</v>
      </c>
      <c r="BX9" s="9">
        <v>0</v>
      </c>
      <c r="BY9" s="9">
        <v>0</v>
      </c>
      <c r="BZ9" s="9">
        <v>908919</v>
      </c>
    </row>
    <row r="10" spans="1:78">
      <c r="A10" s="4" t="s">
        <v>87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</row>
    <row r="11" spans="1:78">
      <c r="A11" s="4" t="s">
        <v>89</v>
      </c>
      <c r="B11" s="9">
        <v>0</v>
      </c>
      <c r="C11" s="9">
        <v>0</v>
      </c>
      <c r="D11" s="9">
        <v>0</v>
      </c>
      <c r="E11" s="9">
        <v>46977.995999999999</v>
      </c>
      <c r="F11" s="9">
        <v>0</v>
      </c>
      <c r="G11" s="9">
        <v>129799.253</v>
      </c>
      <c r="H11" s="9">
        <v>0</v>
      </c>
      <c r="I11" s="9">
        <v>513206</v>
      </c>
      <c r="J11" s="9">
        <v>0</v>
      </c>
      <c r="K11" s="9">
        <v>6049000000</v>
      </c>
      <c r="L11" s="9">
        <v>0</v>
      </c>
      <c r="M11" s="9">
        <v>0</v>
      </c>
      <c r="N11" s="9">
        <v>0</v>
      </c>
      <c r="O11" s="9">
        <v>10079.484</v>
      </c>
      <c r="P11" s="9">
        <v>0</v>
      </c>
      <c r="Q11" s="9">
        <v>0</v>
      </c>
      <c r="R11" s="9">
        <v>0</v>
      </c>
      <c r="S11" s="9">
        <v>0</v>
      </c>
      <c r="T11" s="9">
        <v>13950</v>
      </c>
      <c r="U11" s="9">
        <v>23103519.969999999</v>
      </c>
      <c r="V11" s="9">
        <v>0</v>
      </c>
      <c r="W11" s="9">
        <v>101806.702</v>
      </c>
      <c r="X11" s="9">
        <v>18887906</v>
      </c>
      <c r="Y11" s="9">
        <v>59475.461000000003</v>
      </c>
      <c r="Z11" s="9">
        <v>0</v>
      </c>
      <c r="AA11" s="9">
        <v>7.3710000000000004</v>
      </c>
      <c r="AB11" s="9">
        <v>165506.67199999999</v>
      </c>
      <c r="AC11" s="9">
        <v>39775.752999999997</v>
      </c>
      <c r="AD11" s="9">
        <v>0</v>
      </c>
      <c r="AE11" s="9">
        <v>0</v>
      </c>
      <c r="AF11" s="9">
        <v>21755</v>
      </c>
      <c r="AG11" s="9">
        <v>0</v>
      </c>
      <c r="AH11" s="9">
        <v>0</v>
      </c>
      <c r="AI11" s="9">
        <v>0</v>
      </c>
      <c r="AJ11" s="9">
        <v>402175.375</v>
      </c>
      <c r="AK11" s="9">
        <v>2695000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178523</v>
      </c>
      <c r="AR11" s="9">
        <v>0</v>
      </c>
      <c r="AS11" s="9">
        <v>79344</v>
      </c>
      <c r="AT11" s="9">
        <v>0</v>
      </c>
      <c r="AU11" s="9">
        <v>46094.870999999999</v>
      </c>
      <c r="AV11" s="9">
        <v>33998.569000000003</v>
      </c>
      <c r="AW11" s="9">
        <v>0</v>
      </c>
      <c r="AX11" s="9">
        <v>0</v>
      </c>
      <c r="AY11" s="9">
        <v>1741449</v>
      </c>
      <c r="AZ11" s="9">
        <v>0</v>
      </c>
      <c r="BA11" s="9">
        <v>6472.8320000000003</v>
      </c>
      <c r="BB11" s="9">
        <v>734629.89</v>
      </c>
      <c r="BC11" s="9">
        <v>0</v>
      </c>
      <c r="BD11" s="9">
        <v>0</v>
      </c>
      <c r="BE11" s="9">
        <v>0</v>
      </c>
      <c r="BF11" s="9">
        <v>0</v>
      </c>
      <c r="BG11" s="9">
        <v>112333</v>
      </c>
      <c r="BH11" s="9">
        <v>996924</v>
      </c>
      <c r="BI11" s="9">
        <v>0</v>
      </c>
      <c r="BJ11" s="9">
        <v>31880.6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280198.685</v>
      </c>
      <c r="BR11" s="9">
        <v>0</v>
      </c>
      <c r="BS11" s="9">
        <v>0</v>
      </c>
      <c r="BT11" s="9">
        <v>0</v>
      </c>
      <c r="BU11" s="9">
        <v>0</v>
      </c>
      <c r="BV11" s="9">
        <v>522325.78</v>
      </c>
      <c r="BW11" s="9">
        <v>771838259</v>
      </c>
      <c r="BX11" s="9">
        <v>51992.432999999997</v>
      </c>
      <c r="BY11" s="9">
        <v>0</v>
      </c>
      <c r="BZ11" s="9">
        <v>914933.83299999998</v>
      </c>
    </row>
    <row r="12" spans="1:78">
      <c r="A12" s="4" t="s">
        <v>91</v>
      </c>
      <c r="B12" s="9">
        <v>0</v>
      </c>
      <c r="C12" s="9">
        <v>0</v>
      </c>
      <c r="D12" s="9">
        <v>829757.03910000005</v>
      </c>
      <c r="E12" s="9">
        <v>93674.722999999998</v>
      </c>
      <c r="F12" s="9">
        <v>0</v>
      </c>
      <c r="G12" s="9">
        <v>282703.19799999997</v>
      </c>
      <c r="H12" s="9">
        <v>21153.159</v>
      </c>
      <c r="I12" s="9">
        <v>17867623</v>
      </c>
      <c r="J12" s="9">
        <v>0</v>
      </c>
      <c r="K12" s="9">
        <v>0</v>
      </c>
      <c r="L12" s="9">
        <v>3103400000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45573</v>
      </c>
      <c r="U12" s="9">
        <v>6172798.4100000001</v>
      </c>
      <c r="V12" s="9">
        <v>78825.388999999996</v>
      </c>
      <c r="W12" s="9">
        <v>0</v>
      </c>
      <c r="X12" s="9">
        <v>5685097.9160000002</v>
      </c>
      <c r="Y12" s="9">
        <v>0</v>
      </c>
      <c r="Z12" s="9">
        <v>36203976.184</v>
      </c>
      <c r="AA12" s="9">
        <v>1897187.1459999999</v>
      </c>
      <c r="AB12" s="9">
        <v>29358.991000000002</v>
      </c>
      <c r="AC12" s="9">
        <v>17368.984</v>
      </c>
      <c r="AD12" s="9">
        <v>0</v>
      </c>
      <c r="AE12" s="9">
        <v>0</v>
      </c>
      <c r="AF12" s="9">
        <v>26908</v>
      </c>
      <c r="AG12" s="9">
        <v>0</v>
      </c>
      <c r="AH12" s="9">
        <v>0</v>
      </c>
      <c r="AI12" s="9">
        <v>0</v>
      </c>
      <c r="AJ12" s="9">
        <v>379107.77500000002</v>
      </c>
      <c r="AK12" s="9">
        <v>0</v>
      </c>
      <c r="AL12" s="9">
        <v>224459.42300000001</v>
      </c>
      <c r="AM12" s="9">
        <v>13521.127</v>
      </c>
      <c r="AN12" s="9">
        <v>0</v>
      </c>
      <c r="AO12" s="9">
        <v>155738.56</v>
      </c>
      <c r="AP12" s="9">
        <v>6000</v>
      </c>
      <c r="AQ12" s="9">
        <v>0</v>
      </c>
      <c r="AR12" s="9">
        <v>0</v>
      </c>
      <c r="AS12" s="9">
        <v>25770.203010000001</v>
      </c>
      <c r="AT12" s="9">
        <v>1151928.612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239210.527</v>
      </c>
      <c r="BC12" s="9">
        <v>1516066.7239999999</v>
      </c>
      <c r="BD12" s="9">
        <v>0</v>
      </c>
      <c r="BE12" s="9">
        <v>0</v>
      </c>
      <c r="BF12" s="9">
        <v>0</v>
      </c>
      <c r="BG12" s="9">
        <v>0</v>
      </c>
      <c r="BH12" s="9">
        <v>4987</v>
      </c>
      <c r="BI12" s="9">
        <v>7371.34</v>
      </c>
      <c r="BJ12" s="9">
        <v>12669.67</v>
      </c>
      <c r="BK12" s="9">
        <v>0</v>
      </c>
      <c r="BL12" s="9">
        <v>0</v>
      </c>
      <c r="BM12" s="9">
        <v>0</v>
      </c>
      <c r="BN12" s="9">
        <v>0</v>
      </c>
      <c r="BO12" s="9">
        <v>14721.62</v>
      </c>
      <c r="BP12" s="9">
        <v>31618.707999999999</v>
      </c>
      <c r="BQ12" s="9">
        <v>60212.067999999999</v>
      </c>
      <c r="BR12" s="9">
        <v>4871.1518999999998</v>
      </c>
      <c r="BS12" s="9">
        <v>0</v>
      </c>
      <c r="BT12" s="9">
        <v>0</v>
      </c>
      <c r="BU12" s="9">
        <v>0</v>
      </c>
      <c r="BV12" s="9">
        <v>295926.43</v>
      </c>
      <c r="BW12" s="9">
        <v>10471.861000000001</v>
      </c>
      <c r="BX12" s="9">
        <v>0</v>
      </c>
      <c r="BY12" s="9">
        <v>0</v>
      </c>
      <c r="BZ12" s="9">
        <v>715105.45699999994</v>
      </c>
    </row>
    <row r="13" spans="1:78">
      <c r="A13" s="4" t="s">
        <v>93</v>
      </c>
      <c r="B13" s="9">
        <v>4894.8100999999997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78900000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25583.815999999999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10850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58942.84</v>
      </c>
    </row>
    <row r="14" spans="1:78">
      <c r="A14" s="4" t="s">
        <v>95</v>
      </c>
      <c r="B14" s="9">
        <v>185799.85</v>
      </c>
      <c r="C14" s="9">
        <v>1253340691.533</v>
      </c>
      <c r="D14" s="9">
        <v>249244291.01100001</v>
      </c>
      <c r="E14" s="9">
        <v>688199500.94700003</v>
      </c>
      <c r="F14" s="9">
        <v>39007204</v>
      </c>
      <c r="G14" s="9">
        <v>222724.43299999999</v>
      </c>
      <c r="H14" s="9">
        <v>33788210</v>
      </c>
      <c r="I14" s="9">
        <v>171339091</v>
      </c>
      <c r="J14" s="9">
        <v>31294.681</v>
      </c>
      <c r="K14" s="9">
        <v>86536105.652999997</v>
      </c>
      <c r="L14" s="9">
        <v>431843436.62699997</v>
      </c>
      <c r="M14" s="9">
        <v>8776321.8829999994</v>
      </c>
      <c r="N14" s="9">
        <v>186468053491.82761</v>
      </c>
      <c r="O14" s="9">
        <v>35450</v>
      </c>
      <c r="P14" s="9">
        <v>0</v>
      </c>
      <c r="Q14" s="9">
        <v>30662499.449999999</v>
      </c>
      <c r="R14" s="9">
        <v>44374442.57</v>
      </c>
      <c r="S14" s="9">
        <v>36605.023000000001</v>
      </c>
      <c r="T14" s="9">
        <v>10952235</v>
      </c>
      <c r="U14" s="9">
        <v>1248163138.934</v>
      </c>
      <c r="V14" s="9">
        <v>18610293.089000002</v>
      </c>
      <c r="W14" s="9">
        <v>19720001.522999998</v>
      </c>
      <c r="X14" s="9">
        <v>1246179191.099</v>
      </c>
      <c r="Y14" s="9">
        <v>773145.33000000007</v>
      </c>
      <c r="Z14" s="9">
        <v>18249445.421999998</v>
      </c>
      <c r="AA14" s="9">
        <v>341533691.05199999</v>
      </c>
      <c r="AB14" s="9">
        <v>3905680137.2969999</v>
      </c>
      <c r="AC14" s="9">
        <v>1733060.048</v>
      </c>
      <c r="AD14" s="9">
        <v>690984429.91100001</v>
      </c>
      <c r="AE14" s="9">
        <v>1100423</v>
      </c>
      <c r="AF14" s="9">
        <v>2465368</v>
      </c>
      <c r="AG14" s="9">
        <v>68109876</v>
      </c>
      <c r="AH14" s="9">
        <v>5076596.3059999999</v>
      </c>
      <c r="AI14" s="9">
        <v>28922911.289000001</v>
      </c>
      <c r="AJ14" s="9">
        <v>52020266.096000001</v>
      </c>
      <c r="AK14" s="9">
        <v>926493992</v>
      </c>
      <c r="AL14" s="9">
        <v>75527746.851000011</v>
      </c>
      <c r="AM14" s="9">
        <v>301748098.83899999</v>
      </c>
      <c r="AN14" s="9">
        <v>300894973.41799998</v>
      </c>
      <c r="AO14" s="9">
        <v>19540473</v>
      </c>
      <c r="AP14" s="9">
        <v>10875297.57</v>
      </c>
      <c r="AQ14" s="9">
        <v>183008313</v>
      </c>
      <c r="AR14" s="9">
        <v>24887343</v>
      </c>
      <c r="AS14" s="9">
        <v>5857737</v>
      </c>
      <c r="AT14" s="9">
        <v>4949748.9110000003</v>
      </c>
      <c r="AU14" s="9">
        <v>38196.18</v>
      </c>
      <c r="AV14" s="9">
        <v>2755758.19</v>
      </c>
      <c r="AW14" s="9">
        <v>48927681</v>
      </c>
      <c r="AX14" s="9">
        <v>96880.474000000002</v>
      </c>
      <c r="AY14" s="9">
        <v>231069.38</v>
      </c>
      <c r="AZ14" s="9">
        <v>17438124.324999999</v>
      </c>
      <c r="BA14" s="9">
        <v>4474</v>
      </c>
      <c r="BB14" s="9">
        <v>69145115.921000004</v>
      </c>
      <c r="BC14" s="9">
        <v>1262473860.645</v>
      </c>
      <c r="BD14" s="9">
        <v>392082110.23699999</v>
      </c>
      <c r="BE14" s="9">
        <v>1095116.348</v>
      </c>
      <c r="BF14" s="9">
        <v>537532.62699999998</v>
      </c>
      <c r="BG14" s="9">
        <v>2854429</v>
      </c>
      <c r="BH14" s="9">
        <v>19988107</v>
      </c>
      <c r="BI14" s="9">
        <v>1752962.6669999999</v>
      </c>
      <c r="BJ14" s="9">
        <v>1217670.1299999999</v>
      </c>
      <c r="BK14" s="9">
        <v>54996598</v>
      </c>
      <c r="BL14" s="9">
        <v>9751621</v>
      </c>
      <c r="BM14" s="9">
        <v>59200</v>
      </c>
      <c r="BN14" s="9">
        <v>65757367.629000001</v>
      </c>
      <c r="BO14" s="9">
        <v>1955136.4839999999</v>
      </c>
      <c r="BP14" s="9">
        <v>8450421.2620000001</v>
      </c>
      <c r="BQ14" s="9">
        <v>28550407.022999998</v>
      </c>
      <c r="BR14" s="9">
        <v>415348438.78600001</v>
      </c>
      <c r="BS14" s="9">
        <v>99032.402000000002</v>
      </c>
      <c r="BT14" s="9">
        <v>102736979</v>
      </c>
      <c r="BU14" s="9">
        <v>43513.32</v>
      </c>
      <c r="BV14" s="9">
        <v>140320230.75999999</v>
      </c>
      <c r="BW14" s="9">
        <v>433600316</v>
      </c>
      <c r="BX14" s="9">
        <v>1322669.128</v>
      </c>
      <c r="BY14" s="9">
        <v>8769359.1610000003</v>
      </c>
      <c r="BZ14" s="9">
        <v>1638961310.2372999</v>
      </c>
    </row>
    <row r="15" spans="1:78">
      <c r="A15" s="4" t="s">
        <v>97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</row>
    <row r="16" spans="1:78">
      <c r="A16" s="4" t="s">
        <v>99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6639.3798999999999</v>
      </c>
    </row>
    <row r="17" spans="1:78">
      <c r="A17" s="4" t="s">
        <v>101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226180000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5035.6791999999996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14854</v>
      </c>
      <c r="BX17" s="9">
        <v>0</v>
      </c>
      <c r="BY17" s="9">
        <v>0</v>
      </c>
      <c r="BZ17" s="9">
        <v>523160</v>
      </c>
    </row>
    <row r="18" spans="1:78">
      <c r="A18" s="4" t="s">
        <v>103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129003.04700000001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90878.773000000001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53290</v>
      </c>
      <c r="BX18" s="9">
        <v>0</v>
      </c>
      <c r="BY18" s="9">
        <v>0</v>
      </c>
      <c r="BZ18" s="9">
        <v>0</v>
      </c>
    </row>
    <row r="19" spans="1:78">
      <c r="A19" s="4" t="s">
        <v>105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33138000</v>
      </c>
      <c r="T19" s="9">
        <v>419164</v>
      </c>
      <c r="U19" s="9">
        <v>221279.22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424256.462</v>
      </c>
      <c r="AC19" s="9">
        <v>0</v>
      </c>
      <c r="AD19" s="9">
        <v>0</v>
      </c>
      <c r="AE19" s="9">
        <v>0</v>
      </c>
      <c r="AF19" s="9">
        <v>596027</v>
      </c>
      <c r="AG19" s="9">
        <v>0</v>
      </c>
      <c r="AH19" s="9">
        <v>0</v>
      </c>
      <c r="AI19" s="9">
        <v>0</v>
      </c>
      <c r="AJ19" s="9">
        <v>0</v>
      </c>
      <c r="AK19" s="9">
        <v>95000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9856.535100000001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15037.534</v>
      </c>
    </row>
    <row r="20" spans="1:78">
      <c r="A20" s="4" t="s">
        <v>107</v>
      </c>
      <c r="B20" s="9">
        <v>6591.38</v>
      </c>
      <c r="C20" s="9">
        <v>0</v>
      </c>
      <c r="D20" s="9">
        <v>21635849.840999998</v>
      </c>
      <c r="E20" s="9">
        <v>148233359.671</v>
      </c>
      <c r="F20" s="9">
        <v>0</v>
      </c>
      <c r="G20" s="9">
        <v>507319.97</v>
      </c>
      <c r="H20" s="9">
        <v>254148</v>
      </c>
      <c r="I20" s="9">
        <v>0</v>
      </c>
      <c r="J20" s="9">
        <v>0</v>
      </c>
      <c r="K20" s="9">
        <v>0</v>
      </c>
      <c r="L20" s="9">
        <v>219511238.06299999</v>
      </c>
      <c r="M20" s="9">
        <v>1092698.1000000001</v>
      </c>
      <c r="N20" s="9">
        <v>241413</v>
      </c>
      <c r="O20" s="9">
        <v>0</v>
      </c>
      <c r="P20" s="9">
        <v>0</v>
      </c>
      <c r="Q20" s="9">
        <v>0</v>
      </c>
      <c r="R20" s="9">
        <v>0</v>
      </c>
      <c r="S20" s="9">
        <v>674374.44700000004</v>
      </c>
      <c r="T20" s="9">
        <v>441640378.54889601</v>
      </c>
      <c r="U20" s="9">
        <v>1297814910.3540001</v>
      </c>
      <c r="V20" s="9">
        <v>106894347.794</v>
      </c>
      <c r="W20" s="9">
        <v>0</v>
      </c>
      <c r="X20" s="9">
        <v>29190217.243999999</v>
      </c>
      <c r="Y20" s="9">
        <v>8840385.8399999999</v>
      </c>
      <c r="Z20" s="9">
        <v>66724152.862000003</v>
      </c>
      <c r="AA20" s="9">
        <v>179418438.19800001</v>
      </c>
      <c r="AB20" s="9">
        <v>321772773.352</v>
      </c>
      <c r="AC20" s="9">
        <v>3138750.4440000001</v>
      </c>
      <c r="AD20" s="9">
        <v>0</v>
      </c>
      <c r="AE20" s="9">
        <v>5277440</v>
      </c>
      <c r="AF20" s="9">
        <v>23025657</v>
      </c>
      <c r="AG20" s="9">
        <v>0</v>
      </c>
      <c r="AH20" s="9">
        <v>79281.72</v>
      </c>
      <c r="AI20" s="9">
        <v>22893943.144000001</v>
      </c>
      <c r="AJ20" s="9">
        <v>31039234.324999999</v>
      </c>
      <c r="AK20" s="9">
        <v>54186000</v>
      </c>
      <c r="AL20" s="9">
        <v>38633530.619999997</v>
      </c>
      <c r="AM20" s="9">
        <v>32896</v>
      </c>
      <c r="AN20" s="9">
        <v>0</v>
      </c>
      <c r="AO20" s="9">
        <v>326338</v>
      </c>
      <c r="AP20" s="9">
        <v>0</v>
      </c>
      <c r="AQ20" s="9">
        <v>50401</v>
      </c>
      <c r="AR20" s="9">
        <v>0</v>
      </c>
      <c r="AS20" s="9">
        <v>5759560</v>
      </c>
      <c r="AT20" s="9">
        <v>13387134.532</v>
      </c>
      <c r="AU20" s="9">
        <v>70244.661999999997</v>
      </c>
      <c r="AV20" s="9">
        <v>0</v>
      </c>
      <c r="AW20" s="9">
        <v>0</v>
      </c>
      <c r="AX20" s="9">
        <v>973904</v>
      </c>
      <c r="AY20" s="9">
        <v>0</v>
      </c>
      <c r="AZ20" s="9">
        <v>0</v>
      </c>
      <c r="BA20" s="9">
        <v>0</v>
      </c>
      <c r="BB20" s="9">
        <v>158625446.19600001</v>
      </c>
      <c r="BC20" s="9">
        <v>422297724.62099999</v>
      </c>
      <c r="BD20" s="9">
        <v>4932287.0049999999</v>
      </c>
      <c r="BE20" s="9">
        <v>0</v>
      </c>
      <c r="BF20" s="9">
        <v>0</v>
      </c>
      <c r="BG20" s="9">
        <v>0</v>
      </c>
      <c r="BH20" s="9">
        <v>37347196</v>
      </c>
      <c r="BI20" s="9">
        <v>5695508.3650000002</v>
      </c>
      <c r="BJ20" s="9">
        <v>21443525.739999998</v>
      </c>
      <c r="BK20" s="9">
        <v>0</v>
      </c>
      <c r="BL20" s="9">
        <v>0</v>
      </c>
      <c r="BM20" s="9">
        <v>0</v>
      </c>
      <c r="BN20" s="9">
        <v>2609805.5550000002</v>
      </c>
      <c r="BO20" s="9">
        <v>36439989.200000003</v>
      </c>
      <c r="BP20" s="9">
        <v>10600403.939999999</v>
      </c>
      <c r="BQ20" s="9">
        <v>692.09299999999996</v>
      </c>
      <c r="BR20" s="9">
        <v>0</v>
      </c>
      <c r="BS20" s="9">
        <v>0</v>
      </c>
      <c r="BT20" s="9">
        <v>0</v>
      </c>
      <c r="BU20" s="9">
        <v>0</v>
      </c>
      <c r="BV20" s="9">
        <v>2724140.81</v>
      </c>
      <c r="BW20" s="9">
        <v>181335</v>
      </c>
      <c r="BX20" s="9">
        <v>0</v>
      </c>
      <c r="BY20" s="9">
        <v>0</v>
      </c>
      <c r="BZ20" s="9">
        <v>622066.58400000003</v>
      </c>
    </row>
    <row r="21" spans="1:78">
      <c r="A21" s="4" t="s">
        <v>109</v>
      </c>
      <c r="B21" s="9">
        <v>1191061.1200000001</v>
      </c>
      <c r="C21" s="9">
        <v>139809237.71700001</v>
      </c>
      <c r="D21" s="9">
        <v>926539275.92400002</v>
      </c>
      <c r="E21" s="9">
        <v>1356235206.4349999</v>
      </c>
      <c r="F21" s="9">
        <v>90551.648000000001</v>
      </c>
      <c r="G21" s="9">
        <v>32672345.035999998</v>
      </c>
      <c r="H21" s="9">
        <v>33696304.210000001</v>
      </c>
      <c r="I21" s="9">
        <v>98407975</v>
      </c>
      <c r="J21" s="9">
        <v>1053810.693</v>
      </c>
      <c r="K21" s="9">
        <v>421296118.87599999</v>
      </c>
      <c r="L21" s="9">
        <v>1142904697.891</v>
      </c>
      <c r="M21" s="9">
        <v>5407135.5259999996</v>
      </c>
      <c r="N21" s="9">
        <v>1482639182</v>
      </c>
      <c r="O21" s="9">
        <v>332342.15999999997</v>
      </c>
      <c r="P21" s="9">
        <v>470080.91</v>
      </c>
      <c r="Q21" s="9">
        <v>37759625.170000002</v>
      </c>
      <c r="R21" s="9">
        <v>13483468.91</v>
      </c>
      <c r="S21" s="9">
        <v>6555687.9069999997</v>
      </c>
      <c r="T21" s="9">
        <v>108595318</v>
      </c>
      <c r="U21" s="9">
        <v>48874868559.411148</v>
      </c>
      <c r="V21" s="9">
        <v>1209392970.3929999</v>
      </c>
      <c r="W21" s="9">
        <v>19662192.149</v>
      </c>
      <c r="X21" s="9">
        <v>622586721.70700002</v>
      </c>
      <c r="Y21" s="9">
        <v>41310070.899999999</v>
      </c>
      <c r="Z21" s="9">
        <v>817131651.14700007</v>
      </c>
      <c r="AA21" s="9">
        <v>2587954657.8860002</v>
      </c>
      <c r="AB21" s="9">
        <v>4406622058.7679996</v>
      </c>
      <c r="AC21" s="9">
        <v>40280308.674999997</v>
      </c>
      <c r="AD21" s="9">
        <v>133173555.54700001</v>
      </c>
      <c r="AE21" s="9">
        <v>47268067</v>
      </c>
      <c r="AF21" s="9">
        <v>155485434</v>
      </c>
      <c r="AG21" s="9">
        <v>3188714</v>
      </c>
      <c r="AH21" s="9">
        <v>54821674.710000001</v>
      </c>
      <c r="AI21" s="9">
        <v>311540941.45099998</v>
      </c>
      <c r="AJ21" s="9">
        <v>122867759.31900001</v>
      </c>
      <c r="AK21" s="9">
        <v>295467000</v>
      </c>
      <c r="AL21" s="9">
        <v>1307163519.4389999</v>
      </c>
      <c r="AM21" s="9">
        <v>17968801.320999999</v>
      </c>
      <c r="AN21" s="9">
        <v>452119720.13800001</v>
      </c>
      <c r="AO21" s="9">
        <v>29150805.967999998</v>
      </c>
      <c r="AP21" s="9">
        <v>875200</v>
      </c>
      <c r="AQ21" s="9">
        <v>928917837</v>
      </c>
      <c r="AR21" s="9">
        <v>463867.91700000002</v>
      </c>
      <c r="AS21" s="9">
        <v>46259879</v>
      </c>
      <c r="AT21" s="9">
        <v>77637929.476999998</v>
      </c>
      <c r="AU21" s="9">
        <v>54653291.112000003</v>
      </c>
      <c r="AV21" s="9">
        <v>45697906.509000003</v>
      </c>
      <c r="AW21" s="9">
        <v>55570634</v>
      </c>
      <c r="AX21" s="9">
        <v>22087631.037999999</v>
      </c>
      <c r="AY21" s="9">
        <v>0</v>
      </c>
      <c r="AZ21" s="9">
        <v>190481930.18200001</v>
      </c>
      <c r="BA21" s="9">
        <v>333.15499999999997</v>
      </c>
      <c r="BB21" s="9">
        <v>1674241647.431</v>
      </c>
      <c r="BC21" s="9">
        <v>3622712624.8319998</v>
      </c>
      <c r="BD21" s="9">
        <v>42845458.859999999</v>
      </c>
      <c r="BE21" s="9">
        <v>15760529.929</v>
      </c>
      <c r="BF21" s="9">
        <v>416471.42300000001</v>
      </c>
      <c r="BG21" s="9">
        <v>7116132</v>
      </c>
      <c r="BH21" s="9">
        <v>351192955</v>
      </c>
      <c r="BI21" s="9">
        <v>191975796.16</v>
      </c>
      <c r="BJ21" s="9">
        <v>79076566.930000007</v>
      </c>
      <c r="BK21" s="9">
        <v>19467397.168000001</v>
      </c>
      <c r="BL21" s="9">
        <v>22058781.454999998</v>
      </c>
      <c r="BM21" s="9">
        <v>407540.34199999989</v>
      </c>
      <c r="BN21" s="9">
        <v>106126834.251</v>
      </c>
      <c r="BO21" s="9">
        <v>58988376.568000004</v>
      </c>
      <c r="BP21" s="9">
        <v>96195317.947999999</v>
      </c>
      <c r="BQ21" s="9">
        <v>1997081704.1240001</v>
      </c>
      <c r="BR21" s="9">
        <v>75556693.041999996</v>
      </c>
      <c r="BS21" s="9">
        <v>321691.098</v>
      </c>
      <c r="BT21" s="9">
        <v>369957555</v>
      </c>
      <c r="BU21" s="9">
        <v>350153545.00999999</v>
      </c>
      <c r="BV21" s="9">
        <v>80594683.170000002</v>
      </c>
      <c r="BW21" s="9">
        <v>3800165256</v>
      </c>
      <c r="BX21" s="9">
        <v>3813102.091</v>
      </c>
      <c r="BY21" s="9">
        <v>16927459.726</v>
      </c>
      <c r="BZ21" s="9">
        <v>259321198.05049989</v>
      </c>
    </row>
    <row r="22" spans="1:78">
      <c r="A22" s="4" t="s">
        <v>111</v>
      </c>
      <c r="B22" s="9">
        <v>0</v>
      </c>
      <c r="C22" s="9">
        <v>0</v>
      </c>
      <c r="D22" s="9">
        <v>3527229.5669999998</v>
      </c>
      <c r="E22" s="9">
        <v>13088656.098999999</v>
      </c>
      <c r="F22" s="9">
        <v>0</v>
      </c>
      <c r="G22" s="9">
        <v>23698.195</v>
      </c>
      <c r="H22" s="9">
        <v>0</v>
      </c>
      <c r="I22" s="9">
        <v>66369</v>
      </c>
      <c r="J22" s="9">
        <v>0</v>
      </c>
      <c r="K22" s="9">
        <v>102751.726</v>
      </c>
      <c r="L22" s="9">
        <v>391894.73499999999</v>
      </c>
      <c r="M22" s="9">
        <v>41669.438999999998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3867.0059999999999</v>
      </c>
      <c r="T22" s="9">
        <v>620041</v>
      </c>
      <c r="U22" s="9">
        <v>7821765.1339999996</v>
      </c>
      <c r="V22" s="9">
        <v>2998200000</v>
      </c>
      <c r="W22" s="9">
        <v>0</v>
      </c>
      <c r="X22" s="9">
        <v>53287.99</v>
      </c>
      <c r="Y22" s="9">
        <v>1781.49</v>
      </c>
      <c r="Z22" s="9">
        <v>1447231.047</v>
      </c>
      <c r="AA22" s="9">
        <v>1090262.3189999999</v>
      </c>
      <c r="AB22" s="9">
        <v>240498.68900000001</v>
      </c>
      <c r="AC22" s="9">
        <v>13082.093000000001</v>
      </c>
      <c r="AD22" s="9">
        <v>0</v>
      </c>
      <c r="AE22" s="9">
        <v>126901</v>
      </c>
      <c r="AF22" s="9">
        <v>826294.26699999999</v>
      </c>
      <c r="AG22" s="9">
        <v>0</v>
      </c>
      <c r="AH22" s="9">
        <v>0</v>
      </c>
      <c r="AI22" s="9">
        <v>5185.2111999999997</v>
      </c>
      <c r="AJ22" s="9">
        <v>337768.44</v>
      </c>
      <c r="AK22" s="9">
        <v>0</v>
      </c>
      <c r="AL22" s="9">
        <v>39378.754000000001</v>
      </c>
      <c r="AM22" s="9">
        <v>0</v>
      </c>
      <c r="AN22" s="9">
        <v>77050.392999999996</v>
      </c>
      <c r="AO22" s="9">
        <v>0</v>
      </c>
      <c r="AP22" s="9">
        <v>0</v>
      </c>
      <c r="AQ22" s="9">
        <v>0</v>
      </c>
      <c r="AR22" s="9">
        <v>0</v>
      </c>
      <c r="AS22" s="9">
        <v>105832</v>
      </c>
      <c r="AT22" s="9">
        <v>140442.98000000001</v>
      </c>
      <c r="AU22" s="9">
        <v>96015.921000000002</v>
      </c>
      <c r="AV22" s="9">
        <v>0</v>
      </c>
      <c r="AW22" s="9">
        <v>0</v>
      </c>
      <c r="AX22" s="9">
        <v>101457.02</v>
      </c>
      <c r="AY22" s="9">
        <v>0</v>
      </c>
      <c r="AZ22" s="9">
        <v>0</v>
      </c>
      <c r="BA22" s="9">
        <v>0</v>
      </c>
      <c r="BB22" s="9">
        <v>26713667.09</v>
      </c>
      <c r="BC22" s="9">
        <v>5718622.4380000001</v>
      </c>
      <c r="BD22" s="9">
        <v>0</v>
      </c>
      <c r="BE22" s="9">
        <v>0</v>
      </c>
      <c r="BF22" s="9">
        <v>0</v>
      </c>
      <c r="BG22" s="9">
        <v>0</v>
      </c>
      <c r="BH22" s="9">
        <v>3547133</v>
      </c>
      <c r="BI22" s="9">
        <v>1552059.936</v>
      </c>
      <c r="BJ22" s="9">
        <v>138602.92199999999</v>
      </c>
      <c r="BK22" s="9">
        <v>0</v>
      </c>
      <c r="BL22" s="9">
        <v>0</v>
      </c>
      <c r="BM22" s="9">
        <v>0</v>
      </c>
      <c r="BN22" s="9">
        <v>83972.764999999999</v>
      </c>
      <c r="BO22" s="9">
        <v>24957.253000000001</v>
      </c>
      <c r="BP22" s="9">
        <v>97112.672999999995</v>
      </c>
      <c r="BQ22" s="9">
        <v>30703309.436000001</v>
      </c>
      <c r="BR22" s="9">
        <v>0</v>
      </c>
      <c r="BS22" s="9">
        <v>0</v>
      </c>
      <c r="BT22" s="9">
        <v>0</v>
      </c>
      <c r="BU22" s="9">
        <v>0</v>
      </c>
      <c r="BV22" s="9">
        <v>77041.781000000003</v>
      </c>
      <c r="BW22" s="9">
        <v>7057440.5789999999</v>
      </c>
      <c r="BX22" s="9">
        <v>0</v>
      </c>
      <c r="BY22" s="9">
        <v>0</v>
      </c>
      <c r="BZ22" s="9">
        <v>416138.24900000001</v>
      </c>
    </row>
    <row r="23" spans="1:78">
      <c r="A23" s="4" t="s">
        <v>113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21106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1202.5820000000001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</row>
    <row r="24" spans="1:78">
      <c r="A24" s="4" t="s">
        <v>115</v>
      </c>
      <c r="B24" s="9">
        <v>25274.25</v>
      </c>
      <c r="C24" s="9">
        <v>12674135.731000001</v>
      </c>
      <c r="D24" s="9">
        <v>42535161.897</v>
      </c>
      <c r="E24" s="9">
        <v>346765553.51200002</v>
      </c>
      <c r="F24" s="9">
        <v>0</v>
      </c>
      <c r="G24" s="9">
        <v>75823.256999999998</v>
      </c>
      <c r="H24" s="9">
        <v>0</v>
      </c>
      <c r="I24" s="9">
        <v>3849121.784</v>
      </c>
      <c r="J24" s="9">
        <v>0</v>
      </c>
      <c r="K24" s="9">
        <v>0</v>
      </c>
      <c r="L24" s="9">
        <v>68292676.916999996</v>
      </c>
      <c r="M24" s="9">
        <v>2423160.0060000001</v>
      </c>
      <c r="N24" s="9">
        <v>80291</v>
      </c>
      <c r="O24" s="9">
        <v>0</v>
      </c>
      <c r="P24" s="9">
        <v>0</v>
      </c>
      <c r="Q24" s="9">
        <v>0</v>
      </c>
      <c r="R24" s="9">
        <v>0</v>
      </c>
      <c r="S24" s="9">
        <v>812422.79600000009</v>
      </c>
      <c r="T24" s="9">
        <v>28362983</v>
      </c>
      <c r="U24" s="9">
        <v>3090629570.4130001</v>
      </c>
      <c r="V24" s="9">
        <v>71378823.994000003</v>
      </c>
      <c r="W24" s="9">
        <v>408287.69699999999</v>
      </c>
      <c r="X24" s="9">
        <v>4313200000</v>
      </c>
      <c r="Y24" s="9">
        <v>5912730.3700000001</v>
      </c>
      <c r="Z24" s="9">
        <v>60343311.557999998</v>
      </c>
      <c r="AA24" s="9">
        <v>1334769087.5810001</v>
      </c>
      <c r="AB24" s="9">
        <v>796168547.472</v>
      </c>
      <c r="AC24" s="9">
        <v>9514300.5930000003</v>
      </c>
      <c r="AD24" s="9">
        <v>2748631.6430000002</v>
      </c>
      <c r="AE24" s="9">
        <v>576249</v>
      </c>
      <c r="AF24" s="9">
        <v>18442159</v>
      </c>
      <c r="AG24" s="9">
        <v>26526</v>
      </c>
      <c r="AH24" s="9">
        <v>0</v>
      </c>
      <c r="AI24" s="9">
        <v>27746790.544</v>
      </c>
      <c r="AJ24" s="9">
        <v>4861898.8770000003</v>
      </c>
      <c r="AK24" s="9">
        <v>514000</v>
      </c>
      <c r="AL24" s="9">
        <v>178869263.15599999</v>
      </c>
      <c r="AM24" s="9">
        <v>312401.408</v>
      </c>
      <c r="AN24" s="9">
        <v>9989966.0020000003</v>
      </c>
      <c r="AO24" s="9">
        <v>0</v>
      </c>
      <c r="AP24" s="9">
        <v>0</v>
      </c>
      <c r="AQ24" s="9">
        <v>42383</v>
      </c>
      <c r="AR24" s="9">
        <v>0</v>
      </c>
      <c r="AS24" s="9">
        <v>582436</v>
      </c>
      <c r="AT24" s="9">
        <v>13581641.904999999</v>
      </c>
      <c r="AU24" s="9">
        <v>1875164.5379999999</v>
      </c>
      <c r="AV24" s="9">
        <v>498442.01</v>
      </c>
      <c r="AW24" s="9">
        <v>75213.671999999991</v>
      </c>
      <c r="AX24" s="9">
        <v>3902781.4789999998</v>
      </c>
      <c r="AY24" s="9">
        <v>0</v>
      </c>
      <c r="AZ24" s="9">
        <v>0</v>
      </c>
      <c r="BA24" s="9">
        <v>1053.049</v>
      </c>
      <c r="BB24" s="9">
        <v>156237922.72400001</v>
      </c>
      <c r="BC24" s="9">
        <v>140691758.685</v>
      </c>
      <c r="BD24" s="9">
        <v>15741385.767999999</v>
      </c>
      <c r="BE24" s="9">
        <v>0</v>
      </c>
      <c r="BF24" s="9">
        <v>0</v>
      </c>
      <c r="BG24" s="9">
        <v>0</v>
      </c>
      <c r="BH24" s="9">
        <v>23248370</v>
      </c>
      <c r="BI24" s="9">
        <v>458352112.92900002</v>
      </c>
      <c r="BJ24" s="9">
        <v>44792031.159999996</v>
      </c>
      <c r="BK24" s="9">
        <v>0</v>
      </c>
      <c r="BL24" s="9">
        <v>108554.961</v>
      </c>
      <c r="BM24" s="9">
        <v>842.43899999999996</v>
      </c>
      <c r="BN24" s="9">
        <v>6329111.449</v>
      </c>
      <c r="BO24" s="9">
        <v>13868985.33</v>
      </c>
      <c r="BP24" s="9">
        <v>4646123.8039999995</v>
      </c>
      <c r="BQ24" s="9">
        <v>199047051.002</v>
      </c>
      <c r="BR24" s="9">
        <v>0</v>
      </c>
      <c r="BS24" s="9">
        <v>0</v>
      </c>
      <c r="BT24" s="9">
        <v>5597934</v>
      </c>
      <c r="BU24" s="9">
        <v>543010.11</v>
      </c>
      <c r="BV24" s="9">
        <v>1724535.45</v>
      </c>
      <c r="BW24" s="9">
        <v>178915</v>
      </c>
      <c r="BX24" s="9">
        <v>0</v>
      </c>
      <c r="BY24" s="9">
        <v>0</v>
      </c>
      <c r="BZ24" s="9">
        <v>9501796.1880000029</v>
      </c>
    </row>
    <row r="25" spans="1:78">
      <c r="A25" s="4" t="s">
        <v>117</v>
      </c>
      <c r="B25" s="9">
        <v>0</v>
      </c>
      <c r="C25" s="9">
        <v>0</v>
      </c>
      <c r="D25" s="9">
        <v>0</v>
      </c>
      <c r="E25" s="9">
        <v>373275.36300000001</v>
      </c>
      <c r="F25" s="9">
        <v>0</v>
      </c>
      <c r="G25" s="9">
        <v>0</v>
      </c>
      <c r="H25" s="9">
        <v>248554.13</v>
      </c>
      <c r="I25" s="9">
        <v>0</v>
      </c>
      <c r="J25" s="9">
        <v>0</v>
      </c>
      <c r="K25" s="9">
        <v>0</v>
      </c>
      <c r="L25" s="9">
        <v>28603.71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1139738.754</v>
      </c>
      <c r="V25" s="9">
        <v>184516.45199999999</v>
      </c>
      <c r="W25" s="9">
        <v>0</v>
      </c>
      <c r="X25" s="9">
        <v>0</v>
      </c>
      <c r="Y25" s="9">
        <v>61016000</v>
      </c>
      <c r="Z25" s="9">
        <v>2632787.9500000002</v>
      </c>
      <c r="AA25" s="9">
        <v>87577.841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478072.47</v>
      </c>
      <c r="AL25" s="9">
        <v>0</v>
      </c>
      <c r="AM25" s="9">
        <v>0</v>
      </c>
      <c r="AN25" s="9">
        <v>0</v>
      </c>
      <c r="AO25" s="9">
        <v>103562.52</v>
      </c>
      <c r="AP25" s="9">
        <v>0</v>
      </c>
      <c r="AQ25" s="9">
        <v>0</v>
      </c>
      <c r="AR25" s="9">
        <v>0</v>
      </c>
      <c r="AS25" s="9">
        <v>23770169</v>
      </c>
      <c r="AT25" s="9">
        <v>0</v>
      </c>
      <c r="AU25" s="9">
        <v>8953169.9830000009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4017037.2390000001</v>
      </c>
      <c r="BC25" s="9">
        <v>50155.277999999998</v>
      </c>
      <c r="BD25" s="9">
        <v>0</v>
      </c>
      <c r="BE25" s="9">
        <v>0</v>
      </c>
      <c r="BF25" s="9">
        <v>0</v>
      </c>
      <c r="BG25" s="9">
        <v>0</v>
      </c>
      <c r="BH25" s="9">
        <v>953470.41</v>
      </c>
      <c r="BI25" s="9">
        <v>0</v>
      </c>
      <c r="BJ25" s="9">
        <v>112253</v>
      </c>
      <c r="BK25" s="9">
        <v>26721.52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50136.25</v>
      </c>
      <c r="BU25" s="9">
        <v>0</v>
      </c>
      <c r="BV25" s="9">
        <v>89389.09</v>
      </c>
      <c r="BW25" s="9">
        <v>0</v>
      </c>
      <c r="BX25" s="9">
        <v>0</v>
      </c>
      <c r="BY25" s="9">
        <v>0</v>
      </c>
      <c r="BZ25" s="9">
        <v>625045</v>
      </c>
    </row>
    <row r="26" spans="1:78">
      <c r="A26" s="4" t="s">
        <v>119</v>
      </c>
      <c r="B26" s="9">
        <v>0</v>
      </c>
      <c r="C26" s="9">
        <v>0</v>
      </c>
      <c r="D26" s="9">
        <v>198766.09</v>
      </c>
      <c r="E26" s="9">
        <v>1884416.7749999999</v>
      </c>
      <c r="F26" s="9">
        <v>0</v>
      </c>
      <c r="G26" s="9">
        <v>0</v>
      </c>
      <c r="H26" s="9">
        <v>88982.608999999997</v>
      </c>
      <c r="I26" s="9">
        <v>0</v>
      </c>
      <c r="J26" s="9">
        <v>0</v>
      </c>
      <c r="K26" s="9">
        <v>0</v>
      </c>
      <c r="L26" s="9">
        <v>454216.95699999999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597399</v>
      </c>
      <c r="U26" s="9">
        <v>246910159.498</v>
      </c>
      <c r="V26" s="9">
        <v>2196500.9509999999</v>
      </c>
      <c r="W26" s="9">
        <v>0</v>
      </c>
      <c r="X26" s="9">
        <v>30911.188999999998</v>
      </c>
      <c r="Y26" s="9">
        <v>2147178.83</v>
      </c>
      <c r="Z26" s="9">
        <v>1630600000</v>
      </c>
      <c r="AA26" s="9">
        <v>20874.581999999999</v>
      </c>
      <c r="AB26" s="9">
        <v>68042320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53705.48</v>
      </c>
      <c r="AM26" s="9">
        <v>0</v>
      </c>
      <c r="AN26" s="9">
        <v>933655.75</v>
      </c>
      <c r="AO26" s="9">
        <v>0</v>
      </c>
      <c r="AP26" s="9">
        <v>0</v>
      </c>
      <c r="AQ26" s="9">
        <v>0</v>
      </c>
      <c r="AR26" s="9">
        <v>0</v>
      </c>
      <c r="AS26" s="9">
        <v>3929610</v>
      </c>
      <c r="AT26" s="9">
        <v>398014.47200000001</v>
      </c>
      <c r="AU26" s="9">
        <v>6703066.2759999996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1306096.1769999999</v>
      </c>
      <c r="BC26" s="9">
        <v>1577180.1029999999</v>
      </c>
      <c r="BD26" s="9">
        <v>0</v>
      </c>
      <c r="BE26" s="9">
        <v>0</v>
      </c>
      <c r="BF26" s="9">
        <v>0</v>
      </c>
      <c r="BG26" s="9">
        <v>0</v>
      </c>
      <c r="BH26" s="9">
        <v>5248714</v>
      </c>
      <c r="BI26" s="9">
        <v>3582.4708999999998</v>
      </c>
      <c r="BJ26" s="9">
        <v>0</v>
      </c>
      <c r="BK26" s="9">
        <v>97435.428999999989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1841559.905</v>
      </c>
      <c r="BR26" s="9">
        <v>0</v>
      </c>
      <c r="BS26" s="9">
        <v>0</v>
      </c>
      <c r="BT26" s="9">
        <v>0</v>
      </c>
      <c r="BU26" s="9">
        <v>0</v>
      </c>
      <c r="BV26" s="9">
        <v>24287</v>
      </c>
      <c r="BW26" s="9">
        <v>26642.13</v>
      </c>
      <c r="BX26" s="9">
        <v>0</v>
      </c>
      <c r="BY26" s="9">
        <v>0</v>
      </c>
      <c r="BZ26" s="9">
        <v>33256.635999999999</v>
      </c>
    </row>
    <row r="27" spans="1:78">
      <c r="A27" s="4" t="s">
        <v>121</v>
      </c>
      <c r="B27" s="9">
        <v>7358651.29</v>
      </c>
      <c r="C27" s="9">
        <v>232415.87</v>
      </c>
      <c r="D27" s="9">
        <v>46209246.100000001</v>
      </c>
      <c r="E27" s="9">
        <v>93625943.320999995</v>
      </c>
      <c r="F27" s="9">
        <v>0</v>
      </c>
      <c r="G27" s="9">
        <v>5500937.4939999999</v>
      </c>
      <c r="H27" s="9">
        <v>66215.695000000007</v>
      </c>
      <c r="I27" s="9">
        <v>6480454</v>
      </c>
      <c r="J27" s="9">
        <v>0</v>
      </c>
      <c r="K27" s="9">
        <v>26942.393</v>
      </c>
      <c r="L27" s="9">
        <v>87223338.372999996</v>
      </c>
      <c r="M27" s="9">
        <v>7958283.6960000005</v>
      </c>
      <c r="N27" s="9">
        <v>646866</v>
      </c>
      <c r="O27" s="9">
        <v>1198.3689999999999</v>
      </c>
      <c r="P27" s="9">
        <v>40226.457900000001</v>
      </c>
      <c r="Q27" s="9">
        <v>3914986.83</v>
      </c>
      <c r="R27" s="9">
        <v>361132.49699999997</v>
      </c>
      <c r="S27" s="9">
        <v>84434.491999999998</v>
      </c>
      <c r="T27" s="9">
        <v>5211522</v>
      </c>
      <c r="U27" s="9">
        <v>1316341507.4519999</v>
      </c>
      <c r="V27" s="9">
        <v>44724783.693000004</v>
      </c>
      <c r="W27" s="9">
        <v>149451.35399999999</v>
      </c>
      <c r="X27" s="9">
        <v>79963290.399000004</v>
      </c>
      <c r="Y27" s="9">
        <v>2511911.08</v>
      </c>
      <c r="Z27" s="9">
        <v>55232138.989999987</v>
      </c>
      <c r="AA27" s="9">
        <v>17884000000</v>
      </c>
      <c r="AB27" s="9">
        <v>470702024.18900001</v>
      </c>
      <c r="AC27" s="9">
        <v>23782175.017000001</v>
      </c>
      <c r="AD27" s="9">
        <v>393398.658</v>
      </c>
      <c r="AE27" s="9">
        <v>6806081</v>
      </c>
      <c r="AF27" s="9">
        <v>9590722</v>
      </c>
      <c r="AG27" s="9">
        <v>53481</v>
      </c>
      <c r="AH27" s="9">
        <v>0</v>
      </c>
      <c r="AI27" s="9">
        <v>35226466.981999993</v>
      </c>
      <c r="AJ27" s="9">
        <v>16560862.483999999</v>
      </c>
      <c r="AK27" s="9">
        <v>28004000</v>
      </c>
      <c r="AL27" s="9">
        <v>144617901.042</v>
      </c>
      <c r="AM27" s="9">
        <v>1003005.6310000001</v>
      </c>
      <c r="AN27" s="9">
        <v>20078960.491</v>
      </c>
      <c r="AO27" s="9">
        <v>0</v>
      </c>
      <c r="AP27" s="9">
        <v>0</v>
      </c>
      <c r="AQ27" s="9">
        <v>13741604</v>
      </c>
      <c r="AR27" s="9">
        <v>0</v>
      </c>
      <c r="AS27" s="9">
        <v>2248673</v>
      </c>
      <c r="AT27" s="9">
        <v>36756687.869999997</v>
      </c>
      <c r="AU27" s="9">
        <v>64731.951999999997</v>
      </c>
      <c r="AV27" s="9">
        <v>505296.685</v>
      </c>
      <c r="AW27" s="9">
        <v>2429471.645</v>
      </c>
      <c r="AX27" s="9">
        <v>3042089.0819999999</v>
      </c>
      <c r="AY27" s="9">
        <v>182500</v>
      </c>
      <c r="AZ27" s="9">
        <v>80107.675000000003</v>
      </c>
      <c r="BA27" s="9">
        <v>0</v>
      </c>
      <c r="BB27" s="9">
        <v>119143746.706</v>
      </c>
      <c r="BC27" s="9">
        <v>114503562.99699999</v>
      </c>
      <c r="BD27" s="9">
        <v>22345074.136999998</v>
      </c>
      <c r="BE27" s="9">
        <v>0</v>
      </c>
      <c r="BF27" s="9">
        <v>0</v>
      </c>
      <c r="BG27" s="9">
        <v>74964.426000000007</v>
      </c>
      <c r="BH27" s="9">
        <v>36806941</v>
      </c>
      <c r="BI27" s="9">
        <v>98107153.891000003</v>
      </c>
      <c r="BJ27" s="9">
        <v>34057462.719999999</v>
      </c>
      <c r="BK27" s="9">
        <v>57056.281000000003</v>
      </c>
      <c r="BL27" s="9">
        <v>97142.683000000005</v>
      </c>
      <c r="BM27" s="9">
        <v>29143.120999999999</v>
      </c>
      <c r="BN27" s="9">
        <v>7539462.5870000003</v>
      </c>
      <c r="BO27" s="9">
        <v>1954814.1810000001</v>
      </c>
      <c r="BP27" s="9">
        <v>16759530.946</v>
      </c>
      <c r="BQ27" s="9">
        <v>203911579.861</v>
      </c>
      <c r="BR27" s="9">
        <v>0</v>
      </c>
      <c r="BS27" s="9">
        <v>822358.348</v>
      </c>
      <c r="BT27" s="9">
        <v>30358935</v>
      </c>
      <c r="BU27" s="9">
        <v>165726.69</v>
      </c>
      <c r="BV27" s="9">
        <v>11559499.039999999</v>
      </c>
      <c r="BW27" s="9">
        <v>1520589</v>
      </c>
      <c r="BX27" s="9">
        <v>0</v>
      </c>
      <c r="BY27" s="9">
        <v>0</v>
      </c>
      <c r="BZ27" s="9">
        <v>8655718.6157000009</v>
      </c>
    </row>
    <row r="28" spans="1:78">
      <c r="A28" s="4" t="s">
        <v>123</v>
      </c>
      <c r="B28" s="9">
        <v>1537839.05</v>
      </c>
      <c r="C28" s="9">
        <v>24789874.767999999</v>
      </c>
      <c r="D28" s="9">
        <v>41691966.799000002</v>
      </c>
      <c r="E28" s="9">
        <v>109573857.706</v>
      </c>
      <c r="F28" s="9">
        <v>7042985.4249999998</v>
      </c>
      <c r="G28" s="9">
        <v>2691834.6009999998</v>
      </c>
      <c r="H28" s="9">
        <v>0</v>
      </c>
      <c r="I28" s="9">
        <v>16736897</v>
      </c>
      <c r="J28" s="9">
        <v>0</v>
      </c>
      <c r="K28" s="9">
        <v>29112163.090999998</v>
      </c>
      <c r="L28" s="9">
        <v>68501112.878000006</v>
      </c>
      <c r="M28" s="9">
        <v>3924148.2239999999</v>
      </c>
      <c r="N28" s="9">
        <v>148411035</v>
      </c>
      <c r="O28" s="9">
        <v>0</v>
      </c>
      <c r="P28" s="9">
        <v>0</v>
      </c>
      <c r="Q28" s="9">
        <v>5636979.1410000008</v>
      </c>
      <c r="R28" s="9">
        <v>2166809.31</v>
      </c>
      <c r="S28" s="9">
        <v>6460975.6660000002</v>
      </c>
      <c r="T28" s="9">
        <v>3938926</v>
      </c>
      <c r="U28" s="9">
        <v>1067691256.4450001</v>
      </c>
      <c r="V28" s="9">
        <v>12505457.427999999</v>
      </c>
      <c r="W28" s="9">
        <v>17124902</v>
      </c>
      <c r="X28" s="9">
        <v>116401860.897</v>
      </c>
      <c r="Y28" s="9">
        <v>2750711.69</v>
      </c>
      <c r="Z28" s="9">
        <v>56713950.463</v>
      </c>
      <c r="AA28" s="9">
        <v>19687316.554000001</v>
      </c>
      <c r="AB28" s="9">
        <v>21787592008.412201</v>
      </c>
      <c r="AC28" s="9">
        <v>15482412.448999999</v>
      </c>
      <c r="AD28" s="9">
        <v>7934606.443</v>
      </c>
      <c r="AE28" s="9">
        <v>309574.10100000002</v>
      </c>
      <c r="AF28" s="9">
        <v>6655326</v>
      </c>
      <c r="AG28" s="9">
        <v>1305290</v>
      </c>
      <c r="AH28" s="9">
        <v>3552941.2050000001</v>
      </c>
      <c r="AI28" s="9">
        <v>136827735.59</v>
      </c>
      <c r="AJ28" s="9">
        <v>14461479.645</v>
      </c>
      <c r="AK28" s="9">
        <v>3852000</v>
      </c>
      <c r="AL28" s="9">
        <v>79352368.017000005</v>
      </c>
      <c r="AM28" s="9">
        <v>1694439.459</v>
      </c>
      <c r="AN28" s="9">
        <v>27405474.704</v>
      </c>
      <c r="AO28" s="9">
        <v>0</v>
      </c>
      <c r="AP28" s="9">
        <v>0</v>
      </c>
      <c r="AQ28" s="9">
        <v>19553749</v>
      </c>
      <c r="AR28" s="9">
        <v>185683.08</v>
      </c>
      <c r="AS28" s="9">
        <v>30443</v>
      </c>
      <c r="AT28" s="9">
        <v>7230670.7699999996</v>
      </c>
      <c r="AU28" s="9">
        <v>1472259.9</v>
      </c>
      <c r="AV28" s="9">
        <v>7676565</v>
      </c>
      <c r="AW28" s="9">
        <v>10537712.177999999</v>
      </c>
      <c r="AX28" s="9">
        <v>5499398.0989999995</v>
      </c>
      <c r="AY28" s="9">
        <v>188215</v>
      </c>
      <c r="AZ28" s="9">
        <v>10608107.512</v>
      </c>
      <c r="BA28" s="9">
        <v>0</v>
      </c>
      <c r="BB28" s="9">
        <v>114705955.184</v>
      </c>
      <c r="BC28" s="9">
        <v>113662404.801</v>
      </c>
      <c r="BD28" s="9">
        <v>23999427.123</v>
      </c>
      <c r="BE28" s="9">
        <v>5803361.6220000004</v>
      </c>
      <c r="BF28" s="9">
        <v>426888.23200000002</v>
      </c>
      <c r="BG28" s="9">
        <v>1135264</v>
      </c>
      <c r="BH28" s="9">
        <v>39280796</v>
      </c>
      <c r="BI28" s="9">
        <v>31774690.702</v>
      </c>
      <c r="BJ28" s="9">
        <v>1760447.9</v>
      </c>
      <c r="BK28" s="9">
        <v>189872.641</v>
      </c>
      <c r="BL28" s="9">
        <v>0</v>
      </c>
      <c r="BM28" s="9">
        <v>0</v>
      </c>
      <c r="BN28" s="9">
        <v>52862920.369999997</v>
      </c>
      <c r="BO28" s="9">
        <v>1758436.4709999999</v>
      </c>
      <c r="BP28" s="9">
        <v>1512862.0260000001</v>
      </c>
      <c r="BQ28" s="9">
        <v>121108713.125</v>
      </c>
      <c r="BR28" s="9">
        <v>39686834.381999999</v>
      </c>
      <c r="BS28" s="9">
        <v>21694.764999999999</v>
      </c>
      <c r="BT28" s="9">
        <v>14688404</v>
      </c>
      <c r="BU28" s="9">
        <v>4757021.3500000006</v>
      </c>
      <c r="BV28" s="9">
        <v>24286667.010000002</v>
      </c>
      <c r="BW28" s="9">
        <v>123469667</v>
      </c>
      <c r="BX28" s="9">
        <v>513955.66</v>
      </c>
      <c r="BY28" s="9">
        <v>3600993.59</v>
      </c>
      <c r="BZ28" s="9">
        <v>27168122.351089999</v>
      </c>
    </row>
    <row r="29" spans="1:78">
      <c r="A29" s="4" t="s">
        <v>125</v>
      </c>
      <c r="B29" s="9">
        <v>0</v>
      </c>
      <c r="C29" s="9">
        <v>0</v>
      </c>
      <c r="D29" s="9">
        <v>0</v>
      </c>
      <c r="E29" s="9">
        <v>28928.298999999999</v>
      </c>
      <c r="F29" s="9">
        <v>0</v>
      </c>
      <c r="G29" s="9">
        <v>363.30200000000002</v>
      </c>
      <c r="H29" s="9">
        <v>0</v>
      </c>
      <c r="I29" s="9">
        <v>0</v>
      </c>
      <c r="J29" s="9">
        <v>0</v>
      </c>
      <c r="K29" s="9">
        <v>0</v>
      </c>
      <c r="L29" s="9">
        <v>50651.639000000003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42785.366000000002</v>
      </c>
      <c r="T29" s="9">
        <v>2369.3589999999999</v>
      </c>
      <c r="U29" s="9">
        <v>73350.103000000003</v>
      </c>
      <c r="V29" s="9">
        <v>57.103999999999999</v>
      </c>
      <c r="W29" s="9">
        <v>56629.184000000001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436580000</v>
      </c>
      <c r="AD29" s="9">
        <v>0</v>
      </c>
      <c r="AE29" s="9">
        <v>0</v>
      </c>
      <c r="AF29" s="9">
        <v>18008.185000000001</v>
      </c>
      <c r="AG29" s="9">
        <v>0</v>
      </c>
      <c r="AH29" s="9">
        <v>0</v>
      </c>
      <c r="AI29" s="9">
        <v>0</v>
      </c>
      <c r="AJ29" s="9">
        <v>0</v>
      </c>
      <c r="AK29" s="9">
        <v>3882000</v>
      </c>
      <c r="AL29" s="9">
        <v>52427.078999999998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972650.473</v>
      </c>
      <c r="AY29" s="9">
        <v>0</v>
      </c>
      <c r="AZ29" s="9">
        <v>0</v>
      </c>
      <c r="BA29" s="9">
        <v>0</v>
      </c>
      <c r="BB29" s="9">
        <v>431023.34899999999</v>
      </c>
      <c r="BC29" s="9">
        <v>52007.58</v>
      </c>
      <c r="BD29" s="9">
        <v>0</v>
      </c>
      <c r="BE29" s="9">
        <v>0</v>
      </c>
      <c r="BF29" s="9">
        <v>0</v>
      </c>
      <c r="BG29" s="9">
        <v>0</v>
      </c>
      <c r="BH29" s="9">
        <v>279.05799999999999</v>
      </c>
      <c r="BI29" s="9">
        <v>0</v>
      </c>
      <c r="BJ29" s="9">
        <v>168142.86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66604.273000000001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</row>
    <row r="30" spans="1:78">
      <c r="A30" s="4" t="s">
        <v>127</v>
      </c>
      <c r="B30" s="9">
        <v>0</v>
      </c>
      <c r="C30" s="9">
        <v>83237.119999999995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4083948.1430000002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27219.201000000001</v>
      </c>
      <c r="V30" s="9">
        <v>230.37700000000001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696130.65929999994</v>
      </c>
      <c r="AC30" s="9">
        <v>0</v>
      </c>
      <c r="AD30" s="9">
        <v>0</v>
      </c>
      <c r="AE30" s="9">
        <v>0</v>
      </c>
      <c r="AF30" s="9">
        <v>220616</v>
      </c>
      <c r="AG30" s="9">
        <v>1371705.757</v>
      </c>
      <c r="AH30" s="9">
        <v>48822.580999999998</v>
      </c>
      <c r="AI30" s="9">
        <v>0</v>
      </c>
      <c r="AJ30" s="9">
        <v>0</v>
      </c>
      <c r="AK30" s="9">
        <v>402000</v>
      </c>
      <c r="AL30" s="9">
        <v>0</v>
      </c>
      <c r="AM30" s="9">
        <v>0</v>
      </c>
      <c r="AN30" s="9">
        <v>7381036.8760000002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829465.03099999996</v>
      </c>
      <c r="BA30" s="9">
        <v>0</v>
      </c>
      <c r="BB30" s="9">
        <v>40122.205999999998</v>
      </c>
      <c r="BC30" s="9">
        <v>0</v>
      </c>
      <c r="BD30" s="9">
        <v>0</v>
      </c>
      <c r="BE30" s="9">
        <v>0</v>
      </c>
      <c r="BF30" s="9">
        <v>0</v>
      </c>
      <c r="BG30" s="9">
        <v>86048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2760444.6469999999</v>
      </c>
      <c r="BO30" s="9">
        <v>0</v>
      </c>
      <c r="BP30" s="9">
        <v>0</v>
      </c>
      <c r="BQ30" s="9">
        <v>0</v>
      </c>
      <c r="BR30" s="9">
        <v>11482845.725</v>
      </c>
      <c r="BS30" s="9">
        <v>0</v>
      </c>
      <c r="BT30" s="9">
        <v>0</v>
      </c>
      <c r="BU30" s="9">
        <v>51076.324000000001</v>
      </c>
      <c r="BV30" s="9">
        <v>0</v>
      </c>
      <c r="BW30" s="9">
        <v>0</v>
      </c>
      <c r="BX30" s="9">
        <v>1003159.4</v>
      </c>
      <c r="BY30" s="9">
        <v>0</v>
      </c>
      <c r="BZ30" s="9">
        <v>1661560.821</v>
      </c>
    </row>
    <row r="31" spans="1:78">
      <c r="A31" s="4" t="s">
        <v>129</v>
      </c>
      <c r="B31" s="9">
        <v>0</v>
      </c>
      <c r="C31" s="9">
        <v>0</v>
      </c>
      <c r="D31" s="9">
        <v>48213</v>
      </c>
      <c r="E31" s="9">
        <v>462199.67800000001</v>
      </c>
      <c r="F31" s="9">
        <v>0</v>
      </c>
      <c r="G31" s="9">
        <v>28386.546999999999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716222.59400000004</v>
      </c>
      <c r="V31" s="9">
        <v>164332.41500000001</v>
      </c>
      <c r="W31" s="9">
        <v>0</v>
      </c>
      <c r="X31" s="9">
        <v>0</v>
      </c>
      <c r="Y31" s="9">
        <v>0</v>
      </c>
      <c r="Z31" s="9">
        <v>0</v>
      </c>
      <c r="AA31" s="9">
        <v>1002492.8</v>
      </c>
      <c r="AB31" s="9">
        <v>2311930.2689999999</v>
      </c>
      <c r="AC31" s="9">
        <v>397816.49900000001</v>
      </c>
      <c r="AD31" s="9">
        <v>0</v>
      </c>
      <c r="AE31" s="9">
        <v>117824000</v>
      </c>
      <c r="AF31" s="9">
        <v>80551</v>
      </c>
      <c r="AG31" s="9">
        <v>0</v>
      </c>
      <c r="AH31" s="9">
        <v>0</v>
      </c>
      <c r="AI31" s="9">
        <v>0</v>
      </c>
      <c r="AJ31" s="9">
        <v>646562.495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58760.112999999998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713130.86599999992</v>
      </c>
      <c r="BC31" s="9">
        <v>23195.381000000001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1835051</v>
      </c>
      <c r="BL31" s="9">
        <v>0</v>
      </c>
      <c r="BM31" s="9">
        <v>0</v>
      </c>
      <c r="BN31" s="9">
        <v>0</v>
      </c>
      <c r="BO31" s="9">
        <v>0</v>
      </c>
      <c r="BP31" s="9">
        <v>137942.035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44394</v>
      </c>
    </row>
    <row r="32" spans="1:78">
      <c r="A32" s="4" t="s">
        <v>131</v>
      </c>
      <c r="B32" s="9">
        <v>0</v>
      </c>
      <c r="C32" s="9">
        <v>2650267.5520000001</v>
      </c>
      <c r="D32" s="9">
        <v>41844666.708999999</v>
      </c>
      <c r="E32" s="9">
        <v>111949271.427</v>
      </c>
      <c r="F32" s="9">
        <v>0</v>
      </c>
      <c r="G32" s="9">
        <v>7916161.6090000002</v>
      </c>
      <c r="H32" s="9">
        <v>0</v>
      </c>
      <c r="I32" s="9">
        <v>999627</v>
      </c>
      <c r="J32" s="9">
        <v>0</v>
      </c>
      <c r="K32" s="9">
        <v>0</v>
      </c>
      <c r="L32" s="9">
        <v>46472673.429000013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732670.28</v>
      </c>
      <c r="S32" s="9">
        <v>723423</v>
      </c>
      <c r="T32" s="9">
        <v>7029814</v>
      </c>
      <c r="U32" s="9">
        <v>464942226.60600001</v>
      </c>
      <c r="V32" s="9">
        <v>51584146</v>
      </c>
      <c r="W32" s="9">
        <v>234139.37400000001</v>
      </c>
      <c r="X32" s="9">
        <v>28653898.82</v>
      </c>
      <c r="Y32" s="9">
        <v>2139177</v>
      </c>
      <c r="Z32" s="9">
        <v>26296504.368000001</v>
      </c>
      <c r="AA32" s="9">
        <v>753024.55099999998</v>
      </c>
      <c r="AB32" s="9">
        <v>279765570.35399997</v>
      </c>
      <c r="AC32" s="9">
        <v>4293070.7609999999</v>
      </c>
      <c r="AD32" s="9">
        <v>39544503</v>
      </c>
      <c r="AE32" s="9">
        <v>7126794</v>
      </c>
      <c r="AF32" s="9">
        <v>565299684.5425868</v>
      </c>
      <c r="AG32" s="9">
        <v>0</v>
      </c>
      <c r="AH32" s="9">
        <v>3291185</v>
      </c>
      <c r="AI32" s="9">
        <v>13176.797</v>
      </c>
      <c r="AJ32" s="9">
        <v>402509.72</v>
      </c>
      <c r="AK32" s="9">
        <v>37830000</v>
      </c>
      <c r="AL32" s="9">
        <v>23415363.342999998</v>
      </c>
      <c r="AM32" s="9">
        <v>1043791.546</v>
      </c>
      <c r="AN32" s="9">
        <v>47073508.042000003</v>
      </c>
      <c r="AO32" s="9">
        <v>95393</v>
      </c>
      <c r="AP32" s="9">
        <v>0</v>
      </c>
      <c r="AQ32" s="9">
        <v>36846562</v>
      </c>
      <c r="AR32" s="9">
        <v>0</v>
      </c>
      <c r="AS32" s="9">
        <v>35738</v>
      </c>
      <c r="AT32" s="9">
        <v>5435228.5</v>
      </c>
      <c r="AU32" s="9">
        <v>370339</v>
      </c>
      <c r="AV32" s="9">
        <v>0</v>
      </c>
      <c r="AW32" s="9">
        <v>14511356</v>
      </c>
      <c r="AX32" s="9">
        <v>277742.63</v>
      </c>
      <c r="AY32" s="9">
        <v>0</v>
      </c>
      <c r="AZ32" s="9">
        <v>7636543</v>
      </c>
      <c r="BA32" s="9">
        <v>0</v>
      </c>
      <c r="BB32" s="9">
        <v>8950510.074000001</v>
      </c>
      <c r="BC32" s="9">
        <v>2798559</v>
      </c>
      <c r="BD32" s="9">
        <v>4249297.3169999998</v>
      </c>
      <c r="BE32" s="9">
        <v>0</v>
      </c>
      <c r="BF32" s="9">
        <v>0</v>
      </c>
      <c r="BG32" s="9">
        <v>0</v>
      </c>
      <c r="BH32" s="9">
        <v>14998174</v>
      </c>
      <c r="BI32" s="9">
        <v>19692128.25</v>
      </c>
      <c r="BJ32" s="9">
        <v>5486031.9199999999</v>
      </c>
      <c r="BK32" s="9">
        <v>0</v>
      </c>
      <c r="BL32" s="9">
        <v>0</v>
      </c>
      <c r="BM32" s="9">
        <v>0</v>
      </c>
      <c r="BN32" s="9">
        <v>3457959.1359999999</v>
      </c>
      <c r="BO32" s="9">
        <v>4770751.5449999999</v>
      </c>
      <c r="BP32" s="9">
        <v>5717298.8930000002</v>
      </c>
      <c r="BQ32" s="9">
        <v>5385115</v>
      </c>
      <c r="BR32" s="9">
        <v>39386</v>
      </c>
      <c r="BS32" s="9">
        <v>40</v>
      </c>
      <c r="BT32" s="9">
        <v>8915649</v>
      </c>
      <c r="BU32" s="9">
        <v>285455.51</v>
      </c>
      <c r="BV32" s="9">
        <v>1738050.79</v>
      </c>
      <c r="BW32" s="9">
        <v>104641722</v>
      </c>
      <c r="BX32" s="9">
        <v>0</v>
      </c>
      <c r="BY32" s="9">
        <v>1984144</v>
      </c>
      <c r="BZ32" s="9">
        <v>5395763.9249999998</v>
      </c>
    </row>
    <row r="33" spans="1:78">
      <c r="A33" s="4" t="s">
        <v>133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2579.2229000000002</v>
      </c>
      <c r="L33" s="9">
        <v>0</v>
      </c>
      <c r="M33" s="9">
        <v>0</v>
      </c>
      <c r="N33" s="9">
        <v>96290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47597.642999999996</v>
      </c>
      <c r="AE33" s="9">
        <v>0</v>
      </c>
      <c r="AF33" s="9">
        <v>0</v>
      </c>
      <c r="AG33" s="9">
        <v>0</v>
      </c>
      <c r="AH33" s="9">
        <v>108942.086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49074</v>
      </c>
      <c r="AO33" s="9">
        <v>0</v>
      </c>
      <c r="AP33" s="9">
        <v>0</v>
      </c>
      <c r="AQ33" s="9">
        <v>110756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16100</v>
      </c>
      <c r="AZ33" s="9">
        <v>100640.379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35044.745000000003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234398.81299999999</v>
      </c>
    </row>
    <row r="34" spans="1:78">
      <c r="A34" s="4" t="s">
        <v>135</v>
      </c>
      <c r="B34" s="9">
        <v>0</v>
      </c>
      <c r="C34" s="9">
        <v>10896.433000000001</v>
      </c>
      <c r="D34" s="9">
        <v>0</v>
      </c>
      <c r="E34" s="9">
        <v>0</v>
      </c>
      <c r="F34" s="9">
        <v>33378.330999999998</v>
      </c>
      <c r="G34" s="9">
        <v>0</v>
      </c>
      <c r="H34" s="9">
        <v>0</v>
      </c>
      <c r="I34" s="9">
        <v>13109</v>
      </c>
      <c r="J34" s="9">
        <v>0</v>
      </c>
      <c r="K34" s="9">
        <v>9398.759</v>
      </c>
      <c r="L34" s="9">
        <v>0</v>
      </c>
      <c r="M34" s="9">
        <v>0</v>
      </c>
      <c r="N34" s="9">
        <v>103553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18623</v>
      </c>
      <c r="U34" s="9">
        <v>152481.44200000001</v>
      </c>
      <c r="V34" s="9">
        <v>0</v>
      </c>
      <c r="W34" s="9">
        <v>0</v>
      </c>
      <c r="X34" s="9">
        <v>40517.930999999997</v>
      </c>
      <c r="Y34" s="9">
        <v>0</v>
      </c>
      <c r="Z34" s="9">
        <v>0</v>
      </c>
      <c r="AA34" s="9">
        <v>12494.422</v>
      </c>
      <c r="AB34" s="9">
        <v>80512.587</v>
      </c>
      <c r="AC34" s="9">
        <v>0</v>
      </c>
      <c r="AD34" s="9">
        <v>0</v>
      </c>
      <c r="AE34" s="9">
        <v>0</v>
      </c>
      <c r="AF34" s="9">
        <v>0</v>
      </c>
      <c r="AG34" s="9">
        <v>1932</v>
      </c>
      <c r="AH34" s="9">
        <v>2526009800</v>
      </c>
      <c r="AI34" s="9">
        <v>0</v>
      </c>
      <c r="AJ34" s="9">
        <v>0</v>
      </c>
      <c r="AK34" s="9">
        <v>77000</v>
      </c>
      <c r="AL34" s="9">
        <v>8645.5290000000005</v>
      </c>
      <c r="AM34" s="9">
        <v>0</v>
      </c>
      <c r="AN34" s="9">
        <v>93278.881999999998</v>
      </c>
      <c r="AO34" s="9">
        <v>0</v>
      </c>
      <c r="AP34" s="9">
        <v>0</v>
      </c>
      <c r="AQ34" s="9">
        <v>242935</v>
      </c>
      <c r="AR34" s="9">
        <v>0</v>
      </c>
      <c r="AS34" s="9">
        <v>0</v>
      </c>
      <c r="AT34" s="9">
        <v>0</v>
      </c>
      <c r="AU34" s="9">
        <v>0</v>
      </c>
      <c r="AV34" s="9">
        <v>4334.6369999999997</v>
      </c>
      <c r="AW34" s="9">
        <v>0</v>
      </c>
      <c r="AX34" s="9">
        <v>0</v>
      </c>
      <c r="AY34" s="9">
        <v>0</v>
      </c>
      <c r="AZ34" s="9">
        <v>10185.002</v>
      </c>
      <c r="BA34" s="9">
        <v>0</v>
      </c>
      <c r="BB34" s="9">
        <v>1004.6079999999999</v>
      </c>
      <c r="BC34" s="9">
        <v>0</v>
      </c>
      <c r="BD34" s="9">
        <v>45391.044999999998</v>
      </c>
      <c r="BE34" s="9">
        <v>0</v>
      </c>
      <c r="BF34" s="9">
        <v>0</v>
      </c>
      <c r="BG34" s="9">
        <v>2586</v>
      </c>
      <c r="BH34" s="9">
        <v>0</v>
      </c>
      <c r="BI34" s="9">
        <v>71441.978000000003</v>
      </c>
      <c r="BJ34" s="9">
        <v>0</v>
      </c>
      <c r="BK34" s="9">
        <v>0</v>
      </c>
      <c r="BL34" s="9">
        <v>0</v>
      </c>
      <c r="BM34" s="9">
        <v>0</v>
      </c>
      <c r="BN34" s="9">
        <v>27783.365000000002</v>
      </c>
      <c r="BO34" s="9">
        <v>0</v>
      </c>
      <c r="BP34" s="9">
        <v>209325.64</v>
      </c>
      <c r="BQ34" s="9">
        <v>0</v>
      </c>
      <c r="BR34" s="9">
        <v>0</v>
      </c>
      <c r="BS34" s="9">
        <v>0</v>
      </c>
      <c r="BT34" s="9">
        <v>0</v>
      </c>
      <c r="BU34" s="9">
        <v>4230.46</v>
      </c>
      <c r="BV34" s="9">
        <v>0</v>
      </c>
      <c r="BW34" s="9">
        <v>108880</v>
      </c>
      <c r="BX34" s="9">
        <v>0</v>
      </c>
      <c r="BY34" s="9">
        <v>5437.9920000000002</v>
      </c>
      <c r="BZ34" s="9">
        <v>34560910.598999999</v>
      </c>
    </row>
    <row r="35" spans="1:78">
      <c r="A35" s="4" t="s">
        <v>137</v>
      </c>
      <c r="B35" s="9">
        <v>0</v>
      </c>
      <c r="C35" s="9">
        <v>0</v>
      </c>
      <c r="D35" s="9">
        <v>5823.3590000000004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344582.78499999997</v>
      </c>
      <c r="T35" s="9">
        <v>0</v>
      </c>
      <c r="U35" s="9">
        <v>10996.986999999999</v>
      </c>
      <c r="V35" s="9">
        <v>0</v>
      </c>
      <c r="W35" s="9">
        <v>0</v>
      </c>
      <c r="X35" s="9">
        <v>0</v>
      </c>
      <c r="Y35" s="9">
        <v>0</v>
      </c>
      <c r="Z35" s="9">
        <v>13398.991</v>
      </c>
      <c r="AA35" s="9">
        <v>0</v>
      </c>
      <c r="AB35" s="9">
        <v>29587.02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1246620000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9175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557722.99799999991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104191.791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162051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</row>
    <row r="36" spans="1:78">
      <c r="A36" s="4" t="s">
        <v>139</v>
      </c>
      <c r="B36" s="9">
        <v>0</v>
      </c>
      <c r="C36" s="9">
        <v>0</v>
      </c>
      <c r="D36" s="9">
        <v>151789.58900000001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16064.257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64235.966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631200000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158383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17015.16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</row>
    <row r="37" spans="1:78">
      <c r="A37" s="4" t="s">
        <v>141</v>
      </c>
      <c r="B37" s="9">
        <v>0</v>
      </c>
      <c r="C37" s="9">
        <v>9000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15595</v>
      </c>
      <c r="U37" s="9">
        <v>115000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12054.248</v>
      </c>
      <c r="AB37" s="9">
        <v>139000</v>
      </c>
      <c r="AC37" s="9">
        <v>222000</v>
      </c>
      <c r="AD37" s="9">
        <v>0</v>
      </c>
      <c r="AE37" s="9">
        <v>0</v>
      </c>
      <c r="AF37" s="9">
        <v>59451</v>
      </c>
      <c r="AG37" s="9">
        <v>0</v>
      </c>
      <c r="AH37" s="9">
        <v>0</v>
      </c>
      <c r="AI37" s="9">
        <v>0</v>
      </c>
      <c r="AJ37" s="9">
        <v>0</v>
      </c>
      <c r="AK37" s="9">
        <v>2261800000</v>
      </c>
      <c r="AL37" s="9">
        <v>81000</v>
      </c>
      <c r="AM37" s="9">
        <v>245000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2000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9477.4380000000001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1000</v>
      </c>
      <c r="BK37" s="9">
        <v>0</v>
      </c>
      <c r="BL37" s="9">
        <v>0</v>
      </c>
      <c r="BM37" s="9">
        <v>0</v>
      </c>
      <c r="BN37" s="9">
        <v>26000</v>
      </c>
      <c r="BO37" s="9">
        <v>0</v>
      </c>
      <c r="BP37" s="9">
        <v>0</v>
      </c>
      <c r="BQ37" s="9">
        <v>72000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533000</v>
      </c>
      <c r="BX37" s="9">
        <v>0</v>
      </c>
      <c r="BY37" s="9">
        <v>39070.415999999997</v>
      </c>
      <c r="BZ37" s="9">
        <v>493540.19</v>
      </c>
    </row>
    <row r="38" spans="1:78">
      <c r="A38" s="4" t="s">
        <v>143</v>
      </c>
      <c r="B38" s="9">
        <v>0</v>
      </c>
      <c r="C38" s="9">
        <v>807525.26100000006</v>
      </c>
      <c r="D38" s="9">
        <v>26056643.482999999</v>
      </c>
      <c r="E38" s="9">
        <v>119037771.94</v>
      </c>
      <c r="F38" s="9">
        <v>0</v>
      </c>
      <c r="G38" s="9">
        <v>11478662.369000001</v>
      </c>
      <c r="H38" s="9">
        <v>22472.058000000001</v>
      </c>
      <c r="I38" s="9">
        <v>38721496</v>
      </c>
      <c r="J38" s="9">
        <v>0</v>
      </c>
      <c r="K38" s="9">
        <v>199662.745</v>
      </c>
      <c r="L38" s="9">
        <v>103306349.052</v>
      </c>
      <c r="M38" s="9">
        <v>32710.561000000002</v>
      </c>
      <c r="N38" s="9">
        <v>44394052</v>
      </c>
      <c r="O38" s="9">
        <v>0</v>
      </c>
      <c r="P38" s="9">
        <v>7055.4258000000009</v>
      </c>
      <c r="Q38" s="9">
        <v>654401.56000000006</v>
      </c>
      <c r="R38" s="9">
        <v>254920.86</v>
      </c>
      <c r="S38" s="9">
        <v>264060.36800000002</v>
      </c>
      <c r="T38" s="9">
        <v>5366260</v>
      </c>
      <c r="U38" s="9">
        <v>779268606.66799998</v>
      </c>
      <c r="V38" s="9">
        <v>32102110.59</v>
      </c>
      <c r="W38" s="9">
        <v>79928.691000000006</v>
      </c>
      <c r="X38" s="9">
        <v>57792807.967</v>
      </c>
      <c r="Y38" s="9">
        <v>4391923.57</v>
      </c>
      <c r="Z38" s="9">
        <v>19903764.874000002</v>
      </c>
      <c r="AA38" s="9">
        <v>395506202.13300002</v>
      </c>
      <c r="AB38" s="9">
        <v>248576129.965</v>
      </c>
      <c r="AC38" s="9">
        <v>21403906.864999998</v>
      </c>
      <c r="AD38" s="9">
        <v>0</v>
      </c>
      <c r="AE38" s="9">
        <v>1332608</v>
      </c>
      <c r="AF38" s="9">
        <v>14496607</v>
      </c>
      <c r="AG38" s="9">
        <v>48195</v>
      </c>
      <c r="AH38" s="9">
        <v>1327664</v>
      </c>
      <c r="AI38" s="9">
        <v>811563.49509999994</v>
      </c>
      <c r="AJ38" s="9">
        <v>5752099.5669999998</v>
      </c>
      <c r="AK38" s="9">
        <v>27990000</v>
      </c>
      <c r="AL38" s="9">
        <v>5996400000</v>
      </c>
      <c r="AM38" s="9">
        <v>133704.22500000001</v>
      </c>
      <c r="AN38" s="9">
        <v>108892428.005</v>
      </c>
      <c r="AO38" s="9">
        <v>0</v>
      </c>
      <c r="AP38" s="9">
        <v>0</v>
      </c>
      <c r="AQ38" s="9">
        <v>18984502</v>
      </c>
      <c r="AR38" s="9">
        <v>0</v>
      </c>
      <c r="AS38" s="9">
        <v>2938669</v>
      </c>
      <c r="AT38" s="9">
        <v>10504686.449999999</v>
      </c>
      <c r="AU38" s="9">
        <v>39609.370999999999</v>
      </c>
      <c r="AV38" s="9">
        <v>2803549.8</v>
      </c>
      <c r="AW38" s="9">
        <v>390184.00300000003</v>
      </c>
      <c r="AX38" s="9">
        <v>0</v>
      </c>
      <c r="AY38" s="9">
        <v>0</v>
      </c>
      <c r="AZ38" s="9">
        <v>22132.312999999998</v>
      </c>
      <c r="BA38" s="9">
        <v>43076.050999999999</v>
      </c>
      <c r="BB38" s="9">
        <v>42020922.217999987</v>
      </c>
      <c r="BC38" s="9">
        <v>11648909.879000001</v>
      </c>
      <c r="BD38" s="9">
        <v>2125346.4539999999</v>
      </c>
      <c r="BE38" s="9">
        <v>0</v>
      </c>
      <c r="BF38" s="9">
        <v>479331.94</v>
      </c>
      <c r="BG38" s="9">
        <v>0</v>
      </c>
      <c r="BH38" s="9">
        <v>16690530</v>
      </c>
      <c r="BI38" s="9">
        <v>18029447.022999998</v>
      </c>
      <c r="BJ38" s="9">
        <v>12708214.1</v>
      </c>
      <c r="BK38" s="9">
        <v>0</v>
      </c>
      <c r="BL38" s="9">
        <v>233683.07500000001</v>
      </c>
      <c r="BM38" s="9">
        <v>5265.2431999999999</v>
      </c>
      <c r="BN38" s="9">
        <v>45031250.910999998</v>
      </c>
      <c r="BO38" s="9">
        <v>958243.70600000001</v>
      </c>
      <c r="BP38" s="9">
        <v>5668393.8640000001</v>
      </c>
      <c r="BQ38" s="9">
        <v>737182.48100000003</v>
      </c>
      <c r="BR38" s="9">
        <v>3614338.7990000001</v>
      </c>
      <c r="BS38" s="9">
        <v>9477.4380000000001</v>
      </c>
      <c r="BT38" s="9">
        <v>13577041</v>
      </c>
      <c r="BU38" s="9">
        <v>12284995.949999999</v>
      </c>
      <c r="BV38" s="9">
        <v>982889.53</v>
      </c>
      <c r="BW38" s="9">
        <v>3437842</v>
      </c>
      <c r="BX38" s="9">
        <v>1041546.2</v>
      </c>
      <c r="BY38" s="9">
        <v>9452438</v>
      </c>
      <c r="BZ38" s="9">
        <v>6156522.4795900006</v>
      </c>
    </row>
    <row r="39" spans="1:78">
      <c r="A39" s="4" t="s">
        <v>145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173612.96799999999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9765965.5199999996</v>
      </c>
    </row>
    <row r="40" spans="1:78">
      <c r="A40" s="4" t="s">
        <v>147</v>
      </c>
      <c r="B40" s="9">
        <v>108930.04</v>
      </c>
      <c r="C40" s="9">
        <v>25999319.166999999</v>
      </c>
      <c r="D40" s="9">
        <v>39533971.306999996</v>
      </c>
      <c r="E40" s="9">
        <v>936535894.38600004</v>
      </c>
      <c r="F40" s="9">
        <v>1147385</v>
      </c>
      <c r="G40" s="9">
        <v>3674070.7820000001</v>
      </c>
      <c r="H40" s="9">
        <v>0</v>
      </c>
      <c r="I40" s="9">
        <v>222835</v>
      </c>
      <c r="J40" s="9">
        <v>0</v>
      </c>
      <c r="K40" s="9">
        <v>281477124.301</v>
      </c>
      <c r="L40" s="9">
        <v>67109001.436000004</v>
      </c>
      <c r="M40" s="9">
        <v>388436.16100000002</v>
      </c>
      <c r="N40" s="9">
        <v>166119410</v>
      </c>
      <c r="O40" s="9">
        <v>0</v>
      </c>
      <c r="P40" s="9">
        <v>0</v>
      </c>
      <c r="Q40" s="9">
        <v>2165456.179</v>
      </c>
      <c r="R40" s="9">
        <v>1260107.1399999999</v>
      </c>
      <c r="S40" s="9">
        <v>1272274.382</v>
      </c>
      <c r="T40" s="9">
        <v>37179900</v>
      </c>
      <c r="U40" s="9">
        <v>802595683.83099997</v>
      </c>
      <c r="V40" s="9">
        <v>28256193.019000001</v>
      </c>
      <c r="W40" s="9">
        <v>40795.688000000002</v>
      </c>
      <c r="X40" s="9">
        <v>226177330.683</v>
      </c>
      <c r="Y40" s="9">
        <v>10173046.16</v>
      </c>
      <c r="Z40" s="9">
        <v>101017252.17900001</v>
      </c>
      <c r="AA40" s="9">
        <v>751444.96100000013</v>
      </c>
      <c r="AB40" s="9">
        <v>352667553.542</v>
      </c>
      <c r="AC40" s="9">
        <v>2956196.1140000001</v>
      </c>
      <c r="AD40" s="9">
        <v>5782052.7409999995</v>
      </c>
      <c r="AE40" s="9">
        <v>2830176.8029999998</v>
      </c>
      <c r="AF40" s="9">
        <v>4762880</v>
      </c>
      <c r="AG40" s="9">
        <v>14140139</v>
      </c>
      <c r="AH40" s="9">
        <v>78152.758000000002</v>
      </c>
      <c r="AI40" s="9">
        <v>21922145.671999998</v>
      </c>
      <c r="AJ40" s="9">
        <v>38858472.182999998</v>
      </c>
      <c r="AK40" s="9">
        <v>288000</v>
      </c>
      <c r="AL40" s="9">
        <v>122584648.531</v>
      </c>
      <c r="AM40" s="9">
        <v>307309.85399999999</v>
      </c>
      <c r="AN40" s="9">
        <v>4427404263.0882282</v>
      </c>
      <c r="AO40" s="9">
        <v>0</v>
      </c>
      <c r="AP40" s="9">
        <v>1697900</v>
      </c>
      <c r="AQ40" s="9">
        <v>21926312</v>
      </c>
      <c r="AR40" s="9">
        <v>0</v>
      </c>
      <c r="AS40" s="9">
        <v>175544</v>
      </c>
      <c r="AT40" s="9">
        <v>985431.94299999997</v>
      </c>
      <c r="AU40" s="9">
        <v>3379.2330000000002</v>
      </c>
      <c r="AV40" s="9">
        <v>0</v>
      </c>
      <c r="AW40" s="9">
        <v>5176110.9759999998</v>
      </c>
      <c r="AX40" s="9">
        <v>3796009.69</v>
      </c>
      <c r="AY40" s="9">
        <v>4249106</v>
      </c>
      <c r="AZ40" s="9">
        <v>2079307.4539999999</v>
      </c>
      <c r="BA40" s="9">
        <v>163600.23800000001</v>
      </c>
      <c r="BB40" s="9">
        <v>6479627.2560000001</v>
      </c>
      <c r="BC40" s="9">
        <v>337368275.58200002</v>
      </c>
      <c r="BD40" s="9">
        <v>87538542.789000005</v>
      </c>
      <c r="BE40" s="9">
        <v>1233157.831</v>
      </c>
      <c r="BF40" s="9">
        <v>86410.023000000001</v>
      </c>
      <c r="BG40" s="9">
        <v>13678</v>
      </c>
      <c r="BH40" s="9">
        <v>96540293</v>
      </c>
      <c r="BI40" s="9">
        <v>10694831.588</v>
      </c>
      <c r="BJ40" s="9">
        <v>4447265</v>
      </c>
      <c r="BK40" s="9">
        <v>75954075.502000004</v>
      </c>
      <c r="BL40" s="9">
        <v>213554.34400000001</v>
      </c>
      <c r="BM40" s="9">
        <v>44747.108999999997</v>
      </c>
      <c r="BN40" s="9">
        <v>51244240.343000002</v>
      </c>
      <c r="BO40" s="9">
        <v>13154419.766000001</v>
      </c>
      <c r="BP40" s="9">
        <v>8211987.9059999986</v>
      </c>
      <c r="BQ40" s="9">
        <v>37085887.820999987</v>
      </c>
      <c r="BR40" s="9">
        <v>7420775.3880000003</v>
      </c>
      <c r="BS40" s="9">
        <v>30488.705000000002</v>
      </c>
      <c r="BT40" s="9">
        <v>16388568</v>
      </c>
      <c r="BU40" s="9">
        <v>44511622.340000004</v>
      </c>
      <c r="BV40" s="9">
        <v>12639713.43</v>
      </c>
      <c r="BW40" s="9">
        <v>1505555302</v>
      </c>
      <c r="BX40" s="9">
        <v>0</v>
      </c>
      <c r="BY40" s="9">
        <v>2246146.6770000001</v>
      </c>
      <c r="BZ40" s="9">
        <v>22730266.311889999</v>
      </c>
    </row>
    <row r="41" spans="1:78">
      <c r="A41" s="4" t="s">
        <v>149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285693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485577</v>
      </c>
    </row>
    <row r="42" spans="1:78">
      <c r="A42" s="4" t="s">
        <v>151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10609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7000</v>
      </c>
      <c r="BO42" s="9">
        <v>0</v>
      </c>
      <c r="BP42" s="9">
        <v>0</v>
      </c>
      <c r="BQ42" s="9">
        <v>0</v>
      </c>
      <c r="BR42" s="9">
        <v>24120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</row>
    <row r="43" spans="1:78">
      <c r="A43" s="4" t="s">
        <v>153</v>
      </c>
      <c r="B43" s="9">
        <v>0</v>
      </c>
      <c r="C43" s="9">
        <v>145773193.456</v>
      </c>
      <c r="D43" s="9">
        <v>110204796.292</v>
      </c>
      <c r="E43" s="9">
        <v>90726695.130999997</v>
      </c>
      <c r="F43" s="9">
        <v>0</v>
      </c>
      <c r="G43" s="9">
        <v>28988.115000000002</v>
      </c>
      <c r="H43" s="9">
        <v>97259</v>
      </c>
      <c r="I43" s="9">
        <v>31634</v>
      </c>
      <c r="J43" s="9">
        <v>0</v>
      </c>
      <c r="K43" s="9">
        <v>518275287.44700003</v>
      </c>
      <c r="L43" s="9">
        <v>102830348.891</v>
      </c>
      <c r="M43" s="9">
        <v>12052426.494999999</v>
      </c>
      <c r="N43" s="9">
        <v>6664751</v>
      </c>
      <c r="O43" s="9">
        <v>113082</v>
      </c>
      <c r="P43" s="9">
        <v>0</v>
      </c>
      <c r="Q43" s="9">
        <v>368463.32</v>
      </c>
      <c r="R43" s="9">
        <v>4221166.9400000004</v>
      </c>
      <c r="S43" s="9">
        <v>1909131.885</v>
      </c>
      <c r="T43" s="9">
        <v>15101336</v>
      </c>
      <c r="U43" s="9">
        <v>1065949638.853</v>
      </c>
      <c r="V43" s="9">
        <v>107155232.26899999</v>
      </c>
      <c r="W43" s="9">
        <v>217727.231</v>
      </c>
      <c r="X43" s="9">
        <v>145038004.472</v>
      </c>
      <c r="Y43" s="9">
        <v>9164944.4699999988</v>
      </c>
      <c r="Z43" s="9">
        <v>70460043.968999997</v>
      </c>
      <c r="AA43" s="9">
        <v>571688562.76600003</v>
      </c>
      <c r="AB43" s="9">
        <v>1182526084.6199999</v>
      </c>
      <c r="AC43" s="9">
        <v>4796259.5360000003</v>
      </c>
      <c r="AD43" s="9">
        <v>51237533.520000003</v>
      </c>
      <c r="AE43" s="9">
        <v>474391</v>
      </c>
      <c r="AF43" s="9">
        <v>24190839</v>
      </c>
      <c r="AG43" s="9">
        <v>97943126</v>
      </c>
      <c r="AH43" s="9">
        <v>18505359.510000002</v>
      </c>
      <c r="AI43" s="9">
        <v>153641674.222</v>
      </c>
      <c r="AJ43" s="9">
        <v>40077413.104999997</v>
      </c>
      <c r="AK43" s="9">
        <v>347567000</v>
      </c>
      <c r="AL43" s="9">
        <v>32245873.888999999</v>
      </c>
      <c r="AM43" s="9">
        <v>78880192.532999992</v>
      </c>
      <c r="AN43" s="9">
        <v>19203845.011</v>
      </c>
      <c r="AO43" s="9">
        <v>5002318</v>
      </c>
      <c r="AP43" s="9">
        <v>526669</v>
      </c>
      <c r="AQ43" s="9">
        <v>5839524517.0876675</v>
      </c>
      <c r="AR43" s="9">
        <v>778661</v>
      </c>
      <c r="AS43" s="9">
        <v>104271</v>
      </c>
      <c r="AT43" s="9">
        <v>12716782.393999999</v>
      </c>
      <c r="AU43" s="9">
        <v>0</v>
      </c>
      <c r="AV43" s="9">
        <v>510261.42200000002</v>
      </c>
      <c r="AW43" s="9">
        <v>90649</v>
      </c>
      <c r="AX43" s="9">
        <v>3349663.4580000001</v>
      </c>
      <c r="AY43" s="9">
        <v>805400</v>
      </c>
      <c r="AZ43" s="9">
        <v>23521813.489999998</v>
      </c>
      <c r="BA43" s="9">
        <v>4406</v>
      </c>
      <c r="BB43" s="9">
        <v>320905393.37300003</v>
      </c>
      <c r="BC43" s="9">
        <v>382181577.94599998</v>
      </c>
      <c r="BD43" s="9">
        <v>110954257.936</v>
      </c>
      <c r="BE43" s="9">
        <v>16810.589</v>
      </c>
      <c r="BF43" s="9">
        <v>1407352.88</v>
      </c>
      <c r="BG43" s="9">
        <v>502358</v>
      </c>
      <c r="BH43" s="9">
        <v>47676186</v>
      </c>
      <c r="BI43" s="9">
        <v>34475913.870999999</v>
      </c>
      <c r="BJ43" s="9">
        <v>2641163.9</v>
      </c>
      <c r="BK43" s="9">
        <v>5889517</v>
      </c>
      <c r="BL43" s="9">
        <v>3654077</v>
      </c>
      <c r="BM43" s="9">
        <v>0</v>
      </c>
      <c r="BN43" s="9">
        <v>29345778.074999999</v>
      </c>
      <c r="BO43" s="9">
        <v>19893222.754999999</v>
      </c>
      <c r="BP43" s="9">
        <v>5516848.1490000002</v>
      </c>
      <c r="BQ43" s="9">
        <v>439385250.435</v>
      </c>
      <c r="BR43" s="9">
        <v>55526.040999999997</v>
      </c>
      <c r="BS43" s="9">
        <v>193952.97700000001</v>
      </c>
      <c r="BT43" s="9">
        <v>12452336</v>
      </c>
      <c r="BU43" s="9">
        <v>57652179.380000003</v>
      </c>
      <c r="BV43" s="9">
        <v>19696382.02</v>
      </c>
      <c r="BW43" s="9">
        <v>3119480436</v>
      </c>
      <c r="BX43" s="9">
        <v>947831.44200000004</v>
      </c>
      <c r="BY43" s="9">
        <v>76413.926999999996</v>
      </c>
      <c r="BZ43" s="9">
        <v>35191419.622000001</v>
      </c>
    </row>
    <row r="44" spans="1:78">
      <c r="A44" s="4" t="s">
        <v>155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</row>
    <row r="45" spans="1:78">
      <c r="A45" s="4" t="s">
        <v>157</v>
      </c>
      <c r="B45" s="9">
        <v>0</v>
      </c>
      <c r="C45" s="9">
        <v>0</v>
      </c>
      <c r="D45" s="9">
        <v>0</v>
      </c>
      <c r="E45" s="9">
        <v>1604029.2779999999</v>
      </c>
      <c r="F45" s="9">
        <v>0</v>
      </c>
      <c r="G45" s="9">
        <v>119862.375</v>
      </c>
      <c r="H45" s="9">
        <v>26025653</v>
      </c>
      <c r="I45" s="9">
        <v>0</v>
      </c>
      <c r="J45" s="9">
        <v>0</v>
      </c>
      <c r="K45" s="9">
        <v>0</v>
      </c>
      <c r="L45" s="9">
        <v>255662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15810</v>
      </c>
      <c r="U45" s="9">
        <v>1882452.8929999999</v>
      </c>
      <c r="V45" s="9">
        <v>185582.682</v>
      </c>
      <c r="W45" s="9">
        <v>0</v>
      </c>
      <c r="X45" s="9">
        <v>19148.236000000001</v>
      </c>
      <c r="Y45" s="9">
        <v>334991.93</v>
      </c>
      <c r="Z45" s="9">
        <v>0</v>
      </c>
      <c r="AA45" s="9">
        <v>2149378.6209999998</v>
      </c>
      <c r="AB45" s="9">
        <v>11413.755999999999</v>
      </c>
      <c r="AC45" s="9">
        <v>2106.0970000000002</v>
      </c>
      <c r="AD45" s="9">
        <v>59044</v>
      </c>
      <c r="AE45" s="9">
        <v>0</v>
      </c>
      <c r="AF45" s="9">
        <v>37030</v>
      </c>
      <c r="AG45" s="9">
        <v>0</v>
      </c>
      <c r="AH45" s="9">
        <v>0</v>
      </c>
      <c r="AI45" s="9">
        <v>31255.53499</v>
      </c>
      <c r="AJ45" s="9">
        <v>48413.341</v>
      </c>
      <c r="AK45" s="9">
        <v>218000</v>
      </c>
      <c r="AL45" s="9">
        <v>10203</v>
      </c>
      <c r="AM45" s="9">
        <v>0</v>
      </c>
      <c r="AN45" s="9">
        <v>0</v>
      </c>
      <c r="AO45" s="9">
        <v>2819328</v>
      </c>
      <c r="AP45" s="9">
        <v>0</v>
      </c>
      <c r="AQ45" s="9">
        <v>0</v>
      </c>
      <c r="AR45" s="9">
        <v>0</v>
      </c>
      <c r="AS45" s="9">
        <v>108882000</v>
      </c>
      <c r="AT45" s="9">
        <v>0</v>
      </c>
      <c r="AU45" s="9">
        <v>1186377.2209999999</v>
      </c>
      <c r="AV45" s="9">
        <v>0</v>
      </c>
      <c r="AW45" s="9">
        <v>6938</v>
      </c>
      <c r="AX45" s="9">
        <v>0</v>
      </c>
      <c r="AY45" s="9">
        <v>0</v>
      </c>
      <c r="AZ45" s="9">
        <v>0</v>
      </c>
      <c r="BA45" s="9">
        <v>0</v>
      </c>
      <c r="BB45" s="9">
        <v>3779901.2910000002</v>
      </c>
      <c r="BC45" s="9">
        <v>155746.99600000001</v>
      </c>
      <c r="BD45" s="9">
        <v>0</v>
      </c>
      <c r="BE45" s="9">
        <v>0</v>
      </c>
      <c r="BF45" s="9">
        <v>0</v>
      </c>
      <c r="BG45" s="9">
        <v>195069</v>
      </c>
      <c r="BH45" s="9">
        <v>2396505</v>
      </c>
      <c r="BI45" s="9">
        <v>0</v>
      </c>
      <c r="BJ45" s="9">
        <v>51643.578000000001</v>
      </c>
      <c r="BK45" s="9">
        <v>320382</v>
      </c>
      <c r="BL45" s="9">
        <v>0</v>
      </c>
      <c r="BM45" s="9">
        <v>0</v>
      </c>
      <c r="BN45" s="9">
        <v>0</v>
      </c>
      <c r="BO45" s="9">
        <v>8296</v>
      </c>
      <c r="BP45" s="9">
        <v>0</v>
      </c>
      <c r="BQ45" s="9">
        <v>72337</v>
      </c>
      <c r="BR45" s="9">
        <v>0</v>
      </c>
      <c r="BS45" s="9">
        <v>0</v>
      </c>
      <c r="BT45" s="9">
        <v>0</v>
      </c>
      <c r="BU45" s="9">
        <v>0</v>
      </c>
      <c r="BV45" s="9">
        <v>433748.32</v>
      </c>
      <c r="BW45" s="9">
        <v>0</v>
      </c>
      <c r="BX45" s="9">
        <v>0</v>
      </c>
      <c r="BY45" s="9">
        <v>0</v>
      </c>
      <c r="BZ45" s="9">
        <v>1641930</v>
      </c>
    </row>
    <row r="46" spans="1:78">
      <c r="A46" s="4" t="s">
        <v>159</v>
      </c>
      <c r="B46" s="9">
        <v>0</v>
      </c>
      <c r="C46" s="9">
        <v>0</v>
      </c>
      <c r="D46" s="9">
        <v>32170.636999999999</v>
      </c>
      <c r="E46" s="9">
        <v>10180959.918</v>
      </c>
      <c r="F46" s="9">
        <v>0</v>
      </c>
      <c r="G46" s="9">
        <v>84367.645000000004</v>
      </c>
      <c r="H46" s="9">
        <v>0</v>
      </c>
      <c r="I46" s="9">
        <v>0</v>
      </c>
      <c r="J46" s="9">
        <v>0</v>
      </c>
      <c r="K46" s="9">
        <v>0</v>
      </c>
      <c r="L46" s="9">
        <v>151734.13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161027</v>
      </c>
      <c r="U46" s="9">
        <v>3758253.702</v>
      </c>
      <c r="V46" s="9">
        <v>1248006.5563000001</v>
      </c>
      <c r="W46" s="9">
        <v>0</v>
      </c>
      <c r="X46" s="9">
        <v>60466.050999999999</v>
      </c>
      <c r="Y46" s="9">
        <v>0</v>
      </c>
      <c r="Z46" s="9">
        <v>952886.86499999999</v>
      </c>
      <c r="AA46" s="9">
        <v>4387706.2850000001</v>
      </c>
      <c r="AB46" s="9">
        <v>0</v>
      </c>
      <c r="AC46" s="9">
        <v>71832.383000000002</v>
      </c>
      <c r="AD46" s="9">
        <v>0</v>
      </c>
      <c r="AE46" s="9">
        <v>0</v>
      </c>
      <c r="AF46" s="9">
        <v>135004.51999999999</v>
      </c>
      <c r="AG46" s="9">
        <v>0</v>
      </c>
      <c r="AH46" s="9">
        <v>0</v>
      </c>
      <c r="AI46" s="9">
        <v>0</v>
      </c>
      <c r="AJ46" s="9">
        <v>0</v>
      </c>
      <c r="AK46" s="9">
        <v>343000</v>
      </c>
      <c r="AL46" s="9">
        <v>18765.327000000001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560841</v>
      </c>
      <c r="AT46" s="9">
        <v>536520000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6282181.7939999998</v>
      </c>
      <c r="BC46" s="9">
        <v>153823.54699999999</v>
      </c>
      <c r="BD46" s="9">
        <v>0</v>
      </c>
      <c r="BE46" s="9">
        <v>0</v>
      </c>
      <c r="BF46" s="9">
        <v>0</v>
      </c>
      <c r="BG46" s="9">
        <v>0</v>
      </c>
      <c r="BH46" s="9">
        <v>100660</v>
      </c>
      <c r="BI46" s="9">
        <v>243402.712</v>
      </c>
      <c r="BJ46" s="9">
        <v>222243.42</v>
      </c>
      <c r="BK46" s="9">
        <v>113561.78599999999</v>
      </c>
      <c r="BL46" s="9">
        <v>0</v>
      </c>
      <c r="BM46" s="9">
        <v>0</v>
      </c>
      <c r="BN46" s="9">
        <v>0</v>
      </c>
      <c r="BO46" s="9">
        <v>20165.881000000001</v>
      </c>
      <c r="BP46" s="9">
        <v>42289.053</v>
      </c>
      <c r="BQ46" s="9">
        <v>156904.25</v>
      </c>
      <c r="BR46" s="9">
        <v>0</v>
      </c>
      <c r="BS46" s="9">
        <v>0</v>
      </c>
      <c r="BT46" s="9">
        <v>20478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514.17400999999995</v>
      </c>
    </row>
    <row r="47" spans="1:78">
      <c r="A47" s="4" t="s">
        <v>161</v>
      </c>
      <c r="B47" s="9">
        <v>0</v>
      </c>
      <c r="C47" s="9">
        <v>0</v>
      </c>
      <c r="D47" s="9">
        <v>0</v>
      </c>
      <c r="E47" s="9">
        <v>27586.715</v>
      </c>
      <c r="F47" s="9">
        <v>0</v>
      </c>
      <c r="G47" s="9">
        <v>0</v>
      </c>
      <c r="H47" s="9">
        <v>8424.3889999999992</v>
      </c>
      <c r="I47" s="9">
        <v>0</v>
      </c>
      <c r="J47" s="9">
        <v>0</v>
      </c>
      <c r="K47" s="9">
        <v>0</v>
      </c>
      <c r="L47" s="9">
        <v>69819.039000000004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127899</v>
      </c>
      <c r="U47" s="9">
        <v>948134.44099999999</v>
      </c>
      <c r="V47" s="9">
        <v>18955.592000000001</v>
      </c>
      <c r="W47" s="9">
        <v>0</v>
      </c>
      <c r="X47" s="9">
        <v>0</v>
      </c>
      <c r="Y47" s="9">
        <v>570344.38</v>
      </c>
      <c r="Z47" s="9">
        <v>0</v>
      </c>
      <c r="AA47" s="9">
        <v>35994.254999999997</v>
      </c>
      <c r="AB47" s="9">
        <v>0</v>
      </c>
      <c r="AC47" s="9">
        <v>0</v>
      </c>
      <c r="AD47" s="9">
        <v>0</v>
      </c>
      <c r="AE47" s="9">
        <v>0</v>
      </c>
      <c r="AF47" s="9">
        <v>97066.864000000001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73666.017000000007</v>
      </c>
      <c r="AO47" s="9">
        <v>0</v>
      </c>
      <c r="AP47" s="9">
        <v>0</v>
      </c>
      <c r="AQ47" s="9">
        <v>18354.637999999999</v>
      </c>
      <c r="AR47" s="9">
        <v>0</v>
      </c>
      <c r="AS47" s="9">
        <v>15225659</v>
      </c>
      <c r="AT47" s="9">
        <v>0</v>
      </c>
      <c r="AU47" s="9">
        <v>73640000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500616.16299999988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37983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39857.891000000003</v>
      </c>
      <c r="BW47" s="9">
        <v>32674</v>
      </c>
      <c r="BX47" s="9">
        <v>0</v>
      </c>
      <c r="BY47" s="9">
        <v>0</v>
      </c>
      <c r="BZ47" s="9">
        <v>44175.39</v>
      </c>
    </row>
    <row r="48" spans="1:78">
      <c r="A48" s="4" t="s">
        <v>163</v>
      </c>
      <c r="B48" s="9">
        <v>0</v>
      </c>
      <c r="C48" s="9">
        <v>0</v>
      </c>
      <c r="D48" s="9">
        <v>1070193.3149999999</v>
      </c>
      <c r="E48" s="9">
        <v>6543062.409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150400.26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157492.519</v>
      </c>
      <c r="U48" s="9">
        <v>5949.7250000000004</v>
      </c>
      <c r="V48" s="9">
        <v>483749.66</v>
      </c>
      <c r="W48" s="9">
        <v>0</v>
      </c>
      <c r="X48" s="9">
        <v>3353727.5520000001</v>
      </c>
      <c r="Y48" s="9">
        <v>0</v>
      </c>
      <c r="Z48" s="9">
        <v>0</v>
      </c>
      <c r="AA48" s="9">
        <v>41239922.197999999</v>
      </c>
      <c r="AB48" s="9">
        <v>33324.222999999998</v>
      </c>
      <c r="AC48" s="9">
        <v>2815750.9440000001</v>
      </c>
      <c r="AD48" s="9">
        <v>0</v>
      </c>
      <c r="AE48" s="9">
        <v>115669.943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19421499.09</v>
      </c>
      <c r="AM48" s="9">
        <v>0</v>
      </c>
      <c r="AN48" s="9">
        <v>9665.5360000000001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2761165.8280000002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263364.57500000001</v>
      </c>
      <c r="BI48" s="9">
        <v>2069446.9550000001</v>
      </c>
      <c r="BJ48" s="9">
        <v>176322.89</v>
      </c>
      <c r="BK48" s="9">
        <v>0</v>
      </c>
      <c r="BL48" s="9">
        <v>0</v>
      </c>
      <c r="BM48" s="9">
        <v>0</v>
      </c>
      <c r="BN48" s="9">
        <v>0</v>
      </c>
      <c r="BO48" s="9">
        <v>115669.943</v>
      </c>
      <c r="BP48" s="9">
        <v>0</v>
      </c>
      <c r="BQ48" s="9">
        <v>0</v>
      </c>
      <c r="BR48" s="9">
        <v>0</v>
      </c>
      <c r="BS48" s="9">
        <v>231339.78700000001</v>
      </c>
      <c r="BT48" s="9">
        <v>5192944</v>
      </c>
      <c r="BU48" s="9">
        <v>0</v>
      </c>
      <c r="BV48" s="9">
        <v>0</v>
      </c>
      <c r="BW48" s="9">
        <v>13774.991</v>
      </c>
      <c r="BX48" s="9">
        <v>0</v>
      </c>
      <c r="BY48" s="9">
        <v>0</v>
      </c>
      <c r="BZ48" s="9">
        <v>483225.57</v>
      </c>
    </row>
    <row r="49" spans="1:78">
      <c r="A49" s="4" t="s">
        <v>165</v>
      </c>
      <c r="B49" s="9">
        <v>0</v>
      </c>
      <c r="C49" s="9">
        <v>30520.215</v>
      </c>
      <c r="D49" s="9">
        <v>171292768.21000001</v>
      </c>
      <c r="E49" s="9">
        <v>1072246688.982</v>
      </c>
      <c r="F49" s="9">
        <v>0</v>
      </c>
      <c r="G49" s="9">
        <v>0</v>
      </c>
      <c r="H49" s="9">
        <v>0</v>
      </c>
      <c r="I49" s="9">
        <v>23880671</v>
      </c>
      <c r="J49" s="9">
        <v>0</v>
      </c>
      <c r="K49" s="9">
        <v>333463088.75199997</v>
      </c>
      <c r="L49" s="9">
        <v>76979513.261999995</v>
      </c>
      <c r="M49" s="9">
        <v>354860.761</v>
      </c>
      <c r="N49" s="9">
        <v>671796</v>
      </c>
      <c r="O49" s="9">
        <v>0</v>
      </c>
      <c r="P49" s="9">
        <v>0</v>
      </c>
      <c r="Q49" s="9">
        <v>1569780.3</v>
      </c>
      <c r="R49" s="9">
        <v>0</v>
      </c>
      <c r="S49" s="9">
        <v>0</v>
      </c>
      <c r="T49" s="9">
        <v>4222812</v>
      </c>
      <c r="U49" s="9">
        <v>274190922.55699998</v>
      </c>
      <c r="V49" s="9">
        <v>0</v>
      </c>
      <c r="W49" s="9">
        <v>58946.112999999998</v>
      </c>
      <c r="X49" s="9">
        <v>0</v>
      </c>
      <c r="Y49" s="9">
        <v>247347.32</v>
      </c>
      <c r="Z49" s="9">
        <v>19467373.296</v>
      </c>
      <c r="AA49" s="9">
        <v>1135053.8</v>
      </c>
      <c r="AB49" s="9">
        <v>266382549.03999999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2435294.9350000001</v>
      </c>
      <c r="AJ49" s="9">
        <v>0</v>
      </c>
      <c r="AK49" s="9">
        <v>175000</v>
      </c>
      <c r="AL49" s="9">
        <v>0</v>
      </c>
      <c r="AM49" s="9">
        <v>733967.60700000008</v>
      </c>
      <c r="AN49" s="9">
        <v>14500182</v>
      </c>
      <c r="AO49" s="9">
        <v>0</v>
      </c>
      <c r="AP49" s="9">
        <v>0</v>
      </c>
      <c r="AQ49" s="9">
        <v>254897</v>
      </c>
      <c r="AR49" s="9">
        <v>0</v>
      </c>
      <c r="AS49" s="9">
        <v>9479</v>
      </c>
      <c r="AT49" s="9">
        <v>3438755.5</v>
      </c>
      <c r="AU49" s="9">
        <v>0</v>
      </c>
      <c r="AV49" s="9">
        <v>278289</v>
      </c>
      <c r="AW49" s="9">
        <v>310800000</v>
      </c>
      <c r="AX49" s="9">
        <v>0</v>
      </c>
      <c r="AY49" s="9">
        <v>135000</v>
      </c>
      <c r="AZ49" s="9">
        <v>0</v>
      </c>
      <c r="BA49" s="9">
        <v>0</v>
      </c>
      <c r="BB49" s="9">
        <v>0</v>
      </c>
      <c r="BC49" s="9">
        <v>231709944.81799999</v>
      </c>
      <c r="BD49" s="9">
        <v>2774303.2990000001</v>
      </c>
      <c r="BE49" s="9">
        <v>0</v>
      </c>
      <c r="BF49" s="9">
        <v>0</v>
      </c>
      <c r="BG49" s="9">
        <v>0</v>
      </c>
      <c r="BH49" s="9">
        <v>4508969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70452.125</v>
      </c>
      <c r="BO49" s="9">
        <v>2049637.004</v>
      </c>
      <c r="BP49" s="9">
        <v>0</v>
      </c>
      <c r="BQ49" s="9">
        <v>0</v>
      </c>
      <c r="BR49" s="9">
        <v>1177192.3999999999</v>
      </c>
      <c r="BS49" s="9">
        <v>0</v>
      </c>
      <c r="BT49" s="9">
        <v>400221</v>
      </c>
      <c r="BU49" s="9">
        <v>77491.33</v>
      </c>
      <c r="BV49" s="9">
        <v>3088636.2</v>
      </c>
      <c r="BW49" s="9">
        <v>2580580067</v>
      </c>
      <c r="BX49" s="9">
        <v>107795.77</v>
      </c>
      <c r="BY49" s="9">
        <v>50009.800999999999</v>
      </c>
      <c r="BZ49" s="9">
        <v>5356256.352</v>
      </c>
    </row>
    <row r="50" spans="1:78">
      <c r="A50" s="4" t="s">
        <v>167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231670.7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2897.9899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26326.217000000001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</row>
    <row r="51" spans="1:78">
      <c r="A51" s="4" t="s">
        <v>169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</row>
    <row r="52" spans="1:78">
      <c r="A52" s="4" t="s">
        <v>171</v>
      </c>
      <c r="B52" s="9">
        <v>0</v>
      </c>
      <c r="C52" s="9">
        <v>90886.858999999997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38151.347999999998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19957.378000000001</v>
      </c>
      <c r="AA52" s="9">
        <v>0</v>
      </c>
      <c r="AB52" s="9">
        <v>415686.71399999998</v>
      </c>
      <c r="AC52" s="9">
        <v>0</v>
      </c>
      <c r="AD52" s="9">
        <v>0</v>
      </c>
      <c r="AE52" s="9">
        <v>0</v>
      </c>
      <c r="AF52" s="9">
        <v>0</v>
      </c>
      <c r="AG52" s="9">
        <v>2884524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1683.825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101645.588</v>
      </c>
      <c r="BO52" s="9">
        <v>0</v>
      </c>
      <c r="BP52" s="9">
        <v>0</v>
      </c>
      <c r="BQ52" s="9">
        <v>41761.828000000001</v>
      </c>
      <c r="BR52" s="9">
        <v>106089888</v>
      </c>
      <c r="BS52" s="9">
        <v>0</v>
      </c>
      <c r="BT52" s="9">
        <v>0</v>
      </c>
      <c r="BU52" s="9">
        <v>3856579.3</v>
      </c>
      <c r="BV52" s="9">
        <v>0</v>
      </c>
      <c r="BW52" s="9">
        <v>235783.22</v>
      </c>
      <c r="BX52" s="9">
        <v>8900540</v>
      </c>
      <c r="BY52" s="9">
        <v>0</v>
      </c>
      <c r="BZ52" s="9">
        <v>31810.400000000001</v>
      </c>
    </row>
    <row r="53" spans="1:78">
      <c r="A53" s="4" t="s">
        <v>173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</row>
    <row r="54" spans="1:78">
      <c r="A54" s="4" t="s">
        <v>175</v>
      </c>
      <c r="B54" s="9">
        <v>0</v>
      </c>
      <c r="C54" s="9">
        <v>5674847.5</v>
      </c>
      <c r="D54" s="9">
        <v>4808638.2180000003</v>
      </c>
      <c r="E54" s="9">
        <v>954245992.05500007</v>
      </c>
      <c r="F54" s="9">
        <v>0</v>
      </c>
      <c r="G54" s="9">
        <v>1068861.5619999999</v>
      </c>
      <c r="H54" s="9">
        <v>117146.39599999999</v>
      </c>
      <c r="I54" s="9">
        <v>9323714</v>
      </c>
      <c r="J54" s="9">
        <v>0</v>
      </c>
      <c r="K54" s="9">
        <v>5801692</v>
      </c>
      <c r="L54" s="9">
        <v>18573314.695</v>
      </c>
      <c r="M54" s="9">
        <v>159295.32999999999</v>
      </c>
      <c r="N54" s="9">
        <v>0</v>
      </c>
      <c r="O54" s="9">
        <v>0</v>
      </c>
      <c r="P54" s="9">
        <v>0</v>
      </c>
      <c r="Q54" s="9">
        <v>1831281</v>
      </c>
      <c r="R54" s="9">
        <v>0</v>
      </c>
      <c r="S54" s="9">
        <v>420531.81000000011</v>
      </c>
      <c r="T54" s="9">
        <v>1907765</v>
      </c>
      <c r="U54" s="9">
        <v>168620160.23500001</v>
      </c>
      <c r="V54" s="9">
        <v>105736986.04700001</v>
      </c>
      <c r="W54" s="9">
        <v>252353.628</v>
      </c>
      <c r="X54" s="9">
        <v>105719522.461</v>
      </c>
      <c r="Y54" s="9">
        <v>579513.01</v>
      </c>
      <c r="Z54" s="9">
        <v>14581097.841</v>
      </c>
      <c r="AA54" s="9">
        <v>472576954.49199998</v>
      </c>
      <c r="AB54" s="9">
        <v>52276135.984999999</v>
      </c>
      <c r="AC54" s="9">
        <v>359771.95799999998</v>
      </c>
      <c r="AD54" s="9">
        <v>0</v>
      </c>
      <c r="AE54" s="9">
        <v>1457763</v>
      </c>
      <c r="AF54" s="9">
        <v>1914437</v>
      </c>
      <c r="AG54" s="9">
        <v>0</v>
      </c>
      <c r="AH54" s="9">
        <v>17351.081999999999</v>
      </c>
      <c r="AI54" s="9">
        <v>349978.59600000002</v>
      </c>
      <c r="AJ54" s="9">
        <v>27321846.749000002</v>
      </c>
      <c r="AK54" s="9">
        <v>259056000</v>
      </c>
      <c r="AL54" s="9">
        <v>51915358.533</v>
      </c>
      <c r="AM54" s="9">
        <v>5009634.4460000005</v>
      </c>
      <c r="AN54" s="9">
        <v>17016796</v>
      </c>
      <c r="AO54" s="9">
        <v>0</v>
      </c>
      <c r="AP54" s="9">
        <v>0</v>
      </c>
      <c r="AQ54" s="9">
        <v>22123.499</v>
      </c>
      <c r="AR54" s="9">
        <v>0</v>
      </c>
      <c r="AS54" s="9">
        <v>1531162</v>
      </c>
      <c r="AT54" s="9">
        <v>3390212.5279999999</v>
      </c>
      <c r="AU54" s="9">
        <v>521552.88</v>
      </c>
      <c r="AV54" s="9">
        <v>75784.936000000002</v>
      </c>
      <c r="AW54" s="9">
        <v>709165.06</v>
      </c>
      <c r="AX54" s="9">
        <v>919199.83100000001</v>
      </c>
      <c r="AY54" s="9">
        <v>0</v>
      </c>
      <c r="AZ54" s="9">
        <v>0</v>
      </c>
      <c r="BA54" s="9">
        <v>53932.285000000003</v>
      </c>
      <c r="BB54" s="9">
        <v>7206200000</v>
      </c>
      <c r="BC54" s="9">
        <v>62867094.086999997</v>
      </c>
      <c r="BD54" s="9">
        <v>7146637.5259999996</v>
      </c>
      <c r="BE54" s="9">
        <v>0</v>
      </c>
      <c r="BF54" s="9">
        <v>0</v>
      </c>
      <c r="BG54" s="9">
        <v>0</v>
      </c>
      <c r="BH54" s="9">
        <v>2025775</v>
      </c>
      <c r="BI54" s="9">
        <v>20385487.179000001</v>
      </c>
      <c r="BJ54" s="9">
        <v>5087502.7699999996</v>
      </c>
      <c r="BK54" s="9">
        <v>16789.807000000001</v>
      </c>
      <c r="BL54" s="9">
        <v>0</v>
      </c>
      <c r="BM54" s="9">
        <v>0</v>
      </c>
      <c r="BN54" s="9">
        <v>0</v>
      </c>
      <c r="BO54" s="9">
        <v>505294.85499999998</v>
      </c>
      <c r="BP54" s="9">
        <v>1406467.5589999999</v>
      </c>
      <c r="BQ54" s="9">
        <v>167146820.62099999</v>
      </c>
      <c r="BR54" s="9">
        <v>0</v>
      </c>
      <c r="BS54" s="9">
        <v>0</v>
      </c>
      <c r="BT54" s="9">
        <v>27031.758000000002</v>
      </c>
      <c r="BU54" s="9">
        <v>0</v>
      </c>
      <c r="BV54" s="9">
        <v>667024.9</v>
      </c>
      <c r="BW54" s="9">
        <v>15971574</v>
      </c>
      <c r="BX54" s="9">
        <v>0</v>
      </c>
      <c r="BY54" s="9">
        <v>0</v>
      </c>
      <c r="BZ54" s="9">
        <v>2171026.2769999998</v>
      </c>
    </row>
    <row r="55" spans="1:78">
      <c r="A55" s="4" t="s">
        <v>177</v>
      </c>
      <c r="B55" s="9">
        <v>0</v>
      </c>
      <c r="C55" s="9">
        <v>0</v>
      </c>
      <c r="D55" s="9">
        <v>0</v>
      </c>
      <c r="E55" s="9">
        <v>287172.027</v>
      </c>
      <c r="F55" s="9">
        <v>0</v>
      </c>
      <c r="G55" s="9">
        <v>391777.68599999999</v>
      </c>
      <c r="H55" s="9">
        <v>825925.07700000005</v>
      </c>
      <c r="I55" s="9">
        <v>0</v>
      </c>
      <c r="J55" s="9">
        <v>0</v>
      </c>
      <c r="K55" s="9">
        <v>32160.239000000001</v>
      </c>
      <c r="L55" s="9">
        <v>360610.05300000001</v>
      </c>
      <c r="M55" s="9">
        <v>0</v>
      </c>
      <c r="N55" s="9">
        <v>360263.68400000001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48834</v>
      </c>
      <c r="U55" s="9">
        <v>1226067.672</v>
      </c>
      <c r="V55" s="9">
        <v>1785260.169</v>
      </c>
      <c r="W55" s="9">
        <v>31372.846000000001</v>
      </c>
      <c r="X55" s="9">
        <v>195066.99100000001</v>
      </c>
      <c r="Y55" s="9">
        <v>75403.06</v>
      </c>
      <c r="Z55" s="9">
        <v>575374.18810000003</v>
      </c>
      <c r="AA55" s="9">
        <v>931746.90800000005</v>
      </c>
      <c r="AB55" s="9">
        <v>85621.66</v>
      </c>
      <c r="AC55" s="9">
        <v>5265.2431999999999</v>
      </c>
      <c r="AD55" s="9">
        <v>264091.891</v>
      </c>
      <c r="AE55" s="9">
        <v>33575.262000000002</v>
      </c>
      <c r="AF55" s="9">
        <v>377060</v>
      </c>
      <c r="AG55" s="9">
        <v>0</v>
      </c>
      <c r="AH55" s="9">
        <v>0</v>
      </c>
      <c r="AI55" s="9">
        <v>0</v>
      </c>
      <c r="AJ55" s="9">
        <v>227118.576</v>
      </c>
      <c r="AK55" s="9">
        <v>0</v>
      </c>
      <c r="AL55" s="9">
        <v>73818.709000000003</v>
      </c>
      <c r="AM55" s="9">
        <v>163913.85399999999</v>
      </c>
      <c r="AN55" s="9">
        <v>0</v>
      </c>
      <c r="AO55" s="9">
        <v>175161.52900000001</v>
      </c>
      <c r="AP55" s="9">
        <v>0</v>
      </c>
      <c r="AQ55" s="9">
        <v>0</v>
      </c>
      <c r="AR55" s="9">
        <v>0</v>
      </c>
      <c r="AS55" s="9">
        <v>870744</v>
      </c>
      <c r="AT55" s="9">
        <v>51023.805</v>
      </c>
      <c r="AU55" s="9">
        <v>501012.10600000003</v>
      </c>
      <c r="AV55" s="9">
        <v>39421.745999999999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1871851.8570000001</v>
      </c>
      <c r="BC55" s="9">
        <v>8205600000</v>
      </c>
      <c r="BD55" s="9">
        <v>0</v>
      </c>
      <c r="BE55" s="9">
        <v>0</v>
      </c>
      <c r="BF55" s="9">
        <v>0</v>
      </c>
      <c r="BG55" s="9">
        <v>0</v>
      </c>
      <c r="BH55" s="9">
        <v>232086</v>
      </c>
      <c r="BI55" s="9">
        <v>111618.942</v>
      </c>
      <c r="BJ55" s="9">
        <v>198431.80979999999</v>
      </c>
      <c r="BK55" s="9">
        <v>191158.12</v>
      </c>
      <c r="BL55" s="9">
        <v>0</v>
      </c>
      <c r="BM55" s="9">
        <v>0</v>
      </c>
      <c r="BN55" s="9">
        <v>0</v>
      </c>
      <c r="BO55" s="9">
        <v>305257.97100000002</v>
      </c>
      <c r="BP55" s="9">
        <v>169070.402</v>
      </c>
      <c r="BQ55" s="9">
        <v>1145116.8600000001</v>
      </c>
      <c r="BR55" s="9">
        <v>0</v>
      </c>
      <c r="BS55" s="9">
        <v>0</v>
      </c>
      <c r="BT55" s="9">
        <v>0</v>
      </c>
      <c r="BU55" s="9">
        <v>0</v>
      </c>
      <c r="BV55" s="9">
        <v>493757.78</v>
      </c>
      <c r="BW55" s="9">
        <v>28605.105</v>
      </c>
      <c r="BX55" s="9">
        <v>0</v>
      </c>
      <c r="BY55" s="9">
        <v>0</v>
      </c>
      <c r="BZ55" s="9">
        <v>124312.18</v>
      </c>
    </row>
    <row r="56" spans="1:78">
      <c r="A56" s="4" t="s">
        <v>179</v>
      </c>
      <c r="B56" s="9">
        <v>0</v>
      </c>
      <c r="C56" s="9">
        <v>62397.377</v>
      </c>
      <c r="D56" s="9">
        <v>0</v>
      </c>
      <c r="E56" s="9">
        <v>0</v>
      </c>
      <c r="F56" s="9">
        <v>47236.105000000003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19915.256000000001</v>
      </c>
      <c r="V56" s="9">
        <v>0</v>
      </c>
      <c r="W56" s="9">
        <v>0</v>
      </c>
      <c r="X56" s="9">
        <v>0</v>
      </c>
      <c r="Y56" s="9">
        <v>0</v>
      </c>
      <c r="Z56" s="9">
        <v>95425.164000000004</v>
      </c>
      <c r="AA56" s="9">
        <v>0</v>
      </c>
      <c r="AB56" s="9">
        <v>28343.339</v>
      </c>
      <c r="AC56" s="9">
        <v>0</v>
      </c>
      <c r="AD56" s="9">
        <v>185372.70699999999</v>
      </c>
      <c r="AE56" s="9">
        <v>0</v>
      </c>
      <c r="AF56" s="9">
        <v>0</v>
      </c>
      <c r="AG56" s="9">
        <v>638840.75199999998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247080.34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156730.74799999999</v>
      </c>
      <c r="BA56" s="9">
        <v>0</v>
      </c>
      <c r="BB56" s="9">
        <v>122.154</v>
      </c>
      <c r="BC56" s="9">
        <v>0</v>
      </c>
      <c r="BD56" s="9">
        <v>1483320000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131622.617</v>
      </c>
      <c r="BS56" s="9">
        <v>0</v>
      </c>
      <c r="BT56" s="9">
        <v>0</v>
      </c>
      <c r="BU56" s="9">
        <v>0</v>
      </c>
      <c r="BV56" s="9">
        <v>228233.5</v>
      </c>
      <c r="BW56" s="9">
        <v>3052303.9589999998</v>
      </c>
      <c r="BX56" s="9">
        <v>10209.973</v>
      </c>
      <c r="BY56" s="9">
        <v>0</v>
      </c>
      <c r="BZ56" s="9">
        <v>328258.84399999998</v>
      </c>
    </row>
    <row r="57" spans="1:78">
      <c r="A57" s="4" t="s">
        <v>181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98.87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220732.71900000001</v>
      </c>
    </row>
    <row r="58" spans="1:78">
      <c r="A58" s="4" t="s">
        <v>183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3000</v>
      </c>
      <c r="BX58" s="9">
        <v>0</v>
      </c>
      <c r="BY58" s="9">
        <v>0</v>
      </c>
      <c r="BZ58" s="9">
        <v>0</v>
      </c>
    </row>
    <row r="59" spans="1:78">
      <c r="A59" s="4" t="s">
        <v>185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1416.2429999999999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25000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7148.0940000000001</v>
      </c>
      <c r="BC59" s="9">
        <v>0</v>
      </c>
      <c r="BD59" s="9">
        <v>0</v>
      </c>
      <c r="BE59" s="9">
        <v>344.93599999999998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39550</v>
      </c>
      <c r="BX59" s="9">
        <v>0</v>
      </c>
      <c r="BY59" s="9">
        <v>0</v>
      </c>
      <c r="BZ59" s="9">
        <v>450.64699999999999</v>
      </c>
    </row>
    <row r="60" spans="1:78">
      <c r="A60" s="4" t="s">
        <v>187</v>
      </c>
      <c r="B60" s="9">
        <v>0</v>
      </c>
      <c r="C60" s="9">
        <v>0</v>
      </c>
      <c r="D60" s="9">
        <v>1363699.0290000001</v>
      </c>
      <c r="E60" s="9">
        <v>8532386.0069999993</v>
      </c>
      <c r="F60" s="9">
        <v>0</v>
      </c>
      <c r="G60" s="9">
        <v>1475726.3049999999</v>
      </c>
      <c r="H60" s="9">
        <v>11733055</v>
      </c>
      <c r="I60" s="9">
        <v>0</v>
      </c>
      <c r="J60" s="9">
        <v>0</v>
      </c>
      <c r="K60" s="9">
        <v>1867</v>
      </c>
      <c r="L60" s="9">
        <v>13328964.816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2256276</v>
      </c>
      <c r="U60" s="9">
        <v>10209450.627</v>
      </c>
      <c r="V60" s="9">
        <v>1150242.7919999999</v>
      </c>
      <c r="W60" s="9">
        <v>100459</v>
      </c>
      <c r="X60" s="9">
        <v>15406.101000000001</v>
      </c>
      <c r="Y60" s="9">
        <v>2384113.8199999998</v>
      </c>
      <c r="Z60" s="9">
        <v>497358.03</v>
      </c>
      <c r="AA60" s="9">
        <v>2557409.7050000001</v>
      </c>
      <c r="AB60" s="9">
        <v>1611882.4480000001</v>
      </c>
      <c r="AC60" s="9">
        <v>84493.463000000003</v>
      </c>
      <c r="AD60" s="9">
        <v>0</v>
      </c>
      <c r="AE60" s="9">
        <v>818784</v>
      </c>
      <c r="AF60" s="9">
        <v>590298</v>
      </c>
      <c r="AG60" s="9">
        <v>0</v>
      </c>
      <c r="AH60" s="9">
        <v>0</v>
      </c>
      <c r="AI60" s="9">
        <v>97418.578899999993</v>
      </c>
      <c r="AJ60" s="9">
        <v>163329.09599999999</v>
      </c>
      <c r="AK60" s="9">
        <v>14066000</v>
      </c>
      <c r="AL60" s="9">
        <v>10127663.645</v>
      </c>
      <c r="AM60" s="9">
        <v>10082</v>
      </c>
      <c r="AN60" s="9">
        <v>1200</v>
      </c>
      <c r="AO60" s="9">
        <v>1067310</v>
      </c>
      <c r="AP60" s="9">
        <v>0</v>
      </c>
      <c r="AQ60" s="9">
        <v>0</v>
      </c>
      <c r="AR60" s="9">
        <v>0</v>
      </c>
      <c r="AS60" s="9">
        <v>15304800</v>
      </c>
      <c r="AT60" s="9">
        <v>26448843.419</v>
      </c>
      <c r="AU60" s="9">
        <v>6908298.0800000001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47677268.851999998</v>
      </c>
      <c r="BC60" s="9">
        <v>2771162.0109999999</v>
      </c>
      <c r="BD60" s="9">
        <v>0</v>
      </c>
      <c r="BE60" s="9">
        <v>0</v>
      </c>
      <c r="BF60" s="9">
        <v>0</v>
      </c>
      <c r="BG60" s="9">
        <v>0</v>
      </c>
      <c r="BH60" s="9">
        <v>1315000000</v>
      </c>
      <c r="BI60" s="9">
        <v>3156253.165</v>
      </c>
      <c r="BJ60" s="9">
        <v>522725.5</v>
      </c>
      <c r="BK60" s="9">
        <v>335981</v>
      </c>
      <c r="BL60" s="9">
        <v>0</v>
      </c>
      <c r="BM60" s="9">
        <v>0</v>
      </c>
      <c r="BN60" s="9">
        <v>0</v>
      </c>
      <c r="BO60" s="9">
        <v>1998225.064</v>
      </c>
      <c r="BP60" s="9">
        <v>704451</v>
      </c>
      <c r="BQ60" s="9">
        <v>161570</v>
      </c>
      <c r="BR60" s="9">
        <v>0</v>
      </c>
      <c r="BS60" s="9">
        <v>0</v>
      </c>
      <c r="BT60" s="9">
        <v>27514</v>
      </c>
      <c r="BU60" s="9">
        <v>0</v>
      </c>
      <c r="BV60" s="9">
        <v>24123680.850000001</v>
      </c>
      <c r="BW60" s="9">
        <v>0</v>
      </c>
      <c r="BX60" s="9">
        <v>0</v>
      </c>
      <c r="BY60" s="9">
        <v>0</v>
      </c>
      <c r="BZ60" s="9">
        <v>908754.69900000002</v>
      </c>
    </row>
    <row r="61" spans="1:78">
      <c r="A61" s="4" t="s">
        <v>189</v>
      </c>
      <c r="B61" s="9">
        <v>0</v>
      </c>
      <c r="C61" s="9">
        <v>0</v>
      </c>
      <c r="D61" s="9">
        <v>0</v>
      </c>
      <c r="E61" s="9">
        <v>1292242.8330000001</v>
      </c>
      <c r="F61" s="9">
        <v>0</v>
      </c>
      <c r="G61" s="9">
        <v>12777.691999999999</v>
      </c>
      <c r="H61" s="9">
        <v>0</v>
      </c>
      <c r="I61" s="9">
        <v>0</v>
      </c>
      <c r="J61" s="9">
        <v>0</v>
      </c>
      <c r="K61" s="9">
        <v>0</v>
      </c>
      <c r="L61" s="9">
        <v>9424.6748000000007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52279.652000000002</v>
      </c>
      <c r="V61" s="9">
        <v>12043.017</v>
      </c>
      <c r="W61" s="9">
        <v>0</v>
      </c>
      <c r="X61" s="9">
        <v>69533.851999999999</v>
      </c>
      <c r="Y61" s="9">
        <v>0</v>
      </c>
      <c r="Z61" s="9">
        <v>27600.403999999999</v>
      </c>
      <c r="AA61" s="9">
        <v>38979.648000000001</v>
      </c>
      <c r="AB61" s="9">
        <v>0</v>
      </c>
      <c r="AC61" s="9">
        <v>0</v>
      </c>
      <c r="AD61" s="9">
        <v>0</v>
      </c>
      <c r="AE61" s="9">
        <v>0</v>
      </c>
      <c r="AF61" s="9">
        <v>16204.312</v>
      </c>
      <c r="AG61" s="9">
        <v>0</v>
      </c>
      <c r="AH61" s="9">
        <v>0</v>
      </c>
      <c r="AI61" s="9">
        <v>11452.957</v>
      </c>
      <c r="AJ61" s="9">
        <v>0</v>
      </c>
      <c r="AK61" s="9">
        <v>31000</v>
      </c>
      <c r="AL61" s="9">
        <v>557865.13</v>
      </c>
      <c r="AM61" s="9">
        <v>0</v>
      </c>
      <c r="AN61" s="9">
        <v>30090.865000000002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44191.711000000003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734388.73600000003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1788400000</v>
      </c>
      <c r="BJ61" s="9">
        <v>7541.7402000000002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849949.97499999998</v>
      </c>
    </row>
    <row r="62" spans="1:78">
      <c r="A62" s="4" t="s">
        <v>191</v>
      </c>
      <c r="B62" s="9">
        <v>0</v>
      </c>
      <c r="C62" s="9">
        <v>0</v>
      </c>
      <c r="D62" s="9">
        <v>367730.89500000002</v>
      </c>
      <c r="E62" s="9">
        <v>1350761.24</v>
      </c>
      <c r="F62" s="9">
        <v>0</v>
      </c>
      <c r="G62" s="9">
        <v>864519.09399999992</v>
      </c>
      <c r="H62" s="9">
        <v>15688.57</v>
      </c>
      <c r="I62" s="9">
        <v>0</v>
      </c>
      <c r="J62" s="9">
        <v>0</v>
      </c>
      <c r="K62" s="9">
        <v>0</v>
      </c>
      <c r="L62" s="9">
        <v>636057.70499999996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16353</v>
      </c>
      <c r="U62" s="9">
        <v>4076338.5980000002</v>
      </c>
      <c r="V62" s="9">
        <v>2346389.5669999998</v>
      </c>
      <c r="W62" s="9">
        <v>0</v>
      </c>
      <c r="X62" s="9">
        <v>11404.527</v>
      </c>
      <c r="Y62" s="9">
        <v>0</v>
      </c>
      <c r="Z62" s="9">
        <v>1695862.165</v>
      </c>
      <c r="AA62" s="9">
        <v>500541.39799999999</v>
      </c>
      <c r="AB62" s="9">
        <v>47655.42</v>
      </c>
      <c r="AC62" s="9">
        <v>61941.34</v>
      </c>
      <c r="AD62" s="9">
        <v>0</v>
      </c>
      <c r="AE62" s="9">
        <v>0</v>
      </c>
      <c r="AF62" s="9">
        <v>23680</v>
      </c>
      <c r="AG62" s="9">
        <v>0</v>
      </c>
      <c r="AH62" s="9">
        <v>0</v>
      </c>
      <c r="AI62" s="9">
        <v>0</v>
      </c>
      <c r="AJ62" s="9">
        <v>0</v>
      </c>
      <c r="AK62" s="9">
        <v>478000</v>
      </c>
      <c r="AL62" s="9">
        <v>692073.02800000005</v>
      </c>
      <c r="AM62" s="9">
        <v>86346.297000000006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42305</v>
      </c>
      <c r="AT62" s="9">
        <v>153845.47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2668093.5180000002</v>
      </c>
      <c r="BC62" s="9">
        <v>96650.471000000005</v>
      </c>
      <c r="BD62" s="9">
        <v>0</v>
      </c>
      <c r="BE62" s="9">
        <v>0</v>
      </c>
      <c r="BF62" s="9">
        <v>0</v>
      </c>
      <c r="BG62" s="9">
        <v>0</v>
      </c>
      <c r="BH62" s="9">
        <v>263186.18</v>
      </c>
      <c r="BI62" s="9">
        <v>0</v>
      </c>
      <c r="BJ62" s="9">
        <v>631200000</v>
      </c>
      <c r="BK62" s="9">
        <v>0</v>
      </c>
      <c r="BL62" s="9">
        <v>0</v>
      </c>
      <c r="BM62" s="9">
        <v>0</v>
      </c>
      <c r="BN62" s="9">
        <v>0</v>
      </c>
      <c r="BO62" s="9">
        <v>554987.54</v>
      </c>
      <c r="BP62" s="9">
        <v>0</v>
      </c>
      <c r="BQ62" s="9">
        <v>41571.360000000001</v>
      </c>
      <c r="BR62" s="9">
        <v>0</v>
      </c>
      <c r="BS62" s="9">
        <v>0</v>
      </c>
      <c r="BT62" s="9">
        <v>2014115</v>
      </c>
      <c r="BU62" s="9">
        <v>0</v>
      </c>
      <c r="BV62" s="9">
        <v>337894.8</v>
      </c>
      <c r="BW62" s="9">
        <v>50000</v>
      </c>
      <c r="BX62" s="9">
        <v>0</v>
      </c>
      <c r="BY62" s="9">
        <v>0</v>
      </c>
      <c r="BZ62" s="9">
        <v>4138.87</v>
      </c>
    </row>
    <row r="63" spans="1:78">
      <c r="A63" s="4" t="s">
        <v>193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68448.160999999993</v>
      </c>
      <c r="T63" s="9">
        <v>130583</v>
      </c>
      <c r="U63" s="9">
        <v>197822.55600000001</v>
      </c>
      <c r="V63" s="9">
        <v>0</v>
      </c>
      <c r="W63" s="9">
        <v>0</v>
      </c>
      <c r="X63" s="9">
        <v>82195.710999999996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56662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64762.491000000002</v>
      </c>
      <c r="AM63" s="9">
        <v>0</v>
      </c>
      <c r="AN63" s="9">
        <v>0</v>
      </c>
      <c r="AO63" s="9">
        <v>274590.98</v>
      </c>
      <c r="AP63" s="9">
        <v>0</v>
      </c>
      <c r="AQ63" s="9">
        <v>0</v>
      </c>
      <c r="AR63" s="9">
        <v>0</v>
      </c>
      <c r="AS63" s="9">
        <v>196565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231.67099999999999</v>
      </c>
      <c r="BC63" s="9">
        <v>1040.152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13916.18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</row>
    <row r="64" spans="1:78">
      <c r="A64" s="4" t="s">
        <v>195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40000</v>
      </c>
    </row>
    <row r="65" spans="1:78">
      <c r="A65" s="4" t="s">
        <v>197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1525.8669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57.048999999999999</v>
      </c>
    </row>
    <row r="66" spans="1:78">
      <c r="A66" s="4" t="s">
        <v>199</v>
      </c>
      <c r="B66" s="9">
        <v>0</v>
      </c>
      <c r="C66" s="9">
        <v>621112.42200000002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51993.714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33274.231</v>
      </c>
      <c r="AB66" s="9">
        <v>145445.27299999999</v>
      </c>
      <c r="AC66" s="9">
        <v>0</v>
      </c>
      <c r="AD66" s="9">
        <v>297020.82699999999</v>
      </c>
      <c r="AE66" s="9">
        <v>0</v>
      </c>
      <c r="AF66" s="9">
        <v>0</v>
      </c>
      <c r="AG66" s="9">
        <v>8845</v>
      </c>
      <c r="AH66" s="9">
        <v>358651.59</v>
      </c>
      <c r="AI66" s="9">
        <v>0</v>
      </c>
      <c r="AJ66" s="9">
        <v>0</v>
      </c>
      <c r="AK66" s="9">
        <v>0</v>
      </c>
      <c r="AL66" s="9">
        <v>2286739.7999999998</v>
      </c>
      <c r="AM66" s="9">
        <v>0</v>
      </c>
      <c r="AN66" s="9">
        <v>2879227.426</v>
      </c>
      <c r="AO66" s="9">
        <v>0</v>
      </c>
      <c r="AP66" s="9">
        <v>5275414.5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5706781.182</v>
      </c>
      <c r="BA66" s="9">
        <v>0</v>
      </c>
      <c r="BB66" s="9">
        <v>8682.3860000000004</v>
      </c>
      <c r="BC66" s="9">
        <v>0</v>
      </c>
      <c r="BD66" s="9">
        <v>924798.56499999994</v>
      </c>
      <c r="BE66" s="9">
        <v>0</v>
      </c>
      <c r="BF66" s="9">
        <v>0</v>
      </c>
      <c r="BG66" s="9">
        <v>304.642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197.74100000000001</v>
      </c>
      <c r="BR66" s="9">
        <v>1513867.692</v>
      </c>
      <c r="BS66" s="9">
        <v>0</v>
      </c>
      <c r="BT66" s="9">
        <v>0</v>
      </c>
      <c r="BU66" s="9">
        <v>0</v>
      </c>
      <c r="BV66" s="9">
        <v>0</v>
      </c>
      <c r="BW66" s="9">
        <v>236363.16</v>
      </c>
      <c r="BX66" s="9">
        <v>0</v>
      </c>
      <c r="BY66" s="9">
        <v>404076.66</v>
      </c>
      <c r="BZ66" s="9">
        <v>6848.1450000000004</v>
      </c>
    </row>
    <row r="67" spans="1:78">
      <c r="A67" s="4" t="s">
        <v>201</v>
      </c>
      <c r="B67" s="9">
        <v>0</v>
      </c>
      <c r="C67" s="9">
        <v>9268869</v>
      </c>
      <c r="D67" s="9">
        <v>89946584.899000004</v>
      </c>
      <c r="E67" s="9">
        <v>110022234.927</v>
      </c>
      <c r="F67" s="9">
        <v>0</v>
      </c>
      <c r="G67" s="9">
        <v>777936.98100000003</v>
      </c>
      <c r="H67" s="9">
        <v>0</v>
      </c>
      <c r="I67" s="9">
        <v>58312904</v>
      </c>
      <c r="J67" s="9">
        <v>0</v>
      </c>
      <c r="K67" s="9">
        <v>30823276</v>
      </c>
      <c r="L67" s="9">
        <v>70664450.206</v>
      </c>
      <c r="M67" s="9">
        <v>272503.995</v>
      </c>
      <c r="N67" s="9">
        <v>998524352</v>
      </c>
      <c r="O67" s="9">
        <v>0</v>
      </c>
      <c r="P67" s="9">
        <v>262135.39</v>
      </c>
      <c r="Q67" s="9">
        <v>226813.02</v>
      </c>
      <c r="R67" s="9">
        <v>0</v>
      </c>
      <c r="S67" s="9">
        <v>81508.070000000007</v>
      </c>
      <c r="T67" s="9">
        <v>4123471</v>
      </c>
      <c r="U67" s="9">
        <v>1762819039.7290001</v>
      </c>
      <c r="V67" s="9">
        <v>14561530.880999999</v>
      </c>
      <c r="W67" s="9">
        <v>113134.55</v>
      </c>
      <c r="X67" s="9">
        <v>104268584.999</v>
      </c>
      <c r="Y67" s="9">
        <v>8664141.4100000001</v>
      </c>
      <c r="Z67" s="9">
        <v>40243310.600000001</v>
      </c>
      <c r="AA67" s="9">
        <v>640906420.47399998</v>
      </c>
      <c r="AB67" s="9">
        <v>389686774.98100001</v>
      </c>
      <c r="AC67" s="9">
        <v>3313247.969</v>
      </c>
      <c r="AD67" s="9">
        <v>0</v>
      </c>
      <c r="AE67" s="9">
        <v>9247488</v>
      </c>
      <c r="AF67" s="9">
        <v>14562794</v>
      </c>
      <c r="AG67" s="9">
        <v>0</v>
      </c>
      <c r="AH67" s="9">
        <v>42560.012000000002</v>
      </c>
      <c r="AI67" s="9">
        <v>325497.31</v>
      </c>
      <c r="AJ67" s="9">
        <v>20297640.329999998</v>
      </c>
      <c r="AK67" s="9">
        <v>9713000</v>
      </c>
      <c r="AL67" s="9">
        <v>65347102.428999998</v>
      </c>
      <c r="AM67" s="9">
        <v>714233.79900000012</v>
      </c>
      <c r="AN67" s="9">
        <v>5804378.4419999998</v>
      </c>
      <c r="AO67" s="9">
        <v>0</v>
      </c>
      <c r="AP67" s="9">
        <v>0</v>
      </c>
      <c r="AQ67" s="9">
        <v>709548</v>
      </c>
      <c r="AR67" s="9">
        <v>293421.46999999997</v>
      </c>
      <c r="AS67" s="9">
        <v>902401</v>
      </c>
      <c r="AT67" s="9">
        <v>6758602.6380000003</v>
      </c>
      <c r="AU67" s="9">
        <v>644783.81000000006</v>
      </c>
      <c r="AV67" s="9">
        <v>132547.23000000001</v>
      </c>
      <c r="AW67" s="9">
        <v>0</v>
      </c>
      <c r="AX67" s="9">
        <v>1435195.798</v>
      </c>
      <c r="AY67" s="9">
        <v>0</v>
      </c>
      <c r="AZ67" s="9">
        <v>0</v>
      </c>
      <c r="BA67" s="9">
        <v>0</v>
      </c>
      <c r="BB67" s="9">
        <v>138671865.87099999</v>
      </c>
      <c r="BC67" s="9">
        <v>41285188.663999997</v>
      </c>
      <c r="BD67" s="9">
        <v>3755127.6639999999</v>
      </c>
      <c r="BE67" s="9">
        <v>0</v>
      </c>
      <c r="BF67" s="9">
        <v>142894.48000000001</v>
      </c>
      <c r="BG67" s="9">
        <v>0</v>
      </c>
      <c r="BH67" s="9">
        <v>32827207</v>
      </c>
      <c r="BI67" s="9">
        <v>24425616.285</v>
      </c>
      <c r="BJ67" s="9">
        <v>18596247.600000001</v>
      </c>
      <c r="BK67" s="9">
        <v>0</v>
      </c>
      <c r="BL67" s="9">
        <v>0</v>
      </c>
      <c r="BM67" s="9">
        <v>0</v>
      </c>
      <c r="BN67" s="9">
        <v>736801</v>
      </c>
      <c r="BO67" s="9">
        <v>157800000</v>
      </c>
      <c r="BP67" s="9">
        <v>4864599.8420000002</v>
      </c>
      <c r="BQ67" s="9">
        <v>312546102.84299999</v>
      </c>
      <c r="BR67" s="9">
        <v>31622576</v>
      </c>
      <c r="BS67" s="9">
        <v>1120501.8999999999</v>
      </c>
      <c r="BT67" s="9">
        <v>584050</v>
      </c>
      <c r="BU67" s="9">
        <v>3084712.5</v>
      </c>
      <c r="BV67" s="9">
        <v>2724861.31</v>
      </c>
      <c r="BW67" s="9">
        <v>191210528</v>
      </c>
      <c r="BX67" s="9">
        <v>0</v>
      </c>
      <c r="BY67" s="9">
        <v>475287.75</v>
      </c>
      <c r="BZ67" s="9">
        <v>8138714.4009999996</v>
      </c>
    </row>
    <row r="68" spans="1:78">
      <c r="A68" s="4" t="s">
        <v>203</v>
      </c>
      <c r="B68" s="9">
        <v>0</v>
      </c>
      <c r="C68" s="9">
        <v>0</v>
      </c>
      <c r="D68" s="9">
        <v>5606791.0480000004</v>
      </c>
      <c r="E68" s="9">
        <v>14435430.561000001</v>
      </c>
      <c r="F68" s="9">
        <v>0</v>
      </c>
      <c r="G68" s="9">
        <v>5113416.4220000003</v>
      </c>
      <c r="H68" s="9">
        <v>0</v>
      </c>
      <c r="I68" s="9">
        <v>659209.88</v>
      </c>
      <c r="J68" s="9">
        <v>0</v>
      </c>
      <c r="K68" s="9">
        <v>0</v>
      </c>
      <c r="L68" s="9">
        <v>4087362.122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76967.323999999993</v>
      </c>
      <c r="T68" s="9">
        <v>2853418</v>
      </c>
      <c r="U68" s="9">
        <v>780667533.64499998</v>
      </c>
      <c r="V68" s="9">
        <v>16559353.743000001</v>
      </c>
      <c r="W68" s="9">
        <v>67158.804999999993</v>
      </c>
      <c r="X68" s="9">
        <v>6139091.0619999999</v>
      </c>
      <c r="Y68" s="9">
        <v>0</v>
      </c>
      <c r="Z68" s="9">
        <v>45895.017999999996</v>
      </c>
      <c r="AA68" s="9">
        <v>524024245.91799998</v>
      </c>
      <c r="AB68" s="9">
        <v>16783145.763</v>
      </c>
      <c r="AC68" s="9">
        <v>20264655.120000001</v>
      </c>
      <c r="AD68" s="9">
        <v>128869975.51000001</v>
      </c>
      <c r="AE68" s="9">
        <v>24480853</v>
      </c>
      <c r="AF68" s="9">
        <v>23252094</v>
      </c>
      <c r="AG68" s="9">
        <v>0</v>
      </c>
      <c r="AH68" s="9">
        <v>316606.89</v>
      </c>
      <c r="AI68" s="9">
        <v>503.35699</v>
      </c>
      <c r="AJ68" s="9">
        <v>7146399.5</v>
      </c>
      <c r="AK68" s="9">
        <v>461000</v>
      </c>
      <c r="AL68" s="9">
        <v>156734077.428</v>
      </c>
      <c r="AM68" s="9">
        <v>76330.986000000004</v>
      </c>
      <c r="AN68" s="9">
        <v>0</v>
      </c>
      <c r="AO68" s="9">
        <v>0</v>
      </c>
      <c r="AP68" s="9">
        <v>0</v>
      </c>
      <c r="AQ68" s="9">
        <v>31625</v>
      </c>
      <c r="AR68" s="9">
        <v>0</v>
      </c>
      <c r="AS68" s="9">
        <v>0</v>
      </c>
      <c r="AT68" s="9">
        <v>688603.68400000001</v>
      </c>
      <c r="AU68" s="9">
        <v>0</v>
      </c>
      <c r="AV68" s="9">
        <v>0</v>
      </c>
      <c r="AW68" s="9">
        <v>0</v>
      </c>
      <c r="AX68" s="9">
        <v>1865341.9110000001</v>
      </c>
      <c r="AY68" s="9">
        <v>0</v>
      </c>
      <c r="AZ68" s="9">
        <v>0</v>
      </c>
      <c r="BA68" s="9">
        <v>0</v>
      </c>
      <c r="BB68" s="9">
        <v>13085654.034</v>
      </c>
      <c r="BC68" s="9">
        <v>1849720.105</v>
      </c>
      <c r="BD68" s="9">
        <v>0</v>
      </c>
      <c r="BE68" s="9">
        <v>0</v>
      </c>
      <c r="BF68" s="9">
        <v>0</v>
      </c>
      <c r="BG68" s="9">
        <v>0</v>
      </c>
      <c r="BH68" s="9">
        <v>23089691</v>
      </c>
      <c r="BI68" s="9">
        <v>24674422.624000002</v>
      </c>
      <c r="BJ68" s="9">
        <v>172385979.16999999</v>
      </c>
      <c r="BK68" s="9">
        <v>0</v>
      </c>
      <c r="BL68" s="9">
        <v>0</v>
      </c>
      <c r="BM68" s="9">
        <v>0</v>
      </c>
      <c r="BN68" s="9">
        <v>0</v>
      </c>
      <c r="BO68" s="9">
        <v>13109.402</v>
      </c>
      <c r="BP68" s="9">
        <v>152014000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65767.960000000006</v>
      </c>
      <c r="BW68" s="9">
        <v>0</v>
      </c>
      <c r="BX68" s="9">
        <v>0</v>
      </c>
      <c r="BY68" s="9">
        <v>0</v>
      </c>
      <c r="BZ68" s="9">
        <v>88112</v>
      </c>
    </row>
    <row r="69" spans="1:78">
      <c r="A69" s="4" t="s">
        <v>205</v>
      </c>
      <c r="B69" s="9">
        <v>1110180</v>
      </c>
      <c r="C69" s="9">
        <v>124790.48</v>
      </c>
      <c r="D69" s="9">
        <v>22906886.16</v>
      </c>
      <c r="E69" s="9">
        <v>6070437.5319999997</v>
      </c>
      <c r="F69" s="9">
        <v>0</v>
      </c>
      <c r="G69" s="9">
        <v>572009.65599999996</v>
      </c>
      <c r="H69" s="9">
        <v>0</v>
      </c>
      <c r="I69" s="9">
        <v>32872216</v>
      </c>
      <c r="J69" s="9">
        <v>0</v>
      </c>
      <c r="K69" s="9">
        <v>8273409.5</v>
      </c>
      <c r="L69" s="9">
        <v>75685676.522</v>
      </c>
      <c r="M69" s="9">
        <v>4129595</v>
      </c>
      <c r="N69" s="9">
        <v>165051584</v>
      </c>
      <c r="O69" s="9">
        <v>0</v>
      </c>
      <c r="P69" s="9">
        <v>0</v>
      </c>
      <c r="Q69" s="9">
        <v>15305739</v>
      </c>
      <c r="R69" s="9">
        <v>4738297.1900000004</v>
      </c>
      <c r="S69" s="9">
        <v>319677.13400000002</v>
      </c>
      <c r="T69" s="9">
        <v>14193752</v>
      </c>
      <c r="U69" s="9">
        <v>267130887.65099999</v>
      </c>
      <c r="V69" s="9">
        <v>280396206.42400002</v>
      </c>
      <c r="W69" s="9">
        <v>33517.063000000002</v>
      </c>
      <c r="X69" s="9">
        <v>161462211.05700001</v>
      </c>
      <c r="Y69" s="9">
        <v>299563.84999999998</v>
      </c>
      <c r="Z69" s="9">
        <v>233928498.875</v>
      </c>
      <c r="AA69" s="9">
        <v>169305458.463</v>
      </c>
      <c r="AB69" s="9">
        <v>95060375.770999998</v>
      </c>
      <c r="AC69" s="9">
        <v>29403374.296</v>
      </c>
      <c r="AD69" s="9">
        <v>291768.77600000001</v>
      </c>
      <c r="AE69" s="9">
        <v>90630</v>
      </c>
      <c r="AF69" s="9">
        <v>7534136</v>
      </c>
      <c r="AG69" s="9">
        <v>0</v>
      </c>
      <c r="AH69" s="9">
        <v>5618357.3080000002</v>
      </c>
      <c r="AI69" s="9">
        <v>20554132.462000001</v>
      </c>
      <c r="AJ69" s="9">
        <v>11327600.154999999</v>
      </c>
      <c r="AK69" s="9">
        <v>53502000</v>
      </c>
      <c r="AL69" s="9">
        <v>44461927.273999996</v>
      </c>
      <c r="AM69" s="9">
        <v>0</v>
      </c>
      <c r="AN69" s="9">
        <v>90974.664000000004</v>
      </c>
      <c r="AO69" s="9">
        <v>0</v>
      </c>
      <c r="AP69" s="9">
        <v>0</v>
      </c>
      <c r="AQ69" s="9">
        <v>44548012</v>
      </c>
      <c r="AR69" s="9">
        <v>0</v>
      </c>
      <c r="AS69" s="9">
        <v>1729771</v>
      </c>
      <c r="AT69" s="9">
        <v>13330574.112</v>
      </c>
      <c r="AU69" s="9">
        <v>363263.864</v>
      </c>
      <c r="AV69" s="9">
        <v>1494839.9</v>
      </c>
      <c r="AW69" s="9">
        <v>22434086</v>
      </c>
      <c r="AX69" s="9">
        <v>2490113.588</v>
      </c>
      <c r="AY69" s="9">
        <v>0</v>
      </c>
      <c r="AZ69" s="9">
        <v>0</v>
      </c>
      <c r="BA69" s="9">
        <v>0</v>
      </c>
      <c r="BB69" s="9">
        <v>228667785.55500001</v>
      </c>
      <c r="BC69" s="9">
        <v>202546296.836</v>
      </c>
      <c r="BD69" s="9">
        <v>755009.85400000005</v>
      </c>
      <c r="BE69" s="9">
        <v>0</v>
      </c>
      <c r="BF69" s="9">
        <v>4796330.5</v>
      </c>
      <c r="BG69" s="9">
        <v>0</v>
      </c>
      <c r="BH69" s="9">
        <v>41886754</v>
      </c>
      <c r="BI69" s="9">
        <v>43853247.897</v>
      </c>
      <c r="BJ69" s="9">
        <v>20056097.239999998</v>
      </c>
      <c r="BK69" s="9">
        <v>0</v>
      </c>
      <c r="BL69" s="9">
        <v>0</v>
      </c>
      <c r="BM69" s="9">
        <v>0</v>
      </c>
      <c r="BN69" s="9">
        <v>982376.19</v>
      </c>
      <c r="BO69" s="9">
        <v>380816.08399999997</v>
      </c>
      <c r="BP69" s="9">
        <v>565392.56000000006</v>
      </c>
      <c r="BQ69" s="9">
        <v>8573800000</v>
      </c>
      <c r="BR69" s="9">
        <v>0</v>
      </c>
      <c r="BS69" s="9">
        <v>513370.25</v>
      </c>
      <c r="BT69" s="9">
        <v>12174135</v>
      </c>
      <c r="BU69" s="9">
        <v>73361.601999999999</v>
      </c>
      <c r="BV69" s="9">
        <v>3120389.86</v>
      </c>
      <c r="BW69" s="9">
        <v>1332345677</v>
      </c>
      <c r="BX69" s="9">
        <v>5248468</v>
      </c>
      <c r="BY69" s="9">
        <v>919726.38</v>
      </c>
      <c r="BZ69" s="9">
        <v>17976986.030000001</v>
      </c>
    </row>
    <row r="70" spans="1:78">
      <c r="A70" s="4" t="s">
        <v>207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189702.22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33703</v>
      </c>
      <c r="O70" s="9">
        <v>0</v>
      </c>
      <c r="P70" s="9">
        <v>0</v>
      </c>
      <c r="Q70" s="9">
        <v>0</v>
      </c>
      <c r="R70" s="9">
        <v>107571.96</v>
      </c>
      <c r="S70" s="9">
        <v>0</v>
      </c>
      <c r="T70" s="9">
        <v>0</v>
      </c>
      <c r="U70" s="9">
        <v>51145.519</v>
      </c>
      <c r="V70" s="9">
        <v>6347.4089999999997</v>
      </c>
      <c r="W70" s="9">
        <v>0</v>
      </c>
      <c r="X70" s="9">
        <v>0</v>
      </c>
      <c r="Y70" s="9">
        <v>0</v>
      </c>
      <c r="Z70" s="9">
        <v>0</v>
      </c>
      <c r="AA70" s="9">
        <v>3948.9319999999998</v>
      </c>
      <c r="AB70" s="9">
        <v>47456.591999999997</v>
      </c>
      <c r="AC70" s="9">
        <v>0</v>
      </c>
      <c r="AD70" s="9">
        <v>103122.077</v>
      </c>
      <c r="AE70" s="9">
        <v>0</v>
      </c>
      <c r="AF70" s="9">
        <v>0</v>
      </c>
      <c r="AG70" s="9">
        <v>214860.527</v>
      </c>
      <c r="AH70" s="9">
        <v>26229.692999999999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198810439.16299999</v>
      </c>
      <c r="AO70" s="9">
        <v>0</v>
      </c>
      <c r="AP70" s="9">
        <v>367557.88</v>
      </c>
      <c r="AQ70" s="9">
        <v>0</v>
      </c>
      <c r="AR70" s="9">
        <v>1289627.5290000001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3172.8670000000002</v>
      </c>
      <c r="AZ70" s="9">
        <v>50678.510999999999</v>
      </c>
      <c r="BA70" s="9">
        <v>0</v>
      </c>
      <c r="BB70" s="9">
        <v>188.49600000000001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1360146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123576.182</v>
      </c>
      <c r="BV70" s="9">
        <v>0</v>
      </c>
      <c r="BW70" s="9">
        <v>0</v>
      </c>
      <c r="BX70" s="9">
        <v>0</v>
      </c>
      <c r="BY70" s="9">
        <v>0</v>
      </c>
      <c r="BZ70" s="9">
        <v>471538.58</v>
      </c>
    </row>
    <row r="71" spans="1:78">
      <c r="A71" s="4" t="s">
        <v>209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105561.11</v>
      </c>
    </row>
    <row r="72" spans="1:78">
      <c r="A72" s="4" t="s">
        <v>211</v>
      </c>
      <c r="B72" s="9">
        <v>0</v>
      </c>
      <c r="C72" s="9">
        <v>0</v>
      </c>
      <c r="D72" s="9">
        <v>919321.97399999993</v>
      </c>
      <c r="E72" s="9">
        <v>2584495.9679999999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6762537.5990000004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5657</v>
      </c>
      <c r="T72" s="9">
        <v>192972</v>
      </c>
      <c r="U72" s="9">
        <v>7962016.6150000002</v>
      </c>
      <c r="V72" s="9">
        <v>0</v>
      </c>
      <c r="W72" s="9">
        <v>0</v>
      </c>
      <c r="X72" s="9">
        <v>10087007.718</v>
      </c>
      <c r="Y72" s="9">
        <v>0</v>
      </c>
      <c r="Z72" s="9">
        <v>88575.081000000006</v>
      </c>
      <c r="AA72" s="9">
        <v>10561772</v>
      </c>
      <c r="AB72" s="9">
        <v>6848115.898</v>
      </c>
      <c r="AC72" s="9">
        <v>423289.74599999998</v>
      </c>
      <c r="AD72" s="9">
        <v>0</v>
      </c>
      <c r="AE72" s="9">
        <v>48043</v>
      </c>
      <c r="AF72" s="9">
        <v>17814</v>
      </c>
      <c r="AG72" s="9">
        <v>0</v>
      </c>
      <c r="AH72" s="9">
        <v>0</v>
      </c>
      <c r="AI72" s="9">
        <v>19807.844000000001</v>
      </c>
      <c r="AJ72" s="9">
        <v>201223.86</v>
      </c>
      <c r="AK72" s="9">
        <v>1225000</v>
      </c>
      <c r="AL72" s="9">
        <v>2176958.9929999998</v>
      </c>
      <c r="AM72" s="9">
        <v>130688.47900000001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13800</v>
      </c>
      <c r="AT72" s="9">
        <v>679675.81700000004</v>
      </c>
      <c r="AU72" s="9">
        <v>0</v>
      </c>
      <c r="AV72" s="9">
        <v>11421.994000000001</v>
      </c>
      <c r="AW72" s="9">
        <v>0</v>
      </c>
      <c r="AX72" s="9">
        <v>249836.842</v>
      </c>
      <c r="AY72" s="9">
        <v>0</v>
      </c>
      <c r="AZ72" s="9">
        <v>0</v>
      </c>
      <c r="BA72" s="9">
        <v>3277</v>
      </c>
      <c r="BB72" s="9">
        <v>73035.240999999995</v>
      </c>
      <c r="BC72" s="9">
        <v>2334722.409</v>
      </c>
      <c r="BD72" s="9">
        <v>387448.28</v>
      </c>
      <c r="BE72" s="9">
        <v>0</v>
      </c>
      <c r="BF72" s="9">
        <v>0</v>
      </c>
      <c r="BG72" s="9">
        <v>0</v>
      </c>
      <c r="BH72" s="9">
        <v>3825432</v>
      </c>
      <c r="BI72" s="9">
        <v>70428.945000000007</v>
      </c>
      <c r="BJ72" s="9">
        <v>300900.21999999997</v>
      </c>
      <c r="BK72" s="9">
        <v>0</v>
      </c>
      <c r="BL72" s="9">
        <v>24485</v>
      </c>
      <c r="BM72" s="9">
        <v>3362</v>
      </c>
      <c r="BN72" s="9">
        <v>0</v>
      </c>
      <c r="BO72" s="9">
        <v>75970.087</v>
      </c>
      <c r="BP72" s="9">
        <v>465359</v>
      </c>
      <c r="BQ72" s="9">
        <v>496131.62400000001</v>
      </c>
      <c r="BR72" s="9">
        <v>0</v>
      </c>
      <c r="BS72" s="9">
        <v>0</v>
      </c>
      <c r="BT72" s="9">
        <v>396604000</v>
      </c>
      <c r="BU72" s="9">
        <v>0</v>
      </c>
      <c r="BV72" s="9">
        <v>90800</v>
      </c>
      <c r="BW72" s="9">
        <v>0</v>
      </c>
      <c r="BX72" s="9">
        <v>0</v>
      </c>
      <c r="BY72" s="9">
        <v>0</v>
      </c>
      <c r="BZ72" s="9">
        <v>1346109.298</v>
      </c>
    </row>
    <row r="73" spans="1:78">
      <c r="A73" s="4" t="s">
        <v>213</v>
      </c>
      <c r="B73" s="9">
        <v>0</v>
      </c>
      <c r="C73" s="9">
        <v>0</v>
      </c>
      <c r="D73" s="9">
        <v>1676.453</v>
      </c>
      <c r="E73" s="9">
        <v>0</v>
      </c>
      <c r="F73" s="9">
        <v>0</v>
      </c>
      <c r="G73" s="9">
        <v>34247.391000000003</v>
      </c>
      <c r="H73" s="9">
        <v>0</v>
      </c>
      <c r="I73" s="9">
        <v>0</v>
      </c>
      <c r="J73" s="9">
        <v>0</v>
      </c>
      <c r="K73" s="9">
        <v>35418.620000000003</v>
      </c>
      <c r="L73" s="9">
        <v>8853.9580000000005</v>
      </c>
      <c r="M73" s="9">
        <v>0</v>
      </c>
      <c r="N73" s="9">
        <v>439708.45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203009.87400000001</v>
      </c>
      <c r="V73" s="9">
        <v>278419.51</v>
      </c>
      <c r="W73" s="9">
        <v>37564.171999999999</v>
      </c>
      <c r="X73" s="9">
        <v>306052.38799999998</v>
      </c>
      <c r="Y73" s="9">
        <v>0</v>
      </c>
      <c r="Z73" s="9">
        <v>0</v>
      </c>
      <c r="AA73" s="9">
        <v>0</v>
      </c>
      <c r="AB73" s="9">
        <v>2426.9641000000001</v>
      </c>
      <c r="AC73" s="9">
        <v>0</v>
      </c>
      <c r="AD73" s="9">
        <v>95589.343999999997</v>
      </c>
      <c r="AE73" s="9">
        <v>0</v>
      </c>
      <c r="AF73" s="9">
        <v>0</v>
      </c>
      <c r="AG73" s="9">
        <v>0</v>
      </c>
      <c r="AH73" s="9">
        <v>16273.227999999999</v>
      </c>
      <c r="AI73" s="9">
        <v>0</v>
      </c>
      <c r="AJ73" s="9">
        <v>0</v>
      </c>
      <c r="AK73" s="9">
        <v>0</v>
      </c>
      <c r="AL73" s="9">
        <v>0</v>
      </c>
      <c r="AM73" s="9">
        <v>20162.400000000001</v>
      </c>
      <c r="AN73" s="9">
        <v>0</v>
      </c>
      <c r="AO73" s="9">
        <v>0</v>
      </c>
      <c r="AP73" s="9">
        <v>168154.45</v>
      </c>
      <c r="AQ73" s="9">
        <v>661839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398174.53600000002</v>
      </c>
      <c r="BC73" s="9">
        <v>4781.2650000000003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154583.32699999999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196455.465</v>
      </c>
      <c r="BR73" s="9">
        <v>128544.742</v>
      </c>
      <c r="BS73" s="9">
        <v>0</v>
      </c>
      <c r="BT73" s="9">
        <v>0</v>
      </c>
      <c r="BU73" s="9">
        <v>0</v>
      </c>
      <c r="BV73" s="9">
        <v>44233.5</v>
      </c>
      <c r="BW73" s="9">
        <v>146306</v>
      </c>
      <c r="BX73" s="9">
        <v>0</v>
      </c>
      <c r="BY73" s="9">
        <v>0</v>
      </c>
      <c r="BZ73" s="9">
        <v>1158537.3799999999</v>
      </c>
    </row>
    <row r="74" spans="1:78">
      <c r="A74" s="4" t="s">
        <v>215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15000.03</v>
      </c>
      <c r="H74" s="9">
        <v>75000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752598.06</v>
      </c>
      <c r="V74" s="9">
        <v>0</v>
      </c>
      <c r="W74" s="9">
        <v>0</v>
      </c>
      <c r="X74" s="9">
        <v>1187854.3500000001</v>
      </c>
      <c r="Y74" s="9">
        <v>5553.71</v>
      </c>
      <c r="Z74" s="9">
        <v>0</v>
      </c>
      <c r="AA74" s="9">
        <v>199510.51</v>
      </c>
      <c r="AB74" s="9">
        <v>6365.08</v>
      </c>
      <c r="AC74" s="9">
        <v>0</v>
      </c>
      <c r="AD74" s="9">
        <v>0</v>
      </c>
      <c r="AE74" s="9">
        <v>56701</v>
      </c>
      <c r="AF74" s="9">
        <v>125600.11</v>
      </c>
      <c r="AG74" s="9">
        <v>0</v>
      </c>
      <c r="AH74" s="9">
        <v>0</v>
      </c>
      <c r="AI74" s="9">
        <v>0</v>
      </c>
      <c r="AJ74" s="9">
        <v>81550.84</v>
      </c>
      <c r="AK74" s="9">
        <v>52000</v>
      </c>
      <c r="AL74" s="9">
        <v>0</v>
      </c>
      <c r="AM74" s="9">
        <v>0</v>
      </c>
      <c r="AN74" s="9">
        <v>0</v>
      </c>
      <c r="AO74" s="9">
        <v>9461.9</v>
      </c>
      <c r="AP74" s="9">
        <v>0</v>
      </c>
      <c r="AQ74" s="9">
        <v>102368</v>
      </c>
      <c r="AR74" s="9">
        <v>0</v>
      </c>
      <c r="AS74" s="9">
        <v>63967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59387.731</v>
      </c>
      <c r="BC74" s="9">
        <v>36731.913999999997</v>
      </c>
      <c r="BD74" s="9">
        <v>0</v>
      </c>
      <c r="BE74" s="9">
        <v>0</v>
      </c>
      <c r="BF74" s="9">
        <v>0</v>
      </c>
      <c r="BG74" s="9">
        <v>0</v>
      </c>
      <c r="BH74" s="9">
        <v>3273</v>
      </c>
      <c r="BI74" s="9">
        <v>8424.3889999999992</v>
      </c>
      <c r="BJ74" s="9">
        <v>6415.8100999999997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4449.1679999999997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10000.11</v>
      </c>
      <c r="BX74" s="9">
        <v>0</v>
      </c>
      <c r="BY74" s="9">
        <v>0</v>
      </c>
      <c r="BZ74" s="9">
        <v>644132.34000000008</v>
      </c>
    </row>
    <row r="75" spans="1:78">
      <c r="A75" s="4" t="s">
        <v>217</v>
      </c>
      <c r="B75" s="9">
        <v>372025.09</v>
      </c>
      <c r="C75" s="9">
        <v>22413974.504000001</v>
      </c>
      <c r="D75" s="9">
        <v>174868249.222</v>
      </c>
      <c r="E75" s="9">
        <v>168875034.21399999</v>
      </c>
      <c r="F75" s="9">
        <v>0</v>
      </c>
      <c r="G75" s="9">
        <v>272122.81900000002</v>
      </c>
      <c r="H75" s="9">
        <v>740550</v>
      </c>
      <c r="I75" s="9">
        <v>65668438</v>
      </c>
      <c r="J75" s="9">
        <v>0</v>
      </c>
      <c r="K75" s="9">
        <v>4153852730.1370001</v>
      </c>
      <c r="L75" s="9">
        <v>196572479.40700001</v>
      </c>
      <c r="M75" s="9">
        <v>4605859.2809999986</v>
      </c>
      <c r="N75" s="9">
        <v>526206762</v>
      </c>
      <c r="O75" s="9">
        <v>7829.0981000000002</v>
      </c>
      <c r="P75" s="9">
        <v>1627104</v>
      </c>
      <c r="Q75" s="9">
        <v>11935752.58</v>
      </c>
      <c r="R75" s="9">
        <v>2603653.0699999998</v>
      </c>
      <c r="S75" s="9">
        <v>99096.088000000003</v>
      </c>
      <c r="T75" s="9">
        <v>33616281</v>
      </c>
      <c r="U75" s="9">
        <v>4051493890.6209998</v>
      </c>
      <c r="V75" s="9">
        <v>345907.15</v>
      </c>
      <c r="W75" s="9">
        <v>676588.56700000004</v>
      </c>
      <c r="X75" s="9">
        <v>3047918.4879999999</v>
      </c>
      <c r="Y75" s="9">
        <v>1755561.27</v>
      </c>
      <c r="Z75" s="9">
        <v>106155591.29000001</v>
      </c>
      <c r="AA75" s="9">
        <v>1860333.6159999999</v>
      </c>
      <c r="AB75" s="9">
        <v>402251943.37199998</v>
      </c>
      <c r="AC75" s="9">
        <v>3159.1460000000002</v>
      </c>
      <c r="AD75" s="9">
        <v>1700202.3689999999</v>
      </c>
      <c r="AE75" s="9">
        <v>219809</v>
      </c>
      <c r="AF75" s="9">
        <v>758</v>
      </c>
      <c r="AG75" s="9">
        <v>2206215</v>
      </c>
      <c r="AH75" s="9">
        <v>2134.9699999999998</v>
      </c>
      <c r="AI75" s="9">
        <v>19237033.912999999</v>
      </c>
      <c r="AJ75" s="9">
        <v>97655666.730000004</v>
      </c>
      <c r="AK75" s="9">
        <v>36196000</v>
      </c>
      <c r="AL75" s="9">
        <v>695696.60699999996</v>
      </c>
      <c r="AM75" s="9">
        <v>34298929.938000001</v>
      </c>
      <c r="AN75" s="9">
        <v>23649443.046999998</v>
      </c>
      <c r="AO75" s="9">
        <v>2153652</v>
      </c>
      <c r="AP75" s="9">
        <v>530000</v>
      </c>
      <c r="AQ75" s="9">
        <v>1148409501</v>
      </c>
      <c r="AR75" s="9">
        <v>0</v>
      </c>
      <c r="AS75" s="9">
        <v>3156196</v>
      </c>
      <c r="AT75" s="9">
        <v>12101721.567</v>
      </c>
      <c r="AU75" s="9">
        <v>33888.158000000003</v>
      </c>
      <c r="AV75" s="9">
        <v>13004559.775</v>
      </c>
      <c r="AW75" s="9">
        <v>105220975</v>
      </c>
      <c r="AX75" s="9">
        <v>0</v>
      </c>
      <c r="AY75" s="9">
        <v>153362</v>
      </c>
      <c r="AZ75" s="9">
        <v>14625758.262</v>
      </c>
      <c r="BA75" s="9">
        <v>382255.467</v>
      </c>
      <c r="BB75" s="9">
        <v>8737637.2999999989</v>
      </c>
      <c r="BC75" s="9">
        <v>123873252.34199999</v>
      </c>
      <c r="BD75" s="9">
        <v>6928640.875</v>
      </c>
      <c r="BE75" s="9">
        <v>179940.16899999999</v>
      </c>
      <c r="BF75" s="9">
        <v>531057.86100000003</v>
      </c>
      <c r="BG75" s="9">
        <v>337673</v>
      </c>
      <c r="BH75" s="9">
        <v>105359799</v>
      </c>
      <c r="BI75" s="9">
        <v>12814.549000000001</v>
      </c>
      <c r="BJ75" s="9">
        <v>33339.54</v>
      </c>
      <c r="BK75" s="9">
        <v>343974</v>
      </c>
      <c r="BL75" s="9">
        <v>17109585</v>
      </c>
      <c r="BM75" s="9">
        <v>3067159</v>
      </c>
      <c r="BN75" s="9">
        <v>3247681.3849999998</v>
      </c>
      <c r="BO75" s="9">
        <v>29146623.081</v>
      </c>
      <c r="BP75" s="9">
        <v>16815943.984999999</v>
      </c>
      <c r="BQ75" s="9">
        <v>3943050.0460000001</v>
      </c>
      <c r="BR75" s="9">
        <v>8338513.96</v>
      </c>
      <c r="BS75" s="9">
        <v>279653.03000000003</v>
      </c>
      <c r="BT75" s="9">
        <v>4216385</v>
      </c>
      <c r="BU75" s="9">
        <v>408593228.49010003</v>
      </c>
      <c r="BV75" s="9">
        <v>120720509.06999999</v>
      </c>
      <c r="BW75" s="9">
        <v>59400000000</v>
      </c>
      <c r="BX75" s="9">
        <v>218164</v>
      </c>
      <c r="BY75" s="9">
        <v>1019762.662</v>
      </c>
      <c r="BZ75" s="9">
        <v>89175894.642800033</v>
      </c>
    </row>
    <row r="76" spans="1:78">
      <c r="A76" s="4" t="s">
        <v>219</v>
      </c>
      <c r="B76" s="9">
        <v>0</v>
      </c>
      <c r="C76" s="9">
        <v>0</v>
      </c>
      <c r="D76" s="9">
        <v>484016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1634386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202696</v>
      </c>
      <c r="U76" s="9">
        <v>3217227.84</v>
      </c>
      <c r="V76" s="9">
        <v>0</v>
      </c>
      <c r="W76" s="9">
        <v>0</v>
      </c>
      <c r="X76" s="9">
        <v>10346672.986</v>
      </c>
      <c r="Y76" s="9">
        <v>0</v>
      </c>
      <c r="Z76" s="9">
        <v>0</v>
      </c>
      <c r="AA76" s="9">
        <v>1039457.9840000001</v>
      </c>
      <c r="AB76" s="9">
        <v>86400.654999999999</v>
      </c>
      <c r="AC76" s="9">
        <v>0</v>
      </c>
      <c r="AD76" s="9">
        <v>60000</v>
      </c>
      <c r="AE76" s="9">
        <v>0</v>
      </c>
      <c r="AF76" s="9">
        <v>0</v>
      </c>
      <c r="AG76" s="9">
        <v>0</v>
      </c>
      <c r="AH76" s="9">
        <v>508521.21600000001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46443.637999999999</v>
      </c>
      <c r="BA76" s="9">
        <v>0</v>
      </c>
      <c r="BB76" s="9">
        <v>40220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42792.737000000001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35494.47</v>
      </c>
      <c r="BR76" s="9">
        <v>44634.578000000001</v>
      </c>
      <c r="BS76" s="9">
        <v>0</v>
      </c>
      <c r="BT76" s="9">
        <v>166800</v>
      </c>
      <c r="BU76" s="9">
        <v>0</v>
      </c>
      <c r="BV76" s="9">
        <v>0</v>
      </c>
      <c r="BW76" s="9">
        <v>55762680</v>
      </c>
      <c r="BX76" s="9">
        <v>0</v>
      </c>
      <c r="BY76" s="9">
        <v>0</v>
      </c>
      <c r="BZ76" s="9">
        <v>73313</v>
      </c>
    </row>
    <row r="77" spans="1:78">
      <c r="A77" s="4" t="s">
        <v>221</v>
      </c>
      <c r="B77" s="9">
        <v>0</v>
      </c>
      <c r="C77" s="9">
        <v>76863.960999999996</v>
      </c>
      <c r="D77" s="9">
        <v>5232538.5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697390.31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597479</v>
      </c>
      <c r="U77" s="9">
        <v>159231035.86500001</v>
      </c>
      <c r="V77" s="9">
        <v>0</v>
      </c>
      <c r="W77" s="9">
        <v>0</v>
      </c>
      <c r="X77" s="9">
        <v>0</v>
      </c>
      <c r="Y77" s="9">
        <v>0</v>
      </c>
      <c r="Z77" s="9">
        <v>4018262</v>
      </c>
      <c r="AA77" s="9">
        <v>0</v>
      </c>
      <c r="AB77" s="9">
        <v>6933346.5</v>
      </c>
      <c r="AC77" s="9">
        <v>0</v>
      </c>
      <c r="AD77" s="9">
        <v>0</v>
      </c>
      <c r="AE77" s="9">
        <v>0</v>
      </c>
      <c r="AF77" s="9">
        <v>0</v>
      </c>
      <c r="AG77" s="9">
        <v>61300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33112.675999999999</v>
      </c>
      <c r="AN77" s="9">
        <v>50966.495999999999</v>
      </c>
      <c r="AO77" s="9">
        <v>0</v>
      </c>
      <c r="AP77" s="9">
        <v>0</v>
      </c>
      <c r="AQ77" s="9">
        <v>62568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2765603</v>
      </c>
      <c r="BE77" s="9">
        <v>0</v>
      </c>
      <c r="BF77" s="9">
        <v>0</v>
      </c>
      <c r="BG77" s="9">
        <v>0</v>
      </c>
      <c r="BH77" s="9">
        <v>2748207</v>
      </c>
      <c r="BI77" s="9">
        <v>7446245</v>
      </c>
      <c r="BJ77" s="9">
        <v>0</v>
      </c>
      <c r="BK77" s="9">
        <v>0</v>
      </c>
      <c r="BL77" s="9">
        <v>0</v>
      </c>
      <c r="BM77" s="9">
        <v>0</v>
      </c>
      <c r="BN77" s="9">
        <v>213408.36</v>
      </c>
      <c r="BO77" s="9">
        <v>2609098.5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32612000</v>
      </c>
      <c r="BZ77" s="9">
        <v>611279.13300999999</v>
      </c>
    </row>
    <row r="78" spans="1:78">
      <c r="A78" s="4" t="s">
        <v>223</v>
      </c>
      <c r="B78" s="9">
        <v>0</v>
      </c>
      <c r="C78" s="9">
        <v>0</v>
      </c>
      <c r="D78" s="9">
        <v>274102.23800000001</v>
      </c>
      <c r="E78" s="9">
        <v>2948.5371</v>
      </c>
      <c r="F78" s="9">
        <v>62083.048000000003</v>
      </c>
      <c r="G78" s="9">
        <v>1813623.1910000001</v>
      </c>
      <c r="H78" s="9">
        <v>902370.076</v>
      </c>
      <c r="I78" s="9">
        <v>48000</v>
      </c>
      <c r="J78" s="9">
        <v>0</v>
      </c>
      <c r="K78" s="9">
        <v>0</v>
      </c>
      <c r="L78" s="9">
        <v>92007.864999999991</v>
      </c>
      <c r="M78" s="9">
        <v>0</v>
      </c>
      <c r="N78" s="9">
        <v>6928576.915</v>
      </c>
      <c r="O78" s="9">
        <v>24581.759999999998</v>
      </c>
      <c r="P78" s="9">
        <v>40707.963000000003</v>
      </c>
      <c r="Q78" s="9">
        <v>0</v>
      </c>
      <c r="R78" s="9">
        <v>140614</v>
      </c>
      <c r="S78" s="9">
        <v>0</v>
      </c>
      <c r="T78" s="9">
        <v>1974476</v>
      </c>
      <c r="U78" s="9">
        <v>3148283.6940000001</v>
      </c>
      <c r="V78" s="9">
        <v>436392.63</v>
      </c>
      <c r="W78" s="9">
        <v>39891.531000000003</v>
      </c>
      <c r="X78" s="9">
        <v>1243482.2379999999</v>
      </c>
      <c r="Y78" s="9">
        <v>1556719.8</v>
      </c>
      <c r="Z78" s="9">
        <v>798930.103</v>
      </c>
      <c r="AA78" s="9">
        <v>961047.97900000005</v>
      </c>
      <c r="AB78" s="9">
        <v>23066.634999999998</v>
      </c>
      <c r="AC78" s="9">
        <v>0</v>
      </c>
      <c r="AD78" s="9">
        <v>1837258.6610000001</v>
      </c>
      <c r="AE78" s="9">
        <v>0</v>
      </c>
      <c r="AF78" s="9">
        <v>61535</v>
      </c>
      <c r="AG78" s="9">
        <v>0</v>
      </c>
      <c r="AH78" s="9">
        <v>56793.694000000003</v>
      </c>
      <c r="AI78" s="9">
        <v>4079911.4840000002</v>
      </c>
      <c r="AJ78" s="9">
        <v>34092.855000000003</v>
      </c>
      <c r="AK78" s="9">
        <v>425000</v>
      </c>
      <c r="AL78" s="9">
        <v>10425.181</v>
      </c>
      <c r="AM78" s="9">
        <v>65481615.549000002</v>
      </c>
      <c r="AN78" s="9">
        <v>58791.703999999998</v>
      </c>
      <c r="AO78" s="9">
        <v>3753349.2880000011</v>
      </c>
      <c r="AP78" s="9">
        <v>645000</v>
      </c>
      <c r="AQ78" s="9">
        <v>0</v>
      </c>
      <c r="AR78" s="9">
        <v>0</v>
      </c>
      <c r="AS78" s="9">
        <v>636991</v>
      </c>
      <c r="AT78" s="9">
        <v>667155.38800000004</v>
      </c>
      <c r="AU78" s="9">
        <v>0</v>
      </c>
      <c r="AV78" s="9">
        <v>189795.42</v>
      </c>
      <c r="AW78" s="9">
        <v>62083.048000000003</v>
      </c>
      <c r="AX78" s="9">
        <v>0</v>
      </c>
      <c r="AY78" s="9">
        <v>0</v>
      </c>
      <c r="AZ78" s="9">
        <v>0</v>
      </c>
      <c r="BA78" s="9">
        <v>135964.48000000001</v>
      </c>
      <c r="BB78" s="9">
        <v>1721917.7279999999</v>
      </c>
      <c r="BC78" s="9">
        <v>0</v>
      </c>
      <c r="BD78" s="9">
        <v>0</v>
      </c>
      <c r="BE78" s="9">
        <v>243172.03200000001</v>
      </c>
      <c r="BF78" s="9">
        <v>0</v>
      </c>
      <c r="BG78" s="9">
        <v>17130</v>
      </c>
      <c r="BH78" s="9">
        <v>1476555</v>
      </c>
      <c r="BI78" s="9">
        <v>38514.199000000001</v>
      </c>
      <c r="BJ78" s="9">
        <v>688.71</v>
      </c>
      <c r="BK78" s="9">
        <v>4238846.8779000007</v>
      </c>
      <c r="BL78" s="9">
        <v>4677803.818</v>
      </c>
      <c r="BM78" s="9">
        <v>84958.702999999994</v>
      </c>
      <c r="BN78" s="9">
        <v>0</v>
      </c>
      <c r="BO78" s="9">
        <v>15828277.316</v>
      </c>
      <c r="BP78" s="9">
        <v>63805</v>
      </c>
      <c r="BQ78" s="9">
        <v>30252</v>
      </c>
      <c r="BR78" s="9">
        <v>115087.43700000001</v>
      </c>
      <c r="BS78" s="9">
        <v>0</v>
      </c>
      <c r="BT78" s="9">
        <v>5101</v>
      </c>
      <c r="BU78" s="9">
        <v>29952.348000000002</v>
      </c>
      <c r="BV78" s="9">
        <v>471190.56</v>
      </c>
      <c r="BW78" s="9">
        <v>11024251.195</v>
      </c>
      <c r="BX78" s="9">
        <v>0</v>
      </c>
      <c r="BY78" s="9">
        <v>10635.581</v>
      </c>
      <c r="BZ78" s="9">
        <v>1006375788.76501</v>
      </c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Z78"/>
  <sheetViews>
    <sheetView showGridLines="0" workbookViewId="0"/>
  </sheetViews>
  <sheetFormatPr defaultRowHeight="13.8"/>
  <cols>
    <col min="1" max="78" width="14" customWidth="1"/>
  </cols>
  <sheetData>
    <row r="1" spans="1:78" ht="24">
      <c r="A1" s="1" t="s">
        <v>390</v>
      </c>
      <c r="B1" s="2" t="s">
        <v>68</v>
      </c>
      <c r="C1" s="2" t="s">
        <v>72</v>
      </c>
      <c r="D1" s="2" t="s">
        <v>74</v>
      </c>
      <c r="E1" s="2" t="s">
        <v>77</v>
      </c>
      <c r="F1" s="2" t="s">
        <v>79</v>
      </c>
      <c r="G1" s="2" t="s">
        <v>81</v>
      </c>
      <c r="H1" s="2" t="s">
        <v>83</v>
      </c>
      <c r="I1" s="2" t="s">
        <v>85</v>
      </c>
      <c r="J1" s="2" t="s">
        <v>87</v>
      </c>
      <c r="K1" s="2" t="s">
        <v>89</v>
      </c>
      <c r="L1" s="2" t="s">
        <v>91</v>
      </c>
      <c r="M1" s="2" t="s">
        <v>93</v>
      </c>
      <c r="N1" s="2" t="s">
        <v>95</v>
      </c>
      <c r="O1" s="2" t="s">
        <v>97</v>
      </c>
      <c r="P1" s="2" t="s">
        <v>99</v>
      </c>
      <c r="Q1" s="2" t="s">
        <v>101</v>
      </c>
      <c r="R1" s="2" t="s">
        <v>103</v>
      </c>
      <c r="S1" s="2" t="s">
        <v>105</v>
      </c>
      <c r="T1" s="2" t="s">
        <v>107</v>
      </c>
      <c r="U1" s="2" t="s">
        <v>109</v>
      </c>
      <c r="V1" s="2" t="s">
        <v>111</v>
      </c>
      <c r="W1" s="2" t="s">
        <v>113</v>
      </c>
      <c r="X1" s="2" t="s">
        <v>115</v>
      </c>
      <c r="Y1" s="2" t="s">
        <v>117</v>
      </c>
      <c r="Z1" s="2" t="s">
        <v>119</v>
      </c>
      <c r="AA1" s="2" t="s">
        <v>121</v>
      </c>
      <c r="AB1" s="2" t="s">
        <v>123</v>
      </c>
      <c r="AC1" s="2" t="s">
        <v>125</v>
      </c>
      <c r="AD1" s="2" t="s">
        <v>127</v>
      </c>
      <c r="AE1" s="2" t="s">
        <v>129</v>
      </c>
      <c r="AF1" s="2" t="s">
        <v>131</v>
      </c>
      <c r="AG1" s="2" t="s">
        <v>133</v>
      </c>
      <c r="AH1" s="2" t="s">
        <v>135</v>
      </c>
      <c r="AI1" s="2" t="s">
        <v>137</v>
      </c>
      <c r="AJ1" s="2" t="s">
        <v>139</v>
      </c>
      <c r="AK1" s="2" t="s">
        <v>141</v>
      </c>
      <c r="AL1" s="2" t="s">
        <v>143</v>
      </c>
      <c r="AM1" s="2" t="s">
        <v>145</v>
      </c>
      <c r="AN1" s="2" t="s">
        <v>147</v>
      </c>
      <c r="AO1" s="2" t="s">
        <v>149</v>
      </c>
      <c r="AP1" s="2" t="s">
        <v>151</v>
      </c>
      <c r="AQ1" s="2" t="s">
        <v>153</v>
      </c>
      <c r="AR1" s="2" t="s">
        <v>155</v>
      </c>
      <c r="AS1" s="2" t="s">
        <v>157</v>
      </c>
      <c r="AT1" s="2" t="s">
        <v>159</v>
      </c>
      <c r="AU1" s="2" t="s">
        <v>161</v>
      </c>
      <c r="AV1" s="2" t="s">
        <v>163</v>
      </c>
      <c r="AW1" s="2" t="s">
        <v>165</v>
      </c>
      <c r="AX1" s="2" t="s">
        <v>167</v>
      </c>
      <c r="AY1" s="2" t="s">
        <v>169</v>
      </c>
      <c r="AZ1" s="2" t="s">
        <v>171</v>
      </c>
      <c r="BA1" s="2" t="s">
        <v>173</v>
      </c>
      <c r="BB1" s="2" t="s">
        <v>175</v>
      </c>
      <c r="BC1" s="2" t="s">
        <v>177</v>
      </c>
      <c r="BD1" s="2" t="s">
        <v>179</v>
      </c>
      <c r="BE1" s="2" t="s">
        <v>181</v>
      </c>
      <c r="BF1" s="2" t="s">
        <v>183</v>
      </c>
      <c r="BG1" s="2" t="s">
        <v>185</v>
      </c>
      <c r="BH1" s="2" t="s">
        <v>187</v>
      </c>
      <c r="BI1" s="2" t="s">
        <v>189</v>
      </c>
      <c r="BJ1" s="2" t="s">
        <v>191</v>
      </c>
      <c r="BK1" s="2" t="s">
        <v>193</v>
      </c>
      <c r="BL1" s="2" t="s">
        <v>195</v>
      </c>
      <c r="BM1" s="2" t="s">
        <v>197</v>
      </c>
      <c r="BN1" s="2" t="s">
        <v>199</v>
      </c>
      <c r="BO1" s="2" t="s">
        <v>201</v>
      </c>
      <c r="BP1" s="2" t="s">
        <v>203</v>
      </c>
      <c r="BQ1" s="2" t="s">
        <v>205</v>
      </c>
      <c r="BR1" s="2" t="s">
        <v>207</v>
      </c>
      <c r="BS1" s="2" t="s">
        <v>209</v>
      </c>
      <c r="BT1" s="2" t="s">
        <v>211</v>
      </c>
      <c r="BU1" s="2" t="s">
        <v>213</v>
      </c>
      <c r="BV1" s="2" t="s">
        <v>215</v>
      </c>
      <c r="BW1" s="2" t="s">
        <v>217</v>
      </c>
      <c r="BX1" s="2" t="s">
        <v>219</v>
      </c>
      <c r="BY1" s="2" t="s">
        <v>221</v>
      </c>
      <c r="BZ1" s="3" t="s">
        <v>223</v>
      </c>
    </row>
    <row r="2" spans="1:78">
      <c r="A2" s="4" t="s">
        <v>68</v>
      </c>
      <c r="B2" s="9">
        <v>26399499753.0784</v>
      </c>
      <c r="C2" s="9">
        <v>1028362.741</v>
      </c>
      <c r="D2" s="9">
        <v>0</v>
      </c>
      <c r="E2" s="9">
        <v>4325.0739999999996</v>
      </c>
      <c r="F2" s="9">
        <v>0</v>
      </c>
      <c r="G2" s="9">
        <v>0</v>
      </c>
      <c r="H2" s="9">
        <v>0</v>
      </c>
      <c r="I2" s="9">
        <v>4866639707</v>
      </c>
      <c r="J2" s="9">
        <v>0</v>
      </c>
      <c r="K2" s="9">
        <v>96816.922000000006</v>
      </c>
      <c r="L2" s="9">
        <v>0</v>
      </c>
      <c r="M2" s="9">
        <v>593178817.06299996</v>
      </c>
      <c r="N2" s="9">
        <v>0</v>
      </c>
      <c r="O2" s="9">
        <v>47065.654000000002</v>
      </c>
      <c r="P2" s="9">
        <v>0</v>
      </c>
      <c r="Q2" s="9">
        <v>533358585.02999997</v>
      </c>
      <c r="R2" s="9">
        <v>71169081.049999997</v>
      </c>
      <c r="S2" s="9">
        <v>0</v>
      </c>
      <c r="T2" s="9">
        <v>0</v>
      </c>
      <c r="U2" s="9">
        <v>806591.78999999992</v>
      </c>
      <c r="V2" s="9">
        <v>0</v>
      </c>
      <c r="W2" s="9">
        <v>0</v>
      </c>
      <c r="X2" s="9">
        <v>162180.81</v>
      </c>
      <c r="Y2" s="9">
        <v>0</v>
      </c>
      <c r="Z2" s="9">
        <v>0</v>
      </c>
      <c r="AA2" s="9">
        <v>317268.00099999999</v>
      </c>
      <c r="AB2" s="9">
        <v>106027.19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17542.691999999999</v>
      </c>
      <c r="AI2" s="9">
        <v>22047.066999999999</v>
      </c>
      <c r="AJ2" s="9">
        <v>0</v>
      </c>
      <c r="AK2" s="9">
        <v>0</v>
      </c>
      <c r="AL2" s="9">
        <v>48930.648999999998</v>
      </c>
      <c r="AM2" s="9">
        <v>0</v>
      </c>
      <c r="AN2" s="9">
        <v>1425433.7660000001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24909237</v>
      </c>
      <c r="AX2" s="9">
        <v>0</v>
      </c>
      <c r="AY2" s="9">
        <v>0</v>
      </c>
      <c r="AZ2" s="9">
        <v>0</v>
      </c>
      <c r="BA2" s="9">
        <v>20894.530999999999</v>
      </c>
      <c r="BB2" s="9">
        <v>103648.247</v>
      </c>
      <c r="BC2" s="9">
        <v>0</v>
      </c>
      <c r="BD2" s="9">
        <v>8224.9840000000004</v>
      </c>
      <c r="BE2" s="9">
        <v>0</v>
      </c>
      <c r="BF2" s="9">
        <v>461860412.94999999</v>
      </c>
      <c r="BG2" s="9">
        <v>3681</v>
      </c>
      <c r="BH2" s="9">
        <v>0</v>
      </c>
      <c r="BI2" s="9">
        <v>197767.274</v>
      </c>
      <c r="BJ2" s="9">
        <v>26364.41</v>
      </c>
      <c r="BK2" s="9">
        <v>0</v>
      </c>
      <c r="BL2" s="9">
        <v>0</v>
      </c>
      <c r="BM2" s="9">
        <v>45631.258000000002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1301174.7560000001</v>
      </c>
      <c r="BT2" s="9">
        <v>0</v>
      </c>
      <c r="BU2" s="9">
        <v>0</v>
      </c>
      <c r="BV2" s="9">
        <v>28191</v>
      </c>
      <c r="BW2" s="9">
        <v>28209478</v>
      </c>
      <c r="BX2" s="9">
        <v>0</v>
      </c>
      <c r="BY2" s="9">
        <v>0</v>
      </c>
      <c r="BZ2" s="9">
        <v>1031880699.414</v>
      </c>
    </row>
    <row r="3" spans="1:78">
      <c r="A3" s="4" t="s">
        <v>72</v>
      </c>
      <c r="B3" s="9">
        <v>0</v>
      </c>
      <c r="C3" s="9">
        <v>0</v>
      </c>
      <c r="D3" s="9">
        <v>8685.8310000000001</v>
      </c>
      <c r="E3" s="9">
        <v>189900.99099999998</v>
      </c>
      <c r="F3" s="9">
        <v>0</v>
      </c>
      <c r="G3" s="9">
        <v>25517.883000000002</v>
      </c>
      <c r="H3" s="9">
        <v>0</v>
      </c>
      <c r="I3" s="9">
        <v>60030</v>
      </c>
      <c r="J3" s="9">
        <v>0</v>
      </c>
      <c r="K3" s="9">
        <v>560683.12600000005</v>
      </c>
      <c r="L3" s="9">
        <v>5832158.6089999992</v>
      </c>
      <c r="M3" s="9">
        <v>0</v>
      </c>
      <c r="N3" s="9">
        <v>1037486</v>
      </c>
      <c r="O3" s="9">
        <v>17727.847000000002</v>
      </c>
      <c r="P3" s="9">
        <v>0</v>
      </c>
      <c r="Q3" s="9">
        <v>0</v>
      </c>
      <c r="R3" s="9">
        <v>665449.15</v>
      </c>
      <c r="S3" s="9">
        <v>14983451.753</v>
      </c>
      <c r="T3" s="9">
        <v>1179745</v>
      </c>
      <c r="U3" s="9">
        <v>940990.23499999999</v>
      </c>
      <c r="V3" s="9">
        <v>0</v>
      </c>
      <c r="W3" s="9">
        <v>158941.065</v>
      </c>
      <c r="X3" s="9">
        <v>39593.656999999999</v>
      </c>
      <c r="Y3" s="9">
        <v>0</v>
      </c>
      <c r="Z3" s="9">
        <v>295104.15700000001</v>
      </c>
      <c r="AA3" s="9">
        <v>166227.75099999999</v>
      </c>
      <c r="AB3" s="9">
        <v>3607202.7779999999</v>
      </c>
      <c r="AC3" s="9">
        <v>0</v>
      </c>
      <c r="AD3" s="9">
        <v>484173.24699999997</v>
      </c>
      <c r="AE3" s="9">
        <v>92125</v>
      </c>
      <c r="AF3" s="9">
        <v>42909</v>
      </c>
      <c r="AG3" s="9">
        <v>249628</v>
      </c>
      <c r="AH3" s="9">
        <v>0</v>
      </c>
      <c r="AI3" s="9">
        <v>2123833.23</v>
      </c>
      <c r="AJ3" s="9">
        <v>70345.747000000003</v>
      </c>
      <c r="AK3" s="9">
        <v>0</v>
      </c>
      <c r="AL3" s="9">
        <v>263153.75</v>
      </c>
      <c r="AM3" s="9">
        <v>156929.57699999999</v>
      </c>
      <c r="AN3" s="9">
        <v>169113.71100000001</v>
      </c>
      <c r="AO3" s="9">
        <v>3754631.7</v>
      </c>
      <c r="AP3" s="9">
        <v>0</v>
      </c>
      <c r="AQ3" s="9">
        <v>114969</v>
      </c>
      <c r="AR3" s="9">
        <v>0</v>
      </c>
      <c r="AS3" s="9">
        <v>19397</v>
      </c>
      <c r="AT3" s="9">
        <v>321136.76899999997</v>
      </c>
      <c r="AU3" s="9">
        <v>0</v>
      </c>
      <c r="AV3" s="9">
        <v>0</v>
      </c>
      <c r="AW3" s="9">
        <v>0</v>
      </c>
      <c r="AX3" s="9">
        <v>3484.9290000000001</v>
      </c>
      <c r="AY3" s="9">
        <v>0</v>
      </c>
      <c r="AZ3" s="9">
        <v>700186.70400000003</v>
      </c>
      <c r="BA3" s="9">
        <v>4058694.8249999997</v>
      </c>
      <c r="BB3" s="9">
        <v>105274.47499999999</v>
      </c>
      <c r="BC3" s="9">
        <v>0</v>
      </c>
      <c r="BD3" s="9">
        <v>84388303.754000008</v>
      </c>
      <c r="BE3" s="9">
        <v>97881.775000000009</v>
      </c>
      <c r="BF3" s="9">
        <v>67554.399999999994</v>
      </c>
      <c r="BG3" s="9">
        <v>11307</v>
      </c>
      <c r="BH3" s="9">
        <v>36855</v>
      </c>
      <c r="BI3" s="9">
        <v>211.929</v>
      </c>
      <c r="BJ3" s="9">
        <v>0</v>
      </c>
      <c r="BK3" s="9">
        <v>0</v>
      </c>
      <c r="BL3" s="9">
        <v>1385569.0319999999</v>
      </c>
      <c r="BM3" s="9">
        <v>30209.497000000003</v>
      </c>
      <c r="BN3" s="9">
        <v>841005.66099999996</v>
      </c>
      <c r="BO3" s="9">
        <v>1018098.745</v>
      </c>
      <c r="BP3" s="9">
        <v>0</v>
      </c>
      <c r="BQ3" s="9">
        <v>0</v>
      </c>
      <c r="BR3" s="9">
        <v>660762.60099999991</v>
      </c>
      <c r="BS3" s="9">
        <v>0</v>
      </c>
      <c r="BT3" s="9">
        <v>0</v>
      </c>
      <c r="BU3" s="9">
        <v>6162.9759999999997</v>
      </c>
      <c r="BV3" s="9">
        <v>465619.75999999995</v>
      </c>
      <c r="BW3" s="9">
        <v>4281558</v>
      </c>
      <c r="BX3" s="9">
        <v>0</v>
      </c>
      <c r="BY3" s="9">
        <v>635140.91700000002</v>
      </c>
      <c r="BZ3" s="9">
        <v>27579258.853999998</v>
      </c>
    </row>
    <row r="4" spans="1:78">
      <c r="A4" s="4" t="s">
        <v>74</v>
      </c>
      <c r="B4" s="9">
        <v>522652.4</v>
      </c>
      <c r="C4" s="9">
        <v>270589309.89600003</v>
      </c>
      <c r="D4" s="9">
        <v>0</v>
      </c>
      <c r="E4" s="9">
        <v>386429337.676</v>
      </c>
      <c r="F4" s="9">
        <v>0</v>
      </c>
      <c r="G4" s="9">
        <v>171605699.34200001</v>
      </c>
      <c r="H4" s="9">
        <v>0</v>
      </c>
      <c r="I4" s="9">
        <v>14086793</v>
      </c>
      <c r="J4" s="9">
        <v>0</v>
      </c>
      <c r="K4" s="9">
        <v>31307529.689999998</v>
      </c>
      <c r="L4" s="9">
        <v>235583215.07800001</v>
      </c>
      <c r="M4" s="9">
        <v>347359</v>
      </c>
      <c r="N4" s="9">
        <v>1366695601</v>
      </c>
      <c r="O4" s="9">
        <v>39000.953000000001</v>
      </c>
      <c r="P4" s="9">
        <v>0</v>
      </c>
      <c r="Q4" s="9">
        <v>7731743.71</v>
      </c>
      <c r="R4" s="9">
        <v>2583131.29</v>
      </c>
      <c r="S4" s="9">
        <v>741497.25600000005</v>
      </c>
      <c r="T4" s="9">
        <v>148956710</v>
      </c>
      <c r="U4" s="9">
        <v>1559554785.3140001</v>
      </c>
      <c r="V4" s="9">
        <v>3991443.0939999996</v>
      </c>
      <c r="W4" s="9">
        <v>18892239.246000003</v>
      </c>
      <c r="X4" s="9">
        <v>22320000.252</v>
      </c>
      <c r="Y4" s="9">
        <v>1916082.75</v>
      </c>
      <c r="Z4" s="9">
        <v>3059377.1149999998</v>
      </c>
      <c r="AA4" s="9">
        <v>98856194.604999989</v>
      </c>
      <c r="AB4" s="9">
        <v>472767953.29999995</v>
      </c>
      <c r="AC4" s="9">
        <v>38026380.291000001</v>
      </c>
      <c r="AD4" s="9">
        <v>0</v>
      </c>
      <c r="AE4" s="9">
        <v>51155982</v>
      </c>
      <c r="AF4" s="9">
        <v>394206647</v>
      </c>
      <c r="AG4" s="9">
        <v>4123799</v>
      </c>
      <c r="AH4" s="9">
        <v>10419058.48</v>
      </c>
      <c r="AI4" s="9">
        <v>451933.52</v>
      </c>
      <c r="AJ4" s="9">
        <v>202359.15300000008</v>
      </c>
      <c r="AK4" s="9">
        <v>50129098</v>
      </c>
      <c r="AL4" s="9">
        <v>221240052.62900001</v>
      </c>
      <c r="AM4" s="9">
        <v>6848149.9379999992</v>
      </c>
      <c r="AN4" s="9">
        <v>667204162.11699998</v>
      </c>
      <c r="AO4" s="9">
        <v>10362349.779999999</v>
      </c>
      <c r="AP4" s="9">
        <v>19500</v>
      </c>
      <c r="AQ4" s="9">
        <v>603274430</v>
      </c>
      <c r="AR4" s="9">
        <v>0</v>
      </c>
      <c r="AS4" s="9">
        <v>8688319</v>
      </c>
      <c r="AT4" s="9">
        <v>4406180.3090000004</v>
      </c>
      <c r="AU4" s="9">
        <v>1811926.1580000001</v>
      </c>
      <c r="AV4" s="9">
        <v>12623628.907000002</v>
      </c>
      <c r="AW4" s="9">
        <v>72624733</v>
      </c>
      <c r="AX4" s="9">
        <v>1429697.702</v>
      </c>
      <c r="AY4" s="9">
        <v>0</v>
      </c>
      <c r="AZ4" s="9">
        <v>90456.708999999799</v>
      </c>
      <c r="BA4" s="9">
        <v>124843.402</v>
      </c>
      <c r="BB4" s="9">
        <v>67880067.406000003</v>
      </c>
      <c r="BC4" s="9">
        <v>21529862.789000001</v>
      </c>
      <c r="BD4" s="9">
        <v>22826258.256000001</v>
      </c>
      <c r="BE4" s="9">
        <v>1856051.6140000001</v>
      </c>
      <c r="BF4" s="9">
        <v>1755998.58</v>
      </c>
      <c r="BG4" s="9">
        <v>0</v>
      </c>
      <c r="BH4" s="9">
        <v>68384859</v>
      </c>
      <c r="BI4" s="9">
        <v>7239842.7300000004</v>
      </c>
      <c r="BJ4" s="9">
        <v>412861889.12</v>
      </c>
      <c r="BK4" s="9">
        <v>0</v>
      </c>
      <c r="BL4" s="9">
        <v>77893637.519000009</v>
      </c>
      <c r="BM4" s="9">
        <v>0</v>
      </c>
      <c r="BN4" s="9">
        <v>3215787.531</v>
      </c>
      <c r="BO4" s="9">
        <v>56502211.827999994</v>
      </c>
      <c r="BP4" s="9">
        <v>21949469.390999999</v>
      </c>
      <c r="BQ4" s="9">
        <v>4167042.9750000001</v>
      </c>
      <c r="BR4" s="9">
        <v>20721405.761</v>
      </c>
      <c r="BS4" s="9">
        <v>298266.15300000005</v>
      </c>
      <c r="BT4" s="9">
        <v>129359975</v>
      </c>
      <c r="BU4" s="9">
        <v>89575743.902999997</v>
      </c>
      <c r="BV4" s="9">
        <v>27104116.370000001</v>
      </c>
      <c r="BW4" s="9">
        <v>1685713500</v>
      </c>
      <c r="BX4" s="9">
        <v>0</v>
      </c>
      <c r="BY4" s="9">
        <v>16006367.84</v>
      </c>
      <c r="BZ4" s="9">
        <v>573412626.37099993</v>
      </c>
    </row>
    <row r="5" spans="1:78">
      <c r="A5" s="4" t="s">
        <v>77</v>
      </c>
      <c r="B5" s="9">
        <v>6799265.1299999999</v>
      </c>
      <c r="C5" s="9">
        <v>20565837.186000001</v>
      </c>
      <c r="D5" s="9">
        <v>160747035.10799998</v>
      </c>
      <c r="E5" s="9">
        <v>0</v>
      </c>
      <c r="F5" s="9">
        <v>0</v>
      </c>
      <c r="G5" s="9">
        <v>45602669.728</v>
      </c>
      <c r="H5" s="9">
        <v>0</v>
      </c>
      <c r="I5" s="9">
        <v>0</v>
      </c>
      <c r="J5" s="9">
        <v>31600.508999999998</v>
      </c>
      <c r="K5" s="9">
        <v>104502735.396</v>
      </c>
      <c r="L5" s="9">
        <v>125728001.015</v>
      </c>
      <c r="M5" s="9">
        <v>39732935.983000003</v>
      </c>
      <c r="N5" s="9">
        <v>41735165</v>
      </c>
      <c r="O5" s="9">
        <v>2257537.176</v>
      </c>
      <c r="P5" s="9">
        <v>0</v>
      </c>
      <c r="Q5" s="9">
        <v>11195843.91</v>
      </c>
      <c r="R5" s="9">
        <v>502493.26</v>
      </c>
      <c r="S5" s="9">
        <v>12198845.539000001</v>
      </c>
      <c r="T5" s="9">
        <v>49212452</v>
      </c>
      <c r="U5" s="9">
        <v>1385660876.454</v>
      </c>
      <c r="V5" s="9">
        <v>94609642.672000006</v>
      </c>
      <c r="W5" s="9">
        <v>3672697.6329999999</v>
      </c>
      <c r="X5" s="9">
        <v>121107275.333</v>
      </c>
      <c r="Y5" s="9">
        <v>4485580.0600000005</v>
      </c>
      <c r="Z5" s="9">
        <v>20645300.790000003</v>
      </c>
      <c r="AA5" s="9">
        <v>2249449643.0320001</v>
      </c>
      <c r="AB5" s="9">
        <v>664342143.94400012</v>
      </c>
      <c r="AC5" s="9">
        <v>25171310.662999999</v>
      </c>
      <c r="AD5" s="9">
        <v>20942397.644000001</v>
      </c>
      <c r="AE5" s="9">
        <v>78880105</v>
      </c>
      <c r="AF5" s="9">
        <v>94991453</v>
      </c>
      <c r="AG5" s="9">
        <v>17883574</v>
      </c>
      <c r="AH5" s="9">
        <v>0</v>
      </c>
      <c r="AI5" s="9">
        <v>19728026.02</v>
      </c>
      <c r="AJ5" s="9">
        <v>3049135.586999998</v>
      </c>
      <c r="AK5" s="9">
        <v>299230064</v>
      </c>
      <c r="AL5" s="9">
        <v>973323015.38400006</v>
      </c>
      <c r="AM5" s="9">
        <v>21126.7609999999</v>
      </c>
      <c r="AN5" s="9">
        <v>176692288.58500001</v>
      </c>
      <c r="AO5" s="9">
        <v>3746183.99</v>
      </c>
      <c r="AP5" s="9">
        <v>0</v>
      </c>
      <c r="AQ5" s="9">
        <v>48306617</v>
      </c>
      <c r="AR5" s="9">
        <v>0</v>
      </c>
      <c r="AS5" s="9">
        <v>76239694</v>
      </c>
      <c r="AT5" s="9">
        <v>739855072.50100005</v>
      </c>
      <c r="AU5" s="9">
        <v>16007392.592</v>
      </c>
      <c r="AV5" s="9">
        <v>21276632.098000001</v>
      </c>
      <c r="AW5" s="9">
        <v>74365134</v>
      </c>
      <c r="AX5" s="9">
        <v>9042970.6050000004</v>
      </c>
      <c r="AY5" s="9">
        <v>404.56</v>
      </c>
      <c r="AZ5" s="9">
        <v>1092386.578</v>
      </c>
      <c r="BA5" s="9">
        <v>40538012.693000004</v>
      </c>
      <c r="BB5" s="9">
        <v>2482419827.474</v>
      </c>
      <c r="BC5" s="9">
        <v>30222279.067999989</v>
      </c>
      <c r="BD5" s="9">
        <v>31557279.668000001</v>
      </c>
      <c r="BE5" s="9">
        <v>94103.208000000101</v>
      </c>
      <c r="BF5" s="9">
        <v>6325544.4800000004</v>
      </c>
      <c r="BG5" s="9">
        <v>3126931</v>
      </c>
      <c r="BH5" s="9">
        <v>210232513</v>
      </c>
      <c r="BI5" s="9">
        <v>444459974.06</v>
      </c>
      <c r="BJ5" s="9">
        <v>188859456.38</v>
      </c>
      <c r="BK5" s="9">
        <v>0</v>
      </c>
      <c r="BL5" s="9">
        <v>11341549.317</v>
      </c>
      <c r="BM5" s="9">
        <v>39084524.340000004</v>
      </c>
      <c r="BN5" s="9">
        <v>1538189.39</v>
      </c>
      <c r="BO5" s="9">
        <v>32099992.396000002</v>
      </c>
      <c r="BP5" s="9">
        <v>35842389.520000003</v>
      </c>
      <c r="BQ5" s="9">
        <v>1424074707.697</v>
      </c>
      <c r="BR5" s="9">
        <v>1248775.5549999999</v>
      </c>
      <c r="BS5" s="9">
        <v>2857595.7450000001</v>
      </c>
      <c r="BT5" s="9">
        <v>80367959</v>
      </c>
      <c r="BU5" s="9">
        <v>68591067.103</v>
      </c>
      <c r="BV5" s="9">
        <v>38985744</v>
      </c>
      <c r="BW5" s="9">
        <v>1008102642</v>
      </c>
      <c r="BX5" s="9">
        <v>0</v>
      </c>
      <c r="BY5" s="9">
        <v>29777227.215</v>
      </c>
      <c r="BZ5" s="9">
        <v>330388773.954</v>
      </c>
    </row>
    <row r="6" spans="1:78">
      <c r="A6" s="4" t="s">
        <v>79</v>
      </c>
      <c r="B6" s="9">
        <v>0</v>
      </c>
      <c r="C6" s="9">
        <v>74807.778999999995</v>
      </c>
      <c r="D6" s="9">
        <v>80057.129000000001</v>
      </c>
      <c r="E6" s="9">
        <v>0</v>
      </c>
      <c r="F6" s="9">
        <v>1108178120.3343658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2072.6329999999998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12.975</v>
      </c>
      <c r="AB6" s="9">
        <v>5655.4129999999996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59208.107000000004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8.65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8797.6970000000001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1855461.4750000001</v>
      </c>
    </row>
    <row r="7" spans="1:78">
      <c r="A7" s="4" t="s">
        <v>81</v>
      </c>
      <c r="B7" s="9">
        <v>0</v>
      </c>
      <c r="C7" s="9">
        <v>0</v>
      </c>
      <c r="D7" s="9">
        <v>2638361.3899999997</v>
      </c>
      <c r="E7" s="9">
        <v>10445951.239999998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536372.17500000005</v>
      </c>
      <c r="M7" s="9">
        <v>0</v>
      </c>
      <c r="N7" s="9">
        <v>12122</v>
      </c>
      <c r="O7" s="9">
        <v>0</v>
      </c>
      <c r="P7" s="9">
        <v>0</v>
      </c>
      <c r="Q7" s="9">
        <v>0</v>
      </c>
      <c r="R7" s="9">
        <v>0</v>
      </c>
      <c r="S7" s="9">
        <v>2642098.2540000002</v>
      </c>
      <c r="T7" s="9">
        <v>169097</v>
      </c>
      <c r="U7" s="9">
        <v>61757488.727000006</v>
      </c>
      <c r="V7" s="9">
        <v>643623.83700000006</v>
      </c>
      <c r="W7" s="9">
        <v>35398.809000000001</v>
      </c>
      <c r="X7" s="9">
        <v>6045823.9270000001</v>
      </c>
      <c r="Y7" s="9">
        <v>50514.54</v>
      </c>
      <c r="Z7" s="9">
        <v>325173.15600000002</v>
      </c>
      <c r="AA7" s="9">
        <v>16152814.572000001</v>
      </c>
      <c r="AB7" s="9">
        <v>143206.24900000001</v>
      </c>
      <c r="AC7" s="9">
        <v>30891353.578000002</v>
      </c>
      <c r="AD7" s="9">
        <v>0</v>
      </c>
      <c r="AE7" s="9">
        <v>1640861</v>
      </c>
      <c r="AF7" s="9">
        <v>179841</v>
      </c>
      <c r="AG7" s="9">
        <v>0</v>
      </c>
      <c r="AH7" s="9">
        <v>0</v>
      </c>
      <c r="AI7" s="9">
        <v>6059.4290000000001</v>
      </c>
      <c r="AJ7" s="9">
        <v>0</v>
      </c>
      <c r="AK7" s="9">
        <v>0</v>
      </c>
      <c r="AL7" s="9">
        <v>20124884.042999998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423817</v>
      </c>
      <c r="AT7" s="9">
        <v>108991.87699999999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53355.649000000005</v>
      </c>
      <c r="BB7" s="9">
        <v>14569450.219999999</v>
      </c>
      <c r="BC7" s="9">
        <v>54871.565999999999</v>
      </c>
      <c r="BD7" s="9">
        <v>0</v>
      </c>
      <c r="BE7" s="9">
        <v>0</v>
      </c>
      <c r="BF7" s="9">
        <v>0</v>
      </c>
      <c r="BG7" s="9">
        <v>0</v>
      </c>
      <c r="BH7" s="9">
        <v>1290063</v>
      </c>
      <c r="BI7" s="9">
        <v>407045.73499999999</v>
      </c>
      <c r="BJ7" s="9">
        <v>13298401.890000001</v>
      </c>
      <c r="BK7" s="9">
        <v>0</v>
      </c>
      <c r="BL7" s="9">
        <v>77017.597999999998</v>
      </c>
      <c r="BM7" s="9">
        <v>2083903.723</v>
      </c>
      <c r="BN7" s="9">
        <v>0</v>
      </c>
      <c r="BO7" s="9">
        <v>0</v>
      </c>
      <c r="BP7" s="9">
        <v>373411.11299999995</v>
      </c>
      <c r="BQ7" s="9">
        <v>0</v>
      </c>
      <c r="BR7" s="9">
        <v>0</v>
      </c>
      <c r="BS7" s="9">
        <v>0</v>
      </c>
      <c r="BT7" s="9">
        <v>1247214</v>
      </c>
      <c r="BU7" s="9">
        <v>0</v>
      </c>
      <c r="BV7" s="9">
        <v>840287.87</v>
      </c>
      <c r="BW7" s="9">
        <v>47400</v>
      </c>
      <c r="BX7" s="9">
        <v>0</v>
      </c>
      <c r="BY7" s="9">
        <v>0</v>
      </c>
      <c r="BZ7" s="9">
        <v>9514147.5490000006</v>
      </c>
    </row>
    <row r="8" spans="1:78">
      <c r="A8" s="4" t="s">
        <v>83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5572.2420000000002</v>
      </c>
      <c r="H8" s="9">
        <v>3084780988.6191869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969870.92</v>
      </c>
      <c r="V8" s="9">
        <v>0</v>
      </c>
      <c r="W8" s="9">
        <v>107290.56299999999</v>
      </c>
      <c r="X8" s="9">
        <v>218470</v>
      </c>
      <c r="Y8" s="9">
        <v>1096.77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65002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4911608.28</v>
      </c>
      <c r="AP8" s="9">
        <v>0</v>
      </c>
      <c r="AQ8" s="9">
        <v>0</v>
      </c>
      <c r="AR8" s="9">
        <v>0</v>
      </c>
      <c r="AS8" s="9">
        <v>609590</v>
      </c>
      <c r="AT8" s="9">
        <v>0</v>
      </c>
      <c r="AU8" s="9">
        <v>32675.937999999998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146011.27100000001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861536</v>
      </c>
      <c r="BI8" s="9">
        <v>3892.567</v>
      </c>
      <c r="BJ8" s="9">
        <v>18330.740000000002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10990647.965</v>
      </c>
    </row>
    <row r="9" spans="1:78">
      <c r="A9" s="4" t="s">
        <v>85</v>
      </c>
      <c r="B9" s="9">
        <v>1821535859.25</v>
      </c>
      <c r="C9" s="9">
        <v>62625100.902999997</v>
      </c>
      <c r="D9" s="9">
        <v>324089.72500000003</v>
      </c>
      <c r="E9" s="9">
        <v>230003.81699999998</v>
      </c>
      <c r="F9" s="9">
        <v>0</v>
      </c>
      <c r="G9" s="9">
        <v>0</v>
      </c>
      <c r="H9" s="9">
        <v>0</v>
      </c>
      <c r="I9" s="9">
        <v>65195636608.76889</v>
      </c>
      <c r="J9" s="9">
        <v>0</v>
      </c>
      <c r="K9" s="9">
        <v>33685187.622000001</v>
      </c>
      <c r="L9" s="9">
        <v>3823149.1209999998</v>
      </c>
      <c r="M9" s="9">
        <v>667825197.91599989</v>
      </c>
      <c r="N9" s="9">
        <v>69465</v>
      </c>
      <c r="O9" s="9">
        <v>27967889.875999998</v>
      </c>
      <c r="P9" s="9">
        <v>0</v>
      </c>
      <c r="Q9" s="9">
        <v>543647579.77999997</v>
      </c>
      <c r="R9" s="9">
        <v>67217296.159999996</v>
      </c>
      <c r="S9" s="9">
        <v>0</v>
      </c>
      <c r="T9" s="9">
        <v>92526</v>
      </c>
      <c r="U9" s="9">
        <v>3478919.071</v>
      </c>
      <c r="V9" s="9">
        <v>444569.098</v>
      </c>
      <c r="W9" s="9">
        <v>100824.701</v>
      </c>
      <c r="X9" s="9">
        <v>373013.43199999997</v>
      </c>
      <c r="Y9" s="9">
        <v>0</v>
      </c>
      <c r="Z9" s="9">
        <v>0</v>
      </c>
      <c r="AA9" s="9">
        <v>533976.93900000001</v>
      </c>
      <c r="AB9" s="9">
        <v>85892621.137999997</v>
      </c>
      <c r="AC9" s="9">
        <v>36666.9</v>
      </c>
      <c r="AD9" s="9">
        <v>0</v>
      </c>
      <c r="AE9" s="9">
        <v>0</v>
      </c>
      <c r="AF9" s="9">
        <v>0</v>
      </c>
      <c r="AG9" s="9">
        <v>8016690</v>
      </c>
      <c r="AH9" s="9">
        <v>165239.93599999999</v>
      </c>
      <c r="AI9" s="9">
        <v>999590.67</v>
      </c>
      <c r="AJ9" s="9">
        <v>0</v>
      </c>
      <c r="AK9" s="9">
        <v>2146504</v>
      </c>
      <c r="AL9" s="9">
        <v>888107.55</v>
      </c>
      <c r="AM9" s="9">
        <v>4456059.142</v>
      </c>
      <c r="AN9" s="9">
        <v>932826.64599999995</v>
      </c>
      <c r="AO9" s="9">
        <v>0</v>
      </c>
      <c r="AP9" s="9">
        <v>0</v>
      </c>
      <c r="AQ9" s="9">
        <v>751196</v>
      </c>
      <c r="AR9" s="9">
        <v>0</v>
      </c>
      <c r="AS9" s="9">
        <v>0</v>
      </c>
      <c r="AT9" s="9">
        <v>0</v>
      </c>
      <c r="AU9" s="9">
        <v>0</v>
      </c>
      <c r="AV9" s="9">
        <v>1415513.2490000001</v>
      </c>
      <c r="AW9" s="9">
        <v>1778975647</v>
      </c>
      <c r="AX9" s="9">
        <v>0</v>
      </c>
      <c r="AY9" s="9">
        <v>0</v>
      </c>
      <c r="AZ9" s="9">
        <v>785412.76800000004</v>
      </c>
      <c r="BA9" s="9">
        <v>1720957.3359999999</v>
      </c>
      <c r="BB9" s="9">
        <v>14943724.863</v>
      </c>
      <c r="BC9" s="9">
        <v>2050140.517</v>
      </c>
      <c r="BD9" s="9">
        <v>5776386.068</v>
      </c>
      <c r="BE9" s="9">
        <v>8432.3529999999992</v>
      </c>
      <c r="BF9" s="9">
        <v>588196943.02999997</v>
      </c>
      <c r="BG9" s="9">
        <v>488043</v>
      </c>
      <c r="BH9" s="9">
        <v>365669040</v>
      </c>
      <c r="BI9" s="9">
        <v>64629.588000000003</v>
      </c>
      <c r="BJ9" s="9">
        <v>472835</v>
      </c>
      <c r="BK9" s="9">
        <v>0</v>
      </c>
      <c r="BL9" s="9">
        <v>27421525.980999999</v>
      </c>
      <c r="BM9" s="9">
        <v>10577822.784</v>
      </c>
      <c r="BN9" s="9">
        <v>3404803.0669999998</v>
      </c>
      <c r="BO9" s="9">
        <v>852402.97900000005</v>
      </c>
      <c r="BP9" s="9">
        <v>67642.581000000006</v>
      </c>
      <c r="BQ9" s="9">
        <v>61827.521000000001</v>
      </c>
      <c r="BR9" s="9">
        <v>41921.315999999999</v>
      </c>
      <c r="BS9" s="9">
        <v>1479423.5419999999</v>
      </c>
      <c r="BT9" s="9">
        <v>349193</v>
      </c>
      <c r="BU9" s="9">
        <v>192.59299999999999</v>
      </c>
      <c r="BV9" s="9">
        <v>493540.02</v>
      </c>
      <c r="BW9" s="9">
        <v>296271745</v>
      </c>
      <c r="BX9" s="9">
        <v>0</v>
      </c>
      <c r="BY9" s="9">
        <v>27817303.885000002</v>
      </c>
      <c r="BZ9" s="9">
        <v>1432313762.178</v>
      </c>
    </row>
    <row r="10" spans="1:78">
      <c r="A10" s="4" t="s">
        <v>87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147135489.47985998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4920.8310000000001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5113.7740000000003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1346.6669999999999</v>
      </c>
      <c r="BM10" s="9">
        <v>167474.326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56500</v>
      </c>
      <c r="BX10" s="9">
        <v>0</v>
      </c>
      <c r="BY10" s="9">
        <v>0</v>
      </c>
      <c r="BZ10" s="9">
        <v>0</v>
      </c>
    </row>
    <row r="11" spans="1:78">
      <c r="A11" s="4" t="s">
        <v>89</v>
      </c>
      <c r="B11" s="9">
        <v>241145.1</v>
      </c>
      <c r="C11" s="9">
        <v>10828498.139</v>
      </c>
      <c r="D11" s="9">
        <v>837226.2919999999</v>
      </c>
      <c r="E11" s="9">
        <v>11395837.117000001</v>
      </c>
      <c r="F11" s="9">
        <v>0</v>
      </c>
      <c r="G11" s="9">
        <v>4680530.6580000008</v>
      </c>
      <c r="H11" s="9">
        <v>0</v>
      </c>
      <c r="I11" s="9">
        <v>5105391</v>
      </c>
      <c r="J11" s="9">
        <v>0</v>
      </c>
      <c r="K11" s="9">
        <v>0</v>
      </c>
      <c r="L11" s="9">
        <v>15949211.127999999</v>
      </c>
      <c r="M11" s="9">
        <v>20346159.706</v>
      </c>
      <c r="N11" s="9">
        <v>13645195</v>
      </c>
      <c r="O11" s="9">
        <v>7954213.7589999996</v>
      </c>
      <c r="P11" s="9">
        <v>0</v>
      </c>
      <c r="Q11" s="9">
        <v>5319542.18</v>
      </c>
      <c r="R11" s="9">
        <v>2621562.75</v>
      </c>
      <c r="S11" s="9">
        <v>24869.178</v>
      </c>
      <c r="T11" s="9">
        <v>6390748</v>
      </c>
      <c r="U11" s="9">
        <v>58364658.101000004</v>
      </c>
      <c r="V11" s="9">
        <v>337793.37699999998</v>
      </c>
      <c r="W11" s="9">
        <v>1808588.389</v>
      </c>
      <c r="X11" s="9">
        <v>2051496.067</v>
      </c>
      <c r="Y11" s="9">
        <v>3198329.44</v>
      </c>
      <c r="Z11" s="9">
        <v>6102355.7110000001</v>
      </c>
      <c r="AA11" s="9">
        <v>12162952.827</v>
      </c>
      <c r="AB11" s="9">
        <v>14076200.446999999</v>
      </c>
      <c r="AC11" s="9">
        <v>105345.83900000001</v>
      </c>
      <c r="AD11" s="9">
        <v>3787571.321</v>
      </c>
      <c r="AE11" s="9">
        <v>281110</v>
      </c>
      <c r="AF11" s="9">
        <v>244865</v>
      </c>
      <c r="AG11" s="9">
        <v>221056</v>
      </c>
      <c r="AH11" s="9">
        <v>27640.026000000002</v>
      </c>
      <c r="AI11" s="9">
        <v>907284.92999999993</v>
      </c>
      <c r="AJ11" s="9">
        <v>1203396.6089999999</v>
      </c>
      <c r="AK11" s="9">
        <v>2522496</v>
      </c>
      <c r="AL11" s="9">
        <v>2505685.4049999998</v>
      </c>
      <c r="AM11" s="9">
        <v>3254469.0040000002</v>
      </c>
      <c r="AN11" s="9">
        <v>41123224.277999997</v>
      </c>
      <c r="AO11" s="9">
        <v>61086725.670000002</v>
      </c>
      <c r="AP11" s="9">
        <v>6242790</v>
      </c>
      <c r="AQ11" s="9">
        <v>19510631</v>
      </c>
      <c r="AR11" s="9">
        <v>0</v>
      </c>
      <c r="AS11" s="9">
        <v>2345452</v>
      </c>
      <c r="AT11" s="9">
        <v>94391.798999999999</v>
      </c>
      <c r="AU11" s="9">
        <v>769731.34299999999</v>
      </c>
      <c r="AV11" s="9">
        <v>1050336.4539999999</v>
      </c>
      <c r="AW11" s="9">
        <v>515414947</v>
      </c>
      <c r="AX11" s="9">
        <v>22934.789000000001</v>
      </c>
      <c r="AY11" s="9">
        <v>0</v>
      </c>
      <c r="AZ11" s="9">
        <v>0</v>
      </c>
      <c r="BA11" s="9">
        <v>36221762.908999994</v>
      </c>
      <c r="BB11" s="9">
        <v>34099301.324999996</v>
      </c>
      <c r="BC11" s="9">
        <v>2494266.3710000003</v>
      </c>
      <c r="BD11" s="9">
        <v>165903.038</v>
      </c>
      <c r="BE11" s="9">
        <v>0</v>
      </c>
      <c r="BF11" s="9">
        <v>3980516.51</v>
      </c>
      <c r="BG11" s="9">
        <v>11298742</v>
      </c>
      <c r="BH11" s="9">
        <v>8118905</v>
      </c>
      <c r="BI11" s="9">
        <v>65255.642</v>
      </c>
      <c r="BJ11" s="9">
        <v>1264232.1300000001</v>
      </c>
      <c r="BK11" s="9">
        <v>0</v>
      </c>
      <c r="BL11" s="9">
        <v>112842845.979</v>
      </c>
      <c r="BM11" s="9">
        <v>18241304.351</v>
      </c>
      <c r="BN11" s="9">
        <v>0</v>
      </c>
      <c r="BO11" s="9">
        <v>2105432.2000000002</v>
      </c>
      <c r="BP11" s="9">
        <v>59225.957000000002</v>
      </c>
      <c r="BQ11" s="9">
        <v>7179061.1449999996</v>
      </c>
      <c r="BR11" s="9">
        <v>529436.41799999995</v>
      </c>
      <c r="BS11" s="9">
        <v>565891.14600000007</v>
      </c>
      <c r="BT11" s="9">
        <v>3555032</v>
      </c>
      <c r="BU11" s="9">
        <v>483825.72200000001</v>
      </c>
      <c r="BV11" s="9">
        <v>21633066.709999997</v>
      </c>
      <c r="BW11" s="9">
        <v>40769961909</v>
      </c>
      <c r="BX11" s="9">
        <v>0</v>
      </c>
      <c r="BY11" s="9">
        <v>0</v>
      </c>
      <c r="BZ11" s="9">
        <v>914264343.37199998</v>
      </c>
    </row>
    <row r="12" spans="1:78">
      <c r="A12" s="4" t="s">
        <v>91</v>
      </c>
      <c r="B12" s="9">
        <v>0</v>
      </c>
      <c r="C12" s="9">
        <v>0</v>
      </c>
      <c r="D12" s="9">
        <v>47144026.552000001</v>
      </c>
      <c r="E12" s="9">
        <v>9918929.9179999996</v>
      </c>
      <c r="F12" s="9">
        <v>0</v>
      </c>
      <c r="G12" s="9">
        <v>23350735.254000001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217283.07799999998</v>
      </c>
      <c r="P12" s="9">
        <v>0</v>
      </c>
      <c r="Q12" s="9">
        <v>325252.77</v>
      </c>
      <c r="R12" s="9">
        <v>7926.03</v>
      </c>
      <c r="S12" s="9">
        <v>19462.834999999999</v>
      </c>
      <c r="T12" s="9">
        <v>1141354</v>
      </c>
      <c r="U12" s="9">
        <v>164230788.53200001</v>
      </c>
      <c r="V12" s="9">
        <v>6969315.3400000008</v>
      </c>
      <c r="W12" s="9">
        <v>90733.593999999997</v>
      </c>
      <c r="X12" s="9">
        <v>9187283.0080000013</v>
      </c>
      <c r="Y12" s="9">
        <v>76150.3</v>
      </c>
      <c r="Z12" s="9">
        <v>837337.66300000006</v>
      </c>
      <c r="AA12" s="9">
        <v>74500077.223999992</v>
      </c>
      <c r="AB12" s="9">
        <v>762830.72199999995</v>
      </c>
      <c r="AC12" s="9">
        <v>1371329.7390000001</v>
      </c>
      <c r="AD12" s="9">
        <v>0</v>
      </c>
      <c r="AE12" s="9">
        <v>5545616</v>
      </c>
      <c r="AF12" s="9">
        <v>4760173</v>
      </c>
      <c r="AG12" s="9">
        <v>0</v>
      </c>
      <c r="AH12" s="9">
        <v>0</v>
      </c>
      <c r="AI12" s="9">
        <v>29607.297000000013</v>
      </c>
      <c r="AJ12" s="9">
        <v>192264.81900000002</v>
      </c>
      <c r="AK12" s="9">
        <v>1377000</v>
      </c>
      <c r="AL12" s="9">
        <v>47093805.950000003</v>
      </c>
      <c r="AM12" s="9">
        <v>0</v>
      </c>
      <c r="AN12" s="9">
        <v>0</v>
      </c>
      <c r="AO12" s="9">
        <v>212912.16</v>
      </c>
      <c r="AP12" s="9">
        <v>0</v>
      </c>
      <c r="AQ12" s="9">
        <v>0</v>
      </c>
      <c r="AR12" s="9">
        <v>0</v>
      </c>
      <c r="AS12" s="9">
        <v>2948778</v>
      </c>
      <c r="AT12" s="9">
        <v>2195410.0980000002</v>
      </c>
      <c r="AU12" s="9">
        <v>200779.68900000001</v>
      </c>
      <c r="AV12" s="9">
        <v>41600.951999999997</v>
      </c>
      <c r="AW12" s="9">
        <v>0</v>
      </c>
      <c r="AX12" s="9">
        <v>138297.50099999999</v>
      </c>
      <c r="AY12" s="9">
        <v>0</v>
      </c>
      <c r="AZ12" s="9">
        <v>8391.8349999999991</v>
      </c>
      <c r="BA12" s="9">
        <v>1264434.746</v>
      </c>
      <c r="BB12" s="9">
        <v>44583964.147</v>
      </c>
      <c r="BC12" s="9">
        <v>1825878.8589999999</v>
      </c>
      <c r="BD12" s="9">
        <v>3535.4290000000001</v>
      </c>
      <c r="BE12" s="9">
        <v>0</v>
      </c>
      <c r="BF12" s="9">
        <v>0</v>
      </c>
      <c r="BG12" s="9">
        <v>0</v>
      </c>
      <c r="BH12" s="9">
        <v>505202</v>
      </c>
      <c r="BI12" s="9">
        <v>1977052.0960000001</v>
      </c>
      <c r="BJ12" s="9">
        <v>3466560.49</v>
      </c>
      <c r="BK12" s="9">
        <v>0</v>
      </c>
      <c r="BL12" s="9">
        <v>336138.658</v>
      </c>
      <c r="BM12" s="9">
        <v>3077733.216</v>
      </c>
      <c r="BN12" s="9">
        <v>1278395.409</v>
      </c>
      <c r="BO12" s="9">
        <v>80611.819000000003</v>
      </c>
      <c r="BP12" s="9">
        <v>3433492.5929999999</v>
      </c>
      <c r="BQ12" s="9">
        <v>3116634.861</v>
      </c>
      <c r="BR12" s="9">
        <v>0</v>
      </c>
      <c r="BS12" s="9">
        <v>283934.85599999997</v>
      </c>
      <c r="BT12" s="9">
        <v>312392</v>
      </c>
      <c r="BU12" s="9">
        <v>0</v>
      </c>
      <c r="BV12" s="9">
        <v>1718306.83</v>
      </c>
      <c r="BW12" s="9">
        <v>2337890</v>
      </c>
      <c r="BX12" s="9">
        <v>0</v>
      </c>
      <c r="BY12" s="9">
        <v>0</v>
      </c>
      <c r="BZ12" s="9">
        <v>38376489.414000005</v>
      </c>
    </row>
    <row r="13" spans="1:78">
      <c r="A13" s="4" t="s">
        <v>93</v>
      </c>
      <c r="B13" s="9">
        <v>0</v>
      </c>
      <c r="C13" s="9">
        <v>0</v>
      </c>
      <c r="D13" s="9">
        <v>51207.800999999999</v>
      </c>
      <c r="E13" s="9">
        <v>13696.376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7412251776.3114204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72826.684999999998</v>
      </c>
      <c r="V13" s="9">
        <v>0</v>
      </c>
      <c r="W13" s="9">
        <v>72211.616999999998</v>
      </c>
      <c r="X13" s="9">
        <v>257629.073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990371.77300000004</v>
      </c>
      <c r="AM13" s="9">
        <v>0</v>
      </c>
      <c r="AN13" s="9">
        <v>33503.860999999997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36666.9</v>
      </c>
      <c r="BC13" s="9">
        <v>0</v>
      </c>
      <c r="BD13" s="9">
        <v>0</v>
      </c>
      <c r="BE13" s="9">
        <v>326408.42599999998</v>
      </c>
      <c r="BF13" s="9">
        <v>2686.31</v>
      </c>
      <c r="BG13" s="9">
        <v>195925</v>
      </c>
      <c r="BH13" s="9">
        <v>0</v>
      </c>
      <c r="BI13" s="9">
        <v>49511.29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3983914</v>
      </c>
      <c r="BX13" s="9">
        <v>0</v>
      </c>
      <c r="BY13" s="9">
        <v>0</v>
      </c>
      <c r="BZ13" s="9">
        <v>1238469.4879999999</v>
      </c>
    </row>
    <row r="14" spans="1:78">
      <c r="A14" s="4" t="s">
        <v>95</v>
      </c>
      <c r="B14" s="9">
        <v>106891199.34999999</v>
      </c>
      <c r="C14" s="9">
        <v>2267472150.1609998</v>
      </c>
      <c r="D14" s="9">
        <v>77605736.960999995</v>
      </c>
      <c r="E14" s="9">
        <v>288085832.06</v>
      </c>
      <c r="F14" s="9">
        <v>0</v>
      </c>
      <c r="G14" s="9">
        <v>11580103.850000001</v>
      </c>
      <c r="H14" s="9">
        <v>0</v>
      </c>
      <c r="I14" s="9">
        <v>236880646</v>
      </c>
      <c r="J14" s="9">
        <v>4515764.3190000001</v>
      </c>
      <c r="K14" s="9">
        <v>267159080.85599998</v>
      </c>
      <c r="L14" s="9">
        <v>32739095.982999999</v>
      </c>
      <c r="M14" s="9">
        <v>1020971874.556</v>
      </c>
      <c r="N14" s="9">
        <v>617444748415.99268</v>
      </c>
      <c r="O14" s="9">
        <v>175665750.51599997</v>
      </c>
      <c r="P14" s="9">
        <v>0</v>
      </c>
      <c r="Q14" s="9">
        <v>119048457.09999999</v>
      </c>
      <c r="R14" s="9">
        <v>184673322.97</v>
      </c>
      <c r="S14" s="9">
        <v>20553266.449999999</v>
      </c>
      <c r="T14" s="9">
        <v>78863019</v>
      </c>
      <c r="U14" s="9">
        <v>501076607.89599997</v>
      </c>
      <c r="V14" s="9">
        <v>6268936.807</v>
      </c>
      <c r="W14" s="9">
        <v>184994395.35600001</v>
      </c>
      <c r="X14" s="9">
        <v>565026253.09600008</v>
      </c>
      <c r="Y14" s="9">
        <v>6499620.6500000004</v>
      </c>
      <c r="Z14" s="9">
        <v>2821686.1600000202</v>
      </c>
      <c r="AA14" s="9">
        <v>27205629.988000002</v>
      </c>
      <c r="AB14" s="9">
        <v>1002134608.4070011</v>
      </c>
      <c r="AC14" s="9">
        <v>27984451.556000002</v>
      </c>
      <c r="AD14" s="9">
        <v>151470114.96300009</v>
      </c>
      <c r="AE14" s="9">
        <v>15697720</v>
      </c>
      <c r="AF14" s="9">
        <v>22166636</v>
      </c>
      <c r="AG14" s="9">
        <v>634452265</v>
      </c>
      <c r="AH14" s="9">
        <v>47121900.111000001</v>
      </c>
      <c r="AI14" s="9">
        <v>23729530.866000019</v>
      </c>
      <c r="AJ14" s="9">
        <v>2493254.3010000014</v>
      </c>
      <c r="AK14" s="9">
        <v>243959478</v>
      </c>
      <c r="AL14" s="9">
        <v>1027658679.548</v>
      </c>
      <c r="AM14" s="9">
        <v>71801403.404999897</v>
      </c>
      <c r="AN14" s="9">
        <v>258351789.63800001</v>
      </c>
      <c r="AO14" s="9">
        <v>1123073978.0999999</v>
      </c>
      <c r="AP14" s="9">
        <v>133979760.95</v>
      </c>
      <c r="AQ14" s="9">
        <v>247461205</v>
      </c>
      <c r="AR14" s="9">
        <v>0</v>
      </c>
      <c r="AS14" s="9">
        <v>881900</v>
      </c>
      <c r="AT14" s="9">
        <v>4972638.22299999</v>
      </c>
      <c r="AU14" s="9">
        <v>753661.52899999998</v>
      </c>
      <c r="AV14" s="9">
        <v>39374602.915000007</v>
      </c>
      <c r="AW14" s="9">
        <v>4970572999</v>
      </c>
      <c r="AX14" s="9">
        <v>194156.91800000001</v>
      </c>
      <c r="AY14" s="9">
        <v>36238680.644999996</v>
      </c>
      <c r="AZ14" s="9">
        <v>230945147.36000001</v>
      </c>
      <c r="BA14" s="9">
        <v>191188623.90700001</v>
      </c>
      <c r="BB14" s="9">
        <v>27199072.095000003</v>
      </c>
      <c r="BC14" s="9">
        <v>14315875.133999923</v>
      </c>
      <c r="BD14" s="9">
        <v>159566459.62300003</v>
      </c>
      <c r="BE14" s="9">
        <v>191709550.67500001</v>
      </c>
      <c r="BF14" s="9">
        <v>837593916.95000005</v>
      </c>
      <c r="BG14" s="9">
        <v>693296551</v>
      </c>
      <c r="BH14" s="9">
        <v>72677883</v>
      </c>
      <c r="BI14" s="9">
        <v>4971820.1669999948</v>
      </c>
      <c r="BJ14" s="9">
        <v>7886008.5899999999</v>
      </c>
      <c r="BK14" s="9">
        <v>0</v>
      </c>
      <c r="BL14" s="9">
        <v>3760994687.0419998</v>
      </c>
      <c r="BM14" s="9">
        <v>60415307.936999999</v>
      </c>
      <c r="BN14" s="9">
        <v>33708404.781000003</v>
      </c>
      <c r="BO14" s="9">
        <v>190942821.558</v>
      </c>
      <c r="BP14" s="9">
        <v>27680437.739</v>
      </c>
      <c r="BQ14" s="9">
        <v>5407080.6199999908</v>
      </c>
      <c r="BR14" s="9">
        <v>126894286.11799991</v>
      </c>
      <c r="BS14" s="9">
        <v>62259884.296999998</v>
      </c>
      <c r="BT14" s="9">
        <v>948448419</v>
      </c>
      <c r="BU14" s="9">
        <v>670480.44099999999</v>
      </c>
      <c r="BV14" s="9">
        <v>81036113.770000011</v>
      </c>
      <c r="BW14" s="9">
        <v>2164354454</v>
      </c>
      <c r="BX14" s="9">
        <v>0</v>
      </c>
      <c r="BY14" s="9">
        <v>482142205.88299996</v>
      </c>
      <c r="BZ14" s="9">
        <v>9308930696.0869999</v>
      </c>
    </row>
    <row r="15" spans="1:78">
      <c r="A15" s="4" t="s">
        <v>97</v>
      </c>
      <c r="B15" s="9">
        <v>0</v>
      </c>
      <c r="C15" s="9">
        <v>0</v>
      </c>
      <c r="D15" s="9">
        <v>0</v>
      </c>
      <c r="E15" s="9">
        <v>3256.922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248691.783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30989.159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11376.218999999999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95843.524000000005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1282615.8489999999</v>
      </c>
    </row>
    <row r="16" spans="1:78">
      <c r="A16" s="4" t="s">
        <v>99</v>
      </c>
      <c r="B16" s="9">
        <v>0</v>
      </c>
      <c r="C16" s="9">
        <v>0</v>
      </c>
      <c r="D16" s="9">
        <v>0</v>
      </c>
      <c r="E16" s="9">
        <v>3243.806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74447140.284164399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2612.5949999999998</v>
      </c>
      <c r="W16" s="9">
        <v>0</v>
      </c>
      <c r="X16" s="9">
        <v>0</v>
      </c>
      <c r="Y16" s="9">
        <v>0</v>
      </c>
      <c r="Z16" s="9">
        <v>0</v>
      </c>
      <c r="AA16" s="9">
        <v>16219.029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490</v>
      </c>
      <c r="AZ16" s="9">
        <v>0</v>
      </c>
      <c r="BA16" s="9">
        <v>18065.563000000002</v>
      </c>
      <c r="BB16" s="9">
        <v>0</v>
      </c>
      <c r="BC16" s="9">
        <v>5132.5469999999996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528936.17299999995</v>
      </c>
    </row>
    <row r="17" spans="1:78">
      <c r="A17" s="4" t="s">
        <v>101</v>
      </c>
      <c r="B17" s="9">
        <v>46253812.440000005</v>
      </c>
      <c r="C17" s="9">
        <v>4393.8289999999997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7369.3879999999999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1607261654.0956948</v>
      </c>
      <c r="R17" s="9">
        <v>1816045.82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250087.84099999999</v>
      </c>
      <c r="Y17" s="9">
        <v>0</v>
      </c>
      <c r="Z17" s="9">
        <v>0</v>
      </c>
      <c r="AA17" s="9">
        <v>565923.02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16158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20597.085999999999</v>
      </c>
      <c r="BC17" s="9">
        <v>9987.3819999999996</v>
      </c>
      <c r="BD17" s="9">
        <v>0</v>
      </c>
      <c r="BE17" s="9">
        <v>0</v>
      </c>
      <c r="BF17" s="9">
        <v>5587269.9199999999</v>
      </c>
      <c r="BG17" s="9">
        <v>0</v>
      </c>
      <c r="BH17" s="9">
        <v>0</v>
      </c>
      <c r="BI17" s="9">
        <v>9137.8009999999995</v>
      </c>
      <c r="BJ17" s="9">
        <v>32542</v>
      </c>
      <c r="BK17" s="9">
        <v>0</v>
      </c>
      <c r="BL17" s="9">
        <v>1063391.973</v>
      </c>
      <c r="BM17" s="9">
        <v>12219328.422</v>
      </c>
      <c r="BN17" s="9">
        <v>0</v>
      </c>
      <c r="BO17" s="9">
        <v>0</v>
      </c>
      <c r="BP17" s="9">
        <v>0</v>
      </c>
      <c r="BQ17" s="9">
        <v>0</v>
      </c>
      <c r="BR17" s="9">
        <v>12289.944</v>
      </c>
      <c r="BS17" s="9">
        <v>0</v>
      </c>
      <c r="BT17" s="9">
        <v>0</v>
      </c>
      <c r="BU17" s="9">
        <v>0</v>
      </c>
      <c r="BV17" s="9">
        <v>0</v>
      </c>
      <c r="BW17" s="9">
        <v>738052</v>
      </c>
      <c r="BX17" s="9">
        <v>0</v>
      </c>
      <c r="BY17" s="9">
        <v>449467.38500000001</v>
      </c>
      <c r="BZ17" s="9">
        <v>158726997.757</v>
      </c>
    </row>
    <row r="18" spans="1:78">
      <c r="A18" s="4" t="s">
        <v>103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15542.532999999999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128028.66800000001</v>
      </c>
      <c r="X18" s="9">
        <v>184370.62599999999</v>
      </c>
      <c r="Y18" s="9">
        <v>0</v>
      </c>
      <c r="Z18" s="9">
        <v>0</v>
      </c>
      <c r="AA18" s="9">
        <v>26525.682000000001</v>
      </c>
      <c r="AB18" s="9">
        <v>3.7290000000000001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185.97800000000001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251769.68299999999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171030</v>
      </c>
      <c r="BX18" s="9">
        <v>0</v>
      </c>
      <c r="BY18" s="9">
        <v>0</v>
      </c>
      <c r="BZ18" s="9">
        <v>287700.74300000002</v>
      </c>
    </row>
    <row r="19" spans="1:78">
      <c r="A19" s="4" t="s">
        <v>105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1804828.7109999999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66994.813999999998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1947093.3859999999</v>
      </c>
      <c r="V19" s="9">
        <v>0</v>
      </c>
      <c r="W19" s="9">
        <v>0</v>
      </c>
      <c r="X19" s="9">
        <v>233554.022</v>
      </c>
      <c r="Y19" s="9">
        <v>90576.67</v>
      </c>
      <c r="Z19" s="9">
        <v>0</v>
      </c>
      <c r="AA19" s="9">
        <v>0</v>
      </c>
      <c r="AB19" s="9">
        <v>2820619.32</v>
      </c>
      <c r="AC19" s="9">
        <v>29528.364999999998</v>
      </c>
      <c r="AD19" s="9">
        <v>0</v>
      </c>
      <c r="AE19" s="9">
        <v>329844</v>
      </c>
      <c r="AF19" s="9">
        <v>908688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584335.94400000002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498285.03</v>
      </c>
      <c r="AU19" s="9">
        <v>0</v>
      </c>
      <c r="AV19" s="9">
        <v>0</v>
      </c>
      <c r="AW19" s="9">
        <v>0</v>
      </c>
      <c r="AX19" s="9">
        <v>31140.536</v>
      </c>
      <c r="AY19" s="9">
        <v>0</v>
      </c>
      <c r="AZ19" s="9">
        <v>0</v>
      </c>
      <c r="BA19" s="9">
        <v>38392.385999999999</v>
      </c>
      <c r="BB19" s="9">
        <v>257431.67600000001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1199162.56</v>
      </c>
      <c r="BK19" s="9">
        <v>0</v>
      </c>
      <c r="BL19" s="9">
        <v>0</v>
      </c>
      <c r="BM19" s="9">
        <v>0</v>
      </c>
      <c r="BN19" s="9">
        <v>0</v>
      </c>
      <c r="BO19" s="9">
        <v>21300.991999999998</v>
      </c>
      <c r="BP19" s="9">
        <v>0</v>
      </c>
      <c r="BQ19" s="9">
        <v>317902.788</v>
      </c>
      <c r="BR19" s="9">
        <v>0</v>
      </c>
      <c r="BS19" s="9">
        <v>0</v>
      </c>
      <c r="BT19" s="9">
        <v>35032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210017.23300000001</v>
      </c>
    </row>
    <row r="20" spans="1:78">
      <c r="A20" s="4" t="s">
        <v>107</v>
      </c>
      <c r="B20" s="9">
        <v>0</v>
      </c>
      <c r="C20" s="9">
        <v>220059242.91999999</v>
      </c>
      <c r="D20" s="9">
        <v>770191298.11999989</v>
      </c>
      <c r="E20" s="9">
        <v>1081616589.359</v>
      </c>
      <c r="F20" s="9">
        <v>0</v>
      </c>
      <c r="G20" s="9">
        <v>168519359.46200001</v>
      </c>
      <c r="H20" s="9">
        <v>0</v>
      </c>
      <c r="I20" s="9">
        <v>0</v>
      </c>
      <c r="J20" s="9">
        <v>548956.28799999994</v>
      </c>
      <c r="K20" s="9">
        <v>0</v>
      </c>
      <c r="L20" s="9">
        <v>827343021.23500001</v>
      </c>
      <c r="M20" s="9">
        <v>21780453.289000001</v>
      </c>
      <c r="N20" s="9">
        <v>220326</v>
      </c>
      <c r="O20" s="9">
        <v>82113.657000000007</v>
      </c>
      <c r="P20" s="9">
        <v>0</v>
      </c>
      <c r="Q20" s="9">
        <v>28704143</v>
      </c>
      <c r="R20" s="9">
        <v>23823.599999999999</v>
      </c>
      <c r="S20" s="9">
        <v>32252803.765999999</v>
      </c>
      <c r="T20" s="9">
        <v>411503259.14951837</v>
      </c>
      <c r="U20" s="9">
        <v>6242635726.7449999</v>
      </c>
      <c r="V20" s="9">
        <v>351580744.72500002</v>
      </c>
      <c r="W20" s="9">
        <v>223626505.285</v>
      </c>
      <c r="X20" s="9">
        <v>1524511241.707</v>
      </c>
      <c r="Y20" s="9">
        <v>259654320.75999999</v>
      </c>
      <c r="Z20" s="9">
        <v>267246524.04100001</v>
      </c>
      <c r="AA20" s="9">
        <v>2610936052.901</v>
      </c>
      <c r="AB20" s="9">
        <v>3004512095.7130003</v>
      </c>
      <c r="AC20" s="9">
        <v>167158723.38999999</v>
      </c>
      <c r="AD20" s="9">
        <v>755178.84</v>
      </c>
      <c r="AE20" s="9">
        <v>180034026</v>
      </c>
      <c r="AF20" s="9">
        <v>661343692</v>
      </c>
      <c r="AG20" s="9">
        <v>20082</v>
      </c>
      <c r="AH20" s="9">
        <v>0</v>
      </c>
      <c r="AI20" s="9">
        <v>260475032.81299999</v>
      </c>
      <c r="AJ20" s="9">
        <v>14736188.981999999</v>
      </c>
      <c r="AK20" s="9">
        <v>426972872</v>
      </c>
      <c r="AL20" s="9">
        <v>1979880914.0579998</v>
      </c>
      <c r="AM20" s="9">
        <v>1070642.25</v>
      </c>
      <c r="AN20" s="9">
        <v>550447.01399999997</v>
      </c>
      <c r="AO20" s="9">
        <v>4078922.7</v>
      </c>
      <c r="AP20" s="9">
        <v>0</v>
      </c>
      <c r="AQ20" s="9">
        <v>2110068</v>
      </c>
      <c r="AR20" s="9">
        <v>0</v>
      </c>
      <c r="AS20" s="9">
        <v>42037793</v>
      </c>
      <c r="AT20" s="9">
        <v>99667442.694000006</v>
      </c>
      <c r="AU20" s="9">
        <v>19217505.041000001</v>
      </c>
      <c r="AV20" s="9">
        <v>261512662.11399999</v>
      </c>
      <c r="AW20" s="9">
        <v>17659507</v>
      </c>
      <c r="AX20" s="9">
        <v>961334.30500000005</v>
      </c>
      <c r="AY20" s="9">
        <v>0</v>
      </c>
      <c r="AZ20" s="9">
        <v>0</v>
      </c>
      <c r="BA20" s="9">
        <v>0</v>
      </c>
      <c r="BB20" s="9">
        <v>607402842.99600005</v>
      </c>
      <c r="BC20" s="9">
        <v>38801234.288999997</v>
      </c>
      <c r="BD20" s="9">
        <v>41558315.156999998</v>
      </c>
      <c r="BE20" s="9">
        <v>396.21699999999998</v>
      </c>
      <c r="BF20" s="9">
        <v>1343506.62</v>
      </c>
      <c r="BG20" s="9">
        <v>0</v>
      </c>
      <c r="BH20" s="9">
        <v>1670502779</v>
      </c>
      <c r="BI20" s="9">
        <v>73612579.509000003</v>
      </c>
      <c r="BJ20" s="9">
        <v>381841578.37000006</v>
      </c>
      <c r="BK20" s="9">
        <v>0</v>
      </c>
      <c r="BL20" s="9">
        <v>232545079.78599998</v>
      </c>
      <c r="BM20" s="9">
        <v>818359.61899999995</v>
      </c>
      <c r="BN20" s="9">
        <v>3922971.0970000001</v>
      </c>
      <c r="BO20" s="9">
        <v>825046277.22000015</v>
      </c>
      <c r="BP20" s="9">
        <v>185033043.17899999</v>
      </c>
      <c r="BQ20" s="9">
        <v>378380282.28600001</v>
      </c>
      <c r="BR20" s="9">
        <v>0</v>
      </c>
      <c r="BS20" s="9">
        <v>41081637.912</v>
      </c>
      <c r="BT20" s="9">
        <v>1074745693</v>
      </c>
      <c r="BU20" s="9">
        <v>223090072.76300001</v>
      </c>
      <c r="BV20" s="9">
        <v>169069175.81</v>
      </c>
      <c r="BW20" s="9">
        <v>3016542</v>
      </c>
      <c r="BX20" s="9">
        <v>0</v>
      </c>
      <c r="BY20" s="9">
        <v>2421748.9249999998</v>
      </c>
      <c r="BZ20" s="9">
        <v>732836894.69099998</v>
      </c>
    </row>
    <row r="21" spans="1:78">
      <c r="A21" s="4" t="s">
        <v>109</v>
      </c>
      <c r="B21" s="9">
        <v>39731472.199999996</v>
      </c>
      <c r="C21" s="9">
        <v>1794461066.1919999</v>
      </c>
      <c r="D21" s="9">
        <v>4004123564.5290003</v>
      </c>
      <c r="E21" s="9">
        <v>4655482611.0810003</v>
      </c>
      <c r="F21" s="9">
        <v>0</v>
      </c>
      <c r="G21" s="9">
        <v>491697763.38300002</v>
      </c>
      <c r="H21" s="9">
        <v>0</v>
      </c>
      <c r="I21" s="9">
        <v>307052432</v>
      </c>
      <c r="J21" s="9">
        <v>14301318.994000001</v>
      </c>
      <c r="K21" s="9">
        <v>2648012010.0220003</v>
      </c>
      <c r="L21" s="9">
        <v>4091269675.3840003</v>
      </c>
      <c r="M21" s="9">
        <v>205444245.81099999</v>
      </c>
      <c r="N21" s="9">
        <v>14081924744</v>
      </c>
      <c r="O21" s="9">
        <v>32626318.899000004</v>
      </c>
      <c r="P21" s="9">
        <v>0</v>
      </c>
      <c r="Q21" s="9">
        <v>91659592.450000003</v>
      </c>
      <c r="R21" s="9">
        <v>17442492.109999999</v>
      </c>
      <c r="S21" s="9">
        <v>161990610.79800001</v>
      </c>
      <c r="T21" s="9">
        <v>1760237114</v>
      </c>
      <c r="U21" s="9">
        <v>46502097841.405472</v>
      </c>
      <c r="V21" s="9">
        <v>1972348585.007</v>
      </c>
      <c r="W21" s="9">
        <v>654097753.85899997</v>
      </c>
      <c r="X21" s="9">
        <v>4651724631.4029999</v>
      </c>
      <c r="Y21" s="9">
        <v>440729068.05000001</v>
      </c>
      <c r="Z21" s="9">
        <v>522777277.68000001</v>
      </c>
      <c r="AA21" s="9">
        <v>9319805436.1529999</v>
      </c>
      <c r="AB21" s="9">
        <v>10667706691.289999</v>
      </c>
      <c r="AC21" s="9">
        <v>1076844539.158</v>
      </c>
      <c r="AD21" s="9">
        <v>116582263.89600001</v>
      </c>
      <c r="AE21" s="9">
        <v>654953734</v>
      </c>
      <c r="AF21" s="9">
        <v>1613421788</v>
      </c>
      <c r="AG21" s="9">
        <v>402451281</v>
      </c>
      <c r="AH21" s="9">
        <v>83974597.81099999</v>
      </c>
      <c r="AI21" s="9">
        <v>832131692.08500004</v>
      </c>
      <c r="AJ21" s="9">
        <v>76451919.017999992</v>
      </c>
      <c r="AK21" s="9">
        <v>379763619</v>
      </c>
      <c r="AL21" s="9">
        <v>9776939919.8739986</v>
      </c>
      <c r="AM21" s="9">
        <v>93856989.844999999</v>
      </c>
      <c r="AN21" s="9">
        <v>3416854815.5029998</v>
      </c>
      <c r="AO21" s="9">
        <v>20166050.510000002</v>
      </c>
      <c r="AP21" s="9">
        <v>24826021.16</v>
      </c>
      <c r="AQ21" s="9">
        <v>5253933140</v>
      </c>
      <c r="AR21" s="9">
        <v>0</v>
      </c>
      <c r="AS21" s="9">
        <v>658195468</v>
      </c>
      <c r="AT21" s="9">
        <v>525031927.90200001</v>
      </c>
      <c r="AU21" s="9">
        <v>477500930.74299997</v>
      </c>
      <c r="AV21" s="9">
        <v>443644045.01599997</v>
      </c>
      <c r="AW21" s="9">
        <v>935171143</v>
      </c>
      <c r="AX21" s="9">
        <v>29373799.556000002</v>
      </c>
      <c r="AY21" s="9">
        <v>29237.18</v>
      </c>
      <c r="AZ21" s="9">
        <v>146916235.50400001</v>
      </c>
      <c r="BA21" s="9">
        <v>45559307.581</v>
      </c>
      <c r="BB21" s="9">
        <v>4661293021.9180002</v>
      </c>
      <c r="BC21" s="9">
        <v>456771940.25999999</v>
      </c>
      <c r="BD21" s="9">
        <v>279717610.72799999</v>
      </c>
      <c r="BE21" s="9">
        <v>1236359.838</v>
      </c>
      <c r="BF21" s="9">
        <v>84384341.219999999</v>
      </c>
      <c r="BG21" s="9">
        <v>54710075</v>
      </c>
      <c r="BH21" s="9">
        <v>3967591146</v>
      </c>
      <c r="BI21" s="9">
        <v>1211864120.6589999</v>
      </c>
      <c r="BJ21" s="9">
        <v>1305691635.8699999</v>
      </c>
      <c r="BK21" s="9">
        <v>0</v>
      </c>
      <c r="BL21" s="9">
        <v>1279639396.809</v>
      </c>
      <c r="BM21" s="9">
        <v>6012723.3359999992</v>
      </c>
      <c r="BN21" s="9">
        <v>157327009.259</v>
      </c>
      <c r="BO21" s="9">
        <v>446909246.43700004</v>
      </c>
      <c r="BP21" s="9">
        <v>752934695.01499999</v>
      </c>
      <c r="BQ21" s="9">
        <v>2024166784.2329998</v>
      </c>
      <c r="BR21" s="9">
        <v>159390855.95899999</v>
      </c>
      <c r="BS21" s="9">
        <v>135118321.70500001</v>
      </c>
      <c r="BT21" s="9">
        <v>3695378759</v>
      </c>
      <c r="BU21" s="9">
        <v>1633183721.0240002</v>
      </c>
      <c r="BV21" s="9">
        <v>484969593.51999998</v>
      </c>
      <c r="BW21" s="9">
        <v>18904132893</v>
      </c>
      <c r="BX21" s="9">
        <v>0</v>
      </c>
      <c r="BY21" s="9">
        <v>561845488.45299995</v>
      </c>
      <c r="BZ21" s="9">
        <v>6009903955.6459999</v>
      </c>
    </row>
    <row r="22" spans="1:78">
      <c r="A22" s="4" t="s">
        <v>111</v>
      </c>
      <c r="B22" s="9">
        <v>0</v>
      </c>
      <c r="C22" s="9">
        <v>8060140.7709999997</v>
      </c>
      <c r="D22" s="9">
        <v>16917824.015000001</v>
      </c>
      <c r="E22" s="9">
        <v>134832766.72</v>
      </c>
      <c r="F22" s="9">
        <v>0</v>
      </c>
      <c r="G22" s="9">
        <v>5182275.665</v>
      </c>
      <c r="H22" s="9">
        <v>0</v>
      </c>
      <c r="I22" s="9">
        <v>254403</v>
      </c>
      <c r="J22" s="9">
        <v>0</v>
      </c>
      <c r="K22" s="9">
        <v>360046.587</v>
      </c>
      <c r="L22" s="9">
        <v>32856880.800999999</v>
      </c>
      <c r="M22" s="9">
        <v>48312.112999999998</v>
      </c>
      <c r="N22" s="9">
        <v>0</v>
      </c>
      <c r="O22" s="9">
        <v>39511.928</v>
      </c>
      <c r="P22" s="9">
        <v>0</v>
      </c>
      <c r="Q22" s="9">
        <v>0</v>
      </c>
      <c r="R22" s="9">
        <v>0</v>
      </c>
      <c r="S22" s="9">
        <v>263412.174</v>
      </c>
      <c r="T22" s="9">
        <v>6897478</v>
      </c>
      <c r="U22" s="9">
        <v>643201834.796</v>
      </c>
      <c r="V22" s="9">
        <v>0</v>
      </c>
      <c r="W22" s="9">
        <v>157096.109</v>
      </c>
      <c r="X22" s="9">
        <v>8349215.1429999992</v>
      </c>
      <c r="Y22" s="9">
        <v>2947854.94</v>
      </c>
      <c r="Z22" s="9">
        <v>6928907.7200000007</v>
      </c>
      <c r="AA22" s="9">
        <v>126329040.669</v>
      </c>
      <c r="AB22" s="9">
        <v>2992633.3739999998</v>
      </c>
      <c r="AC22" s="9">
        <v>1750021.368</v>
      </c>
      <c r="AD22" s="9">
        <v>0</v>
      </c>
      <c r="AE22" s="9">
        <v>2179501</v>
      </c>
      <c r="AF22" s="9">
        <v>4247340</v>
      </c>
      <c r="AG22" s="9">
        <v>0</v>
      </c>
      <c r="AH22" s="9">
        <v>0</v>
      </c>
      <c r="AI22" s="9">
        <v>105049.573</v>
      </c>
      <c r="AJ22" s="9">
        <v>1982074.3559999999</v>
      </c>
      <c r="AK22" s="9">
        <v>0</v>
      </c>
      <c r="AL22" s="9">
        <v>31359127.683000002</v>
      </c>
      <c r="AM22" s="9">
        <v>0</v>
      </c>
      <c r="AN22" s="9">
        <v>1229820.1880000001</v>
      </c>
      <c r="AO22" s="9">
        <v>0</v>
      </c>
      <c r="AP22" s="9">
        <v>0</v>
      </c>
      <c r="AQ22" s="9">
        <v>0</v>
      </c>
      <c r="AR22" s="9">
        <v>0</v>
      </c>
      <c r="AS22" s="9">
        <v>15445699</v>
      </c>
      <c r="AT22" s="9">
        <v>2754293.196</v>
      </c>
      <c r="AU22" s="9">
        <v>765146.76399999997</v>
      </c>
      <c r="AV22" s="9">
        <v>0</v>
      </c>
      <c r="AW22" s="9">
        <v>217172</v>
      </c>
      <c r="AX22" s="9">
        <v>2442675.5580000002</v>
      </c>
      <c r="AY22" s="9">
        <v>0</v>
      </c>
      <c r="AZ22" s="9">
        <v>0</v>
      </c>
      <c r="BA22" s="9">
        <v>660999.772</v>
      </c>
      <c r="BB22" s="9">
        <v>243196315.93300003</v>
      </c>
      <c r="BC22" s="9">
        <v>16233456.793000001</v>
      </c>
      <c r="BD22" s="9">
        <v>5634386.926</v>
      </c>
      <c r="BE22" s="9">
        <v>0</v>
      </c>
      <c r="BF22" s="9">
        <v>0</v>
      </c>
      <c r="BG22" s="9">
        <v>0</v>
      </c>
      <c r="BH22" s="9">
        <v>11811123</v>
      </c>
      <c r="BI22" s="9">
        <v>1888518.9030000002</v>
      </c>
      <c r="BJ22" s="9">
        <v>14702448.180000002</v>
      </c>
      <c r="BK22" s="9">
        <v>0</v>
      </c>
      <c r="BL22" s="9">
        <v>0</v>
      </c>
      <c r="BM22" s="9">
        <v>24094.841</v>
      </c>
      <c r="BN22" s="9">
        <v>1587.4649999999999</v>
      </c>
      <c r="BO22" s="9">
        <v>631579.81400000001</v>
      </c>
      <c r="BP22" s="9">
        <v>654204.19299999997</v>
      </c>
      <c r="BQ22" s="9">
        <v>13124964.842</v>
      </c>
      <c r="BR22" s="9">
        <v>0</v>
      </c>
      <c r="BS22" s="9">
        <v>35712.618999999999</v>
      </c>
      <c r="BT22" s="9">
        <v>940606</v>
      </c>
      <c r="BU22" s="9">
        <v>0</v>
      </c>
      <c r="BV22" s="9">
        <v>1125435.51</v>
      </c>
      <c r="BW22" s="9">
        <v>6506164</v>
      </c>
      <c r="BX22" s="9">
        <v>0</v>
      </c>
      <c r="BY22" s="9">
        <v>0</v>
      </c>
      <c r="BZ22" s="9">
        <v>14154090.274</v>
      </c>
    </row>
    <row r="23" spans="1:78">
      <c r="A23" s="4" t="s">
        <v>113</v>
      </c>
      <c r="B23" s="9">
        <v>0</v>
      </c>
      <c r="C23" s="9">
        <v>0</v>
      </c>
      <c r="D23" s="9">
        <v>0</v>
      </c>
      <c r="E23" s="9">
        <v>67109.001999999993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7960.3879999999999</v>
      </c>
      <c r="M23" s="9">
        <v>0</v>
      </c>
      <c r="N23" s="9">
        <v>34400</v>
      </c>
      <c r="O23" s="9">
        <v>1934088.3840000001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419141.88699999999</v>
      </c>
      <c r="V23" s="9">
        <v>0</v>
      </c>
      <c r="W23" s="9">
        <v>0</v>
      </c>
      <c r="X23" s="9">
        <v>52225.273999999998</v>
      </c>
      <c r="Y23" s="9">
        <v>0</v>
      </c>
      <c r="Z23" s="9">
        <v>0</v>
      </c>
      <c r="AA23" s="9">
        <v>302.755</v>
      </c>
      <c r="AB23" s="9">
        <v>64154267.991000004</v>
      </c>
      <c r="AC23" s="9">
        <v>48554.366999999998</v>
      </c>
      <c r="AD23" s="9">
        <v>378686.79599999997</v>
      </c>
      <c r="AE23" s="9">
        <v>0</v>
      </c>
      <c r="AF23" s="9">
        <v>0</v>
      </c>
      <c r="AG23" s="9">
        <v>0</v>
      </c>
      <c r="AH23" s="9">
        <v>0</v>
      </c>
      <c r="AI23" s="9">
        <v>8650.1489999999994</v>
      </c>
      <c r="AJ23" s="9">
        <v>0</v>
      </c>
      <c r="AK23" s="9">
        <v>0</v>
      </c>
      <c r="AL23" s="9">
        <v>44256.324999999997</v>
      </c>
      <c r="AM23" s="9">
        <v>9918816.8709999993</v>
      </c>
      <c r="AN23" s="9">
        <v>97059.411999999997</v>
      </c>
      <c r="AO23" s="9">
        <v>45700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45401.387999999999</v>
      </c>
      <c r="AY23" s="9">
        <v>0</v>
      </c>
      <c r="AZ23" s="9">
        <v>0</v>
      </c>
      <c r="BA23" s="9">
        <v>26398.454000000002</v>
      </c>
      <c r="BB23" s="9">
        <v>63919.194000000003</v>
      </c>
      <c r="BC23" s="9">
        <v>2254.7460000000001</v>
      </c>
      <c r="BD23" s="9">
        <v>0</v>
      </c>
      <c r="BE23" s="9">
        <v>0</v>
      </c>
      <c r="BF23" s="9">
        <v>0</v>
      </c>
      <c r="BG23" s="9">
        <v>14090</v>
      </c>
      <c r="BH23" s="9">
        <v>0</v>
      </c>
      <c r="BI23" s="9">
        <v>0</v>
      </c>
      <c r="BJ23" s="9">
        <v>11183.73</v>
      </c>
      <c r="BK23" s="9">
        <v>0</v>
      </c>
      <c r="BL23" s="9">
        <v>15469447.614</v>
      </c>
      <c r="BM23" s="9">
        <v>2381.681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51092</v>
      </c>
      <c r="BU23" s="9">
        <v>0</v>
      </c>
      <c r="BV23" s="9">
        <v>0</v>
      </c>
      <c r="BW23" s="9">
        <v>34189</v>
      </c>
      <c r="BX23" s="9">
        <v>0</v>
      </c>
      <c r="BY23" s="9">
        <v>0</v>
      </c>
      <c r="BZ23" s="9">
        <v>49281465.416999996</v>
      </c>
    </row>
    <row r="24" spans="1:78">
      <c r="A24" s="4" t="s">
        <v>115</v>
      </c>
      <c r="B24" s="9">
        <v>6136989.8700000001</v>
      </c>
      <c r="C24" s="9">
        <v>257214565.384</v>
      </c>
      <c r="D24" s="9">
        <v>686231415.83099997</v>
      </c>
      <c r="E24" s="9">
        <v>1750026733.1689999</v>
      </c>
      <c r="F24" s="9">
        <v>0</v>
      </c>
      <c r="G24" s="9">
        <v>25277823.818</v>
      </c>
      <c r="H24" s="9">
        <v>0</v>
      </c>
      <c r="I24" s="9">
        <v>511897</v>
      </c>
      <c r="J24" s="9">
        <v>74095.384000000005</v>
      </c>
      <c r="K24" s="9">
        <v>44081075.556000002</v>
      </c>
      <c r="L24" s="9">
        <v>750558749.54100013</v>
      </c>
      <c r="M24" s="9">
        <v>201408167.26100001</v>
      </c>
      <c r="N24" s="9">
        <v>17529500</v>
      </c>
      <c r="O24" s="9">
        <v>3495291.983</v>
      </c>
      <c r="P24" s="9">
        <v>0</v>
      </c>
      <c r="Q24" s="9">
        <v>35993611.090000004</v>
      </c>
      <c r="R24" s="9">
        <v>38981.72</v>
      </c>
      <c r="S24" s="9">
        <v>28364492.607000001</v>
      </c>
      <c r="T24" s="9">
        <v>440115552</v>
      </c>
      <c r="U24" s="9">
        <v>7283939330.7510004</v>
      </c>
      <c r="V24" s="9">
        <v>218328934.39000002</v>
      </c>
      <c r="W24" s="9">
        <v>37931300.670000002</v>
      </c>
      <c r="X24" s="9">
        <v>12532978330.832611</v>
      </c>
      <c r="Y24" s="9">
        <v>54442461.82</v>
      </c>
      <c r="Z24" s="9">
        <v>150352786.89000002</v>
      </c>
      <c r="AA24" s="9">
        <v>7548410099.8400002</v>
      </c>
      <c r="AB24" s="9">
        <v>4886997362.1429996</v>
      </c>
      <c r="AC24" s="9">
        <v>342497943.47100002</v>
      </c>
      <c r="AD24" s="9">
        <v>8641628.7070000004</v>
      </c>
      <c r="AE24" s="9">
        <v>164448758</v>
      </c>
      <c r="AF24" s="9">
        <v>242636117</v>
      </c>
      <c r="AG24" s="9">
        <v>19658469</v>
      </c>
      <c r="AH24" s="9">
        <v>220785.52900000001</v>
      </c>
      <c r="AI24" s="9">
        <v>147906665.32800001</v>
      </c>
      <c r="AJ24" s="9">
        <v>2188965.0249999999</v>
      </c>
      <c r="AK24" s="9">
        <v>319549958</v>
      </c>
      <c r="AL24" s="9">
        <v>4771430069.3290005</v>
      </c>
      <c r="AM24" s="9">
        <v>11476349.262</v>
      </c>
      <c r="AN24" s="9">
        <v>435944006.02700001</v>
      </c>
      <c r="AO24" s="9">
        <v>11604163.720000001</v>
      </c>
      <c r="AP24" s="9">
        <v>114400</v>
      </c>
      <c r="AQ24" s="9">
        <v>16201841</v>
      </c>
      <c r="AR24" s="9">
        <v>0</v>
      </c>
      <c r="AS24" s="9">
        <v>5219862</v>
      </c>
      <c r="AT24" s="9">
        <v>114913902.714</v>
      </c>
      <c r="AU24" s="9">
        <v>482652.36300000013</v>
      </c>
      <c r="AV24" s="9">
        <v>319654902.83100003</v>
      </c>
      <c r="AW24" s="9">
        <v>405608918</v>
      </c>
      <c r="AX24" s="9">
        <v>58388395.191</v>
      </c>
      <c r="AY24" s="9">
        <v>309784.48</v>
      </c>
      <c r="AZ24" s="9">
        <v>1177309.612</v>
      </c>
      <c r="BA24" s="9">
        <v>10024673.614</v>
      </c>
      <c r="BB24" s="9">
        <v>417428382.90700001</v>
      </c>
      <c r="BC24" s="9">
        <v>207839261.51999998</v>
      </c>
      <c r="BD24" s="9">
        <v>50557318.296999998</v>
      </c>
      <c r="BE24" s="9">
        <v>0</v>
      </c>
      <c r="BF24" s="9">
        <v>26178758.510000002</v>
      </c>
      <c r="BG24" s="9">
        <v>5961593</v>
      </c>
      <c r="BH24" s="9">
        <v>957618083</v>
      </c>
      <c r="BI24" s="9">
        <v>1283097965.4289999</v>
      </c>
      <c r="BJ24" s="9">
        <v>239539314.92000002</v>
      </c>
      <c r="BK24" s="9">
        <v>0</v>
      </c>
      <c r="BL24" s="9">
        <v>101144306.005</v>
      </c>
      <c r="BM24" s="9">
        <v>3478113.5839999998</v>
      </c>
      <c r="BN24" s="9">
        <v>7313894.2719999989</v>
      </c>
      <c r="BO24" s="9">
        <v>259267306.58600003</v>
      </c>
      <c r="BP24" s="9">
        <v>280150781.87900001</v>
      </c>
      <c r="BQ24" s="9">
        <v>257690227.831</v>
      </c>
      <c r="BR24" s="9">
        <v>22628264.971999999</v>
      </c>
      <c r="BS24" s="9">
        <v>66645815.027999997</v>
      </c>
      <c r="BT24" s="9">
        <v>3840078887</v>
      </c>
      <c r="BU24" s="9">
        <v>104281086.34</v>
      </c>
      <c r="BV24" s="9">
        <v>22009067.740000002</v>
      </c>
      <c r="BW24" s="9">
        <v>691612239</v>
      </c>
      <c r="BX24" s="9">
        <v>0</v>
      </c>
      <c r="BY24" s="9">
        <v>264696803.60100001</v>
      </c>
      <c r="BZ24" s="9">
        <v>403670409.81900001</v>
      </c>
    </row>
    <row r="25" spans="1:78">
      <c r="A25" s="4" t="s">
        <v>117</v>
      </c>
      <c r="B25" s="9">
        <v>0</v>
      </c>
      <c r="C25" s="9">
        <v>0</v>
      </c>
      <c r="D25" s="9">
        <v>418298.49699999997</v>
      </c>
      <c r="E25" s="9">
        <v>10629611.16</v>
      </c>
      <c r="F25" s="9">
        <v>0</v>
      </c>
      <c r="G25" s="9">
        <v>805281.27799999993</v>
      </c>
      <c r="H25" s="9">
        <v>0</v>
      </c>
      <c r="I25" s="9">
        <v>0</v>
      </c>
      <c r="J25" s="9">
        <v>0</v>
      </c>
      <c r="K25" s="9">
        <v>19594.659</v>
      </c>
      <c r="L25" s="9">
        <v>640767.29799999995</v>
      </c>
      <c r="M25" s="9">
        <v>60204.572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16219.029</v>
      </c>
      <c r="T25" s="9">
        <v>280945</v>
      </c>
      <c r="U25" s="9">
        <v>12245986.687999999</v>
      </c>
      <c r="V25" s="9">
        <v>1419512.737</v>
      </c>
      <c r="W25" s="9">
        <v>97161.994000000006</v>
      </c>
      <c r="X25" s="9">
        <v>1555889.1670000001</v>
      </c>
      <c r="Y25" s="9">
        <v>0</v>
      </c>
      <c r="Z25" s="9">
        <v>28979271.670000002</v>
      </c>
      <c r="AA25" s="9">
        <v>24838221.540000003</v>
      </c>
      <c r="AB25" s="9">
        <v>60949.196000000004</v>
      </c>
      <c r="AC25" s="9">
        <v>399367.64600000001</v>
      </c>
      <c r="AD25" s="9">
        <v>0</v>
      </c>
      <c r="AE25" s="9">
        <v>66124</v>
      </c>
      <c r="AF25" s="9">
        <v>0</v>
      </c>
      <c r="AG25" s="9">
        <v>0</v>
      </c>
      <c r="AH25" s="9">
        <v>0</v>
      </c>
      <c r="AI25" s="9">
        <v>0</v>
      </c>
      <c r="AJ25" s="9">
        <v>115971.217</v>
      </c>
      <c r="AK25" s="9">
        <v>0</v>
      </c>
      <c r="AL25" s="9">
        <v>2021575.4939999999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480283991</v>
      </c>
      <c r="AT25" s="9">
        <v>265968.56300000002</v>
      </c>
      <c r="AU25" s="9">
        <v>315466372.861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13488931.998</v>
      </c>
      <c r="BC25" s="9">
        <v>1969092.2660000003</v>
      </c>
      <c r="BD25" s="9">
        <v>0</v>
      </c>
      <c r="BE25" s="9">
        <v>0</v>
      </c>
      <c r="BF25" s="9">
        <v>0</v>
      </c>
      <c r="BG25" s="9">
        <v>0</v>
      </c>
      <c r="BH25" s="9">
        <v>24027393</v>
      </c>
      <c r="BI25" s="9">
        <v>813042.63900000008</v>
      </c>
      <c r="BJ25" s="9">
        <v>1025245.88</v>
      </c>
      <c r="BK25" s="9">
        <v>0</v>
      </c>
      <c r="BL25" s="9">
        <v>0</v>
      </c>
      <c r="BM25" s="9">
        <v>0</v>
      </c>
      <c r="BN25" s="9">
        <v>316490.005</v>
      </c>
      <c r="BO25" s="9">
        <v>858527.28399999999</v>
      </c>
      <c r="BP25" s="9">
        <v>0</v>
      </c>
      <c r="BQ25" s="9">
        <v>1513737.5260000001</v>
      </c>
      <c r="BR25" s="9">
        <v>0</v>
      </c>
      <c r="BS25" s="9">
        <v>50992.588000000003</v>
      </c>
      <c r="BT25" s="9">
        <v>0</v>
      </c>
      <c r="BU25" s="9">
        <v>0</v>
      </c>
      <c r="BV25" s="9">
        <v>6812046.2300000004</v>
      </c>
      <c r="BW25" s="9">
        <v>0</v>
      </c>
      <c r="BX25" s="9">
        <v>0</v>
      </c>
      <c r="BY25" s="9">
        <v>0</v>
      </c>
      <c r="BZ25" s="9">
        <v>33808109.232000001</v>
      </c>
    </row>
    <row r="26" spans="1:78">
      <c r="A26" s="4" t="s">
        <v>119</v>
      </c>
      <c r="B26" s="9">
        <v>3861917.12</v>
      </c>
      <c r="C26" s="9">
        <v>105045597.176</v>
      </c>
      <c r="D26" s="9">
        <v>1723900.0799999998</v>
      </c>
      <c r="E26" s="9">
        <v>5223811.3330000006</v>
      </c>
      <c r="F26" s="9">
        <v>0</v>
      </c>
      <c r="G26" s="9">
        <v>2486619.048</v>
      </c>
      <c r="H26" s="9">
        <v>0</v>
      </c>
      <c r="I26" s="9">
        <v>1273344</v>
      </c>
      <c r="J26" s="9">
        <v>0</v>
      </c>
      <c r="K26" s="9">
        <v>131302243.73100001</v>
      </c>
      <c r="L26" s="9">
        <v>24514256.091000002</v>
      </c>
      <c r="M26" s="9">
        <v>9915119.6899999995</v>
      </c>
      <c r="N26" s="9">
        <v>13642791</v>
      </c>
      <c r="O26" s="9">
        <v>45986.284</v>
      </c>
      <c r="P26" s="9">
        <v>0</v>
      </c>
      <c r="Q26" s="9">
        <v>6050589.5099999998</v>
      </c>
      <c r="R26" s="9">
        <v>14438.85</v>
      </c>
      <c r="S26" s="9">
        <v>0</v>
      </c>
      <c r="T26" s="9">
        <v>4481767</v>
      </c>
      <c r="U26" s="9">
        <v>576073742.14099991</v>
      </c>
      <c r="V26" s="9">
        <v>12231323.964000002</v>
      </c>
      <c r="W26" s="9">
        <v>416279.89799999999</v>
      </c>
      <c r="X26" s="9">
        <v>56345222.773000002</v>
      </c>
      <c r="Y26" s="9">
        <v>38379505.369999997</v>
      </c>
      <c r="Z26" s="9">
        <v>148038206.31830731</v>
      </c>
      <c r="AA26" s="9">
        <v>46570777.935000002</v>
      </c>
      <c r="AB26" s="9">
        <v>240006917.014</v>
      </c>
      <c r="AC26" s="9">
        <v>123264.62300000001</v>
      </c>
      <c r="AD26" s="9">
        <v>0</v>
      </c>
      <c r="AE26" s="9">
        <v>2690225</v>
      </c>
      <c r="AF26" s="9">
        <v>4803067</v>
      </c>
      <c r="AG26" s="9">
        <v>1339070</v>
      </c>
      <c r="AH26" s="9">
        <v>4716242.4910000004</v>
      </c>
      <c r="AI26" s="9">
        <v>3204007.6060000001</v>
      </c>
      <c r="AJ26" s="9">
        <v>1708170.416</v>
      </c>
      <c r="AK26" s="9">
        <v>39000</v>
      </c>
      <c r="AL26" s="9">
        <v>3838360.8739999998</v>
      </c>
      <c r="AM26" s="9">
        <v>25352.113000000001</v>
      </c>
      <c r="AN26" s="9">
        <v>63903785.681000002</v>
      </c>
      <c r="AO26" s="9">
        <v>10607703.439999999</v>
      </c>
      <c r="AP26" s="9">
        <v>0</v>
      </c>
      <c r="AQ26" s="9">
        <v>2980328</v>
      </c>
      <c r="AR26" s="9">
        <v>0</v>
      </c>
      <c r="AS26" s="9">
        <v>79466750</v>
      </c>
      <c r="AT26" s="9">
        <v>184350.234</v>
      </c>
      <c r="AU26" s="9">
        <v>65731654.775999993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128966.531</v>
      </c>
      <c r="BB26" s="9">
        <v>17827702.908</v>
      </c>
      <c r="BC26" s="9">
        <v>70099546.592999995</v>
      </c>
      <c r="BD26" s="9">
        <v>5125792.2009999994</v>
      </c>
      <c r="BE26" s="9">
        <v>0</v>
      </c>
      <c r="BF26" s="9">
        <v>0</v>
      </c>
      <c r="BG26" s="9">
        <v>716639</v>
      </c>
      <c r="BH26" s="9">
        <v>32955796</v>
      </c>
      <c r="BI26" s="9">
        <v>1078843.334</v>
      </c>
      <c r="BJ26" s="9">
        <v>2052196.74</v>
      </c>
      <c r="BK26" s="9">
        <v>0</v>
      </c>
      <c r="BL26" s="9">
        <v>120093.59699999999</v>
      </c>
      <c r="BM26" s="9">
        <v>0</v>
      </c>
      <c r="BN26" s="9">
        <v>0</v>
      </c>
      <c r="BO26" s="9">
        <v>1909749.6120000002</v>
      </c>
      <c r="BP26" s="9">
        <v>6638281.7090000007</v>
      </c>
      <c r="BQ26" s="9">
        <v>218740209.01499999</v>
      </c>
      <c r="BR26" s="9">
        <v>0</v>
      </c>
      <c r="BS26" s="9">
        <v>0</v>
      </c>
      <c r="BT26" s="9">
        <v>7532726</v>
      </c>
      <c r="BU26" s="9">
        <v>12595871.276000001</v>
      </c>
      <c r="BV26" s="9">
        <v>455568.30000000005</v>
      </c>
      <c r="BW26" s="9">
        <v>129593581</v>
      </c>
      <c r="BX26" s="9">
        <v>0</v>
      </c>
      <c r="BY26" s="9">
        <v>17795417.550000001</v>
      </c>
      <c r="BZ26" s="9">
        <v>125275246.766</v>
      </c>
    </row>
    <row r="27" spans="1:78">
      <c r="A27" s="4" t="s">
        <v>121</v>
      </c>
      <c r="B27" s="9">
        <v>26105141.649999999</v>
      </c>
      <c r="C27" s="9">
        <v>257750799.74599999</v>
      </c>
      <c r="D27" s="9">
        <v>409889921.89499998</v>
      </c>
      <c r="E27" s="9">
        <v>5157011241.4319992</v>
      </c>
      <c r="F27" s="9">
        <v>0</v>
      </c>
      <c r="G27" s="9">
        <v>170432419.57699999</v>
      </c>
      <c r="H27" s="9">
        <v>0</v>
      </c>
      <c r="I27" s="9">
        <v>661329</v>
      </c>
      <c r="J27" s="9">
        <v>131998.13200000001</v>
      </c>
      <c r="K27" s="9">
        <v>24912733.25</v>
      </c>
      <c r="L27" s="9">
        <v>687270991.59299994</v>
      </c>
      <c r="M27" s="9">
        <v>303431263.50400001</v>
      </c>
      <c r="N27" s="9">
        <v>4598833</v>
      </c>
      <c r="O27" s="9">
        <v>13572201.783</v>
      </c>
      <c r="P27" s="9">
        <v>0</v>
      </c>
      <c r="Q27" s="9">
        <v>74014984.260000005</v>
      </c>
      <c r="R27" s="9">
        <v>5678748.7400000002</v>
      </c>
      <c r="S27" s="9">
        <v>30188319.208999999</v>
      </c>
      <c r="T27" s="9">
        <v>733961033</v>
      </c>
      <c r="U27" s="9">
        <v>3858422130.3330002</v>
      </c>
      <c r="V27" s="9">
        <v>117508267.42400001</v>
      </c>
      <c r="W27" s="9">
        <v>83879039.811000004</v>
      </c>
      <c r="X27" s="9">
        <v>2779514763.0759997</v>
      </c>
      <c r="Y27" s="9">
        <v>129922072.08</v>
      </c>
      <c r="Z27" s="9">
        <v>176006686.11900002</v>
      </c>
      <c r="AA27" s="9">
        <v>19983245964.30994</v>
      </c>
      <c r="AB27" s="9">
        <v>4181864635.5510001</v>
      </c>
      <c r="AC27" s="9">
        <v>274959024.96600002</v>
      </c>
      <c r="AD27" s="9">
        <v>3696178.5959999999</v>
      </c>
      <c r="AE27" s="9">
        <v>201999739</v>
      </c>
      <c r="AF27" s="9">
        <v>198348556</v>
      </c>
      <c r="AG27" s="9">
        <v>37632088</v>
      </c>
      <c r="AH27" s="9">
        <v>420893.81800000003</v>
      </c>
      <c r="AI27" s="9">
        <v>674387323.71500003</v>
      </c>
      <c r="AJ27" s="9">
        <v>35211261.098999999</v>
      </c>
      <c r="AK27" s="9">
        <v>226140187</v>
      </c>
      <c r="AL27" s="9">
        <v>3111933764.9510002</v>
      </c>
      <c r="AM27" s="9">
        <v>4646291.5360000003</v>
      </c>
      <c r="AN27" s="9">
        <v>167432239.89199999</v>
      </c>
      <c r="AO27" s="9">
        <v>4489073.46</v>
      </c>
      <c r="AP27" s="9">
        <v>346400</v>
      </c>
      <c r="AQ27" s="9">
        <v>58732983</v>
      </c>
      <c r="AR27" s="9">
        <v>0</v>
      </c>
      <c r="AS27" s="9">
        <v>232346102</v>
      </c>
      <c r="AT27" s="9">
        <v>132954753.024</v>
      </c>
      <c r="AU27" s="9">
        <v>1196264.7819999999</v>
      </c>
      <c r="AV27" s="9">
        <v>200443830.67600003</v>
      </c>
      <c r="AW27" s="9">
        <v>166147225</v>
      </c>
      <c r="AX27" s="9">
        <v>4622683.9359999998</v>
      </c>
      <c r="AY27" s="9">
        <v>0</v>
      </c>
      <c r="AZ27" s="9">
        <v>373256.63199999998</v>
      </c>
      <c r="BA27" s="9">
        <v>1445010.1069999998</v>
      </c>
      <c r="BB27" s="9">
        <v>784444348.59599996</v>
      </c>
      <c r="BC27" s="9">
        <v>132185430.207</v>
      </c>
      <c r="BD27" s="9">
        <v>86667513.123999998</v>
      </c>
      <c r="BE27" s="9">
        <v>106037.144</v>
      </c>
      <c r="BF27" s="9">
        <v>3464106</v>
      </c>
      <c r="BG27" s="9">
        <v>2098951</v>
      </c>
      <c r="BH27" s="9">
        <v>987500013</v>
      </c>
      <c r="BI27" s="9">
        <v>1175436626.3340001</v>
      </c>
      <c r="BJ27" s="9">
        <v>303720255.48000002</v>
      </c>
      <c r="BK27" s="9">
        <v>0</v>
      </c>
      <c r="BL27" s="9">
        <v>170708319.99800003</v>
      </c>
      <c r="BM27" s="9">
        <v>34944637.215999998</v>
      </c>
      <c r="BN27" s="9">
        <v>26294423.533</v>
      </c>
      <c r="BO27" s="9">
        <v>175749726.95700002</v>
      </c>
      <c r="BP27" s="9">
        <v>337574865.32799995</v>
      </c>
      <c r="BQ27" s="9">
        <v>555605384.35299993</v>
      </c>
      <c r="BR27" s="9">
        <v>355425.01199999999</v>
      </c>
      <c r="BS27" s="9">
        <v>224943378.05499998</v>
      </c>
      <c r="BT27" s="9">
        <v>1810484556</v>
      </c>
      <c r="BU27" s="9">
        <v>31065604.447999999</v>
      </c>
      <c r="BV27" s="9">
        <v>204299485.73000002</v>
      </c>
      <c r="BW27" s="9">
        <v>246050599</v>
      </c>
      <c r="BX27" s="9">
        <v>0</v>
      </c>
      <c r="BY27" s="9">
        <v>24591670.098000001</v>
      </c>
      <c r="BZ27" s="9">
        <v>909314171.66199994</v>
      </c>
    </row>
    <row r="28" spans="1:78">
      <c r="A28" s="4" t="s">
        <v>123</v>
      </c>
      <c r="B28" s="9">
        <v>1855665.83</v>
      </c>
      <c r="C28" s="9">
        <v>1021341325.452</v>
      </c>
      <c r="D28" s="9">
        <v>387356898.01599997</v>
      </c>
      <c r="E28" s="9">
        <v>732093646.48599994</v>
      </c>
      <c r="F28" s="9">
        <v>0</v>
      </c>
      <c r="G28" s="9">
        <v>31943096.950000003</v>
      </c>
      <c r="H28" s="9">
        <v>0</v>
      </c>
      <c r="I28" s="9">
        <v>102158929</v>
      </c>
      <c r="J28" s="9">
        <v>4877004.2589999996</v>
      </c>
      <c r="K28" s="9">
        <v>778773506.20799994</v>
      </c>
      <c r="L28" s="9">
        <v>420403078.49199998</v>
      </c>
      <c r="M28" s="9">
        <v>50914242.616000004</v>
      </c>
      <c r="N28" s="9">
        <v>4435791106</v>
      </c>
      <c r="O28" s="9">
        <v>18108227.533</v>
      </c>
      <c r="P28" s="9">
        <v>0</v>
      </c>
      <c r="Q28" s="9">
        <v>40203647.32</v>
      </c>
      <c r="R28" s="9">
        <v>39143484.209999993</v>
      </c>
      <c r="S28" s="9">
        <v>168677079.713</v>
      </c>
      <c r="T28" s="9">
        <v>455967415</v>
      </c>
      <c r="U28" s="9">
        <v>3207778167.9899998</v>
      </c>
      <c r="V28" s="9">
        <v>109299150.72499999</v>
      </c>
      <c r="W28" s="9">
        <v>98797870.53199999</v>
      </c>
      <c r="X28" s="9">
        <v>1156551513.5809999</v>
      </c>
      <c r="Y28" s="9">
        <v>67508540.790000007</v>
      </c>
      <c r="Z28" s="9">
        <v>131039760.41499999</v>
      </c>
      <c r="AA28" s="9">
        <v>556876980.15700006</v>
      </c>
      <c r="AB28" s="9">
        <v>0</v>
      </c>
      <c r="AC28" s="9">
        <v>103602349.685</v>
      </c>
      <c r="AD28" s="9">
        <v>84307281.22299999</v>
      </c>
      <c r="AE28" s="9">
        <v>5464098</v>
      </c>
      <c r="AF28" s="9">
        <v>128862815</v>
      </c>
      <c r="AG28" s="9">
        <v>194543203</v>
      </c>
      <c r="AH28" s="9">
        <v>118832407.848</v>
      </c>
      <c r="AI28" s="9">
        <v>627484424.39099991</v>
      </c>
      <c r="AJ28" s="9">
        <v>11264004.302999999</v>
      </c>
      <c r="AK28" s="9">
        <v>134866253</v>
      </c>
      <c r="AL28" s="9">
        <v>1465422639.2539999</v>
      </c>
      <c r="AM28" s="9">
        <v>25403335.135000002</v>
      </c>
      <c r="AN28" s="9">
        <v>972193668.14700007</v>
      </c>
      <c r="AO28" s="9">
        <v>56299984.479999997</v>
      </c>
      <c r="AP28" s="9">
        <v>24101516.34</v>
      </c>
      <c r="AQ28" s="9">
        <v>793731908</v>
      </c>
      <c r="AR28" s="9">
        <v>0</v>
      </c>
      <c r="AS28" s="9">
        <v>23389976</v>
      </c>
      <c r="AT28" s="9">
        <v>105836022.24700001</v>
      </c>
      <c r="AU28" s="9">
        <v>67823663.027999997</v>
      </c>
      <c r="AV28" s="9">
        <v>107940381.07000001</v>
      </c>
      <c r="AW28" s="9">
        <v>279763559</v>
      </c>
      <c r="AX28" s="9">
        <v>26626728.501000002</v>
      </c>
      <c r="AY28" s="9">
        <v>992.55</v>
      </c>
      <c r="AZ28" s="9">
        <v>60768168.711999997</v>
      </c>
      <c r="BA28" s="9">
        <v>25753754.737999998</v>
      </c>
      <c r="BB28" s="9">
        <v>454506318.69299996</v>
      </c>
      <c r="BC28" s="9">
        <v>34637851.723999999</v>
      </c>
      <c r="BD28" s="9">
        <v>228286904.51999998</v>
      </c>
      <c r="BE28" s="9">
        <v>4097120.2820000001</v>
      </c>
      <c r="BF28" s="9">
        <v>21794299.59</v>
      </c>
      <c r="BG28" s="9">
        <v>35285261</v>
      </c>
      <c r="BH28" s="9">
        <v>698736711</v>
      </c>
      <c r="BI28" s="9">
        <v>84976567.816</v>
      </c>
      <c r="BJ28" s="9">
        <v>83445304.279999986</v>
      </c>
      <c r="BK28" s="9">
        <v>0</v>
      </c>
      <c r="BL28" s="9">
        <v>629737271.99000001</v>
      </c>
      <c r="BM28" s="9">
        <v>14515188.810999999</v>
      </c>
      <c r="BN28" s="9">
        <v>121243566.469</v>
      </c>
      <c r="BO28" s="9">
        <v>73583010.055999994</v>
      </c>
      <c r="BP28" s="9">
        <v>42478355.500999995</v>
      </c>
      <c r="BQ28" s="9">
        <v>344897192.37599999</v>
      </c>
      <c r="BR28" s="9">
        <v>48995264.487999998</v>
      </c>
      <c r="BS28" s="9">
        <v>10755737.290000001</v>
      </c>
      <c r="BT28" s="9">
        <v>689961424</v>
      </c>
      <c r="BU28" s="9">
        <v>194765355.63499999</v>
      </c>
      <c r="BV28" s="9">
        <v>171988138.39000002</v>
      </c>
      <c r="BW28" s="9">
        <v>7522290632</v>
      </c>
      <c r="BX28" s="9">
        <v>0</v>
      </c>
      <c r="BY28" s="9">
        <v>239723749.17400002</v>
      </c>
      <c r="BZ28" s="9">
        <v>3195600375.0209999</v>
      </c>
    </row>
    <row r="29" spans="1:78">
      <c r="A29" s="4" t="s">
        <v>125</v>
      </c>
      <c r="B29" s="9">
        <v>0</v>
      </c>
      <c r="C29" s="9">
        <v>0</v>
      </c>
      <c r="D29" s="9">
        <v>44525.561000000002</v>
      </c>
      <c r="E29" s="9">
        <v>1949779.29</v>
      </c>
      <c r="F29" s="9">
        <v>0</v>
      </c>
      <c r="G29" s="9">
        <v>24134593.250999998</v>
      </c>
      <c r="H29" s="9">
        <v>0</v>
      </c>
      <c r="I29" s="9">
        <v>0</v>
      </c>
      <c r="J29" s="9">
        <v>0</v>
      </c>
      <c r="K29" s="9">
        <v>12371.208000000001</v>
      </c>
      <c r="L29" s="9">
        <v>251032.03600000002</v>
      </c>
      <c r="M29" s="9">
        <v>40145.667999999998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8799088.307</v>
      </c>
      <c r="T29" s="9">
        <v>0</v>
      </c>
      <c r="U29" s="9">
        <v>3470675.4789999998</v>
      </c>
      <c r="V29" s="9">
        <v>0</v>
      </c>
      <c r="W29" s="9">
        <v>64847.875</v>
      </c>
      <c r="X29" s="9">
        <v>5087.3689999999997</v>
      </c>
      <c r="Y29" s="9">
        <v>36159.11</v>
      </c>
      <c r="Z29" s="9">
        <v>0</v>
      </c>
      <c r="AA29" s="9">
        <v>4329.3999999999996</v>
      </c>
      <c r="AB29" s="9">
        <v>9994.5450000000001</v>
      </c>
      <c r="AC29" s="9">
        <v>0</v>
      </c>
      <c r="AD29" s="9">
        <v>0</v>
      </c>
      <c r="AE29" s="9">
        <v>1714032</v>
      </c>
      <c r="AF29" s="9">
        <v>0</v>
      </c>
      <c r="AG29" s="9">
        <v>0</v>
      </c>
      <c r="AH29" s="9">
        <v>0</v>
      </c>
      <c r="AI29" s="9">
        <v>126448.959</v>
      </c>
      <c r="AJ29" s="9">
        <v>0</v>
      </c>
      <c r="AK29" s="9">
        <v>78552498</v>
      </c>
      <c r="AL29" s="9">
        <v>3854132.2569999998</v>
      </c>
      <c r="AM29" s="9">
        <v>0</v>
      </c>
      <c r="AN29" s="9">
        <v>0</v>
      </c>
      <c r="AO29" s="9">
        <v>0</v>
      </c>
      <c r="AP29" s="9">
        <v>0</v>
      </c>
      <c r="AQ29" s="9">
        <v>38469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4056407.34</v>
      </c>
      <c r="AY29" s="9">
        <v>0</v>
      </c>
      <c r="AZ29" s="9">
        <v>0</v>
      </c>
      <c r="BA29" s="9">
        <v>6277138.3210000005</v>
      </c>
      <c r="BB29" s="9">
        <v>2283630.676</v>
      </c>
      <c r="BC29" s="9">
        <v>172766.261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4879424.6830000002</v>
      </c>
      <c r="BJ29" s="9">
        <v>683259.51</v>
      </c>
      <c r="BK29" s="9">
        <v>0</v>
      </c>
      <c r="BL29" s="9">
        <v>38932.798999999999</v>
      </c>
      <c r="BM29" s="9">
        <v>9991.7549999999992</v>
      </c>
      <c r="BN29" s="9">
        <v>0</v>
      </c>
      <c r="BO29" s="9">
        <v>0</v>
      </c>
      <c r="BP29" s="9">
        <v>3372.39</v>
      </c>
      <c r="BQ29" s="9">
        <v>85672.585999999996</v>
      </c>
      <c r="BR29" s="9">
        <v>38119.69</v>
      </c>
      <c r="BS29" s="9">
        <v>0</v>
      </c>
      <c r="BT29" s="9">
        <v>64905</v>
      </c>
      <c r="BU29" s="9">
        <v>0</v>
      </c>
      <c r="BV29" s="9">
        <v>0</v>
      </c>
      <c r="BW29" s="9">
        <v>4196</v>
      </c>
      <c r="BX29" s="9">
        <v>0</v>
      </c>
      <c r="BY29" s="9">
        <v>0</v>
      </c>
      <c r="BZ29" s="9">
        <v>948280.91100000008</v>
      </c>
    </row>
    <row r="30" spans="1:78">
      <c r="A30" s="4" t="s">
        <v>127</v>
      </c>
      <c r="B30" s="9">
        <v>0</v>
      </c>
      <c r="C30" s="9">
        <v>3535100.06</v>
      </c>
      <c r="D30" s="9">
        <v>44910.491999999998</v>
      </c>
      <c r="E30" s="9">
        <v>0</v>
      </c>
      <c r="F30" s="9">
        <v>0</v>
      </c>
      <c r="G30" s="9">
        <v>0</v>
      </c>
      <c r="H30" s="9">
        <v>0</v>
      </c>
      <c r="I30" s="9">
        <v>74400</v>
      </c>
      <c r="J30" s="9">
        <v>0</v>
      </c>
      <c r="K30" s="9">
        <v>77001.506999999998</v>
      </c>
      <c r="L30" s="9">
        <v>40376.023000000001</v>
      </c>
      <c r="M30" s="9">
        <v>37908.027999999998</v>
      </c>
      <c r="N30" s="9">
        <v>0</v>
      </c>
      <c r="O30" s="9">
        <v>2144768.7760000001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188362.4</v>
      </c>
      <c r="V30" s="9">
        <v>0</v>
      </c>
      <c r="W30" s="9">
        <v>552651.41399999999</v>
      </c>
      <c r="X30" s="9">
        <v>4216.9480000000003</v>
      </c>
      <c r="Y30" s="9">
        <v>201004.55</v>
      </c>
      <c r="Z30" s="9">
        <v>0</v>
      </c>
      <c r="AA30" s="9">
        <v>0</v>
      </c>
      <c r="AB30" s="9">
        <v>12150794.509</v>
      </c>
      <c r="AC30" s="9">
        <v>0</v>
      </c>
      <c r="AD30" s="9">
        <v>0</v>
      </c>
      <c r="AE30" s="9">
        <v>0</v>
      </c>
      <c r="AF30" s="9">
        <v>219631</v>
      </c>
      <c r="AG30" s="9">
        <v>52550</v>
      </c>
      <c r="AH30" s="9">
        <v>0</v>
      </c>
      <c r="AI30" s="9">
        <v>8853.4269999999997</v>
      </c>
      <c r="AJ30" s="9">
        <v>0</v>
      </c>
      <c r="AK30" s="9">
        <v>36000</v>
      </c>
      <c r="AL30" s="9">
        <v>481421.87800000003</v>
      </c>
      <c r="AM30" s="9">
        <v>0</v>
      </c>
      <c r="AN30" s="9">
        <v>12833.538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76520.298999999999</v>
      </c>
      <c r="AY30" s="9">
        <v>0</v>
      </c>
      <c r="AZ30" s="9">
        <v>34524.225999999995</v>
      </c>
      <c r="BA30" s="9">
        <v>6977501.1239999998</v>
      </c>
      <c r="BB30" s="9">
        <v>128472.012</v>
      </c>
      <c r="BC30" s="9">
        <v>91397.981</v>
      </c>
      <c r="BD30" s="9">
        <v>4410663.0920000002</v>
      </c>
      <c r="BE30" s="9">
        <v>0</v>
      </c>
      <c r="BF30" s="9">
        <v>619558.39</v>
      </c>
      <c r="BG30" s="9">
        <v>7191699</v>
      </c>
      <c r="BH30" s="9">
        <v>0</v>
      </c>
      <c r="BI30" s="9">
        <v>27.032</v>
      </c>
      <c r="BJ30" s="9">
        <v>0</v>
      </c>
      <c r="BK30" s="9">
        <v>0</v>
      </c>
      <c r="BL30" s="9">
        <v>0</v>
      </c>
      <c r="BM30" s="9">
        <v>0</v>
      </c>
      <c r="BN30" s="9">
        <v>429002.69199999998</v>
      </c>
      <c r="BO30" s="9">
        <v>0</v>
      </c>
      <c r="BP30" s="9">
        <v>8366.0830000000005</v>
      </c>
      <c r="BQ30" s="9">
        <v>848.24300000000005</v>
      </c>
      <c r="BR30" s="9">
        <v>1130346.8870000001</v>
      </c>
      <c r="BS30" s="9">
        <v>21515.587</v>
      </c>
      <c r="BT30" s="9">
        <v>0</v>
      </c>
      <c r="BU30" s="9">
        <v>0</v>
      </c>
      <c r="BV30" s="9">
        <v>4980.1499999999996</v>
      </c>
      <c r="BW30" s="9">
        <v>632160</v>
      </c>
      <c r="BX30" s="9">
        <v>0</v>
      </c>
      <c r="BY30" s="9">
        <v>807971.15</v>
      </c>
      <c r="BZ30" s="9">
        <v>20204939.171999998</v>
      </c>
    </row>
    <row r="31" spans="1:78">
      <c r="A31" s="4" t="s">
        <v>129</v>
      </c>
      <c r="B31" s="9">
        <v>0</v>
      </c>
      <c r="C31" s="9">
        <v>0</v>
      </c>
      <c r="D31" s="9">
        <v>2906313.8109999998</v>
      </c>
      <c r="E31" s="9">
        <v>17526200.149</v>
      </c>
      <c r="F31" s="9">
        <v>0</v>
      </c>
      <c r="G31" s="9">
        <v>540378.66599999997</v>
      </c>
      <c r="H31" s="9">
        <v>0</v>
      </c>
      <c r="I31" s="9">
        <v>0</v>
      </c>
      <c r="J31" s="9">
        <v>0</v>
      </c>
      <c r="K31" s="9">
        <v>0</v>
      </c>
      <c r="L31" s="9">
        <v>699228.03200000012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4325.0739999999996</v>
      </c>
      <c r="T31" s="9">
        <v>482504</v>
      </c>
      <c r="U31" s="9">
        <v>60737799.435999997</v>
      </c>
      <c r="V31" s="9">
        <v>58417.612999999998</v>
      </c>
      <c r="W31" s="9">
        <v>0</v>
      </c>
      <c r="X31" s="9">
        <v>33659.892</v>
      </c>
      <c r="Y31" s="9">
        <v>0</v>
      </c>
      <c r="Z31" s="9">
        <v>10877.562</v>
      </c>
      <c r="AA31" s="9">
        <v>2602478.409</v>
      </c>
      <c r="AB31" s="9">
        <v>7057.4589999999998</v>
      </c>
      <c r="AC31" s="9">
        <v>819472.94299999997</v>
      </c>
      <c r="AD31" s="9">
        <v>25544.142</v>
      </c>
      <c r="AE31" s="9">
        <v>0</v>
      </c>
      <c r="AF31" s="9">
        <v>971451</v>
      </c>
      <c r="AG31" s="9">
        <v>0</v>
      </c>
      <c r="AH31" s="9">
        <v>0</v>
      </c>
      <c r="AI31" s="9">
        <v>32099.621999999999</v>
      </c>
      <c r="AJ31" s="9">
        <v>0</v>
      </c>
      <c r="AK31" s="9">
        <v>0</v>
      </c>
      <c r="AL31" s="9">
        <v>2618764.4780000001</v>
      </c>
      <c r="AM31" s="9">
        <v>0</v>
      </c>
      <c r="AN31" s="9">
        <v>0</v>
      </c>
      <c r="AO31" s="9">
        <v>0</v>
      </c>
      <c r="AP31" s="9">
        <v>0</v>
      </c>
      <c r="AQ31" s="9">
        <v>6769</v>
      </c>
      <c r="AR31" s="9">
        <v>0</v>
      </c>
      <c r="AS31" s="9">
        <v>182713</v>
      </c>
      <c r="AT31" s="9">
        <v>48365.144999999997</v>
      </c>
      <c r="AU31" s="9">
        <v>38001.186000000002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37665.768000000004</v>
      </c>
      <c r="BB31" s="9">
        <v>8999797.7129999995</v>
      </c>
      <c r="BC31" s="9">
        <v>1524.953</v>
      </c>
      <c r="BD31" s="9">
        <v>0</v>
      </c>
      <c r="BE31" s="9">
        <v>0</v>
      </c>
      <c r="BF31" s="9">
        <v>0</v>
      </c>
      <c r="BG31" s="9">
        <v>0</v>
      </c>
      <c r="BH31" s="9">
        <v>265638</v>
      </c>
      <c r="BI31" s="9">
        <v>16508.809000000001</v>
      </c>
      <c r="BJ31" s="9">
        <v>920720.49</v>
      </c>
      <c r="BK31" s="9">
        <v>0</v>
      </c>
      <c r="BL31" s="9">
        <v>0</v>
      </c>
      <c r="BM31" s="9">
        <v>0</v>
      </c>
      <c r="BN31" s="9">
        <v>0</v>
      </c>
      <c r="BO31" s="9">
        <v>217334.99199999997</v>
      </c>
      <c r="BP31" s="9">
        <v>26347208.390000001</v>
      </c>
      <c r="BQ31" s="9">
        <v>0</v>
      </c>
      <c r="BR31" s="9">
        <v>0</v>
      </c>
      <c r="BS31" s="9">
        <v>0</v>
      </c>
      <c r="BT31" s="9">
        <v>346580</v>
      </c>
      <c r="BU31" s="9">
        <v>0</v>
      </c>
      <c r="BV31" s="9">
        <v>0</v>
      </c>
      <c r="BW31" s="9">
        <v>129629</v>
      </c>
      <c r="BX31" s="9">
        <v>0</v>
      </c>
      <c r="BY31" s="9">
        <v>0</v>
      </c>
      <c r="BZ31" s="9">
        <v>9268007.8839999996</v>
      </c>
    </row>
    <row r="32" spans="1:78">
      <c r="A32" s="4" t="s">
        <v>131</v>
      </c>
      <c r="B32" s="9">
        <v>5346101.54</v>
      </c>
      <c r="C32" s="9">
        <v>238551541.706</v>
      </c>
      <c r="D32" s="9">
        <v>293113446.16299999</v>
      </c>
      <c r="E32" s="9">
        <v>209191264.05699998</v>
      </c>
      <c r="F32" s="9">
        <v>0</v>
      </c>
      <c r="G32" s="9">
        <v>188277083.26100001</v>
      </c>
      <c r="H32" s="9">
        <v>0</v>
      </c>
      <c r="I32" s="9">
        <v>60746816</v>
      </c>
      <c r="J32" s="9">
        <v>486545.99</v>
      </c>
      <c r="K32" s="9">
        <v>184561742.61199999</v>
      </c>
      <c r="L32" s="9">
        <v>288748150.75200003</v>
      </c>
      <c r="M32" s="9">
        <v>18247788.113000002</v>
      </c>
      <c r="N32" s="9">
        <v>169767326</v>
      </c>
      <c r="O32" s="9">
        <v>1970835.399</v>
      </c>
      <c r="P32" s="9">
        <v>0</v>
      </c>
      <c r="Q32" s="9">
        <v>59492680</v>
      </c>
      <c r="R32" s="9">
        <v>38335331.420000002</v>
      </c>
      <c r="S32" s="9">
        <v>3332080.63</v>
      </c>
      <c r="T32" s="9">
        <v>145099105</v>
      </c>
      <c r="U32" s="9">
        <v>2100235586.622</v>
      </c>
      <c r="V32" s="9">
        <v>34347006.535000004</v>
      </c>
      <c r="W32" s="9">
        <v>32193107.322999999</v>
      </c>
      <c r="X32" s="9">
        <v>380222627.25100005</v>
      </c>
      <c r="Y32" s="9">
        <v>250456.91999999998</v>
      </c>
      <c r="Z32" s="9">
        <v>19575955.32</v>
      </c>
      <c r="AA32" s="9">
        <v>257569245.58200002</v>
      </c>
      <c r="AB32" s="9">
        <v>1200244224.3989999</v>
      </c>
      <c r="AC32" s="9">
        <v>101829062.661</v>
      </c>
      <c r="AD32" s="9">
        <v>0</v>
      </c>
      <c r="AE32" s="9">
        <v>195656763</v>
      </c>
      <c r="AF32" s="9">
        <v>0</v>
      </c>
      <c r="AG32" s="9">
        <v>2212597</v>
      </c>
      <c r="AH32" s="9">
        <v>17047287.151000001</v>
      </c>
      <c r="AI32" s="9">
        <v>25020660.749000002</v>
      </c>
      <c r="AJ32" s="9">
        <v>4843474.5439999998</v>
      </c>
      <c r="AK32" s="9">
        <v>103851202</v>
      </c>
      <c r="AL32" s="9">
        <v>964768102.40100002</v>
      </c>
      <c r="AM32" s="9">
        <v>565783.54700000002</v>
      </c>
      <c r="AN32" s="9">
        <v>285678519.64399999</v>
      </c>
      <c r="AO32" s="9">
        <v>823928.54</v>
      </c>
      <c r="AP32" s="9">
        <v>0</v>
      </c>
      <c r="AQ32" s="9">
        <v>85852868</v>
      </c>
      <c r="AR32" s="9">
        <v>0</v>
      </c>
      <c r="AS32" s="9">
        <v>1623924</v>
      </c>
      <c r="AT32" s="9">
        <v>29594977.054000001</v>
      </c>
      <c r="AU32" s="9">
        <v>37631.392</v>
      </c>
      <c r="AV32" s="9">
        <v>94184617.844999999</v>
      </c>
      <c r="AW32" s="9">
        <v>163829089</v>
      </c>
      <c r="AX32" s="9">
        <v>3918975.9369999999</v>
      </c>
      <c r="AY32" s="9">
        <v>0</v>
      </c>
      <c r="AZ32" s="9">
        <v>0</v>
      </c>
      <c r="BA32" s="9">
        <v>187151.18100000001</v>
      </c>
      <c r="BB32" s="9">
        <v>104584508.142</v>
      </c>
      <c r="BC32" s="9">
        <v>7045029.148</v>
      </c>
      <c r="BD32" s="9">
        <v>33522857.978</v>
      </c>
      <c r="BE32" s="9">
        <v>33661.055</v>
      </c>
      <c r="BF32" s="9">
        <v>14176604.460000001</v>
      </c>
      <c r="BG32" s="9">
        <v>48000</v>
      </c>
      <c r="BH32" s="9">
        <v>349076809</v>
      </c>
      <c r="BI32" s="9">
        <v>94935243.188999996</v>
      </c>
      <c r="BJ32" s="9">
        <v>236883016.40999997</v>
      </c>
      <c r="BK32" s="9">
        <v>0</v>
      </c>
      <c r="BL32" s="9">
        <v>35142305.254999995</v>
      </c>
      <c r="BM32" s="9">
        <v>1131763.4509999999</v>
      </c>
      <c r="BN32" s="9">
        <v>18086109.726</v>
      </c>
      <c r="BO32" s="9">
        <v>114891665.58099999</v>
      </c>
      <c r="BP32" s="9">
        <v>68096154.724999994</v>
      </c>
      <c r="BQ32" s="9">
        <v>48299640.649000004</v>
      </c>
      <c r="BR32" s="9">
        <v>13205057.009</v>
      </c>
      <c r="BS32" s="9">
        <v>4699882.92</v>
      </c>
      <c r="BT32" s="9">
        <v>323457535</v>
      </c>
      <c r="BU32" s="9">
        <v>105238369.86</v>
      </c>
      <c r="BV32" s="9">
        <v>193310340.93000004</v>
      </c>
      <c r="BW32" s="9">
        <v>1183012793</v>
      </c>
      <c r="BX32" s="9">
        <v>0</v>
      </c>
      <c r="BY32" s="9">
        <v>34394259.553999998</v>
      </c>
      <c r="BZ32" s="9">
        <v>269704469.11299998</v>
      </c>
    </row>
    <row r="33" spans="1:78">
      <c r="A33" s="4" t="s">
        <v>133</v>
      </c>
      <c r="B33" s="9">
        <v>0</v>
      </c>
      <c r="C33" s="9">
        <v>29805620.41</v>
      </c>
      <c r="D33" s="9">
        <v>0</v>
      </c>
      <c r="E33" s="9">
        <v>1748992.703</v>
      </c>
      <c r="F33" s="9">
        <v>0</v>
      </c>
      <c r="G33" s="9">
        <v>0</v>
      </c>
      <c r="H33" s="9">
        <v>0</v>
      </c>
      <c r="I33" s="9">
        <v>164461</v>
      </c>
      <c r="J33" s="9">
        <v>38907493.225999996</v>
      </c>
      <c r="K33" s="9">
        <v>48749.224999999999</v>
      </c>
      <c r="L33" s="9">
        <v>140353.158</v>
      </c>
      <c r="M33" s="9">
        <v>85153764.816</v>
      </c>
      <c r="N33" s="9">
        <v>209925</v>
      </c>
      <c r="O33" s="9">
        <v>6162761.0299999993</v>
      </c>
      <c r="P33" s="9">
        <v>0</v>
      </c>
      <c r="Q33" s="9">
        <v>1992274.77</v>
      </c>
      <c r="R33" s="9">
        <v>52974275.420000002</v>
      </c>
      <c r="S33" s="9">
        <v>0</v>
      </c>
      <c r="T33" s="9">
        <v>14362</v>
      </c>
      <c r="U33" s="9">
        <v>153561.769</v>
      </c>
      <c r="V33" s="9">
        <v>0</v>
      </c>
      <c r="W33" s="9">
        <v>22684262.379000001</v>
      </c>
      <c r="X33" s="9">
        <v>0</v>
      </c>
      <c r="Y33" s="9">
        <v>0</v>
      </c>
      <c r="Z33" s="9">
        <v>771651.67599999998</v>
      </c>
      <c r="AA33" s="9">
        <v>39457.654000000002</v>
      </c>
      <c r="AB33" s="9">
        <v>841573.96200000006</v>
      </c>
      <c r="AC33" s="9">
        <v>0</v>
      </c>
      <c r="AD33" s="9">
        <v>23610.45</v>
      </c>
      <c r="AE33" s="9">
        <v>0</v>
      </c>
      <c r="AF33" s="9">
        <v>0</v>
      </c>
      <c r="AG33" s="9">
        <v>20803933992.975315</v>
      </c>
      <c r="AH33" s="9">
        <v>14287.477000000001</v>
      </c>
      <c r="AI33" s="9">
        <v>0</v>
      </c>
      <c r="AJ33" s="9">
        <v>0</v>
      </c>
      <c r="AK33" s="9">
        <v>0</v>
      </c>
      <c r="AL33" s="9">
        <v>0</v>
      </c>
      <c r="AM33" s="9">
        <v>2605240.1889999998</v>
      </c>
      <c r="AN33" s="9">
        <v>327345777.72499996</v>
      </c>
      <c r="AO33" s="9">
        <v>28892820.510000002</v>
      </c>
      <c r="AP33" s="9">
        <v>72445226.390000001</v>
      </c>
      <c r="AQ33" s="9">
        <v>444930</v>
      </c>
      <c r="AR33" s="9">
        <v>0</v>
      </c>
      <c r="AS33" s="9">
        <v>2156</v>
      </c>
      <c r="AT33" s="9">
        <v>0</v>
      </c>
      <c r="AU33" s="9">
        <v>0</v>
      </c>
      <c r="AV33" s="9">
        <v>5941208.9350000005</v>
      </c>
      <c r="AW33" s="9">
        <v>616427475</v>
      </c>
      <c r="AX33" s="9">
        <v>0</v>
      </c>
      <c r="AY33" s="9">
        <v>158400</v>
      </c>
      <c r="AZ33" s="9">
        <v>57149146.080000006</v>
      </c>
      <c r="BA33" s="9">
        <v>2232178.6910000001</v>
      </c>
      <c r="BB33" s="9">
        <v>0</v>
      </c>
      <c r="BC33" s="9">
        <v>0</v>
      </c>
      <c r="BD33" s="9">
        <v>0</v>
      </c>
      <c r="BE33" s="9">
        <v>23488004.085999995</v>
      </c>
      <c r="BF33" s="9">
        <v>173529597.52000001</v>
      </c>
      <c r="BG33" s="9">
        <v>2291355219</v>
      </c>
      <c r="BH33" s="9">
        <v>0</v>
      </c>
      <c r="BI33" s="9">
        <v>0</v>
      </c>
      <c r="BJ33" s="9">
        <v>0</v>
      </c>
      <c r="BK33" s="9">
        <v>0</v>
      </c>
      <c r="BL33" s="9">
        <v>974013006.31599998</v>
      </c>
      <c r="BM33" s="9">
        <v>436708.62199999997</v>
      </c>
      <c r="BN33" s="9">
        <v>1534263.1710000001</v>
      </c>
      <c r="BO33" s="9">
        <v>0</v>
      </c>
      <c r="BP33" s="9">
        <v>0</v>
      </c>
      <c r="BQ33" s="9">
        <v>0</v>
      </c>
      <c r="BR33" s="9">
        <v>507411687.60000002</v>
      </c>
      <c r="BS33" s="9">
        <v>11400513.855</v>
      </c>
      <c r="BT33" s="9">
        <v>510200</v>
      </c>
      <c r="BU33" s="9">
        <v>12670629.460999999</v>
      </c>
      <c r="BV33" s="9">
        <v>9346</v>
      </c>
      <c r="BW33" s="9">
        <v>50903</v>
      </c>
      <c r="BX33" s="9">
        <v>0</v>
      </c>
      <c r="BY33" s="9">
        <v>25434867.664999999</v>
      </c>
      <c r="BZ33" s="9">
        <v>1403371746.6959999</v>
      </c>
    </row>
    <row r="34" spans="1:78">
      <c r="A34" s="4" t="s">
        <v>135</v>
      </c>
      <c r="B34" s="9">
        <v>5865471.7999999998</v>
      </c>
      <c r="C34" s="9">
        <v>187434384.74199998</v>
      </c>
      <c r="D34" s="9">
        <v>878854.05299999996</v>
      </c>
      <c r="E34" s="9">
        <v>623814.17500000005</v>
      </c>
      <c r="F34" s="9">
        <v>0</v>
      </c>
      <c r="G34" s="9">
        <v>0</v>
      </c>
      <c r="H34" s="9">
        <v>0</v>
      </c>
      <c r="I34" s="9">
        <v>11137967</v>
      </c>
      <c r="J34" s="9">
        <v>26371674.188000001</v>
      </c>
      <c r="K34" s="9">
        <v>474768.424</v>
      </c>
      <c r="L34" s="9">
        <v>0</v>
      </c>
      <c r="M34" s="9">
        <v>315292612.676</v>
      </c>
      <c r="N34" s="9">
        <v>69627970</v>
      </c>
      <c r="O34" s="9">
        <v>150272100.38</v>
      </c>
      <c r="P34" s="9">
        <v>0</v>
      </c>
      <c r="Q34" s="9">
        <v>84495608.489999995</v>
      </c>
      <c r="R34" s="9">
        <v>42328075.030000001</v>
      </c>
      <c r="S34" s="9">
        <v>0</v>
      </c>
      <c r="T34" s="9">
        <v>1811936</v>
      </c>
      <c r="U34" s="9">
        <v>60803208.618000001</v>
      </c>
      <c r="V34" s="9">
        <v>48174.211000000003</v>
      </c>
      <c r="W34" s="9">
        <v>42292430.446000002</v>
      </c>
      <c r="X34" s="9">
        <v>5879152.6409999998</v>
      </c>
      <c r="Y34" s="9">
        <v>0</v>
      </c>
      <c r="Z34" s="9">
        <v>6634579.9129999997</v>
      </c>
      <c r="AA34" s="9">
        <v>7042060.318</v>
      </c>
      <c r="AB34" s="9">
        <v>2061436.649</v>
      </c>
      <c r="AC34" s="9">
        <v>1559421.8230000001</v>
      </c>
      <c r="AD34" s="9">
        <v>2058021.6580000001</v>
      </c>
      <c r="AE34" s="9">
        <v>3792</v>
      </c>
      <c r="AF34" s="9">
        <v>0</v>
      </c>
      <c r="AG34" s="9">
        <v>672087204</v>
      </c>
      <c r="AH34" s="9">
        <v>27604424475.000031</v>
      </c>
      <c r="AI34" s="9">
        <v>102536.70299999999</v>
      </c>
      <c r="AJ34" s="9">
        <v>0</v>
      </c>
      <c r="AK34" s="9">
        <v>26153201</v>
      </c>
      <c r="AL34" s="9">
        <v>8273739.8900000006</v>
      </c>
      <c r="AM34" s="9">
        <v>19790467.504000001</v>
      </c>
      <c r="AN34" s="9">
        <v>105902110.597</v>
      </c>
      <c r="AO34" s="9">
        <v>37395127.18</v>
      </c>
      <c r="AP34" s="9">
        <v>14817802.860000001</v>
      </c>
      <c r="AQ34" s="9">
        <v>3936571</v>
      </c>
      <c r="AR34" s="9">
        <v>0</v>
      </c>
      <c r="AS34" s="9">
        <v>4636</v>
      </c>
      <c r="AT34" s="9">
        <v>1443984.9790000001</v>
      </c>
      <c r="AU34" s="9">
        <v>4379.1379999999999</v>
      </c>
      <c r="AV34" s="9">
        <v>88157744.008000001</v>
      </c>
      <c r="AW34" s="9">
        <v>1169854593</v>
      </c>
      <c r="AX34" s="9">
        <v>0</v>
      </c>
      <c r="AY34" s="9">
        <v>303984.43</v>
      </c>
      <c r="AZ34" s="9">
        <v>1130923.632</v>
      </c>
      <c r="BA34" s="9">
        <v>16377555.071999999</v>
      </c>
      <c r="BB34" s="9">
        <v>193924.44500000001</v>
      </c>
      <c r="BC34" s="9">
        <v>13268065.898</v>
      </c>
      <c r="BD34" s="9">
        <v>13173490.473999999</v>
      </c>
      <c r="BE34" s="9">
        <v>0</v>
      </c>
      <c r="BF34" s="9">
        <v>234713935.30000001</v>
      </c>
      <c r="BG34" s="9">
        <v>76430888</v>
      </c>
      <c r="BH34" s="9">
        <v>9482465</v>
      </c>
      <c r="BI34" s="9">
        <v>195.709</v>
      </c>
      <c r="BJ34" s="9">
        <v>19899.189999999999</v>
      </c>
      <c r="BK34" s="9">
        <v>0</v>
      </c>
      <c r="BL34" s="9">
        <v>1755822551.3050001</v>
      </c>
      <c r="BM34" s="9">
        <v>30533261.186999999</v>
      </c>
      <c r="BN34" s="9">
        <v>1353843.9190000002</v>
      </c>
      <c r="BO34" s="9">
        <v>0</v>
      </c>
      <c r="BP34" s="9">
        <v>271191.91200000001</v>
      </c>
      <c r="BQ34" s="9">
        <v>0</v>
      </c>
      <c r="BR34" s="9">
        <v>15541247.060000001</v>
      </c>
      <c r="BS34" s="9">
        <v>120832991.45200001</v>
      </c>
      <c r="BT34" s="9">
        <v>140479271</v>
      </c>
      <c r="BU34" s="9">
        <v>198916.473</v>
      </c>
      <c r="BV34" s="9">
        <v>2385160.92</v>
      </c>
      <c r="BW34" s="9">
        <v>58110969</v>
      </c>
      <c r="BX34" s="9">
        <v>0</v>
      </c>
      <c r="BY34" s="9">
        <v>1503554991.1259999</v>
      </c>
      <c r="BZ34" s="9">
        <v>2631714522.6169996</v>
      </c>
    </row>
    <row r="35" spans="1:78">
      <c r="A35" s="4" t="s">
        <v>137</v>
      </c>
      <c r="B35" s="9">
        <v>0</v>
      </c>
      <c r="C35" s="9">
        <v>442978.46600000001</v>
      </c>
      <c r="D35" s="9">
        <v>289455.609</v>
      </c>
      <c r="E35" s="9">
        <v>326489.06</v>
      </c>
      <c r="F35" s="9">
        <v>0</v>
      </c>
      <c r="G35" s="9">
        <v>667.23199999999997</v>
      </c>
      <c r="H35" s="9">
        <v>0</v>
      </c>
      <c r="I35" s="9">
        <v>0</v>
      </c>
      <c r="J35" s="9">
        <v>0</v>
      </c>
      <c r="K35" s="9">
        <v>300783.31699999998</v>
      </c>
      <c r="L35" s="9">
        <v>568120.27300000004</v>
      </c>
      <c r="M35" s="9">
        <v>25466.26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3598248.9569999999</v>
      </c>
      <c r="T35" s="9">
        <v>352401</v>
      </c>
      <c r="U35" s="9">
        <v>5499019.7149999999</v>
      </c>
      <c r="V35" s="9">
        <v>70206.510999999999</v>
      </c>
      <c r="W35" s="9">
        <v>20336.807000000001</v>
      </c>
      <c r="X35" s="9">
        <v>340816.51800000004</v>
      </c>
      <c r="Y35" s="9">
        <v>100484.16</v>
      </c>
      <c r="Z35" s="9">
        <v>0</v>
      </c>
      <c r="AA35" s="9">
        <v>3024153.7080000001</v>
      </c>
      <c r="AB35" s="9">
        <v>80288229.691</v>
      </c>
      <c r="AC35" s="9">
        <v>17346.792000000001</v>
      </c>
      <c r="AD35" s="9">
        <v>51088.284</v>
      </c>
      <c r="AE35" s="9">
        <v>34519</v>
      </c>
      <c r="AF35" s="9">
        <v>122296</v>
      </c>
      <c r="AG35" s="9">
        <v>0</v>
      </c>
      <c r="AH35" s="9">
        <v>0</v>
      </c>
      <c r="AI35" s="9">
        <v>0</v>
      </c>
      <c r="AJ35" s="9">
        <v>0</v>
      </c>
      <c r="AK35" s="9">
        <v>985000</v>
      </c>
      <c r="AL35" s="9">
        <v>214526.93799999999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103362</v>
      </c>
      <c r="AT35" s="9">
        <v>0</v>
      </c>
      <c r="AU35" s="9">
        <v>0</v>
      </c>
      <c r="AV35" s="9">
        <v>127050.21799999999</v>
      </c>
      <c r="AW35" s="9">
        <v>0</v>
      </c>
      <c r="AX35" s="9">
        <v>126227.298</v>
      </c>
      <c r="AY35" s="9">
        <v>0</v>
      </c>
      <c r="AZ35" s="9">
        <v>0</v>
      </c>
      <c r="BA35" s="9">
        <v>409664.01500000001</v>
      </c>
      <c r="BB35" s="9">
        <v>7302267.6120000007</v>
      </c>
      <c r="BC35" s="9">
        <v>14203.484</v>
      </c>
      <c r="BD35" s="9">
        <v>126005.299</v>
      </c>
      <c r="BE35" s="9">
        <v>0</v>
      </c>
      <c r="BF35" s="9">
        <v>0</v>
      </c>
      <c r="BG35" s="9">
        <v>69084</v>
      </c>
      <c r="BH35" s="9">
        <v>0</v>
      </c>
      <c r="BI35" s="9">
        <v>896995.57799999998</v>
      </c>
      <c r="BJ35" s="9">
        <v>390974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15696.342000000001</v>
      </c>
      <c r="BQ35" s="9">
        <v>585947.71199999994</v>
      </c>
      <c r="BR35" s="9">
        <v>0</v>
      </c>
      <c r="BS35" s="9">
        <v>32302.57</v>
      </c>
      <c r="BT35" s="9">
        <v>10302426</v>
      </c>
      <c r="BU35" s="9">
        <v>0</v>
      </c>
      <c r="BV35" s="9">
        <v>12226.27</v>
      </c>
      <c r="BW35" s="9">
        <v>526794</v>
      </c>
      <c r="BX35" s="9">
        <v>0</v>
      </c>
      <c r="BY35" s="9">
        <v>0</v>
      </c>
      <c r="BZ35" s="9">
        <v>7026974.2239999995</v>
      </c>
    </row>
    <row r="36" spans="1:78">
      <c r="A36" s="4" t="s">
        <v>139</v>
      </c>
      <c r="B36" s="9">
        <v>0</v>
      </c>
      <c r="C36" s="9">
        <v>0</v>
      </c>
      <c r="D36" s="9">
        <v>0</v>
      </c>
      <c r="E36" s="9">
        <v>10812.686</v>
      </c>
      <c r="F36" s="9">
        <v>0</v>
      </c>
      <c r="G36" s="9">
        <v>29783.300999999999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303326.12300000002</v>
      </c>
      <c r="V36" s="9">
        <v>243735.329</v>
      </c>
      <c r="W36" s="9">
        <v>0</v>
      </c>
      <c r="X36" s="9">
        <v>60214.455000000002</v>
      </c>
      <c r="Y36" s="9">
        <v>0</v>
      </c>
      <c r="Z36" s="9">
        <v>364398.33799999999</v>
      </c>
      <c r="AA36" s="9">
        <v>0</v>
      </c>
      <c r="AB36" s="9">
        <v>22926.174999999999</v>
      </c>
      <c r="AC36" s="9">
        <v>0</v>
      </c>
      <c r="AD36" s="9">
        <v>0</v>
      </c>
      <c r="AE36" s="9">
        <v>0</v>
      </c>
      <c r="AF36" s="9">
        <v>10246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798528</v>
      </c>
      <c r="AT36" s="9">
        <v>0</v>
      </c>
      <c r="AU36" s="9">
        <v>14975.571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53667.331000000006</v>
      </c>
      <c r="BB36" s="9">
        <v>232749.55799999999</v>
      </c>
      <c r="BC36" s="9">
        <v>212671.867</v>
      </c>
      <c r="BD36" s="9">
        <v>0</v>
      </c>
      <c r="BE36" s="9">
        <v>0</v>
      </c>
      <c r="BF36" s="9">
        <v>0</v>
      </c>
      <c r="BG36" s="9">
        <v>0</v>
      </c>
      <c r="BH36" s="9">
        <v>49079</v>
      </c>
      <c r="BI36" s="9">
        <v>0</v>
      </c>
      <c r="BJ36" s="9">
        <v>17866.900000000001</v>
      </c>
      <c r="BK36" s="9">
        <v>0</v>
      </c>
      <c r="BL36" s="9">
        <v>0</v>
      </c>
      <c r="BM36" s="9">
        <v>5941666.4630000005</v>
      </c>
      <c r="BN36" s="9">
        <v>0</v>
      </c>
      <c r="BO36" s="9">
        <v>0</v>
      </c>
      <c r="BP36" s="9">
        <v>0</v>
      </c>
      <c r="BQ36" s="9">
        <v>10838.665999999999</v>
      </c>
      <c r="BR36" s="9">
        <v>0</v>
      </c>
      <c r="BS36" s="9">
        <v>66589.282000000007</v>
      </c>
      <c r="BT36" s="9">
        <v>0</v>
      </c>
      <c r="BU36" s="9">
        <v>0</v>
      </c>
      <c r="BV36" s="9">
        <v>18539.310000000001</v>
      </c>
      <c r="BW36" s="9">
        <v>0</v>
      </c>
      <c r="BX36" s="9">
        <v>0</v>
      </c>
      <c r="BY36" s="9">
        <v>0</v>
      </c>
      <c r="BZ36" s="9">
        <v>47229.328999999998</v>
      </c>
    </row>
    <row r="37" spans="1:78">
      <c r="A37" s="4" t="s">
        <v>141</v>
      </c>
      <c r="B37" s="9">
        <v>0</v>
      </c>
      <c r="C37" s="9">
        <v>0</v>
      </c>
      <c r="D37" s="9">
        <v>27031.715</v>
      </c>
      <c r="E37" s="9">
        <v>60287.084000000003</v>
      </c>
      <c r="F37" s="9">
        <v>0</v>
      </c>
      <c r="G37" s="9">
        <v>1182016.797</v>
      </c>
      <c r="H37" s="9">
        <v>0</v>
      </c>
      <c r="I37" s="9">
        <v>0</v>
      </c>
      <c r="J37" s="9">
        <v>0</v>
      </c>
      <c r="K37" s="9">
        <v>0</v>
      </c>
      <c r="L37" s="9">
        <v>11515.027</v>
      </c>
      <c r="M37" s="9">
        <v>0</v>
      </c>
      <c r="N37" s="9">
        <v>0</v>
      </c>
      <c r="O37" s="9">
        <v>54696.574000000001</v>
      </c>
      <c r="P37" s="9">
        <v>0</v>
      </c>
      <c r="Q37" s="9">
        <v>0</v>
      </c>
      <c r="R37" s="9">
        <v>0</v>
      </c>
      <c r="S37" s="9">
        <v>441232.20400000003</v>
      </c>
      <c r="T37" s="9">
        <v>338729</v>
      </c>
      <c r="U37" s="9">
        <v>298970.77300000004</v>
      </c>
      <c r="V37" s="9">
        <v>0</v>
      </c>
      <c r="W37" s="9">
        <v>20959.602999999999</v>
      </c>
      <c r="X37" s="9">
        <v>33398.614000000001</v>
      </c>
      <c r="Y37" s="9">
        <v>0</v>
      </c>
      <c r="Z37" s="9">
        <v>0</v>
      </c>
      <c r="AA37" s="9">
        <v>53554.152999999998</v>
      </c>
      <c r="AB37" s="9">
        <v>2228048.852</v>
      </c>
      <c r="AC37" s="9">
        <v>129752.234</v>
      </c>
      <c r="AD37" s="9">
        <v>0</v>
      </c>
      <c r="AE37" s="9">
        <v>0</v>
      </c>
      <c r="AF37" s="9">
        <v>363023</v>
      </c>
      <c r="AG37" s="9">
        <v>0</v>
      </c>
      <c r="AH37" s="9">
        <v>0</v>
      </c>
      <c r="AI37" s="9">
        <v>767.70100000000002</v>
      </c>
      <c r="AJ37" s="9">
        <v>0</v>
      </c>
      <c r="AK37" s="9">
        <v>18138261466.849613</v>
      </c>
      <c r="AL37" s="9">
        <v>62713.58</v>
      </c>
      <c r="AM37" s="9">
        <v>0</v>
      </c>
      <c r="AN37" s="9">
        <v>0</v>
      </c>
      <c r="AO37" s="9">
        <v>0</v>
      </c>
      <c r="AP37" s="9">
        <v>0</v>
      </c>
      <c r="AQ37" s="9">
        <v>1232158</v>
      </c>
      <c r="AR37" s="9">
        <v>0</v>
      </c>
      <c r="AS37" s="9">
        <v>19110</v>
      </c>
      <c r="AT37" s="9">
        <v>4943.6139999999996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59453.646999999997</v>
      </c>
      <c r="BB37" s="9">
        <v>40397.277000000002</v>
      </c>
      <c r="BC37" s="9">
        <v>0</v>
      </c>
      <c r="BD37" s="9">
        <v>0</v>
      </c>
      <c r="BE37" s="9">
        <v>0</v>
      </c>
      <c r="BF37" s="9">
        <v>0</v>
      </c>
      <c r="BG37" s="9">
        <v>6239</v>
      </c>
      <c r="BH37" s="9">
        <v>42402</v>
      </c>
      <c r="BI37" s="9">
        <v>1225839.6410000001</v>
      </c>
      <c r="BJ37" s="9">
        <v>33493.03</v>
      </c>
      <c r="BK37" s="9">
        <v>0</v>
      </c>
      <c r="BL37" s="9">
        <v>0</v>
      </c>
      <c r="BM37" s="9">
        <v>0</v>
      </c>
      <c r="BN37" s="9">
        <v>119262.391</v>
      </c>
      <c r="BO37" s="9">
        <v>0</v>
      </c>
      <c r="BP37" s="9">
        <v>8660.7880000000005</v>
      </c>
      <c r="BQ37" s="9">
        <v>36851.464999999997</v>
      </c>
      <c r="BR37" s="9">
        <v>11399.992</v>
      </c>
      <c r="BS37" s="9">
        <v>0</v>
      </c>
      <c r="BT37" s="9">
        <v>83330</v>
      </c>
      <c r="BU37" s="9">
        <v>0</v>
      </c>
      <c r="BV37" s="9">
        <v>0</v>
      </c>
      <c r="BW37" s="9">
        <v>361634</v>
      </c>
      <c r="BX37" s="9">
        <v>0</v>
      </c>
      <c r="BY37" s="9">
        <v>0</v>
      </c>
      <c r="BZ37" s="9">
        <v>15546697.460000001</v>
      </c>
    </row>
    <row r="38" spans="1:78">
      <c r="A38" s="4" t="s">
        <v>143</v>
      </c>
      <c r="B38" s="9">
        <v>8368515.9000000004</v>
      </c>
      <c r="C38" s="9">
        <v>311368708.22000003</v>
      </c>
      <c r="D38" s="9">
        <v>380375266.55699998</v>
      </c>
      <c r="E38" s="9">
        <v>742135323.21899998</v>
      </c>
      <c r="F38" s="9">
        <v>0</v>
      </c>
      <c r="G38" s="9">
        <v>98340902.066999987</v>
      </c>
      <c r="H38" s="9">
        <v>0</v>
      </c>
      <c r="I38" s="9">
        <v>70801378</v>
      </c>
      <c r="J38" s="9">
        <v>0</v>
      </c>
      <c r="K38" s="9">
        <v>476459034.537</v>
      </c>
      <c r="L38" s="9">
        <v>685125437.25300002</v>
      </c>
      <c r="M38" s="9">
        <v>18286134.048999999</v>
      </c>
      <c r="N38" s="9">
        <v>410007885</v>
      </c>
      <c r="O38" s="9">
        <v>3043576.3629999999</v>
      </c>
      <c r="P38" s="9">
        <v>0</v>
      </c>
      <c r="Q38" s="9">
        <v>799161.53</v>
      </c>
      <c r="R38" s="9">
        <v>2888085.73</v>
      </c>
      <c r="S38" s="9">
        <v>21103162.907000002</v>
      </c>
      <c r="T38" s="9">
        <v>328570703</v>
      </c>
      <c r="U38" s="9">
        <v>4491102719.7480001</v>
      </c>
      <c r="V38" s="9">
        <v>126562958.177</v>
      </c>
      <c r="W38" s="9">
        <v>24420559.822999999</v>
      </c>
      <c r="X38" s="9">
        <v>1030475647.2119999</v>
      </c>
      <c r="Y38" s="9">
        <v>20160257.990000002</v>
      </c>
      <c r="Z38" s="9">
        <v>34360268.752000004</v>
      </c>
      <c r="AA38" s="9">
        <v>2432405043.5489998</v>
      </c>
      <c r="AB38" s="9">
        <v>1564121836.109</v>
      </c>
      <c r="AC38" s="9">
        <v>187602475.71100003</v>
      </c>
      <c r="AD38" s="9">
        <v>38243347.824000001</v>
      </c>
      <c r="AE38" s="9">
        <v>74856079</v>
      </c>
      <c r="AF38" s="9">
        <v>126272091</v>
      </c>
      <c r="AG38" s="9">
        <v>16324124</v>
      </c>
      <c r="AH38" s="9">
        <v>22431006.204</v>
      </c>
      <c r="AI38" s="9">
        <v>11143778.219999999</v>
      </c>
      <c r="AJ38" s="9">
        <v>4171669.054</v>
      </c>
      <c r="AK38" s="9">
        <v>54899337</v>
      </c>
      <c r="AL38" s="9">
        <v>12078631727.691486</v>
      </c>
      <c r="AM38" s="9">
        <v>558199.09699999995</v>
      </c>
      <c r="AN38" s="9">
        <v>718684029.91600001</v>
      </c>
      <c r="AO38" s="9">
        <v>4476986.3100000005</v>
      </c>
      <c r="AP38" s="9">
        <v>4462100</v>
      </c>
      <c r="AQ38" s="9">
        <v>266429484</v>
      </c>
      <c r="AR38" s="9">
        <v>0</v>
      </c>
      <c r="AS38" s="9">
        <v>66045731</v>
      </c>
      <c r="AT38" s="9">
        <v>64293458.303999998</v>
      </c>
      <c r="AU38" s="9">
        <v>2818540.7489999998</v>
      </c>
      <c r="AV38" s="9">
        <v>79170924.916999996</v>
      </c>
      <c r="AW38" s="9">
        <v>76289660</v>
      </c>
      <c r="AX38" s="9">
        <v>6598290.3769999994</v>
      </c>
      <c r="AY38" s="9">
        <v>0</v>
      </c>
      <c r="AZ38" s="9">
        <v>33926331.958999999</v>
      </c>
      <c r="BA38" s="9">
        <v>70270560.031000003</v>
      </c>
      <c r="BB38" s="9">
        <v>217406064.40600002</v>
      </c>
      <c r="BC38" s="9">
        <v>62843698.870999999</v>
      </c>
      <c r="BD38" s="9">
        <v>94056691.513000011</v>
      </c>
      <c r="BE38" s="9">
        <v>3734.88</v>
      </c>
      <c r="BF38" s="9">
        <v>7395822.2200000007</v>
      </c>
      <c r="BG38" s="9">
        <v>4039207</v>
      </c>
      <c r="BH38" s="9">
        <v>680196126</v>
      </c>
      <c r="BI38" s="9">
        <v>153936846.35800001</v>
      </c>
      <c r="BJ38" s="9">
        <v>185812663.03</v>
      </c>
      <c r="BK38" s="9">
        <v>0</v>
      </c>
      <c r="BL38" s="9">
        <v>161098661.57300001</v>
      </c>
      <c r="BM38" s="9">
        <v>13920115.182</v>
      </c>
      <c r="BN38" s="9">
        <v>28901610.403000001</v>
      </c>
      <c r="BO38" s="9">
        <v>91290706.203999996</v>
      </c>
      <c r="BP38" s="9">
        <v>324713529.89899999</v>
      </c>
      <c r="BQ38" s="9">
        <v>117490574.487</v>
      </c>
      <c r="BR38" s="9">
        <v>34923028.968000002</v>
      </c>
      <c r="BS38" s="9">
        <v>33624428.986000001</v>
      </c>
      <c r="BT38" s="9">
        <v>565009866</v>
      </c>
      <c r="BU38" s="9">
        <v>133373800.16500001</v>
      </c>
      <c r="BV38" s="9">
        <v>51075280.150000006</v>
      </c>
      <c r="BW38" s="9">
        <v>4488862196</v>
      </c>
      <c r="BX38" s="9">
        <v>0</v>
      </c>
      <c r="BY38" s="9">
        <v>44487794.262999997</v>
      </c>
      <c r="BZ38" s="9">
        <v>1069042028.813</v>
      </c>
    </row>
    <row r="39" spans="1:78">
      <c r="A39" s="4" t="s">
        <v>145</v>
      </c>
      <c r="B39" s="9">
        <v>0</v>
      </c>
      <c r="C39" s="9">
        <v>0</v>
      </c>
      <c r="D39" s="9">
        <v>0</v>
      </c>
      <c r="E39" s="9">
        <v>38925.67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12589</v>
      </c>
      <c r="L39" s="9">
        <v>0</v>
      </c>
      <c r="M39" s="9">
        <v>0</v>
      </c>
      <c r="N39" s="9">
        <v>0</v>
      </c>
      <c r="O39" s="9">
        <v>15682.199000000001</v>
      </c>
      <c r="P39" s="9">
        <v>0</v>
      </c>
      <c r="Q39" s="9">
        <v>0</v>
      </c>
      <c r="R39" s="9">
        <v>0</v>
      </c>
      <c r="S39" s="9">
        <v>0</v>
      </c>
      <c r="T39" s="9">
        <v>16109</v>
      </c>
      <c r="U39" s="9">
        <v>3622.25</v>
      </c>
      <c r="V39" s="9">
        <v>0</v>
      </c>
      <c r="W39" s="9">
        <v>83797.509000000005</v>
      </c>
      <c r="X39" s="9">
        <v>79095.880999999994</v>
      </c>
      <c r="Y39" s="9">
        <v>0</v>
      </c>
      <c r="Z39" s="9">
        <v>0</v>
      </c>
      <c r="AA39" s="9">
        <v>43250.745000000003</v>
      </c>
      <c r="AB39" s="9">
        <v>2149535.5580000002</v>
      </c>
      <c r="AC39" s="9">
        <v>0</v>
      </c>
      <c r="AD39" s="9">
        <v>102176.568</v>
      </c>
      <c r="AE39" s="9">
        <v>0</v>
      </c>
      <c r="AF39" s="9">
        <v>0</v>
      </c>
      <c r="AG39" s="9">
        <v>0</v>
      </c>
      <c r="AH39" s="9">
        <v>0</v>
      </c>
      <c r="AI39" s="9">
        <v>7170.973</v>
      </c>
      <c r="AJ39" s="9">
        <v>0</v>
      </c>
      <c r="AK39" s="9">
        <v>0</v>
      </c>
      <c r="AL39" s="9">
        <v>3243.806</v>
      </c>
      <c r="AM39" s="9">
        <v>0</v>
      </c>
      <c r="AN39" s="9">
        <v>0</v>
      </c>
      <c r="AO39" s="9">
        <v>0</v>
      </c>
      <c r="AP39" s="9">
        <v>0</v>
      </c>
      <c r="AQ39" s="9">
        <v>67274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7661750.284</v>
      </c>
      <c r="BB39" s="9">
        <v>35618.07</v>
      </c>
      <c r="BC39" s="9">
        <v>0</v>
      </c>
      <c r="BD39" s="9">
        <v>0</v>
      </c>
      <c r="BE39" s="9">
        <v>1003051.9349999999</v>
      </c>
      <c r="BF39" s="9">
        <v>0</v>
      </c>
      <c r="BG39" s="9">
        <v>97181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82279.612999999998</v>
      </c>
      <c r="BR39" s="9">
        <v>7333.634</v>
      </c>
      <c r="BS39" s="9">
        <v>45834.932999999997</v>
      </c>
      <c r="BT39" s="9">
        <v>1000</v>
      </c>
      <c r="BU39" s="9">
        <v>0</v>
      </c>
      <c r="BV39" s="9">
        <v>2016.19</v>
      </c>
      <c r="BW39" s="9">
        <v>0</v>
      </c>
      <c r="BX39" s="9">
        <v>0</v>
      </c>
      <c r="BY39" s="9">
        <v>0</v>
      </c>
      <c r="BZ39" s="9">
        <v>3658218.0749999997</v>
      </c>
    </row>
    <row r="40" spans="1:78">
      <c r="A40" s="4" t="s">
        <v>147</v>
      </c>
      <c r="B40" s="9">
        <v>66590930.369999997</v>
      </c>
      <c r="C40" s="9">
        <v>10281726027.927</v>
      </c>
      <c r="D40" s="9">
        <v>326924474.78800005</v>
      </c>
      <c r="E40" s="9">
        <v>3969486066.2019997</v>
      </c>
      <c r="F40" s="9">
        <v>0</v>
      </c>
      <c r="G40" s="9">
        <v>35756603.898999996</v>
      </c>
      <c r="H40" s="9">
        <v>0</v>
      </c>
      <c r="I40" s="9">
        <v>110766295</v>
      </c>
      <c r="J40" s="9">
        <v>38225437.606000006</v>
      </c>
      <c r="K40" s="9">
        <v>4126048550.118</v>
      </c>
      <c r="L40" s="9">
        <v>509433417.68599999</v>
      </c>
      <c r="M40" s="9">
        <v>709989639.70499992</v>
      </c>
      <c r="N40" s="9">
        <v>7453824510</v>
      </c>
      <c r="O40" s="9">
        <v>186193241.46599999</v>
      </c>
      <c r="P40" s="9">
        <v>0</v>
      </c>
      <c r="Q40" s="9">
        <v>323252278.57000005</v>
      </c>
      <c r="R40" s="9">
        <v>181498549.75</v>
      </c>
      <c r="S40" s="9">
        <v>242182045.96200001</v>
      </c>
      <c r="T40" s="9">
        <v>577351793</v>
      </c>
      <c r="U40" s="9">
        <v>1917620778.151</v>
      </c>
      <c r="V40" s="9">
        <v>44156519.824000001</v>
      </c>
      <c r="W40" s="9">
        <v>109470393.67</v>
      </c>
      <c r="X40" s="9">
        <v>1379688035.8210001</v>
      </c>
      <c r="Y40" s="9">
        <v>236280771.69</v>
      </c>
      <c r="Z40" s="9">
        <v>117828832.309</v>
      </c>
      <c r="AA40" s="9">
        <v>98762066.928000003</v>
      </c>
      <c r="AB40" s="9">
        <v>2115532530.013</v>
      </c>
      <c r="AC40" s="9">
        <v>97829688.996000007</v>
      </c>
      <c r="AD40" s="9">
        <v>540790422.50199997</v>
      </c>
      <c r="AE40" s="9">
        <v>2455792</v>
      </c>
      <c r="AF40" s="9">
        <v>84894347</v>
      </c>
      <c r="AG40" s="9">
        <v>1080687647</v>
      </c>
      <c r="AH40" s="9">
        <v>68918642.652999997</v>
      </c>
      <c r="AI40" s="9">
        <v>398156269.47499996</v>
      </c>
      <c r="AJ40" s="9">
        <v>51615223.004999995</v>
      </c>
      <c r="AK40" s="9">
        <v>590395536</v>
      </c>
      <c r="AL40" s="9">
        <v>890698594.99199998</v>
      </c>
      <c r="AM40" s="9">
        <v>159430273.16999999</v>
      </c>
      <c r="AN40" s="9">
        <v>97784917275.759201</v>
      </c>
      <c r="AO40" s="9">
        <v>991554211.17999983</v>
      </c>
      <c r="AP40" s="9">
        <v>194290501.88</v>
      </c>
      <c r="AQ40" s="9">
        <v>577874683</v>
      </c>
      <c r="AR40" s="9">
        <v>0</v>
      </c>
      <c r="AS40" s="9">
        <v>3096673</v>
      </c>
      <c r="AT40" s="9">
        <v>19467586.504000001</v>
      </c>
      <c r="AU40" s="9">
        <v>846667.92999999993</v>
      </c>
      <c r="AV40" s="9">
        <v>89661885.726999998</v>
      </c>
      <c r="AW40" s="9">
        <v>2470229556</v>
      </c>
      <c r="AX40" s="9">
        <v>61818839.908</v>
      </c>
      <c r="AY40" s="9">
        <v>884618.26</v>
      </c>
      <c r="AZ40" s="9">
        <v>743981692.847</v>
      </c>
      <c r="BA40" s="9">
        <v>102196647.998</v>
      </c>
      <c r="BB40" s="9">
        <v>192242778.91799998</v>
      </c>
      <c r="BC40" s="9">
        <v>122138084.185</v>
      </c>
      <c r="BD40" s="9">
        <v>1848530692.8300002</v>
      </c>
      <c r="BE40" s="9">
        <v>312576031.88000005</v>
      </c>
      <c r="BF40" s="9">
        <v>336696056.73000002</v>
      </c>
      <c r="BG40" s="9">
        <v>1042969922</v>
      </c>
      <c r="BH40" s="9">
        <v>1139683895</v>
      </c>
      <c r="BI40" s="9">
        <v>13127812.068</v>
      </c>
      <c r="BJ40" s="9">
        <v>131218452.14</v>
      </c>
      <c r="BK40" s="9">
        <v>0</v>
      </c>
      <c r="BL40" s="9">
        <v>5154931549.2600002</v>
      </c>
      <c r="BM40" s="9">
        <v>38713520.579000004</v>
      </c>
      <c r="BN40" s="9">
        <v>288453556.22600001</v>
      </c>
      <c r="BO40" s="9">
        <v>222320061.572</v>
      </c>
      <c r="BP40" s="9">
        <v>72771275.237000003</v>
      </c>
      <c r="BQ40" s="9">
        <v>144015240.79100001</v>
      </c>
      <c r="BR40" s="9">
        <v>418440700.36500001</v>
      </c>
      <c r="BS40" s="9">
        <v>66655113.789000005</v>
      </c>
      <c r="BT40" s="9">
        <v>457695434</v>
      </c>
      <c r="BU40" s="9">
        <v>2263803540.9370003</v>
      </c>
      <c r="BV40" s="9">
        <v>534421615.69</v>
      </c>
      <c r="BW40" s="9">
        <v>37327400714</v>
      </c>
      <c r="BX40" s="9">
        <v>0</v>
      </c>
      <c r="BY40" s="9">
        <v>516080961.76199996</v>
      </c>
      <c r="BZ40" s="9">
        <v>18561614297.177002</v>
      </c>
    </row>
    <row r="41" spans="1:78">
      <c r="A41" s="4" t="s">
        <v>149</v>
      </c>
      <c r="B41" s="9">
        <v>0</v>
      </c>
      <c r="C41" s="9">
        <v>268642.58600000001</v>
      </c>
      <c r="D41" s="9">
        <v>0</v>
      </c>
      <c r="E41" s="9">
        <v>0</v>
      </c>
      <c r="F41" s="9">
        <v>0</v>
      </c>
      <c r="G41" s="9">
        <v>10747.572</v>
      </c>
      <c r="H41" s="9">
        <v>0</v>
      </c>
      <c r="I41" s="9">
        <v>0</v>
      </c>
      <c r="J41" s="9">
        <v>0</v>
      </c>
      <c r="K41" s="9">
        <v>0</v>
      </c>
      <c r="L41" s="9">
        <v>172140.19500000001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54659.210000000006</v>
      </c>
      <c r="V41" s="9">
        <v>0</v>
      </c>
      <c r="W41" s="9">
        <v>0</v>
      </c>
      <c r="X41" s="9">
        <v>8223.0480000000007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29432.434000000001</v>
      </c>
      <c r="AO41" s="9">
        <v>2702871912.5787945</v>
      </c>
      <c r="AP41" s="9">
        <v>0</v>
      </c>
      <c r="AQ41" s="9">
        <v>0</v>
      </c>
      <c r="AR41" s="9">
        <v>0</v>
      </c>
      <c r="AS41" s="9">
        <v>46784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8.65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229862</v>
      </c>
      <c r="BX41" s="9">
        <v>0</v>
      </c>
      <c r="BY41" s="9">
        <v>0</v>
      </c>
      <c r="BZ41" s="9">
        <v>62507898.836999997</v>
      </c>
    </row>
    <row r="42" spans="1:78">
      <c r="A42" s="4" t="s">
        <v>151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14776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12872.834000000001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456517.15899999999</v>
      </c>
    </row>
    <row r="43" spans="1:78">
      <c r="A43" s="4" t="s">
        <v>153</v>
      </c>
      <c r="B43" s="9">
        <v>10873288.009999998</v>
      </c>
      <c r="C43" s="9">
        <v>3114434562.2209997</v>
      </c>
      <c r="D43" s="9">
        <v>153165839.11999997</v>
      </c>
      <c r="E43" s="9">
        <v>271542165.59899998</v>
      </c>
      <c r="F43" s="9">
        <v>0</v>
      </c>
      <c r="G43" s="9">
        <v>15009707.651000001</v>
      </c>
      <c r="H43" s="9">
        <v>0</v>
      </c>
      <c r="I43" s="9">
        <v>49720052</v>
      </c>
      <c r="J43" s="9">
        <v>26058990.565000001</v>
      </c>
      <c r="K43" s="9">
        <v>3462746946.7729998</v>
      </c>
      <c r="L43" s="9">
        <v>146164917.384</v>
      </c>
      <c r="M43" s="9">
        <v>500233650.30500007</v>
      </c>
      <c r="N43" s="9">
        <v>260949452</v>
      </c>
      <c r="O43" s="9">
        <v>59146084.101999998</v>
      </c>
      <c r="P43" s="9">
        <v>0</v>
      </c>
      <c r="Q43" s="9">
        <v>137438820.92000002</v>
      </c>
      <c r="R43" s="9">
        <v>108293596.49000001</v>
      </c>
      <c r="S43" s="9">
        <v>31996992.912</v>
      </c>
      <c r="T43" s="9">
        <v>212980732</v>
      </c>
      <c r="U43" s="9">
        <v>1042343594.1170001</v>
      </c>
      <c r="V43" s="9">
        <v>32790771.647999998</v>
      </c>
      <c r="W43" s="9">
        <v>500021472.77899998</v>
      </c>
      <c r="X43" s="9">
        <v>881682305.56599998</v>
      </c>
      <c r="Y43" s="9">
        <v>17640215.459999997</v>
      </c>
      <c r="Z43" s="9">
        <v>61592359.546000004</v>
      </c>
      <c r="AA43" s="9">
        <v>877364389.28999996</v>
      </c>
      <c r="AB43" s="9">
        <v>1125724406.8109999</v>
      </c>
      <c r="AC43" s="9">
        <v>78829616.261999995</v>
      </c>
      <c r="AD43" s="9">
        <v>23107801.126000002</v>
      </c>
      <c r="AE43" s="9">
        <v>4493074</v>
      </c>
      <c r="AF43" s="9">
        <v>228524986</v>
      </c>
      <c r="AG43" s="9">
        <v>195259681</v>
      </c>
      <c r="AH43" s="9">
        <v>6130364.216</v>
      </c>
      <c r="AI43" s="9">
        <v>210974813.81400001</v>
      </c>
      <c r="AJ43" s="9">
        <v>10984055.120000001</v>
      </c>
      <c r="AK43" s="9">
        <v>617581102</v>
      </c>
      <c r="AL43" s="9">
        <v>560354826.61000001</v>
      </c>
      <c r="AM43" s="9">
        <v>226951588.20499998</v>
      </c>
      <c r="AN43" s="9">
        <v>23423035.487999998</v>
      </c>
      <c r="AO43" s="9">
        <v>266561811.35999998</v>
      </c>
      <c r="AP43" s="9">
        <v>79932058.560000002</v>
      </c>
      <c r="AQ43" s="9">
        <v>25690317880.033501</v>
      </c>
      <c r="AR43" s="9">
        <v>0</v>
      </c>
      <c r="AS43" s="9">
        <v>1202626</v>
      </c>
      <c r="AT43" s="9">
        <v>14491221.655999999</v>
      </c>
      <c r="AU43" s="9">
        <v>217948.07199999999</v>
      </c>
      <c r="AV43" s="9">
        <v>105767931.211</v>
      </c>
      <c r="AW43" s="9">
        <v>457019330</v>
      </c>
      <c r="AX43" s="9">
        <v>8199397.2659999998</v>
      </c>
      <c r="AY43" s="9">
        <v>12108233.454</v>
      </c>
      <c r="AZ43" s="9">
        <v>51871025.995000005</v>
      </c>
      <c r="BA43" s="9">
        <v>13543475.743999999</v>
      </c>
      <c r="BB43" s="9">
        <v>261869065.95100001</v>
      </c>
      <c r="BC43" s="9">
        <v>5476163.1980000194</v>
      </c>
      <c r="BD43" s="9">
        <v>181313985.31599998</v>
      </c>
      <c r="BE43" s="9">
        <v>204267721.12900001</v>
      </c>
      <c r="BF43" s="9">
        <v>176838148.65000001</v>
      </c>
      <c r="BG43" s="9">
        <v>166887538</v>
      </c>
      <c r="BH43" s="9">
        <v>410568215</v>
      </c>
      <c r="BI43" s="9">
        <v>78974949.577000007</v>
      </c>
      <c r="BJ43" s="9">
        <v>7099497.3300000001</v>
      </c>
      <c r="BK43" s="9">
        <v>0</v>
      </c>
      <c r="BL43" s="9">
        <v>1648249734.7929997</v>
      </c>
      <c r="BM43" s="9">
        <v>16825754.467999998</v>
      </c>
      <c r="BN43" s="9">
        <v>26516767.638999999</v>
      </c>
      <c r="BO43" s="9">
        <v>166073268.09799999</v>
      </c>
      <c r="BP43" s="9">
        <v>51557318.792000003</v>
      </c>
      <c r="BQ43" s="9">
        <v>63385178.805000097</v>
      </c>
      <c r="BR43" s="9">
        <v>99615933.61500001</v>
      </c>
      <c r="BS43" s="9">
        <v>71378073.765000001</v>
      </c>
      <c r="BT43" s="9">
        <v>558465137</v>
      </c>
      <c r="BU43" s="9">
        <v>261447184.09900001</v>
      </c>
      <c r="BV43" s="9">
        <v>182246556.22</v>
      </c>
      <c r="BW43" s="9">
        <v>25774305970</v>
      </c>
      <c r="BX43" s="9">
        <v>0</v>
      </c>
      <c r="BY43" s="9">
        <v>154088962.178</v>
      </c>
      <c r="BZ43" s="9">
        <v>3769606192.8869996</v>
      </c>
    </row>
    <row r="44" spans="1:78">
      <c r="A44" s="4" t="s">
        <v>155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165088.17000000001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6592783607.6756563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3848.799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</row>
    <row r="45" spans="1:78">
      <c r="A45" s="4" t="s">
        <v>157</v>
      </c>
      <c r="B45" s="9">
        <v>0</v>
      </c>
      <c r="C45" s="9">
        <v>0</v>
      </c>
      <c r="D45" s="9">
        <v>623098.34200000006</v>
      </c>
      <c r="E45" s="9">
        <v>33305080.796</v>
      </c>
      <c r="F45" s="9">
        <v>0</v>
      </c>
      <c r="G45" s="9">
        <v>3740615.0589999999</v>
      </c>
      <c r="H45" s="9">
        <v>0</v>
      </c>
      <c r="I45" s="9">
        <v>0</v>
      </c>
      <c r="J45" s="9">
        <v>0</v>
      </c>
      <c r="K45" s="9">
        <v>5883.3609999999999</v>
      </c>
      <c r="L45" s="9">
        <v>2308520.3429999999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221372.44899999999</v>
      </c>
      <c r="T45" s="9">
        <v>1801448</v>
      </c>
      <c r="U45" s="9">
        <v>63846662.973999999</v>
      </c>
      <c r="V45" s="9">
        <v>8221705.7760000005</v>
      </c>
      <c r="W45" s="9">
        <v>66685.032999999996</v>
      </c>
      <c r="X45" s="9">
        <v>795377.82400000002</v>
      </c>
      <c r="Y45" s="9">
        <v>4819086.3899999997</v>
      </c>
      <c r="Z45" s="9">
        <v>3918105.5160000003</v>
      </c>
      <c r="AA45" s="9">
        <v>47683557.968000002</v>
      </c>
      <c r="AB45" s="9">
        <v>10590001.139</v>
      </c>
      <c r="AC45" s="9">
        <v>2353311.9500000002</v>
      </c>
      <c r="AD45" s="9">
        <v>0</v>
      </c>
      <c r="AE45" s="9">
        <v>193473</v>
      </c>
      <c r="AF45" s="9">
        <v>229747</v>
      </c>
      <c r="AG45" s="9">
        <v>0</v>
      </c>
      <c r="AH45" s="9">
        <v>0</v>
      </c>
      <c r="AI45" s="9">
        <v>326076.01500000001</v>
      </c>
      <c r="AJ45" s="9">
        <v>100718.18</v>
      </c>
      <c r="AK45" s="9">
        <v>686000</v>
      </c>
      <c r="AL45" s="9">
        <v>20249708.935000002</v>
      </c>
      <c r="AM45" s="9">
        <v>0</v>
      </c>
      <c r="AN45" s="9">
        <v>0</v>
      </c>
      <c r="AO45" s="9">
        <v>1392834.36</v>
      </c>
      <c r="AP45" s="9">
        <v>0</v>
      </c>
      <c r="AQ45" s="9">
        <v>0</v>
      </c>
      <c r="AR45" s="9">
        <v>0</v>
      </c>
      <c r="AS45" s="9">
        <v>0</v>
      </c>
      <c r="AT45" s="9">
        <v>739906.71</v>
      </c>
      <c r="AU45" s="9">
        <v>24321890.903999999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19703.734</v>
      </c>
      <c r="BB45" s="9">
        <v>46867964.616000004</v>
      </c>
      <c r="BC45" s="9">
        <v>1265038.202</v>
      </c>
      <c r="BD45" s="9">
        <v>0</v>
      </c>
      <c r="BE45" s="9">
        <v>0</v>
      </c>
      <c r="BF45" s="9">
        <v>0</v>
      </c>
      <c r="BG45" s="9">
        <v>0</v>
      </c>
      <c r="BH45" s="9">
        <v>6750961</v>
      </c>
      <c r="BI45" s="9">
        <v>1008715.495</v>
      </c>
      <c r="BJ45" s="9">
        <v>2014835.41</v>
      </c>
      <c r="BK45" s="9">
        <v>0</v>
      </c>
      <c r="BL45" s="9">
        <v>0</v>
      </c>
      <c r="BM45" s="9">
        <v>8772.7270000000008</v>
      </c>
      <c r="BN45" s="9">
        <v>0</v>
      </c>
      <c r="BO45" s="9">
        <v>5406.3429999999998</v>
      </c>
      <c r="BP45" s="9">
        <v>962325.16</v>
      </c>
      <c r="BQ45" s="9">
        <v>1398564.9169999999</v>
      </c>
      <c r="BR45" s="9">
        <v>0</v>
      </c>
      <c r="BS45" s="9">
        <v>0</v>
      </c>
      <c r="BT45" s="9">
        <v>0</v>
      </c>
      <c r="BU45" s="9">
        <v>0</v>
      </c>
      <c r="BV45" s="9">
        <v>2662116.67</v>
      </c>
      <c r="BW45" s="9">
        <v>7679</v>
      </c>
      <c r="BX45" s="9">
        <v>0</v>
      </c>
      <c r="BY45" s="9">
        <v>0</v>
      </c>
      <c r="BZ45" s="9">
        <v>64789271.07</v>
      </c>
    </row>
    <row r="46" spans="1:78">
      <c r="A46" s="4" t="s">
        <v>159</v>
      </c>
      <c r="B46" s="9">
        <v>0</v>
      </c>
      <c r="C46" s="9">
        <v>0</v>
      </c>
      <c r="D46" s="9">
        <v>1019736.867</v>
      </c>
      <c r="E46" s="9">
        <v>126123793.439</v>
      </c>
      <c r="F46" s="9">
        <v>0</v>
      </c>
      <c r="G46" s="9">
        <v>385400.68699999998</v>
      </c>
      <c r="H46" s="9">
        <v>0</v>
      </c>
      <c r="I46" s="9">
        <v>0</v>
      </c>
      <c r="J46" s="9">
        <v>0</v>
      </c>
      <c r="K46" s="9">
        <v>0</v>
      </c>
      <c r="L46" s="9">
        <v>1583295.0520000001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5543709</v>
      </c>
      <c r="U46" s="9">
        <v>73193128.379999995</v>
      </c>
      <c r="V46" s="9">
        <v>70970.838999999702</v>
      </c>
      <c r="W46" s="9">
        <v>0</v>
      </c>
      <c r="X46" s="9">
        <v>1373720.48</v>
      </c>
      <c r="Y46" s="9">
        <v>238777.02</v>
      </c>
      <c r="Z46" s="9">
        <v>231067.103</v>
      </c>
      <c r="AA46" s="9">
        <v>159318452.19500002</v>
      </c>
      <c r="AB46" s="9">
        <v>62049.205000000002</v>
      </c>
      <c r="AC46" s="9">
        <v>1095871.1529999999</v>
      </c>
      <c r="AD46" s="9">
        <v>12656785.177999999</v>
      </c>
      <c r="AE46" s="9">
        <v>2240273</v>
      </c>
      <c r="AF46" s="9">
        <v>627486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10250457.873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4701563</v>
      </c>
      <c r="AT46" s="9">
        <v>0</v>
      </c>
      <c r="AU46" s="9">
        <v>774464.05500000005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26548454.385000002</v>
      </c>
      <c r="BC46" s="9">
        <v>28176.674999999999</v>
      </c>
      <c r="BD46" s="9">
        <v>0</v>
      </c>
      <c r="BE46" s="9">
        <v>0</v>
      </c>
      <c r="BF46" s="9">
        <v>0</v>
      </c>
      <c r="BG46" s="9">
        <v>0</v>
      </c>
      <c r="BH46" s="9">
        <v>1078343</v>
      </c>
      <c r="BI46" s="9">
        <v>2727001.6289999997</v>
      </c>
      <c r="BJ46" s="9">
        <v>8787591.9000000004</v>
      </c>
      <c r="BK46" s="9">
        <v>0</v>
      </c>
      <c r="BL46" s="9">
        <v>0</v>
      </c>
      <c r="BM46" s="9">
        <v>0</v>
      </c>
      <c r="BN46" s="9">
        <v>0</v>
      </c>
      <c r="BO46" s="9">
        <v>813417.83900000004</v>
      </c>
      <c r="BP46" s="9">
        <v>559248.40700000001</v>
      </c>
      <c r="BQ46" s="9">
        <v>269081.66600000003</v>
      </c>
      <c r="BR46" s="9">
        <v>0</v>
      </c>
      <c r="BS46" s="9">
        <v>167046.54999999999</v>
      </c>
      <c r="BT46" s="9">
        <v>0</v>
      </c>
      <c r="BU46" s="9">
        <v>0</v>
      </c>
      <c r="BV46" s="9">
        <v>196035.79</v>
      </c>
      <c r="BW46" s="9">
        <v>0</v>
      </c>
      <c r="BX46" s="9">
        <v>0</v>
      </c>
      <c r="BY46" s="9">
        <v>0</v>
      </c>
      <c r="BZ46" s="9">
        <v>14994869.234000001</v>
      </c>
    </row>
    <row r="47" spans="1:78">
      <c r="A47" s="4" t="s">
        <v>161</v>
      </c>
      <c r="B47" s="9">
        <v>0</v>
      </c>
      <c r="C47" s="9">
        <v>0</v>
      </c>
      <c r="D47" s="9">
        <v>122866.716</v>
      </c>
      <c r="E47" s="9">
        <v>5600127.176</v>
      </c>
      <c r="F47" s="9">
        <v>0</v>
      </c>
      <c r="G47" s="9">
        <v>247513.68</v>
      </c>
      <c r="H47" s="9">
        <v>0</v>
      </c>
      <c r="I47" s="9">
        <v>0</v>
      </c>
      <c r="J47" s="9">
        <v>0</v>
      </c>
      <c r="K47" s="9">
        <v>0</v>
      </c>
      <c r="L47" s="9">
        <v>100041.663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180248.56</v>
      </c>
      <c r="T47" s="9">
        <v>38742</v>
      </c>
      <c r="U47" s="9">
        <v>10970722.259000001</v>
      </c>
      <c r="V47" s="9">
        <v>30262.117999999999</v>
      </c>
      <c r="W47" s="9">
        <v>0</v>
      </c>
      <c r="X47" s="9">
        <v>138457.788</v>
      </c>
      <c r="Y47" s="9">
        <v>17342485.379999999</v>
      </c>
      <c r="Z47" s="9">
        <v>3069803.7879999997</v>
      </c>
      <c r="AA47" s="9">
        <v>3759820.7650000001</v>
      </c>
      <c r="AB47" s="9">
        <v>1100.009</v>
      </c>
      <c r="AC47" s="9">
        <v>34600.595000000001</v>
      </c>
      <c r="AD47" s="9">
        <v>0</v>
      </c>
      <c r="AE47" s="9">
        <v>51577</v>
      </c>
      <c r="AF47" s="9">
        <v>563397</v>
      </c>
      <c r="AG47" s="9">
        <v>0</v>
      </c>
      <c r="AH47" s="9">
        <v>0</v>
      </c>
      <c r="AI47" s="9">
        <v>213107.23199999999</v>
      </c>
      <c r="AJ47" s="9">
        <v>34313.921000000002</v>
      </c>
      <c r="AK47" s="9">
        <v>0</v>
      </c>
      <c r="AL47" s="9">
        <v>1528523.4909999999</v>
      </c>
      <c r="AM47" s="9">
        <v>0</v>
      </c>
      <c r="AN47" s="9">
        <v>0</v>
      </c>
      <c r="AO47" s="9">
        <v>0</v>
      </c>
      <c r="AP47" s="9">
        <v>0</v>
      </c>
      <c r="AQ47" s="9">
        <v>50512</v>
      </c>
      <c r="AR47" s="9">
        <v>0</v>
      </c>
      <c r="AS47" s="9">
        <v>226544518</v>
      </c>
      <c r="AT47" s="9">
        <v>146011.27100000001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8225.9529999999995</v>
      </c>
      <c r="BB47" s="9">
        <v>3397983.9520000005</v>
      </c>
      <c r="BC47" s="9">
        <v>1042802.982</v>
      </c>
      <c r="BD47" s="9">
        <v>0</v>
      </c>
      <c r="BE47" s="9">
        <v>0</v>
      </c>
      <c r="BF47" s="9">
        <v>0</v>
      </c>
      <c r="BG47" s="9">
        <v>5158</v>
      </c>
      <c r="BH47" s="9">
        <v>7900313</v>
      </c>
      <c r="BI47" s="9">
        <v>11132.742</v>
      </c>
      <c r="BJ47" s="9">
        <v>246240.65000000002</v>
      </c>
      <c r="BK47" s="9">
        <v>0</v>
      </c>
      <c r="BL47" s="9">
        <v>0</v>
      </c>
      <c r="BM47" s="9">
        <v>9538.4359999999997</v>
      </c>
      <c r="BN47" s="9">
        <v>0</v>
      </c>
      <c r="BO47" s="9">
        <v>275723.49800000002</v>
      </c>
      <c r="BP47" s="9">
        <v>0</v>
      </c>
      <c r="BQ47" s="9">
        <v>3060273.7970000003</v>
      </c>
      <c r="BR47" s="9">
        <v>0</v>
      </c>
      <c r="BS47" s="9">
        <v>0</v>
      </c>
      <c r="BT47" s="9">
        <v>10882</v>
      </c>
      <c r="BU47" s="9">
        <v>0</v>
      </c>
      <c r="BV47" s="9">
        <v>71621</v>
      </c>
      <c r="BW47" s="9">
        <v>53967</v>
      </c>
      <c r="BX47" s="9">
        <v>0</v>
      </c>
      <c r="BY47" s="9">
        <v>0</v>
      </c>
      <c r="BZ47" s="9">
        <v>2848688.4720000001</v>
      </c>
    </row>
    <row r="48" spans="1:78">
      <c r="A48" s="4" t="s">
        <v>163</v>
      </c>
      <c r="B48" s="9">
        <v>0</v>
      </c>
      <c r="C48" s="9">
        <v>0</v>
      </c>
      <c r="D48" s="9">
        <v>63526623.68</v>
      </c>
      <c r="E48" s="9">
        <v>249672517.28600001</v>
      </c>
      <c r="F48" s="9">
        <v>0</v>
      </c>
      <c r="G48" s="9">
        <v>28463194.265999999</v>
      </c>
      <c r="H48" s="9">
        <v>0</v>
      </c>
      <c r="I48" s="9">
        <v>0</v>
      </c>
      <c r="J48" s="9">
        <v>0</v>
      </c>
      <c r="K48" s="9">
        <v>0</v>
      </c>
      <c r="L48" s="9">
        <v>59194214.855999999</v>
      </c>
      <c r="M48" s="9">
        <v>13489860.655999999</v>
      </c>
      <c r="N48" s="9">
        <v>0</v>
      </c>
      <c r="O48" s="9">
        <v>993140.41999999993</v>
      </c>
      <c r="P48" s="9">
        <v>0</v>
      </c>
      <c r="Q48" s="9">
        <v>0</v>
      </c>
      <c r="R48" s="9">
        <v>0</v>
      </c>
      <c r="S48" s="9">
        <v>2966065.7960000001</v>
      </c>
      <c r="T48" s="9">
        <v>14508897</v>
      </c>
      <c r="U48" s="9">
        <v>239515951.11300001</v>
      </c>
      <c r="V48" s="9">
        <v>13862399.381000001</v>
      </c>
      <c r="W48" s="9">
        <v>80713.286999999997</v>
      </c>
      <c r="X48" s="9">
        <v>652557658.89700007</v>
      </c>
      <c r="Y48" s="9">
        <v>4079696.31</v>
      </c>
      <c r="Z48" s="9">
        <v>2884821.4340000004</v>
      </c>
      <c r="AA48" s="9">
        <v>2052929648.744</v>
      </c>
      <c r="AB48" s="9">
        <v>206231968.93000001</v>
      </c>
      <c r="AC48" s="9">
        <v>77869819.520999998</v>
      </c>
      <c r="AD48" s="9">
        <v>0</v>
      </c>
      <c r="AE48" s="9">
        <v>3063020</v>
      </c>
      <c r="AF48" s="9">
        <v>18973757</v>
      </c>
      <c r="AG48" s="9">
        <v>0</v>
      </c>
      <c r="AH48" s="9">
        <v>4278.7610000000004</v>
      </c>
      <c r="AI48" s="9">
        <v>5579139.557</v>
      </c>
      <c r="AJ48" s="9">
        <v>1967813.8669999999</v>
      </c>
      <c r="AK48" s="9">
        <v>0</v>
      </c>
      <c r="AL48" s="9">
        <v>980980053.71700001</v>
      </c>
      <c r="AM48" s="9">
        <v>436469.84399999998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48657.099000000002</v>
      </c>
      <c r="AU48" s="9">
        <v>0</v>
      </c>
      <c r="AV48" s="9">
        <v>2700304369.288167</v>
      </c>
      <c r="AW48" s="9">
        <v>0</v>
      </c>
      <c r="AX48" s="9">
        <v>1495211.767</v>
      </c>
      <c r="AY48" s="9">
        <v>0</v>
      </c>
      <c r="AZ48" s="9">
        <v>0</v>
      </c>
      <c r="BA48" s="9">
        <v>41600.409</v>
      </c>
      <c r="BB48" s="9">
        <v>343921.27299999999</v>
      </c>
      <c r="BC48" s="9">
        <v>3221067.1089999997</v>
      </c>
      <c r="BD48" s="9">
        <v>0</v>
      </c>
      <c r="BE48" s="9">
        <v>4532.0079999999998</v>
      </c>
      <c r="BF48" s="9">
        <v>0</v>
      </c>
      <c r="BG48" s="9">
        <v>0</v>
      </c>
      <c r="BH48" s="9">
        <v>106178919</v>
      </c>
      <c r="BI48" s="9">
        <v>174160216.67199999</v>
      </c>
      <c r="BJ48" s="9">
        <v>210410034.25</v>
      </c>
      <c r="BK48" s="9">
        <v>0</v>
      </c>
      <c r="BL48" s="9">
        <v>38619868.901000001</v>
      </c>
      <c r="BM48" s="9">
        <v>1189494.986</v>
      </c>
      <c r="BN48" s="9">
        <v>0</v>
      </c>
      <c r="BO48" s="9">
        <v>18483738.855999999</v>
      </c>
      <c r="BP48" s="9">
        <v>42252424.196000002</v>
      </c>
      <c r="BQ48" s="9">
        <v>88535031.009000003</v>
      </c>
      <c r="BR48" s="9">
        <v>0</v>
      </c>
      <c r="BS48" s="9">
        <v>46239651.791999996</v>
      </c>
      <c r="BT48" s="9">
        <v>498610201</v>
      </c>
      <c r="BU48" s="9">
        <v>0</v>
      </c>
      <c r="BV48" s="9">
        <v>22388076.809999999</v>
      </c>
      <c r="BW48" s="9">
        <v>0</v>
      </c>
      <c r="BX48" s="9">
        <v>0</v>
      </c>
      <c r="BY48" s="9">
        <v>0</v>
      </c>
      <c r="BZ48" s="9">
        <v>39030928.406999998</v>
      </c>
    </row>
    <row r="49" spans="1:78">
      <c r="A49" s="4" t="s">
        <v>165</v>
      </c>
      <c r="B49" s="9">
        <v>183292549.19</v>
      </c>
      <c r="C49" s="9">
        <v>765640752.07599998</v>
      </c>
      <c r="D49" s="9">
        <v>208946867.484</v>
      </c>
      <c r="E49" s="9">
        <v>160374082.088</v>
      </c>
      <c r="F49" s="9">
        <v>0</v>
      </c>
      <c r="G49" s="9">
        <v>0</v>
      </c>
      <c r="H49" s="9">
        <v>0</v>
      </c>
      <c r="I49" s="9">
        <v>945510496</v>
      </c>
      <c r="J49" s="9">
        <v>303495.03899999999</v>
      </c>
      <c r="K49" s="9">
        <v>8473497596.4639997</v>
      </c>
      <c r="L49" s="9">
        <v>213761345.82099998</v>
      </c>
      <c r="M49" s="9">
        <v>185001299.41</v>
      </c>
      <c r="N49" s="9">
        <v>312180616</v>
      </c>
      <c r="O49" s="9">
        <v>2848936.875</v>
      </c>
      <c r="P49" s="9">
        <v>0</v>
      </c>
      <c r="Q49" s="9">
        <v>473252302.88</v>
      </c>
      <c r="R49" s="9">
        <v>98786246.75</v>
      </c>
      <c r="S49" s="9">
        <v>0</v>
      </c>
      <c r="T49" s="9">
        <v>77012281</v>
      </c>
      <c r="U49" s="9">
        <v>4267614477.184</v>
      </c>
      <c r="V49" s="9">
        <v>2105615.1830000002</v>
      </c>
      <c r="W49" s="9">
        <v>8213041.1630000006</v>
      </c>
      <c r="X49" s="9">
        <v>198942053.92399999</v>
      </c>
      <c r="Y49" s="9">
        <v>285894.71999999997</v>
      </c>
      <c r="Z49" s="9">
        <v>25780435.770999998</v>
      </c>
      <c r="AA49" s="9">
        <v>2919736.68</v>
      </c>
      <c r="AB49" s="9">
        <v>889511163.35699999</v>
      </c>
      <c r="AC49" s="9">
        <v>0</v>
      </c>
      <c r="AD49" s="9">
        <v>1237327.203</v>
      </c>
      <c r="AE49" s="9">
        <v>0</v>
      </c>
      <c r="AF49" s="9">
        <v>0</v>
      </c>
      <c r="AG49" s="9">
        <v>4075062</v>
      </c>
      <c r="AH49" s="9">
        <v>11153517.835000001</v>
      </c>
      <c r="AI49" s="9">
        <v>30987972.497000001</v>
      </c>
      <c r="AJ49" s="9">
        <v>2420695.8709999998</v>
      </c>
      <c r="AK49" s="9">
        <v>107463566</v>
      </c>
      <c r="AL49" s="9">
        <v>8969832.5159999989</v>
      </c>
      <c r="AM49" s="9">
        <v>48271489.445999995</v>
      </c>
      <c r="AN49" s="9">
        <v>477771978.72099996</v>
      </c>
      <c r="AO49" s="9">
        <v>27481599.669999998</v>
      </c>
      <c r="AP49" s="9">
        <v>3235046.83</v>
      </c>
      <c r="AQ49" s="9">
        <v>291066808</v>
      </c>
      <c r="AR49" s="9">
        <v>0</v>
      </c>
      <c r="AS49" s="9">
        <v>307066</v>
      </c>
      <c r="AT49" s="9">
        <v>11205754.386</v>
      </c>
      <c r="AU49" s="9">
        <v>21536.707999999999</v>
      </c>
      <c r="AV49" s="9">
        <v>26344058.907000002</v>
      </c>
      <c r="AW49" s="9">
        <v>23619697268.212757</v>
      </c>
      <c r="AX49" s="9">
        <v>2743.1779999999999</v>
      </c>
      <c r="AY49" s="9">
        <v>0</v>
      </c>
      <c r="AZ49" s="9">
        <v>8244193.4139999999</v>
      </c>
      <c r="BA49" s="9">
        <v>254708.17700000003</v>
      </c>
      <c r="BB49" s="9">
        <v>751095.67799999996</v>
      </c>
      <c r="BC49" s="9">
        <v>36635400.454999998</v>
      </c>
      <c r="BD49" s="9">
        <v>70951090.151999995</v>
      </c>
      <c r="BE49" s="9">
        <v>194461.935</v>
      </c>
      <c r="BF49" s="9">
        <v>162158414.28999999</v>
      </c>
      <c r="BG49" s="9">
        <v>10393008</v>
      </c>
      <c r="BH49" s="9">
        <v>348533227</v>
      </c>
      <c r="BI49" s="9">
        <v>194563.47500000001</v>
      </c>
      <c r="BJ49" s="9">
        <v>18020332.5</v>
      </c>
      <c r="BK49" s="9">
        <v>0</v>
      </c>
      <c r="BL49" s="9">
        <v>516121603.36400002</v>
      </c>
      <c r="BM49" s="9">
        <v>802539.80700000003</v>
      </c>
      <c r="BN49" s="9">
        <v>19488174.008000001</v>
      </c>
      <c r="BO49" s="9">
        <v>41928104.585000001</v>
      </c>
      <c r="BP49" s="9">
        <v>27625912.903999999</v>
      </c>
      <c r="BQ49" s="9">
        <v>382934.78399999999</v>
      </c>
      <c r="BR49" s="9">
        <v>6146340.0580000002</v>
      </c>
      <c r="BS49" s="9">
        <v>3103338.7170000002</v>
      </c>
      <c r="BT49" s="9">
        <v>184390387</v>
      </c>
      <c r="BU49" s="9">
        <v>196679826.38</v>
      </c>
      <c r="BV49" s="9">
        <v>76748235.209999993</v>
      </c>
      <c r="BW49" s="9">
        <v>74026573174</v>
      </c>
      <c r="BX49" s="9">
        <v>0</v>
      </c>
      <c r="BY49" s="9">
        <v>115384268.18099999</v>
      </c>
      <c r="BZ49" s="9">
        <v>1704014123.6060002</v>
      </c>
    </row>
    <row r="50" spans="1:78">
      <c r="A50" s="4" t="s">
        <v>167</v>
      </c>
      <c r="B50" s="9">
        <v>0</v>
      </c>
      <c r="C50" s="9">
        <v>17998.34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65432.970999999998</v>
      </c>
      <c r="T50" s="9">
        <v>0</v>
      </c>
      <c r="U50" s="9">
        <v>560927.55900000001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3213.53</v>
      </c>
      <c r="AB50" s="9">
        <v>274427.995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213442.42600000001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743033.71200000006</v>
      </c>
      <c r="BB50" s="9">
        <v>750300.946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23685.514999999999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24374</v>
      </c>
      <c r="BX50" s="9">
        <v>0</v>
      </c>
      <c r="BY50" s="9">
        <v>0</v>
      </c>
      <c r="BZ50" s="9">
        <v>27482.717000000001</v>
      </c>
    </row>
    <row r="51" spans="1:78">
      <c r="A51" s="4" t="s">
        <v>169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80629.58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22319649.756678171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39908</v>
      </c>
    </row>
    <row r="52" spans="1:78">
      <c r="A52" s="4" t="s">
        <v>171</v>
      </c>
      <c r="B52" s="9">
        <v>0</v>
      </c>
      <c r="C52" s="9">
        <v>9510463.8190000001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5989350.8279999997</v>
      </c>
      <c r="K52" s="9">
        <v>551.88900000000001</v>
      </c>
      <c r="L52" s="9">
        <v>42399.775000000001</v>
      </c>
      <c r="M52" s="9">
        <v>10829.753999999999</v>
      </c>
      <c r="N52" s="9">
        <v>884504</v>
      </c>
      <c r="O52" s="9">
        <v>0</v>
      </c>
      <c r="P52" s="9">
        <v>0</v>
      </c>
      <c r="Q52" s="9">
        <v>0</v>
      </c>
      <c r="R52" s="9">
        <v>35302.370000000003</v>
      </c>
      <c r="S52" s="9">
        <v>0</v>
      </c>
      <c r="T52" s="9">
        <v>0</v>
      </c>
      <c r="U52" s="9">
        <v>0</v>
      </c>
      <c r="V52" s="9">
        <v>612.50800000000004</v>
      </c>
      <c r="W52" s="9">
        <v>1370758.868</v>
      </c>
      <c r="X52" s="9">
        <v>6507.0749999999998</v>
      </c>
      <c r="Y52" s="9">
        <v>0</v>
      </c>
      <c r="Z52" s="9">
        <v>0</v>
      </c>
      <c r="AA52" s="9">
        <v>0</v>
      </c>
      <c r="AB52" s="9">
        <v>352360.83199999999</v>
      </c>
      <c r="AC52" s="9">
        <v>0</v>
      </c>
      <c r="AD52" s="9">
        <v>6885326.7920000004</v>
      </c>
      <c r="AE52" s="9">
        <v>0</v>
      </c>
      <c r="AF52" s="9">
        <v>0</v>
      </c>
      <c r="AG52" s="9">
        <v>17182855</v>
      </c>
      <c r="AH52" s="9">
        <v>19755.388999999999</v>
      </c>
      <c r="AI52" s="9">
        <v>38166.619999999995</v>
      </c>
      <c r="AJ52" s="9">
        <v>0</v>
      </c>
      <c r="AK52" s="9">
        <v>0</v>
      </c>
      <c r="AL52" s="9">
        <v>0</v>
      </c>
      <c r="AM52" s="9">
        <v>125864.887</v>
      </c>
      <c r="AN52" s="9">
        <v>1614562.956</v>
      </c>
      <c r="AO52" s="9">
        <v>88416</v>
      </c>
      <c r="AP52" s="9">
        <v>2010945.46</v>
      </c>
      <c r="AQ52" s="9">
        <v>113042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20628.442999999999</v>
      </c>
      <c r="AY52" s="9">
        <v>0</v>
      </c>
      <c r="AZ52" s="9">
        <v>16133149441.267574</v>
      </c>
      <c r="BA52" s="9">
        <v>2416012.193</v>
      </c>
      <c r="BB52" s="9">
        <v>0</v>
      </c>
      <c r="BC52" s="9">
        <v>0</v>
      </c>
      <c r="BD52" s="9">
        <v>19931.373</v>
      </c>
      <c r="BE52" s="9">
        <v>4943597.0290000001</v>
      </c>
      <c r="BF52" s="9">
        <v>0</v>
      </c>
      <c r="BG52" s="9">
        <v>56447954</v>
      </c>
      <c r="BH52" s="9">
        <v>7314</v>
      </c>
      <c r="BI52" s="9">
        <v>0</v>
      </c>
      <c r="BJ52" s="9">
        <v>0</v>
      </c>
      <c r="BK52" s="9">
        <v>0</v>
      </c>
      <c r="BL52" s="9">
        <v>320713.05900000001</v>
      </c>
      <c r="BM52" s="9">
        <v>0</v>
      </c>
      <c r="BN52" s="9">
        <v>12984932.950000001</v>
      </c>
      <c r="BO52" s="9">
        <v>0</v>
      </c>
      <c r="BP52" s="9">
        <v>0</v>
      </c>
      <c r="BQ52" s="9">
        <v>0</v>
      </c>
      <c r="BR52" s="9">
        <v>172412399.34199998</v>
      </c>
      <c r="BS52" s="9">
        <v>0</v>
      </c>
      <c r="BT52" s="9">
        <v>0</v>
      </c>
      <c r="BU52" s="9">
        <v>3591699.0090000001</v>
      </c>
      <c r="BV52" s="9">
        <v>0</v>
      </c>
      <c r="BW52" s="9">
        <v>170604</v>
      </c>
      <c r="BX52" s="9">
        <v>0</v>
      </c>
      <c r="BY52" s="9">
        <v>5520836.04</v>
      </c>
      <c r="BZ52" s="9">
        <v>13351685.547</v>
      </c>
    </row>
    <row r="53" spans="1:78">
      <c r="A53" s="4" t="s">
        <v>173</v>
      </c>
      <c r="B53" s="9">
        <v>0</v>
      </c>
      <c r="C53" s="9">
        <v>0</v>
      </c>
      <c r="D53" s="9">
        <v>216253.72399999999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7509.8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7499.6790000000001</v>
      </c>
      <c r="V53" s="9">
        <v>46457.156000000003</v>
      </c>
      <c r="W53" s="9">
        <v>159822.891</v>
      </c>
      <c r="X53" s="9">
        <v>13302.199000000001</v>
      </c>
      <c r="Y53" s="9">
        <v>0</v>
      </c>
      <c r="Z53" s="9">
        <v>0</v>
      </c>
      <c r="AA53" s="9">
        <v>27031.715</v>
      </c>
      <c r="AB53" s="9">
        <v>18779.701000000001</v>
      </c>
      <c r="AC53" s="9">
        <v>0</v>
      </c>
      <c r="AD53" s="9">
        <v>0</v>
      </c>
      <c r="AE53" s="9">
        <v>0</v>
      </c>
      <c r="AF53" s="9">
        <v>3179</v>
      </c>
      <c r="AG53" s="9">
        <v>0</v>
      </c>
      <c r="AH53" s="9">
        <v>6643.5990000000002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36.763000000000005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43751.688000000002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63724</v>
      </c>
      <c r="BX53" s="9">
        <v>0</v>
      </c>
      <c r="BY53" s="9">
        <v>0</v>
      </c>
      <c r="BZ53" s="9">
        <v>3106273.5990000004</v>
      </c>
    </row>
    <row r="54" spans="1:78">
      <c r="A54" s="4" t="s">
        <v>175</v>
      </c>
      <c r="B54" s="9">
        <v>1385622.94</v>
      </c>
      <c r="C54" s="9">
        <v>70981182.799999997</v>
      </c>
      <c r="D54" s="9">
        <v>143327208.34900001</v>
      </c>
      <c r="E54" s="9">
        <v>1156994907.293</v>
      </c>
      <c r="F54" s="9">
        <v>0</v>
      </c>
      <c r="G54" s="9">
        <v>50260234.787</v>
      </c>
      <c r="H54" s="9">
        <v>0</v>
      </c>
      <c r="I54" s="9">
        <v>1861147</v>
      </c>
      <c r="J54" s="9">
        <v>0</v>
      </c>
      <c r="K54" s="9">
        <v>53554893.685000002</v>
      </c>
      <c r="L54" s="9">
        <v>227036076.815</v>
      </c>
      <c r="M54" s="9">
        <v>7677215.8459999999</v>
      </c>
      <c r="N54" s="9">
        <v>83150165</v>
      </c>
      <c r="O54" s="9">
        <v>4940888.04</v>
      </c>
      <c r="P54" s="9">
        <v>0</v>
      </c>
      <c r="Q54" s="9">
        <v>8430789.7400000002</v>
      </c>
      <c r="R54" s="9">
        <v>947099.95</v>
      </c>
      <c r="S54" s="9">
        <v>425424.05700000003</v>
      </c>
      <c r="T54" s="9">
        <v>85382632</v>
      </c>
      <c r="U54" s="9">
        <v>1372590295.9330001</v>
      </c>
      <c r="V54" s="9">
        <v>97411544.339000002</v>
      </c>
      <c r="W54" s="9">
        <v>9352500.574000001</v>
      </c>
      <c r="X54" s="9">
        <v>66273990.030000001</v>
      </c>
      <c r="Y54" s="9">
        <v>5924912.0800000001</v>
      </c>
      <c r="Z54" s="9">
        <v>72168234.943000004</v>
      </c>
      <c r="AA54" s="9">
        <v>756803074.39999998</v>
      </c>
      <c r="AB54" s="9">
        <v>622992549.18400002</v>
      </c>
      <c r="AC54" s="9">
        <v>30966699.618999999</v>
      </c>
      <c r="AD54" s="9">
        <v>4491294.0410000002</v>
      </c>
      <c r="AE54" s="9">
        <v>27588466</v>
      </c>
      <c r="AF54" s="9">
        <v>31574221</v>
      </c>
      <c r="AG54" s="9">
        <v>49719411</v>
      </c>
      <c r="AH54" s="9">
        <v>14568228.184</v>
      </c>
      <c r="AI54" s="9">
        <v>72526252.713</v>
      </c>
      <c r="AJ54" s="9">
        <v>9611681.3870000001</v>
      </c>
      <c r="AK54" s="9">
        <v>146683180</v>
      </c>
      <c r="AL54" s="9">
        <v>260129405.29899999</v>
      </c>
      <c r="AM54" s="9">
        <v>154690.943</v>
      </c>
      <c r="AN54" s="9">
        <v>0</v>
      </c>
      <c r="AO54" s="9">
        <v>13973659.780000001</v>
      </c>
      <c r="AP54" s="9">
        <v>0</v>
      </c>
      <c r="AQ54" s="9">
        <v>186786729</v>
      </c>
      <c r="AR54" s="9">
        <v>0</v>
      </c>
      <c r="AS54" s="9">
        <v>79100003</v>
      </c>
      <c r="AT54" s="9">
        <v>11290155.662</v>
      </c>
      <c r="AU54" s="9">
        <v>18009326.843000002</v>
      </c>
      <c r="AV54" s="9">
        <v>8903335.3969999999</v>
      </c>
      <c r="AW54" s="9">
        <v>0</v>
      </c>
      <c r="AX54" s="9">
        <v>3334488.6150000002</v>
      </c>
      <c r="AY54" s="9">
        <v>2986.78</v>
      </c>
      <c r="AZ54" s="9">
        <v>466003.59700000001</v>
      </c>
      <c r="BA54" s="9">
        <v>4677381.7170000002</v>
      </c>
      <c r="BB54" s="9">
        <v>0</v>
      </c>
      <c r="BC54" s="9">
        <v>71697758.436999992</v>
      </c>
      <c r="BD54" s="9">
        <v>63649814.354000002</v>
      </c>
      <c r="BE54" s="9">
        <v>0</v>
      </c>
      <c r="BF54" s="9">
        <v>4331975.6399999997</v>
      </c>
      <c r="BG54" s="9">
        <v>5469550</v>
      </c>
      <c r="BH54" s="9">
        <v>208681236</v>
      </c>
      <c r="BI54" s="9">
        <v>253402679.67499998</v>
      </c>
      <c r="BJ54" s="9">
        <v>85438434.650000006</v>
      </c>
      <c r="BK54" s="9">
        <v>0</v>
      </c>
      <c r="BL54" s="9">
        <v>29846666.987</v>
      </c>
      <c r="BM54" s="9">
        <v>2444886.9159999997</v>
      </c>
      <c r="BN54" s="9">
        <v>7467753.2699999996</v>
      </c>
      <c r="BO54" s="9">
        <v>26893860.239</v>
      </c>
      <c r="BP54" s="9">
        <v>26544843.623</v>
      </c>
      <c r="BQ54" s="9">
        <v>173085579.88</v>
      </c>
      <c r="BR54" s="9">
        <v>2917209.5970000001</v>
      </c>
      <c r="BS54" s="9">
        <v>674908.88100000005</v>
      </c>
      <c r="BT54" s="9">
        <v>54903422</v>
      </c>
      <c r="BU54" s="9">
        <v>27975706.508000001</v>
      </c>
      <c r="BV54" s="9">
        <v>10636906.99</v>
      </c>
      <c r="BW54" s="9">
        <v>532959852</v>
      </c>
      <c r="BX54" s="9">
        <v>0</v>
      </c>
      <c r="BY54" s="9">
        <v>1256575.348</v>
      </c>
      <c r="BZ54" s="9">
        <v>115354873.906</v>
      </c>
    </row>
    <row r="55" spans="1:78">
      <c r="A55" s="4" t="s">
        <v>177</v>
      </c>
      <c r="B55" s="9">
        <v>4921423.0999999996</v>
      </c>
      <c r="C55" s="9">
        <v>0</v>
      </c>
      <c r="D55" s="9">
        <v>1253368.74</v>
      </c>
      <c r="E55" s="9">
        <v>1274092.767</v>
      </c>
      <c r="F55" s="9">
        <v>0</v>
      </c>
      <c r="G55" s="9">
        <v>1412115.5619999999</v>
      </c>
      <c r="H55" s="9">
        <v>0</v>
      </c>
      <c r="I55" s="9">
        <v>0</v>
      </c>
      <c r="J55" s="9">
        <v>0</v>
      </c>
      <c r="K55" s="9">
        <v>3023763.8769999999</v>
      </c>
      <c r="L55" s="9">
        <v>9118607.3469999991</v>
      </c>
      <c r="M55" s="9">
        <v>118026.803</v>
      </c>
      <c r="N55" s="9">
        <v>0</v>
      </c>
      <c r="O55" s="9">
        <v>2166907.67</v>
      </c>
      <c r="P55" s="9">
        <v>0</v>
      </c>
      <c r="Q55" s="9">
        <v>0</v>
      </c>
      <c r="R55" s="9">
        <v>0</v>
      </c>
      <c r="S55" s="9">
        <v>10746.728999999999</v>
      </c>
      <c r="T55" s="9">
        <v>131629</v>
      </c>
      <c r="U55" s="9">
        <v>23166642.965999998</v>
      </c>
      <c r="V55" s="9">
        <v>26305913.483999997</v>
      </c>
      <c r="W55" s="9">
        <v>0</v>
      </c>
      <c r="X55" s="9">
        <v>6212558.284</v>
      </c>
      <c r="Y55" s="9">
        <v>1258509.1299999999</v>
      </c>
      <c r="Z55" s="9">
        <v>14831849.244999999</v>
      </c>
      <c r="AA55" s="9">
        <v>6114473.4879999999</v>
      </c>
      <c r="AB55" s="9">
        <v>10201802.390000001</v>
      </c>
      <c r="AC55" s="9">
        <v>417419.42700000003</v>
      </c>
      <c r="AD55" s="9">
        <v>0</v>
      </c>
      <c r="AE55" s="9">
        <v>518331</v>
      </c>
      <c r="AF55" s="9">
        <v>212083</v>
      </c>
      <c r="AG55" s="9">
        <v>6801708</v>
      </c>
      <c r="AH55" s="9">
        <v>0</v>
      </c>
      <c r="AI55" s="9">
        <v>1111401.4130000002</v>
      </c>
      <c r="AJ55" s="9">
        <v>2186521.5669999998</v>
      </c>
      <c r="AK55" s="9">
        <v>0</v>
      </c>
      <c r="AL55" s="9">
        <v>3573897.7059999998</v>
      </c>
      <c r="AM55" s="9">
        <v>0</v>
      </c>
      <c r="AN55" s="9">
        <v>0</v>
      </c>
      <c r="AO55" s="9">
        <v>810200.15</v>
      </c>
      <c r="AP55" s="9">
        <v>0</v>
      </c>
      <c r="AQ55" s="9">
        <v>395229</v>
      </c>
      <c r="AR55" s="9">
        <v>0</v>
      </c>
      <c r="AS55" s="9">
        <v>20060685</v>
      </c>
      <c r="AT55" s="9">
        <v>48121.773000000001</v>
      </c>
      <c r="AU55" s="9">
        <v>10786981.202</v>
      </c>
      <c r="AV55" s="9">
        <v>0</v>
      </c>
      <c r="AW55" s="9">
        <v>0</v>
      </c>
      <c r="AX55" s="9">
        <v>307750.674</v>
      </c>
      <c r="AY55" s="9">
        <v>0</v>
      </c>
      <c r="AZ55" s="9">
        <v>0</v>
      </c>
      <c r="BA55" s="9">
        <v>369427.09600000002</v>
      </c>
      <c r="BB55" s="9">
        <v>40998980.191</v>
      </c>
      <c r="BC55" s="9">
        <v>1796002297.2924023</v>
      </c>
      <c r="BD55" s="9">
        <v>2736160.0630000001</v>
      </c>
      <c r="BE55" s="9">
        <v>0</v>
      </c>
      <c r="BF55" s="9">
        <v>0</v>
      </c>
      <c r="BG55" s="9">
        <v>0</v>
      </c>
      <c r="BH55" s="9">
        <v>1668301</v>
      </c>
      <c r="BI55" s="9">
        <v>212617.41699999999</v>
      </c>
      <c r="BJ55" s="9">
        <v>1937190.2300000002</v>
      </c>
      <c r="BK55" s="9">
        <v>0</v>
      </c>
      <c r="BL55" s="9">
        <v>8506838.186999999</v>
      </c>
      <c r="BM55" s="9">
        <v>0</v>
      </c>
      <c r="BN55" s="9">
        <v>103.498</v>
      </c>
      <c r="BO55" s="9">
        <v>10995.421</v>
      </c>
      <c r="BP55" s="9">
        <v>663848.05499999993</v>
      </c>
      <c r="BQ55" s="9">
        <v>79142243.00999999</v>
      </c>
      <c r="BR55" s="9">
        <v>0</v>
      </c>
      <c r="BS55" s="9">
        <v>43326.837</v>
      </c>
      <c r="BT55" s="9">
        <v>0</v>
      </c>
      <c r="BU55" s="9">
        <v>61693.959000000003</v>
      </c>
      <c r="BV55" s="9">
        <v>730718.37</v>
      </c>
      <c r="BW55" s="9">
        <v>39293784</v>
      </c>
      <c r="BX55" s="9">
        <v>0</v>
      </c>
      <c r="BY55" s="9">
        <v>2475347.9449999998</v>
      </c>
      <c r="BZ55" s="9">
        <v>5089503.0540000005</v>
      </c>
    </row>
    <row r="56" spans="1:78">
      <c r="A56" s="4" t="s">
        <v>179</v>
      </c>
      <c r="B56" s="9">
        <v>0</v>
      </c>
      <c r="C56" s="9">
        <v>21817295.726999998</v>
      </c>
      <c r="D56" s="9">
        <v>0</v>
      </c>
      <c r="E56" s="9">
        <v>39090.995999999999</v>
      </c>
      <c r="F56" s="9">
        <v>0</v>
      </c>
      <c r="G56" s="9">
        <v>0</v>
      </c>
      <c r="H56" s="9">
        <v>0</v>
      </c>
      <c r="I56" s="9">
        <v>0</v>
      </c>
      <c r="J56" s="9">
        <v>308307.114</v>
      </c>
      <c r="K56" s="9">
        <v>27761.879000000001</v>
      </c>
      <c r="L56" s="9">
        <v>0</v>
      </c>
      <c r="M56" s="9">
        <v>56235.589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5406.3429999999998</v>
      </c>
      <c r="T56" s="9">
        <v>0</v>
      </c>
      <c r="U56" s="9">
        <v>383838.46600000001</v>
      </c>
      <c r="V56" s="9">
        <v>0</v>
      </c>
      <c r="W56" s="9">
        <v>0</v>
      </c>
      <c r="X56" s="9">
        <v>16219.029</v>
      </c>
      <c r="Y56" s="9">
        <v>0</v>
      </c>
      <c r="Z56" s="9">
        <v>0</v>
      </c>
      <c r="AA56" s="9">
        <v>123.265</v>
      </c>
      <c r="AB56" s="9">
        <v>1927190.8119999999</v>
      </c>
      <c r="AC56" s="9">
        <v>73396.513999999996</v>
      </c>
      <c r="AD56" s="9">
        <v>392948.72899999999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480670.39600000001</v>
      </c>
      <c r="AM56" s="9">
        <v>0</v>
      </c>
      <c r="AN56" s="9">
        <v>36244.245000000003</v>
      </c>
      <c r="AO56" s="9">
        <v>42060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57153.148999999998</v>
      </c>
      <c r="BA56" s="9">
        <v>527905.74800000002</v>
      </c>
      <c r="BB56" s="9">
        <v>7549.4179999999997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18509</v>
      </c>
      <c r="BI56" s="9">
        <v>54063.430999999997</v>
      </c>
      <c r="BJ56" s="9">
        <v>9877.86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41838</v>
      </c>
      <c r="BW56" s="9">
        <v>1205158</v>
      </c>
      <c r="BX56" s="9">
        <v>0</v>
      </c>
      <c r="BY56" s="9">
        <v>0</v>
      </c>
      <c r="BZ56" s="9">
        <v>9799045.0749999993</v>
      </c>
    </row>
    <row r="57" spans="1:78">
      <c r="A57" s="4" t="s">
        <v>181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10408.151</v>
      </c>
      <c r="P57" s="9">
        <v>0</v>
      </c>
      <c r="Q57" s="9">
        <v>21884.26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25980.722000000002</v>
      </c>
      <c r="Y57" s="9">
        <v>0</v>
      </c>
      <c r="Z57" s="9">
        <v>0</v>
      </c>
      <c r="AA57" s="9">
        <v>0</v>
      </c>
      <c r="AB57" s="9">
        <v>5686.4870000000001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3903.38</v>
      </c>
      <c r="AJ57" s="9">
        <v>0</v>
      </c>
      <c r="AK57" s="9">
        <v>0</v>
      </c>
      <c r="AL57" s="9">
        <v>0</v>
      </c>
      <c r="AM57" s="9">
        <v>0</v>
      </c>
      <c r="AN57" s="9">
        <v>920156.82000000007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21537.503000000001</v>
      </c>
      <c r="BB57" s="9">
        <v>0</v>
      </c>
      <c r="BC57" s="9">
        <v>0</v>
      </c>
      <c r="BD57" s="9">
        <v>0</v>
      </c>
      <c r="BE57" s="9">
        <v>475107545.17111957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36111.347000000002</v>
      </c>
      <c r="BN57" s="9">
        <v>0</v>
      </c>
      <c r="BO57" s="9">
        <v>0</v>
      </c>
      <c r="BP57" s="9">
        <v>0</v>
      </c>
      <c r="BQ57" s="9">
        <v>376.99700000000001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21000</v>
      </c>
      <c r="BX57" s="9">
        <v>0</v>
      </c>
      <c r="BY57" s="9">
        <v>0</v>
      </c>
      <c r="BZ57" s="9">
        <v>1280017.8259999999</v>
      </c>
    </row>
    <row r="58" spans="1:78">
      <c r="A58" s="4" t="s">
        <v>183</v>
      </c>
      <c r="B58" s="9">
        <v>0</v>
      </c>
      <c r="C58" s="9">
        <v>29115.778999999999</v>
      </c>
      <c r="D58" s="9">
        <v>0</v>
      </c>
      <c r="E58" s="9">
        <v>21625.371999999999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26054.356</v>
      </c>
      <c r="L58" s="9">
        <v>0</v>
      </c>
      <c r="M58" s="9">
        <v>893965.89399999997</v>
      </c>
      <c r="N58" s="9">
        <v>0</v>
      </c>
      <c r="O58" s="9">
        <v>0</v>
      </c>
      <c r="P58" s="9">
        <v>0</v>
      </c>
      <c r="Q58" s="9">
        <v>641764.32999999996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427511.40299999999</v>
      </c>
      <c r="Y58" s="9">
        <v>0</v>
      </c>
      <c r="Z58" s="9">
        <v>0</v>
      </c>
      <c r="AA58" s="9">
        <v>4948.9660000000003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190267.595</v>
      </c>
      <c r="BC58" s="9">
        <v>0</v>
      </c>
      <c r="BD58" s="9">
        <v>0</v>
      </c>
      <c r="BE58" s="9">
        <v>0</v>
      </c>
      <c r="BF58" s="9">
        <v>5305354252.3932018</v>
      </c>
      <c r="BG58" s="9">
        <v>681002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647243</v>
      </c>
      <c r="BX58" s="9">
        <v>0</v>
      </c>
      <c r="BY58" s="9">
        <v>0</v>
      </c>
      <c r="BZ58" s="9">
        <v>1387545.6600000001</v>
      </c>
    </row>
    <row r="59" spans="1:78">
      <c r="A59" s="4" t="s">
        <v>185</v>
      </c>
      <c r="B59" s="9">
        <v>0</v>
      </c>
      <c r="C59" s="9">
        <v>76206.298999999999</v>
      </c>
      <c r="D59" s="9">
        <v>0</v>
      </c>
      <c r="E59" s="9">
        <v>16219.029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1700.115</v>
      </c>
      <c r="L59" s="9">
        <v>0</v>
      </c>
      <c r="M59" s="9">
        <v>0</v>
      </c>
      <c r="N59" s="9">
        <v>8451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5231.1779999999999</v>
      </c>
      <c r="V59" s="9">
        <v>0</v>
      </c>
      <c r="W59" s="9">
        <v>24408.299000000003</v>
      </c>
      <c r="X59" s="9">
        <v>44372.561000000002</v>
      </c>
      <c r="Y59" s="9">
        <v>0</v>
      </c>
      <c r="Z59" s="9">
        <v>0</v>
      </c>
      <c r="AA59" s="9">
        <v>1085.5940000000001</v>
      </c>
      <c r="AB59" s="9">
        <v>17209.857</v>
      </c>
      <c r="AC59" s="9">
        <v>0</v>
      </c>
      <c r="AD59" s="9">
        <v>1593954.4609999999</v>
      </c>
      <c r="AE59" s="9">
        <v>0</v>
      </c>
      <c r="AF59" s="9">
        <v>0</v>
      </c>
      <c r="AG59" s="9">
        <v>59983671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48956.779000000002</v>
      </c>
      <c r="AO59" s="9">
        <v>0</v>
      </c>
      <c r="AP59" s="9">
        <v>0</v>
      </c>
      <c r="AQ59" s="9">
        <v>192628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146558.66700000002</v>
      </c>
      <c r="BB59" s="9">
        <v>15694.614</v>
      </c>
      <c r="BC59" s="9">
        <v>0</v>
      </c>
      <c r="BD59" s="9">
        <v>0</v>
      </c>
      <c r="BE59" s="9">
        <v>5601544.1890000002</v>
      </c>
      <c r="BF59" s="9">
        <v>0</v>
      </c>
      <c r="BG59" s="9">
        <v>28207937677.50843</v>
      </c>
      <c r="BH59" s="9">
        <v>2715</v>
      </c>
      <c r="BI59" s="9">
        <v>0</v>
      </c>
      <c r="BJ59" s="9">
        <v>0</v>
      </c>
      <c r="BK59" s="9">
        <v>0</v>
      </c>
      <c r="BL59" s="9">
        <v>0</v>
      </c>
      <c r="BM59" s="9">
        <v>20740.751</v>
      </c>
      <c r="BN59" s="9">
        <v>130727.58</v>
      </c>
      <c r="BO59" s="9">
        <v>0</v>
      </c>
      <c r="BP59" s="9">
        <v>0</v>
      </c>
      <c r="BQ59" s="9">
        <v>0</v>
      </c>
      <c r="BR59" s="9">
        <v>44430.710999999996</v>
      </c>
      <c r="BS59" s="9">
        <v>0</v>
      </c>
      <c r="BT59" s="9">
        <v>0</v>
      </c>
      <c r="BU59" s="9">
        <v>0</v>
      </c>
      <c r="BV59" s="9">
        <v>0</v>
      </c>
      <c r="BW59" s="9">
        <v>92670</v>
      </c>
      <c r="BX59" s="9">
        <v>0</v>
      </c>
      <c r="BY59" s="9">
        <v>0</v>
      </c>
      <c r="BZ59" s="9">
        <v>1247470.2560000001</v>
      </c>
    </row>
    <row r="60" spans="1:78">
      <c r="A60" s="4" t="s">
        <v>187</v>
      </c>
      <c r="B60" s="9">
        <v>17274.349999999999</v>
      </c>
      <c r="C60" s="9">
        <v>75634208.164999992</v>
      </c>
      <c r="D60" s="9">
        <v>438766759.58200002</v>
      </c>
      <c r="E60" s="9">
        <v>429912605.41100001</v>
      </c>
      <c r="F60" s="9">
        <v>0</v>
      </c>
      <c r="G60" s="9">
        <v>54138729.114000008</v>
      </c>
      <c r="H60" s="9">
        <v>0</v>
      </c>
      <c r="I60" s="9">
        <v>0</v>
      </c>
      <c r="J60" s="9">
        <v>0</v>
      </c>
      <c r="K60" s="9">
        <v>6828.61</v>
      </c>
      <c r="L60" s="9">
        <v>306881334.13499999</v>
      </c>
      <c r="M60" s="9">
        <v>4347364.3949999996</v>
      </c>
      <c r="N60" s="9">
        <v>28142622</v>
      </c>
      <c r="O60" s="9">
        <v>647112.25399999996</v>
      </c>
      <c r="P60" s="9">
        <v>0</v>
      </c>
      <c r="Q60" s="9">
        <v>0</v>
      </c>
      <c r="R60" s="9">
        <v>0</v>
      </c>
      <c r="S60" s="9">
        <v>746118.598</v>
      </c>
      <c r="T60" s="9">
        <v>303896632</v>
      </c>
      <c r="U60" s="9">
        <v>3264727472.4989996</v>
      </c>
      <c r="V60" s="9">
        <v>49202219.993000001</v>
      </c>
      <c r="W60" s="9">
        <v>117021.66499999999</v>
      </c>
      <c r="X60" s="9">
        <v>744744255.64499998</v>
      </c>
      <c r="Y60" s="9">
        <v>43764075.530000001</v>
      </c>
      <c r="Z60" s="9">
        <v>82338915.736999989</v>
      </c>
      <c r="AA60" s="9">
        <v>686016880.24399996</v>
      </c>
      <c r="AB60" s="9">
        <v>1220216062.615</v>
      </c>
      <c r="AC60" s="9">
        <v>11291656.842</v>
      </c>
      <c r="AD60" s="9">
        <v>0</v>
      </c>
      <c r="AE60" s="9">
        <v>51707027</v>
      </c>
      <c r="AF60" s="9">
        <v>61533636</v>
      </c>
      <c r="AG60" s="9">
        <v>389879</v>
      </c>
      <c r="AH60" s="9">
        <v>0</v>
      </c>
      <c r="AI60" s="9">
        <v>3773084.6869999999</v>
      </c>
      <c r="AJ60" s="9">
        <v>2630204.412</v>
      </c>
      <c r="AK60" s="9">
        <v>81375950</v>
      </c>
      <c r="AL60" s="9">
        <v>2160950657.7909999</v>
      </c>
      <c r="AM60" s="9">
        <v>1251661.9680000001</v>
      </c>
      <c r="AN60" s="9">
        <v>76554621.578000009</v>
      </c>
      <c r="AO60" s="9">
        <v>1505155.76</v>
      </c>
      <c r="AP60" s="9">
        <v>0</v>
      </c>
      <c r="AQ60" s="9">
        <v>33210113</v>
      </c>
      <c r="AR60" s="9">
        <v>0</v>
      </c>
      <c r="AS60" s="9">
        <v>207550724</v>
      </c>
      <c r="AT60" s="9">
        <v>65254434.211000003</v>
      </c>
      <c r="AU60" s="9">
        <v>68801170.947999999</v>
      </c>
      <c r="AV60" s="9">
        <v>68705316.751000002</v>
      </c>
      <c r="AW60" s="9">
        <v>0</v>
      </c>
      <c r="AX60" s="9">
        <v>0</v>
      </c>
      <c r="AY60" s="9">
        <v>380.36</v>
      </c>
      <c r="AZ60" s="9">
        <v>1955720.0490000001</v>
      </c>
      <c r="BA60" s="9">
        <v>159958.05499999999</v>
      </c>
      <c r="BB60" s="9">
        <v>419055990.61000001</v>
      </c>
      <c r="BC60" s="9">
        <v>144773301.35600001</v>
      </c>
      <c r="BD60" s="9">
        <v>33553126.137000002</v>
      </c>
      <c r="BE60" s="9">
        <v>0</v>
      </c>
      <c r="BF60" s="9">
        <v>2685721.35</v>
      </c>
      <c r="BG60" s="9">
        <v>9508157</v>
      </c>
      <c r="BH60" s="9">
        <v>931155444.34565401</v>
      </c>
      <c r="BI60" s="9">
        <v>83648439.082000002</v>
      </c>
      <c r="BJ60" s="9">
        <v>99634489.310000002</v>
      </c>
      <c r="BK60" s="9">
        <v>0</v>
      </c>
      <c r="BL60" s="9">
        <v>29090819.539000001</v>
      </c>
      <c r="BM60" s="9">
        <v>15402.039000000001</v>
      </c>
      <c r="BN60" s="9">
        <v>3601957.7110000001</v>
      </c>
      <c r="BO60" s="9">
        <v>84120094.941</v>
      </c>
      <c r="BP60" s="9">
        <v>112332579.19500001</v>
      </c>
      <c r="BQ60" s="9">
        <v>240390303.07699999</v>
      </c>
      <c r="BR60" s="9">
        <v>195371.535</v>
      </c>
      <c r="BS60" s="9">
        <v>12322214.630999999</v>
      </c>
      <c r="BT60" s="9">
        <v>471828437</v>
      </c>
      <c r="BU60" s="9">
        <v>31282560.465999998</v>
      </c>
      <c r="BV60" s="9">
        <v>279382095.04000002</v>
      </c>
      <c r="BW60" s="9">
        <v>615642</v>
      </c>
      <c r="BX60" s="9">
        <v>0</v>
      </c>
      <c r="BY60" s="9">
        <v>56443674.461999997</v>
      </c>
      <c r="BZ60" s="9">
        <v>173376440.63600001</v>
      </c>
    </row>
    <row r="61" spans="1:78">
      <c r="A61" s="4" t="s">
        <v>189</v>
      </c>
      <c r="B61" s="9">
        <v>0</v>
      </c>
      <c r="C61" s="9">
        <v>184378738.71100003</v>
      </c>
      <c r="D61" s="9">
        <v>67828913.666999996</v>
      </c>
      <c r="E61" s="9">
        <v>121006485.14</v>
      </c>
      <c r="F61" s="9">
        <v>0</v>
      </c>
      <c r="G61" s="9">
        <v>744574.245</v>
      </c>
      <c r="H61" s="9">
        <v>0</v>
      </c>
      <c r="I61" s="9">
        <v>120053</v>
      </c>
      <c r="J61" s="9">
        <v>0</v>
      </c>
      <c r="K61" s="9">
        <v>5000.3379999999997</v>
      </c>
      <c r="L61" s="9">
        <v>135310568.26499999</v>
      </c>
      <c r="M61" s="9">
        <v>1693763.2220000001</v>
      </c>
      <c r="N61" s="9">
        <v>0</v>
      </c>
      <c r="O61" s="9">
        <v>663383.09600000002</v>
      </c>
      <c r="P61" s="9">
        <v>0</v>
      </c>
      <c r="Q61" s="9">
        <v>0</v>
      </c>
      <c r="R61" s="9">
        <v>0</v>
      </c>
      <c r="S61" s="9">
        <v>853551.28599999996</v>
      </c>
      <c r="T61" s="9">
        <v>27169247</v>
      </c>
      <c r="U61" s="9">
        <v>913020713.10399997</v>
      </c>
      <c r="V61" s="9">
        <v>568910.31000000006</v>
      </c>
      <c r="W61" s="9">
        <v>4369012.4950000001</v>
      </c>
      <c r="X61" s="9">
        <v>726112596.99300003</v>
      </c>
      <c r="Y61" s="9">
        <v>10141862.41</v>
      </c>
      <c r="Z61" s="9">
        <v>8800551.2630000003</v>
      </c>
      <c r="AA61" s="9">
        <v>1168859359.0640001</v>
      </c>
      <c r="AB61" s="9">
        <v>616117063.22099996</v>
      </c>
      <c r="AC61" s="9">
        <v>206496.35499999998</v>
      </c>
      <c r="AD61" s="9">
        <v>0</v>
      </c>
      <c r="AE61" s="9">
        <v>6297254</v>
      </c>
      <c r="AF61" s="9">
        <v>186452</v>
      </c>
      <c r="AG61" s="9">
        <v>0</v>
      </c>
      <c r="AH61" s="9">
        <v>0</v>
      </c>
      <c r="AI61" s="9">
        <v>139697.74299999999</v>
      </c>
      <c r="AJ61" s="9">
        <v>146672.19699999999</v>
      </c>
      <c r="AK61" s="9">
        <v>8342577</v>
      </c>
      <c r="AL61" s="9">
        <v>948000251.42499995</v>
      </c>
      <c r="AM61" s="9">
        <v>754880.30799999996</v>
      </c>
      <c r="AN61" s="9">
        <v>210585455.074</v>
      </c>
      <c r="AO61" s="9">
        <v>1454070.28</v>
      </c>
      <c r="AP61" s="9">
        <v>0</v>
      </c>
      <c r="AQ61" s="9">
        <v>0</v>
      </c>
      <c r="AR61" s="9">
        <v>0</v>
      </c>
      <c r="AS61" s="9">
        <v>14061</v>
      </c>
      <c r="AT61" s="9">
        <v>18125789.204</v>
      </c>
      <c r="AU61" s="9">
        <v>79208.332999999999</v>
      </c>
      <c r="AV61" s="9">
        <v>97335806.409000009</v>
      </c>
      <c r="AW61" s="9">
        <v>0</v>
      </c>
      <c r="AX61" s="9">
        <v>0</v>
      </c>
      <c r="AY61" s="9">
        <v>0</v>
      </c>
      <c r="AZ61" s="9">
        <v>165351.07199999999</v>
      </c>
      <c r="BA61" s="9">
        <v>105198.655</v>
      </c>
      <c r="BB61" s="9">
        <v>49991131.173</v>
      </c>
      <c r="BC61" s="9">
        <v>604398.91299999994</v>
      </c>
      <c r="BD61" s="9">
        <v>2137295.56</v>
      </c>
      <c r="BE61" s="9">
        <v>0</v>
      </c>
      <c r="BF61" s="9">
        <v>0</v>
      </c>
      <c r="BG61" s="9">
        <v>0</v>
      </c>
      <c r="BH61" s="9">
        <v>170164740</v>
      </c>
      <c r="BI61" s="9">
        <v>0</v>
      </c>
      <c r="BJ61" s="9">
        <v>1254933.77</v>
      </c>
      <c r="BK61" s="9">
        <v>0</v>
      </c>
      <c r="BL61" s="9">
        <v>27927487.302000001</v>
      </c>
      <c r="BM61" s="9">
        <v>17034.144</v>
      </c>
      <c r="BN61" s="9">
        <v>0</v>
      </c>
      <c r="BO61" s="9">
        <v>34094470.217999995</v>
      </c>
      <c r="BP61" s="9">
        <v>27165270.766999997</v>
      </c>
      <c r="BQ61" s="9">
        <v>50408939.312000006</v>
      </c>
      <c r="BR61" s="9">
        <v>161207.89600000001</v>
      </c>
      <c r="BS61" s="9">
        <v>42634.053</v>
      </c>
      <c r="BT61" s="9">
        <v>410916563</v>
      </c>
      <c r="BU61" s="9">
        <v>59663161.663999997</v>
      </c>
      <c r="BV61" s="9">
        <v>203644.72</v>
      </c>
      <c r="BW61" s="9">
        <v>1404723</v>
      </c>
      <c r="BX61" s="9">
        <v>0</v>
      </c>
      <c r="BY61" s="9">
        <v>88281025.687000006</v>
      </c>
      <c r="BZ61" s="9">
        <v>86910940.258000001</v>
      </c>
    </row>
    <row r="62" spans="1:78">
      <c r="A62" s="4" t="s">
        <v>191</v>
      </c>
      <c r="B62" s="9">
        <v>0</v>
      </c>
      <c r="C62" s="9">
        <v>29876285.252999999</v>
      </c>
      <c r="D62" s="9">
        <v>115804644.472</v>
      </c>
      <c r="E62" s="9">
        <v>136104155.15799999</v>
      </c>
      <c r="F62" s="9">
        <v>0</v>
      </c>
      <c r="G62" s="9">
        <v>53873190.778999992</v>
      </c>
      <c r="H62" s="9">
        <v>0</v>
      </c>
      <c r="I62" s="9">
        <v>0</v>
      </c>
      <c r="J62" s="9">
        <v>0</v>
      </c>
      <c r="K62" s="9">
        <v>0</v>
      </c>
      <c r="L62" s="9">
        <v>102638720.037</v>
      </c>
      <c r="M62" s="9">
        <v>16664.169999999998</v>
      </c>
      <c r="N62" s="9">
        <v>0</v>
      </c>
      <c r="O62" s="9">
        <v>5161910.6749999998</v>
      </c>
      <c r="P62" s="9">
        <v>0</v>
      </c>
      <c r="Q62" s="9">
        <v>0</v>
      </c>
      <c r="R62" s="9">
        <v>16575.490000000002</v>
      </c>
      <c r="S62" s="9">
        <v>8528657.6180000007</v>
      </c>
      <c r="T62" s="9">
        <v>93048682</v>
      </c>
      <c r="U62" s="9">
        <v>933176287.87400007</v>
      </c>
      <c r="V62" s="9">
        <v>19352893.476</v>
      </c>
      <c r="W62" s="9">
        <v>805519.12100000004</v>
      </c>
      <c r="X62" s="9">
        <v>702664712.41299999</v>
      </c>
      <c r="Y62" s="9">
        <v>461909.21</v>
      </c>
      <c r="Z62" s="9">
        <v>21659888.656000003</v>
      </c>
      <c r="AA62" s="9">
        <v>2106591181.931</v>
      </c>
      <c r="AB62" s="9">
        <v>1858506603.9889998</v>
      </c>
      <c r="AC62" s="9">
        <v>42723304.130000003</v>
      </c>
      <c r="AD62" s="9">
        <v>0</v>
      </c>
      <c r="AE62" s="9">
        <v>102147034</v>
      </c>
      <c r="AF62" s="9">
        <v>19700920</v>
      </c>
      <c r="AG62" s="9">
        <v>0</v>
      </c>
      <c r="AH62" s="9">
        <v>0</v>
      </c>
      <c r="AI62" s="9">
        <v>23251543.097999997</v>
      </c>
      <c r="AJ62" s="9">
        <v>18932820.43</v>
      </c>
      <c r="AK62" s="9">
        <v>21225912</v>
      </c>
      <c r="AL62" s="9">
        <v>1307617281.928</v>
      </c>
      <c r="AM62" s="9">
        <v>174794.69</v>
      </c>
      <c r="AN62" s="9">
        <v>0</v>
      </c>
      <c r="AO62" s="9">
        <v>0</v>
      </c>
      <c r="AP62" s="9">
        <v>0</v>
      </c>
      <c r="AQ62" s="9">
        <v>60594</v>
      </c>
      <c r="AR62" s="9">
        <v>0</v>
      </c>
      <c r="AS62" s="9">
        <v>2848147</v>
      </c>
      <c r="AT62" s="9">
        <v>609568.429</v>
      </c>
      <c r="AU62" s="9">
        <v>218181.62599999999</v>
      </c>
      <c r="AV62" s="9">
        <v>98972675.958000004</v>
      </c>
      <c r="AW62" s="9">
        <v>0</v>
      </c>
      <c r="AX62" s="9">
        <v>33811.269999999997</v>
      </c>
      <c r="AY62" s="9">
        <v>0</v>
      </c>
      <c r="AZ62" s="9">
        <v>0</v>
      </c>
      <c r="BA62" s="9">
        <v>26465.643</v>
      </c>
      <c r="BB62" s="9">
        <v>108239725.90099999</v>
      </c>
      <c r="BC62" s="9">
        <v>2398899.5830000001</v>
      </c>
      <c r="BD62" s="9">
        <v>15325398.609999999</v>
      </c>
      <c r="BE62" s="9">
        <v>0</v>
      </c>
      <c r="BF62" s="9">
        <v>0</v>
      </c>
      <c r="BG62" s="9">
        <v>0</v>
      </c>
      <c r="BH62" s="9">
        <v>276671630</v>
      </c>
      <c r="BI62" s="9">
        <v>117019183.774</v>
      </c>
      <c r="BJ62" s="9">
        <v>62761652.524402194</v>
      </c>
      <c r="BK62" s="9">
        <v>0</v>
      </c>
      <c r="BL62" s="9">
        <v>9259597.6349999998</v>
      </c>
      <c r="BM62" s="9">
        <v>3483150.3149999999</v>
      </c>
      <c r="BN62" s="9">
        <v>0</v>
      </c>
      <c r="BO62" s="9">
        <v>52580803.037</v>
      </c>
      <c r="BP62" s="9">
        <v>30283285.182</v>
      </c>
      <c r="BQ62" s="9">
        <v>34793908.756999999</v>
      </c>
      <c r="BR62" s="9">
        <v>0</v>
      </c>
      <c r="BS62" s="9">
        <v>3432267.5590000004</v>
      </c>
      <c r="BT62" s="9">
        <v>562083644</v>
      </c>
      <c r="BU62" s="9">
        <v>0</v>
      </c>
      <c r="BV62" s="9">
        <v>98750812.560000002</v>
      </c>
      <c r="BW62" s="9">
        <v>11890</v>
      </c>
      <c r="BX62" s="9">
        <v>0</v>
      </c>
      <c r="BY62" s="9">
        <v>24451612.548</v>
      </c>
      <c r="BZ62" s="9">
        <v>102540799.362</v>
      </c>
    </row>
    <row r="63" spans="1:78">
      <c r="A63" s="4" t="s">
        <v>193</v>
      </c>
      <c r="B63" s="9">
        <v>0</v>
      </c>
      <c r="C63" s="9">
        <v>0</v>
      </c>
      <c r="D63" s="9">
        <v>207466.25399999999</v>
      </c>
      <c r="E63" s="9">
        <v>53987.741999999998</v>
      </c>
      <c r="F63" s="9">
        <v>0</v>
      </c>
      <c r="G63" s="9">
        <v>609732.62399999995</v>
      </c>
      <c r="H63" s="9">
        <v>0</v>
      </c>
      <c r="I63" s="9">
        <v>35243</v>
      </c>
      <c r="J63" s="9">
        <v>0</v>
      </c>
      <c r="K63" s="9">
        <v>43973.345999999998</v>
      </c>
      <c r="L63" s="9">
        <v>337749.64399999997</v>
      </c>
      <c r="M63" s="9">
        <v>487924.902</v>
      </c>
      <c r="N63" s="9">
        <v>1639223</v>
      </c>
      <c r="O63" s="9">
        <v>0</v>
      </c>
      <c r="P63" s="9">
        <v>0</v>
      </c>
      <c r="Q63" s="9">
        <v>73833.95</v>
      </c>
      <c r="R63" s="9">
        <v>0</v>
      </c>
      <c r="S63" s="9">
        <v>1281989.9209999999</v>
      </c>
      <c r="T63" s="9">
        <v>563678</v>
      </c>
      <c r="U63" s="9">
        <v>232678.19399999999</v>
      </c>
      <c r="V63" s="9">
        <v>0</v>
      </c>
      <c r="W63" s="9">
        <v>19146.862000000001</v>
      </c>
      <c r="X63" s="9">
        <v>5346439.8229999999</v>
      </c>
      <c r="Y63" s="9">
        <v>148662.12</v>
      </c>
      <c r="Z63" s="9">
        <v>236472.36600000001</v>
      </c>
      <c r="AA63" s="9">
        <v>190287.05799999999</v>
      </c>
      <c r="AB63" s="9">
        <v>13722.145</v>
      </c>
      <c r="AC63" s="9">
        <v>431829.49300000002</v>
      </c>
      <c r="AD63" s="9">
        <v>0</v>
      </c>
      <c r="AE63" s="9">
        <v>217377</v>
      </c>
      <c r="AF63" s="9">
        <v>643124</v>
      </c>
      <c r="AG63" s="9">
        <v>7482000</v>
      </c>
      <c r="AH63" s="9">
        <v>0</v>
      </c>
      <c r="AI63" s="9">
        <v>0</v>
      </c>
      <c r="AJ63" s="9">
        <v>0</v>
      </c>
      <c r="AK63" s="9">
        <v>0</v>
      </c>
      <c r="AL63" s="9">
        <v>279626.87799999997</v>
      </c>
      <c r="AM63" s="9">
        <v>39995.775000000001</v>
      </c>
      <c r="AN63" s="9">
        <v>0</v>
      </c>
      <c r="AO63" s="9">
        <v>32026900.68</v>
      </c>
      <c r="AP63" s="9">
        <v>13020</v>
      </c>
      <c r="AQ63" s="9">
        <v>84246</v>
      </c>
      <c r="AR63" s="9">
        <v>0</v>
      </c>
      <c r="AS63" s="9">
        <v>475887</v>
      </c>
      <c r="AT63" s="9">
        <v>25538.375</v>
      </c>
      <c r="AU63" s="9">
        <v>774581.91399999999</v>
      </c>
      <c r="AV63" s="9">
        <v>877280.179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352338.94799999997</v>
      </c>
      <c r="BC63" s="9">
        <v>45030.500999999997</v>
      </c>
      <c r="BD63" s="9">
        <v>0</v>
      </c>
      <c r="BE63" s="9">
        <v>0</v>
      </c>
      <c r="BF63" s="9">
        <v>222685</v>
      </c>
      <c r="BG63" s="9">
        <v>16000</v>
      </c>
      <c r="BH63" s="9">
        <v>103175</v>
      </c>
      <c r="BI63" s="9">
        <v>38386.116999999998</v>
      </c>
      <c r="BJ63" s="9">
        <v>16766.73</v>
      </c>
      <c r="BK63" s="9">
        <v>36997396785.397964</v>
      </c>
      <c r="BL63" s="9">
        <v>92327.464000000007</v>
      </c>
      <c r="BM63" s="9">
        <v>1229129.2930000001</v>
      </c>
      <c r="BN63" s="9">
        <v>0</v>
      </c>
      <c r="BO63" s="9">
        <v>137847.693</v>
      </c>
      <c r="BP63" s="9">
        <v>54858.124000000003</v>
      </c>
      <c r="BQ63" s="9">
        <v>21960.080000000002</v>
      </c>
      <c r="BR63" s="9">
        <v>44.287999999999997</v>
      </c>
      <c r="BS63" s="9">
        <v>0</v>
      </c>
      <c r="BT63" s="9">
        <v>1317338</v>
      </c>
      <c r="BU63" s="9">
        <v>12903.731</v>
      </c>
      <c r="BV63" s="9">
        <v>0</v>
      </c>
      <c r="BW63" s="9">
        <v>66323</v>
      </c>
      <c r="BX63" s="9">
        <v>0</v>
      </c>
      <c r="BY63" s="9">
        <v>0</v>
      </c>
      <c r="BZ63" s="9">
        <v>209182485.47999999</v>
      </c>
    </row>
    <row r="64" spans="1:78">
      <c r="A64" s="4" t="s">
        <v>195</v>
      </c>
      <c r="B64" s="9">
        <v>0</v>
      </c>
      <c r="C64" s="9">
        <v>0</v>
      </c>
      <c r="D64" s="9">
        <v>4719685.6260000002</v>
      </c>
      <c r="E64" s="9">
        <v>86226.976999999999</v>
      </c>
      <c r="F64" s="9">
        <v>0</v>
      </c>
      <c r="G64" s="9">
        <v>18227.532999999999</v>
      </c>
      <c r="H64" s="9">
        <v>0</v>
      </c>
      <c r="I64" s="9">
        <v>0</v>
      </c>
      <c r="J64" s="9">
        <v>0</v>
      </c>
      <c r="K64" s="9">
        <v>0</v>
      </c>
      <c r="L64" s="9">
        <v>501893.84899999999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1102367.415</v>
      </c>
      <c r="V64" s="9">
        <v>519.90599999999995</v>
      </c>
      <c r="W64" s="9">
        <v>931119.37100000004</v>
      </c>
      <c r="X64" s="9">
        <v>78722.842999999993</v>
      </c>
      <c r="Y64" s="9">
        <v>0</v>
      </c>
      <c r="Z64" s="9">
        <v>0</v>
      </c>
      <c r="AA64" s="9">
        <v>194851.09299999999</v>
      </c>
      <c r="AB64" s="9">
        <v>183758.66899999999</v>
      </c>
      <c r="AC64" s="9">
        <v>76483.535999999993</v>
      </c>
      <c r="AD64" s="9">
        <v>0</v>
      </c>
      <c r="AE64" s="9">
        <v>0</v>
      </c>
      <c r="AF64" s="9">
        <v>0</v>
      </c>
      <c r="AG64" s="9">
        <v>105400</v>
      </c>
      <c r="AH64" s="9">
        <v>0</v>
      </c>
      <c r="AI64" s="9">
        <v>0</v>
      </c>
      <c r="AJ64" s="9">
        <v>0</v>
      </c>
      <c r="AK64" s="9">
        <v>0</v>
      </c>
      <c r="AL64" s="9">
        <v>120813.387</v>
      </c>
      <c r="AM64" s="9">
        <v>0</v>
      </c>
      <c r="AN64" s="9">
        <v>0</v>
      </c>
      <c r="AO64" s="9">
        <v>0</v>
      </c>
      <c r="AP64" s="9">
        <v>0</v>
      </c>
      <c r="AQ64" s="9">
        <v>18068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299385.77600000001</v>
      </c>
      <c r="BB64" s="9">
        <v>15230.75</v>
      </c>
      <c r="BC64" s="9">
        <v>0</v>
      </c>
      <c r="BD64" s="9">
        <v>0</v>
      </c>
      <c r="BE64" s="9">
        <v>0</v>
      </c>
      <c r="BF64" s="9">
        <v>0</v>
      </c>
      <c r="BG64" s="9">
        <v>187207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45422.858</v>
      </c>
      <c r="BN64" s="9">
        <v>0</v>
      </c>
      <c r="BO64" s="9">
        <v>0</v>
      </c>
      <c r="BP64" s="9">
        <v>0</v>
      </c>
      <c r="BQ64" s="9">
        <v>94.248999999999995</v>
      </c>
      <c r="BR64" s="9">
        <v>0</v>
      </c>
      <c r="BS64" s="9">
        <v>1139910.311</v>
      </c>
      <c r="BT64" s="9">
        <v>0</v>
      </c>
      <c r="BU64" s="9">
        <v>0</v>
      </c>
      <c r="BV64" s="9">
        <v>0</v>
      </c>
      <c r="BW64" s="9">
        <v>190255</v>
      </c>
      <c r="BX64" s="9">
        <v>0</v>
      </c>
      <c r="BY64" s="9">
        <v>181840.41200000001</v>
      </c>
      <c r="BZ64" s="9">
        <v>44521516.522</v>
      </c>
    </row>
    <row r="65" spans="1:78">
      <c r="A65" s="4" t="s">
        <v>197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59469.773999999998</v>
      </c>
      <c r="V65" s="9">
        <v>0</v>
      </c>
      <c r="W65" s="9">
        <v>0</v>
      </c>
      <c r="X65" s="9">
        <v>366176.91600000003</v>
      </c>
      <c r="Y65" s="9">
        <v>0</v>
      </c>
      <c r="Z65" s="9">
        <v>0</v>
      </c>
      <c r="AA65" s="9">
        <v>210372.704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20564.882000000001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40000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3399590.7150000003</v>
      </c>
    </row>
    <row r="66" spans="1:78">
      <c r="A66" s="4" t="s">
        <v>199</v>
      </c>
      <c r="B66" s="9">
        <v>0</v>
      </c>
      <c r="C66" s="9">
        <v>6606118.4699999997</v>
      </c>
      <c r="D66" s="9">
        <v>0</v>
      </c>
      <c r="E66" s="9">
        <v>44473.767999999996</v>
      </c>
      <c r="F66" s="9">
        <v>0</v>
      </c>
      <c r="G66" s="9">
        <v>0</v>
      </c>
      <c r="H66" s="9">
        <v>0</v>
      </c>
      <c r="I66" s="9">
        <v>0</v>
      </c>
      <c r="J66" s="9">
        <v>40007.307999999997</v>
      </c>
      <c r="K66" s="9">
        <v>0</v>
      </c>
      <c r="L66" s="9">
        <v>0</v>
      </c>
      <c r="M66" s="9">
        <v>51209.349000000002</v>
      </c>
      <c r="N66" s="9">
        <v>10157</v>
      </c>
      <c r="O66" s="9">
        <v>32034.9</v>
      </c>
      <c r="P66" s="9">
        <v>0</v>
      </c>
      <c r="Q66" s="9">
        <v>0</v>
      </c>
      <c r="R66" s="9">
        <v>2235019.02</v>
      </c>
      <c r="S66" s="9">
        <v>587365.65800000005</v>
      </c>
      <c r="T66" s="9">
        <v>47951</v>
      </c>
      <c r="U66" s="9">
        <v>311374.00599999999</v>
      </c>
      <c r="V66" s="9">
        <v>0</v>
      </c>
      <c r="W66" s="9">
        <v>21138.055</v>
      </c>
      <c r="X66" s="9">
        <v>0</v>
      </c>
      <c r="Y66" s="9">
        <v>0</v>
      </c>
      <c r="Z66" s="9">
        <v>7806.759</v>
      </c>
      <c r="AA66" s="9">
        <v>35761.879000000001</v>
      </c>
      <c r="AB66" s="9">
        <v>869146.27599999995</v>
      </c>
      <c r="AC66" s="9">
        <v>0</v>
      </c>
      <c r="AD66" s="9">
        <v>11507212.321</v>
      </c>
      <c r="AE66" s="9">
        <v>0</v>
      </c>
      <c r="AF66" s="9">
        <v>0</v>
      </c>
      <c r="AG66" s="9">
        <v>6900151</v>
      </c>
      <c r="AH66" s="9">
        <v>0</v>
      </c>
      <c r="AI66" s="9">
        <v>214708.59199999998</v>
      </c>
      <c r="AJ66" s="9">
        <v>0</v>
      </c>
      <c r="AK66" s="9">
        <v>0</v>
      </c>
      <c r="AL66" s="9">
        <v>2162.5369999999998</v>
      </c>
      <c r="AM66" s="9">
        <v>0</v>
      </c>
      <c r="AN66" s="9">
        <v>14235.76</v>
      </c>
      <c r="AO66" s="9">
        <v>0</v>
      </c>
      <c r="AP66" s="9">
        <v>0</v>
      </c>
      <c r="AQ66" s="9">
        <v>60881</v>
      </c>
      <c r="AR66" s="9">
        <v>0</v>
      </c>
      <c r="AS66" s="9">
        <v>0</v>
      </c>
      <c r="AT66" s="9">
        <v>336323.82500000001</v>
      </c>
      <c r="AU66" s="9">
        <v>0</v>
      </c>
      <c r="AV66" s="9">
        <v>0</v>
      </c>
      <c r="AW66" s="9">
        <v>0</v>
      </c>
      <c r="AX66" s="9">
        <v>27146.33</v>
      </c>
      <c r="AY66" s="9">
        <v>307.38</v>
      </c>
      <c r="AZ66" s="9">
        <v>127673.769</v>
      </c>
      <c r="BA66" s="9">
        <v>10039260.915999999</v>
      </c>
      <c r="BB66" s="9">
        <v>491260.34100000001</v>
      </c>
      <c r="BC66" s="9">
        <v>0</v>
      </c>
      <c r="BD66" s="9">
        <v>969981.43400000001</v>
      </c>
      <c r="BE66" s="9">
        <v>10143.921</v>
      </c>
      <c r="BF66" s="9">
        <v>0</v>
      </c>
      <c r="BG66" s="9">
        <v>18176724</v>
      </c>
      <c r="BH66" s="9">
        <v>0</v>
      </c>
      <c r="BI66" s="9">
        <v>0</v>
      </c>
      <c r="BJ66" s="9">
        <v>0</v>
      </c>
      <c r="BK66" s="9">
        <v>0</v>
      </c>
      <c r="BL66" s="9">
        <v>50390.131999999998</v>
      </c>
      <c r="BM66" s="9">
        <v>0</v>
      </c>
      <c r="BN66" s="9">
        <v>5032466118.3650074</v>
      </c>
      <c r="BO66" s="9">
        <v>0</v>
      </c>
      <c r="BP66" s="9">
        <v>0</v>
      </c>
      <c r="BQ66" s="9">
        <v>52873.84</v>
      </c>
      <c r="BR66" s="9">
        <v>240356862.37</v>
      </c>
      <c r="BS66" s="9">
        <v>0</v>
      </c>
      <c r="BT66" s="9">
        <v>0</v>
      </c>
      <c r="BU66" s="9">
        <v>0</v>
      </c>
      <c r="BV66" s="9">
        <v>0</v>
      </c>
      <c r="BW66" s="9">
        <v>498753</v>
      </c>
      <c r="BX66" s="9">
        <v>0</v>
      </c>
      <c r="BY66" s="9">
        <v>0</v>
      </c>
      <c r="BZ66" s="9">
        <v>130193015.19999999</v>
      </c>
    </row>
    <row r="67" spans="1:78">
      <c r="A67" s="4" t="s">
        <v>201</v>
      </c>
      <c r="B67" s="9">
        <v>2048126.81</v>
      </c>
      <c r="C67" s="9">
        <v>434558831.97399998</v>
      </c>
      <c r="D67" s="9">
        <v>301021856.74499995</v>
      </c>
      <c r="E67" s="9">
        <v>449396042.80399996</v>
      </c>
      <c r="F67" s="9">
        <v>0</v>
      </c>
      <c r="G67" s="9">
        <v>25146950.208999999</v>
      </c>
      <c r="H67" s="9">
        <v>0</v>
      </c>
      <c r="I67" s="9">
        <v>178029924</v>
      </c>
      <c r="J67" s="9">
        <v>1394327.618</v>
      </c>
      <c r="K67" s="9">
        <v>578743910.96200001</v>
      </c>
      <c r="L67" s="9">
        <v>259245239.02500001</v>
      </c>
      <c r="M67" s="9">
        <v>17239015.702</v>
      </c>
      <c r="N67" s="9">
        <v>5233793273</v>
      </c>
      <c r="O67" s="9">
        <v>5661965.7910000002</v>
      </c>
      <c r="P67" s="9">
        <v>0</v>
      </c>
      <c r="Q67" s="9">
        <v>42069905.07</v>
      </c>
      <c r="R67" s="9">
        <v>1031176.72</v>
      </c>
      <c r="S67" s="9">
        <v>42460366.633000001</v>
      </c>
      <c r="T67" s="9">
        <v>485996861</v>
      </c>
      <c r="U67" s="9">
        <v>5082513908.0139999</v>
      </c>
      <c r="V67" s="9">
        <v>97450338.900000006</v>
      </c>
      <c r="W67" s="9">
        <v>61340692.987000003</v>
      </c>
      <c r="X67" s="9">
        <v>1062304068.6589999</v>
      </c>
      <c r="Y67" s="9">
        <v>67557390.719999999</v>
      </c>
      <c r="Z67" s="9">
        <v>44212285.627999999</v>
      </c>
      <c r="AA67" s="9">
        <v>1974889849.473</v>
      </c>
      <c r="AB67" s="9">
        <v>2995463576.2609997</v>
      </c>
      <c r="AC67" s="9">
        <v>96007842.199000001</v>
      </c>
      <c r="AD67" s="9">
        <v>6381633.0949999997</v>
      </c>
      <c r="AE67" s="9">
        <v>39150578</v>
      </c>
      <c r="AF67" s="9">
        <v>198145252</v>
      </c>
      <c r="AG67" s="9">
        <v>919594</v>
      </c>
      <c r="AH67" s="9">
        <v>65763178.660999998</v>
      </c>
      <c r="AI67" s="9">
        <v>111860795.03200001</v>
      </c>
      <c r="AJ67" s="9">
        <v>11991325.113</v>
      </c>
      <c r="AK67" s="9">
        <v>106927113</v>
      </c>
      <c r="AL67" s="9">
        <v>1476608320.9589999</v>
      </c>
      <c r="AM67" s="9">
        <v>9577357.3369999994</v>
      </c>
      <c r="AN67" s="9">
        <v>372877553.51200002</v>
      </c>
      <c r="AO67" s="9">
        <v>35653627.82</v>
      </c>
      <c r="AP67" s="9">
        <v>2778202.33</v>
      </c>
      <c r="AQ67" s="9">
        <v>628127307</v>
      </c>
      <c r="AR67" s="9">
        <v>0</v>
      </c>
      <c r="AS67" s="9">
        <v>7226183</v>
      </c>
      <c r="AT67" s="9">
        <v>34183904.346000001</v>
      </c>
      <c r="AU67" s="9">
        <v>12728354.676000001</v>
      </c>
      <c r="AV67" s="9">
        <v>163693442.98899999</v>
      </c>
      <c r="AW67" s="9">
        <v>0</v>
      </c>
      <c r="AX67" s="9">
        <v>1288327.2350000001</v>
      </c>
      <c r="AY67" s="9">
        <v>0</v>
      </c>
      <c r="AZ67" s="9">
        <v>58657.548999999999</v>
      </c>
      <c r="BA67" s="9">
        <v>522467.723</v>
      </c>
      <c r="BB67" s="9">
        <v>282202560.23100001</v>
      </c>
      <c r="BC67" s="9">
        <v>18498908.184</v>
      </c>
      <c r="BD67" s="9">
        <v>51167762.728</v>
      </c>
      <c r="BE67" s="9">
        <v>43485.603999999999</v>
      </c>
      <c r="BF67" s="9">
        <v>12482016.98</v>
      </c>
      <c r="BG67" s="9">
        <v>0</v>
      </c>
      <c r="BH67" s="9">
        <v>617017455</v>
      </c>
      <c r="BI67" s="9">
        <v>82180314.174999997</v>
      </c>
      <c r="BJ67" s="9">
        <v>75067989.820000008</v>
      </c>
      <c r="BK67" s="9">
        <v>0</v>
      </c>
      <c r="BL67" s="9">
        <v>364123680.764</v>
      </c>
      <c r="BM67" s="9">
        <v>3952716.6340000001</v>
      </c>
      <c r="BN67" s="9">
        <v>14417007.165999999</v>
      </c>
      <c r="BO67" s="9">
        <v>0</v>
      </c>
      <c r="BP67" s="9">
        <v>93583625.752000004</v>
      </c>
      <c r="BQ67" s="9">
        <v>74096231.34300001</v>
      </c>
      <c r="BR67" s="9">
        <v>13786685.756999999</v>
      </c>
      <c r="BS67" s="9">
        <v>26751426.026000001</v>
      </c>
      <c r="BT67" s="9">
        <v>453157638</v>
      </c>
      <c r="BU67" s="9">
        <v>239912622.178</v>
      </c>
      <c r="BV67" s="9">
        <v>305861534.76999998</v>
      </c>
      <c r="BW67" s="9">
        <v>6432388108</v>
      </c>
      <c r="BX67" s="9">
        <v>0</v>
      </c>
      <c r="BY67" s="9">
        <v>177094763.509</v>
      </c>
      <c r="BZ67" s="9">
        <v>1172867287.743</v>
      </c>
    </row>
    <row r="68" spans="1:78">
      <c r="A68" s="4" t="s">
        <v>203</v>
      </c>
      <c r="B68" s="9">
        <v>0</v>
      </c>
      <c r="C68" s="9">
        <v>3018101.2910000002</v>
      </c>
      <c r="D68" s="9">
        <v>50893158.973999999</v>
      </c>
      <c r="E68" s="9">
        <v>25981864.546</v>
      </c>
      <c r="F68" s="9">
        <v>0</v>
      </c>
      <c r="G68" s="9">
        <v>52204367.889000006</v>
      </c>
      <c r="H68" s="9">
        <v>0</v>
      </c>
      <c r="I68" s="9">
        <v>0</v>
      </c>
      <c r="J68" s="9">
        <v>0</v>
      </c>
      <c r="K68" s="9">
        <v>2123.8470000000002</v>
      </c>
      <c r="L68" s="9">
        <v>29909129.611000001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4440785.3600000003</v>
      </c>
      <c r="T68" s="9">
        <v>12443714</v>
      </c>
      <c r="U68" s="9">
        <v>516616222.06</v>
      </c>
      <c r="V68" s="9">
        <v>4893408.9859999996</v>
      </c>
      <c r="W68" s="9">
        <v>367252.90500000003</v>
      </c>
      <c r="X68" s="9">
        <v>36508263.501000002</v>
      </c>
      <c r="Y68" s="9">
        <v>117873.3</v>
      </c>
      <c r="Z68" s="9">
        <v>11541699.129000001</v>
      </c>
      <c r="AA68" s="9">
        <v>527057678.46600002</v>
      </c>
      <c r="AB68" s="9">
        <v>60599927.789999999</v>
      </c>
      <c r="AC68" s="9">
        <v>3777550.3259999999</v>
      </c>
      <c r="AD68" s="9">
        <v>14799236.483999999</v>
      </c>
      <c r="AE68" s="9">
        <v>424778335</v>
      </c>
      <c r="AF68" s="9">
        <v>178281857</v>
      </c>
      <c r="AG68" s="9">
        <v>0</v>
      </c>
      <c r="AH68" s="9">
        <v>0</v>
      </c>
      <c r="AI68" s="9">
        <v>17072.149999999998</v>
      </c>
      <c r="AJ68" s="9">
        <v>3278883.0249999999</v>
      </c>
      <c r="AK68" s="9">
        <v>32828216</v>
      </c>
      <c r="AL68" s="9">
        <v>143209305.73699999</v>
      </c>
      <c r="AM68" s="9">
        <v>19577.464</v>
      </c>
      <c r="AN68" s="9">
        <v>25163485.27</v>
      </c>
      <c r="AO68" s="9">
        <v>0</v>
      </c>
      <c r="AP68" s="9">
        <v>0</v>
      </c>
      <c r="AQ68" s="9">
        <v>32477</v>
      </c>
      <c r="AR68" s="9">
        <v>0</v>
      </c>
      <c r="AS68" s="9">
        <v>3931646</v>
      </c>
      <c r="AT68" s="9">
        <v>3572213.7069999999</v>
      </c>
      <c r="AU68" s="9">
        <v>509892.76199999999</v>
      </c>
      <c r="AV68" s="9">
        <v>3442637.287</v>
      </c>
      <c r="AW68" s="9">
        <v>0</v>
      </c>
      <c r="AX68" s="9">
        <v>2077270.56</v>
      </c>
      <c r="AY68" s="9">
        <v>0</v>
      </c>
      <c r="AZ68" s="9">
        <v>0</v>
      </c>
      <c r="BA68" s="9">
        <v>37297.683000000005</v>
      </c>
      <c r="BB68" s="9">
        <v>29013424.618999999</v>
      </c>
      <c r="BC68" s="9">
        <v>5697610.8159999996</v>
      </c>
      <c r="BD68" s="9">
        <v>99957.062999999995</v>
      </c>
      <c r="BE68" s="9">
        <v>0</v>
      </c>
      <c r="BF68" s="9">
        <v>0</v>
      </c>
      <c r="BG68" s="9">
        <v>39453</v>
      </c>
      <c r="BH68" s="9">
        <v>20534314</v>
      </c>
      <c r="BI68" s="9">
        <v>22547544.236000001</v>
      </c>
      <c r="BJ68" s="9">
        <v>104609890.77</v>
      </c>
      <c r="BK68" s="9">
        <v>0</v>
      </c>
      <c r="BL68" s="9">
        <v>4694847.8829999994</v>
      </c>
      <c r="BM68" s="9">
        <v>43010.459000000003</v>
      </c>
      <c r="BN68" s="9">
        <v>0</v>
      </c>
      <c r="BO68" s="9">
        <v>1088526.095</v>
      </c>
      <c r="BP68" s="9">
        <v>0</v>
      </c>
      <c r="BQ68" s="9">
        <v>33289030.662</v>
      </c>
      <c r="BR68" s="9">
        <v>0</v>
      </c>
      <c r="BS68" s="9">
        <v>74351.358999999997</v>
      </c>
      <c r="BT68" s="9">
        <v>1163794</v>
      </c>
      <c r="BU68" s="9">
        <v>0</v>
      </c>
      <c r="BV68" s="9">
        <v>563292.36</v>
      </c>
      <c r="BW68" s="9">
        <v>40001</v>
      </c>
      <c r="BX68" s="9">
        <v>0</v>
      </c>
      <c r="BY68" s="9">
        <v>8791405.8190000001</v>
      </c>
      <c r="BZ68" s="9">
        <v>52898769.487000003</v>
      </c>
    </row>
    <row r="69" spans="1:78">
      <c r="A69" s="4" t="s">
        <v>205</v>
      </c>
      <c r="B69" s="9">
        <v>4654237.28</v>
      </c>
      <c r="C69" s="9">
        <v>203587142.94600001</v>
      </c>
      <c r="D69" s="9">
        <v>68846837.247000009</v>
      </c>
      <c r="E69" s="9">
        <v>793100928.78999996</v>
      </c>
      <c r="F69" s="9">
        <v>0</v>
      </c>
      <c r="G69" s="9">
        <v>26862602.594999999</v>
      </c>
      <c r="H69" s="9">
        <v>0</v>
      </c>
      <c r="I69" s="9">
        <v>10128846</v>
      </c>
      <c r="J69" s="9">
        <v>0</v>
      </c>
      <c r="K69" s="9">
        <v>134393019.55000001</v>
      </c>
      <c r="L69" s="9">
        <v>113858996.683</v>
      </c>
      <c r="M69" s="9">
        <v>55790771.577</v>
      </c>
      <c r="N69" s="9">
        <v>899412860</v>
      </c>
      <c r="O69" s="9">
        <v>15556443.597000001</v>
      </c>
      <c r="P69" s="9">
        <v>0</v>
      </c>
      <c r="Q69" s="9">
        <v>1223560.02</v>
      </c>
      <c r="R69" s="9">
        <v>757105.35</v>
      </c>
      <c r="S69" s="9">
        <v>4848102.4930000007</v>
      </c>
      <c r="T69" s="9">
        <v>160257716</v>
      </c>
      <c r="U69" s="9">
        <v>1280181747.1989999</v>
      </c>
      <c r="V69" s="9">
        <v>911062739.62599993</v>
      </c>
      <c r="W69" s="9">
        <v>11769972.458000001</v>
      </c>
      <c r="X69" s="9">
        <v>652807881.90799999</v>
      </c>
      <c r="Y69" s="9">
        <v>94368689.659999996</v>
      </c>
      <c r="Z69" s="9">
        <v>503774666.12699997</v>
      </c>
      <c r="AA69" s="9">
        <v>286382383.56999999</v>
      </c>
      <c r="AB69" s="9">
        <v>550311722.82000005</v>
      </c>
      <c r="AC69" s="9">
        <v>15160543.01</v>
      </c>
      <c r="AD69" s="9">
        <v>3890666.9670000002</v>
      </c>
      <c r="AE69" s="9">
        <v>26278192</v>
      </c>
      <c r="AF69" s="9">
        <v>131160259</v>
      </c>
      <c r="AG69" s="9">
        <v>167692073</v>
      </c>
      <c r="AH69" s="9">
        <v>24154817.038000003</v>
      </c>
      <c r="AI69" s="9">
        <v>49913450.673</v>
      </c>
      <c r="AJ69" s="9">
        <v>19944432.309</v>
      </c>
      <c r="AK69" s="9">
        <v>41219406</v>
      </c>
      <c r="AL69" s="9">
        <v>126303084.81699999</v>
      </c>
      <c r="AM69" s="9">
        <v>1151425.3489999999</v>
      </c>
      <c r="AN69" s="9">
        <v>207004236.10999998</v>
      </c>
      <c r="AO69" s="9">
        <v>30861505.450000003</v>
      </c>
      <c r="AP69" s="9">
        <v>80000</v>
      </c>
      <c r="AQ69" s="9">
        <v>365907981</v>
      </c>
      <c r="AR69" s="9">
        <v>0</v>
      </c>
      <c r="AS69" s="9">
        <v>135643571</v>
      </c>
      <c r="AT69" s="9">
        <v>16953308.708999999</v>
      </c>
      <c r="AU69" s="9">
        <v>33343323.719999999</v>
      </c>
      <c r="AV69" s="9">
        <v>25364192.096999999</v>
      </c>
      <c r="AW69" s="9">
        <v>47495000</v>
      </c>
      <c r="AX69" s="9">
        <v>2558724.875</v>
      </c>
      <c r="AY69" s="9">
        <v>0</v>
      </c>
      <c r="AZ69" s="9">
        <v>6433510.1100000003</v>
      </c>
      <c r="BA69" s="9">
        <v>4411968.9759999998</v>
      </c>
      <c r="BB69" s="9">
        <v>241570901.04299998</v>
      </c>
      <c r="BC69" s="9">
        <v>403046273.91399997</v>
      </c>
      <c r="BD69" s="9">
        <v>13414461.989</v>
      </c>
      <c r="BE69" s="9">
        <v>0</v>
      </c>
      <c r="BF69" s="9">
        <v>11649451.699999999</v>
      </c>
      <c r="BG69" s="9">
        <v>3415584</v>
      </c>
      <c r="BH69" s="9">
        <v>384982586</v>
      </c>
      <c r="BI69" s="9">
        <v>86650609.519000009</v>
      </c>
      <c r="BJ69" s="9">
        <v>85099726.799999997</v>
      </c>
      <c r="BK69" s="9">
        <v>0</v>
      </c>
      <c r="BL69" s="9">
        <v>209867747.55299997</v>
      </c>
      <c r="BM69" s="9">
        <v>1723831.456</v>
      </c>
      <c r="BN69" s="9">
        <v>21174731.048999999</v>
      </c>
      <c r="BO69" s="9">
        <v>53352576.895000003</v>
      </c>
      <c r="BP69" s="9">
        <v>108297566.18099999</v>
      </c>
      <c r="BQ69" s="9">
        <v>589149219.47547662</v>
      </c>
      <c r="BR69" s="9">
        <v>1512761.125</v>
      </c>
      <c r="BS69" s="9">
        <v>2503048.5630000001</v>
      </c>
      <c r="BT69" s="9">
        <v>257775119</v>
      </c>
      <c r="BU69" s="9">
        <v>246094311.89099997</v>
      </c>
      <c r="BV69" s="9">
        <v>40282746.32</v>
      </c>
      <c r="BW69" s="9">
        <v>2917216667</v>
      </c>
      <c r="BX69" s="9">
        <v>0</v>
      </c>
      <c r="BY69" s="9">
        <v>103887724.45100001</v>
      </c>
      <c r="BZ69" s="9">
        <v>524313711.95300001</v>
      </c>
    </row>
    <row r="70" spans="1:78">
      <c r="A70" s="4" t="s">
        <v>207</v>
      </c>
      <c r="B70" s="9">
        <v>25336403.640000001</v>
      </c>
      <c r="C70" s="9">
        <v>7197363297.302</v>
      </c>
      <c r="D70" s="9">
        <v>60490511.140000001</v>
      </c>
      <c r="E70" s="9">
        <v>41297467.855000004</v>
      </c>
      <c r="F70" s="9">
        <v>0</v>
      </c>
      <c r="G70" s="9">
        <v>0</v>
      </c>
      <c r="H70" s="9">
        <v>0</v>
      </c>
      <c r="I70" s="9">
        <v>80987224</v>
      </c>
      <c r="J70" s="9">
        <v>19862977.379999999</v>
      </c>
      <c r="K70" s="9">
        <v>31902069.921999998</v>
      </c>
      <c r="L70" s="9">
        <v>33889427.138999999</v>
      </c>
      <c r="M70" s="9">
        <v>210305172.13699999</v>
      </c>
      <c r="N70" s="9">
        <v>156844403</v>
      </c>
      <c r="O70" s="9">
        <v>38341002.743000001</v>
      </c>
      <c r="P70" s="9">
        <v>0</v>
      </c>
      <c r="Q70" s="9">
        <v>21139467.109999999</v>
      </c>
      <c r="R70" s="9">
        <v>90263477.090000004</v>
      </c>
      <c r="S70" s="9">
        <v>7031727.7149999999</v>
      </c>
      <c r="T70" s="9">
        <v>15076310</v>
      </c>
      <c r="U70" s="9">
        <v>356387287.62099999</v>
      </c>
      <c r="V70" s="9">
        <v>3473899.4410000001</v>
      </c>
      <c r="W70" s="9">
        <v>57520791.945</v>
      </c>
      <c r="X70" s="9">
        <v>25721288.799000002</v>
      </c>
      <c r="Y70" s="9">
        <v>3858805.78</v>
      </c>
      <c r="Z70" s="9">
        <v>8672513.9199999999</v>
      </c>
      <c r="AA70" s="9">
        <v>111611.791</v>
      </c>
      <c r="AB70" s="9">
        <v>187135951.618</v>
      </c>
      <c r="AC70" s="9">
        <v>8888805.4890000001</v>
      </c>
      <c r="AD70" s="9">
        <v>5696295.2600000007</v>
      </c>
      <c r="AE70" s="9">
        <v>0</v>
      </c>
      <c r="AF70" s="9">
        <v>13544145</v>
      </c>
      <c r="AG70" s="9">
        <v>648669119</v>
      </c>
      <c r="AH70" s="9">
        <v>1626629.6439999999</v>
      </c>
      <c r="AI70" s="9">
        <v>5533896.034</v>
      </c>
      <c r="AJ70" s="9">
        <v>1310579.233</v>
      </c>
      <c r="AK70" s="9">
        <v>141360713</v>
      </c>
      <c r="AL70" s="9">
        <v>80510293.709999993</v>
      </c>
      <c r="AM70" s="9">
        <v>57780258.699000001</v>
      </c>
      <c r="AN70" s="9">
        <v>387583406.77999997</v>
      </c>
      <c r="AO70" s="9">
        <v>155870777.12</v>
      </c>
      <c r="AP70" s="9">
        <v>198207738.53999999</v>
      </c>
      <c r="AQ70" s="9">
        <v>23258396</v>
      </c>
      <c r="AR70" s="9">
        <v>0</v>
      </c>
      <c r="AS70" s="9">
        <v>1365090</v>
      </c>
      <c r="AT70" s="9">
        <v>173607.073</v>
      </c>
      <c r="AU70" s="9">
        <v>2384.1970000000001</v>
      </c>
      <c r="AV70" s="9">
        <v>56924489.601999998</v>
      </c>
      <c r="AW70" s="9">
        <v>630195705</v>
      </c>
      <c r="AX70" s="9">
        <v>4946119.4939999999</v>
      </c>
      <c r="AY70" s="9">
        <v>20163283.616999999</v>
      </c>
      <c r="AZ70" s="9">
        <v>975835810.42000008</v>
      </c>
      <c r="BA70" s="9">
        <v>32293612.089000002</v>
      </c>
      <c r="BB70" s="9">
        <v>281561.26699999999</v>
      </c>
      <c r="BC70" s="9">
        <v>45902208.441</v>
      </c>
      <c r="BD70" s="9">
        <v>741016871.11399996</v>
      </c>
      <c r="BE70" s="9">
        <v>191905315.377</v>
      </c>
      <c r="BF70" s="9">
        <v>101451839.00999999</v>
      </c>
      <c r="BG70" s="9">
        <v>2787908486</v>
      </c>
      <c r="BH70" s="9">
        <v>56896195</v>
      </c>
      <c r="BI70" s="9">
        <v>26950072.151000001</v>
      </c>
      <c r="BJ70" s="9">
        <v>5133972.1500000004</v>
      </c>
      <c r="BK70" s="9">
        <v>0</v>
      </c>
      <c r="BL70" s="9">
        <v>1870315142.5749998</v>
      </c>
      <c r="BM70" s="9">
        <v>32767027.050999999</v>
      </c>
      <c r="BN70" s="9">
        <v>39750299.667000003</v>
      </c>
      <c r="BO70" s="9">
        <v>2220032.6179999998</v>
      </c>
      <c r="BP70" s="9">
        <v>9153060.0720000006</v>
      </c>
      <c r="BQ70" s="9">
        <v>33023059.222000003</v>
      </c>
      <c r="BR70" s="9">
        <v>35180805696.471817</v>
      </c>
      <c r="BS70" s="9">
        <v>20067712.515999999</v>
      </c>
      <c r="BT70" s="9">
        <v>533053197</v>
      </c>
      <c r="BU70" s="9">
        <v>80001721.038000003</v>
      </c>
      <c r="BV70" s="9">
        <v>42326682.950000003</v>
      </c>
      <c r="BW70" s="9">
        <v>243997180</v>
      </c>
      <c r="BX70" s="9">
        <v>0</v>
      </c>
      <c r="BY70" s="9">
        <v>325466355.33800006</v>
      </c>
      <c r="BZ70" s="9">
        <v>4148240584.5570002</v>
      </c>
    </row>
    <row r="71" spans="1:78">
      <c r="A71" s="4" t="s">
        <v>209</v>
      </c>
      <c r="B71" s="9">
        <v>0</v>
      </c>
      <c r="C71" s="9">
        <v>0</v>
      </c>
      <c r="D71" s="9">
        <v>0</v>
      </c>
      <c r="E71" s="9">
        <v>88339.645999999993</v>
      </c>
      <c r="F71" s="9">
        <v>0</v>
      </c>
      <c r="G71" s="9">
        <v>5411.3770000000004</v>
      </c>
      <c r="H71" s="9">
        <v>0</v>
      </c>
      <c r="I71" s="9">
        <v>0</v>
      </c>
      <c r="J71" s="9">
        <v>0</v>
      </c>
      <c r="K71" s="9">
        <v>0</v>
      </c>
      <c r="L71" s="9">
        <v>10569.348</v>
      </c>
      <c r="M71" s="9">
        <v>0</v>
      </c>
      <c r="N71" s="9">
        <v>0</v>
      </c>
      <c r="O71" s="9">
        <v>831100.26399999997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5223.6080000000002</v>
      </c>
      <c r="V71" s="9">
        <v>0</v>
      </c>
      <c r="W71" s="9">
        <v>0</v>
      </c>
      <c r="X71" s="9">
        <v>46604.061999999998</v>
      </c>
      <c r="Y71" s="9">
        <v>0</v>
      </c>
      <c r="Z71" s="9">
        <v>0</v>
      </c>
      <c r="AA71" s="9">
        <v>501938.95</v>
      </c>
      <c r="AB71" s="9">
        <v>1842.049</v>
      </c>
      <c r="AC71" s="9">
        <v>0</v>
      </c>
      <c r="AD71" s="9">
        <v>0</v>
      </c>
      <c r="AE71" s="9">
        <v>0</v>
      </c>
      <c r="AF71" s="9">
        <v>12516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126587.361</v>
      </c>
      <c r="AM71" s="9">
        <v>614752.11100000003</v>
      </c>
      <c r="AN71" s="9">
        <v>0</v>
      </c>
      <c r="AO71" s="9">
        <v>0</v>
      </c>
      <c r="AP71" s="9">
        <v>0</v>
      </c>
      <c r="AQ71" s="9">
        <v>1651320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1.081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1743.33</v>
      </c>
      <c r="BK71" s="9">
        <v>0</v>
      </c>
      <c r="BL71" s="9">
        <v>0</v>
      </c>
      <c r="BM71" s="9">
        <v>480911.87200000003</v>
      </c>
      <c r="BN71" s="9">
        <v>0</v>
      </c>
      <c r="BO71" s="9">
        <v>0</v>
      </c>
      <c r="BP71" s="9">
        <v>0</v>
      </c>
      <c r="BQ71" s="9">
        <v>19886.596000000001</v>
      </c>
      <c r="BR71" s="9">
        <v>0</v>
      </c>
      <c r="BS71" s="9">
        <v>411519077.62999499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5241147.0469999993</v>
      </c>
    </row>
    <row r="72" spans="1:78">
      <c r="A72" s="4" t="s">
        <v>211</v>
      </c>
      <c r="B72" s="9">
        <v>2079383.3</v>
      </c>
      <c r="C72" s="9">
        <v>87254325.311000004</v>
      </c>
      <c r="D72" s="9">
        <v>263098754.90700001</v>
      </c>
      <c r="E72" s="9">
        <v>744586805.91500008</v>
      </c>
      <c r="F72" s="9">
        <v>0</v>
      </c>
      <c r="G72" s="9">
        <v>121677744.30499999</v>
      </c>
      <c r="H72" s="9">
        <v>0</v>
      </c>
      <c r="I72" s="9">
        <v>170773</v>
      </c>
      <c r="J72" s="9">
        <v>0</v>
      </c>
      <c r="K72" s="9">
        <v>8419560.1209999993</v>
      </c>
      <c r="L72" s="9">
        <v>239430364.40600002</v>
      </c>
      <c r="M72" s="9">
        <v>30637736.964000002</v>
      </c>
      <c r="N72" s="9">
        <v>0</v>
      </c>
      <c r="O72" s="9">
        <v>1728523.7180000001</v>
      </c>
      <c r="P72" s="9">
        <v>0</v>
      </c>
      <c r="Q72" s="9">
        <v>116308.78</v>
      </c>
      <c r="R72" s="9">
        <v>645791.14</v>
      </c>
      <c r="S72" s="9">
        <v>26145035.225000001</v>
      </c>
      <c r="T72" s="9">
        <v>338101441</v>
      </c>
      <c r="U72" s="9">
        <v>2378651146.2360001</v>
      </c>
      <c r="V72" s="9">
        <v>176158605.73000002</v>
      </c>
      <c r="W72" s="9">
        <v>24813641.768999998</v>
      </c>
      <c r="X72" s="9">
        <v>1589195231.4860001</v>
      </c>
      <c r="Y72" s="9">
        <v>59482459.949999996</v>
      </c>
      <c r="Z72" s="9">
        <v>100793547.92300001</v>
      </c>
      <c r="AA72" s="9">
        <v>3079661018.2639999</v>
      </c>
      <c r="AB72" s="9">
        <v>3880978538.875</v>
      </c>
      <c r="AC72" s="9">
        <v>220031002.928</v>
      </c>
      <c r="AD72" s="9">
        <v>2091501.9819999998</v>
      </c>
      <c r="AE72" s="9">
        <v>40465700</v>
      </c>
      <c r="AF72" s="9">
        <v>82125765</v>
      </c>
      <c r="AG72" s="9">
        <v>38</v>
      </c>
      <c r="AH72" s="9">
        <v>0</v>
      </c>
      <c r="AI72" s="9">
        <v>240516704.14699998</v>
      </c>
      <c r="AJ72" s="9">
        <v>7705549.8599999994</v>
      </c>
      <c r="AK72" s="9">
        <v>385204257</v>
      </c>
      <c r="AL72" s="9">
        <v>2252912179.802</v>
      </c>
      <c r="AM72" s="9">
        <v>30336544.289000001</v>
      </c>
      <c r="AN72" s="9">
        <v>23243280.546999998</v>
      </c>
      <c r="AO72" s="9">
        <v>36600455.539999999</v>
      </c>
      <c r="AP72" s="9">
        <v>130689.82</v>
      </c>
      <c r="AQ72" s="9">
        <v>1536929</v>
      </c>
      <c r="AR72" s="9">
        <v>0</v>
      </c>
      <c r="AS72" s="9">
        <v>13508571</v>
      </c>
      <c r="AT72" s="9">
        <v>16259277.351</v>
      </c>
      <c r="AU72" s="9">
        <v>5121418.0049999999</v>
      </c>
      <c r="AV72" s="9">
        <v>213427456.053</v>
      </c>
      <c r="AW72" s="9">
        <v>0</v>
      </c>
      <c r="AX72" s="9">
        <v>17439906.998999998</v>
      </c>
      <c r="AY72" s="9">
        <v>153226.4</v>
      </c>
      <c r="AZ72" s="9">
        <v>2688136.3360000001</v>
      </c>
      <c r="BA72" s="9">
        <v>4750132.6459999997</v>
      </c>
      <c r="BB72" s="9">
        <v>323940685.91900003</v>
      </c>
      <c r="BC72" s="9">
        <v>67841711.275999993</v>
      </c>
      <c r="BD72" s="9">
        <v>29147253.893999998</v>
      </c>
      <c r="BE72" s="9">
        <v>5244.63</v>
      </c>
      <c r="BF72" s="9">
        <v>0</v>
      </c>
      <c r="BG72" s="9">
        <v>111144</v>
      </c>
      <c r="BH72" s="9">
        <v>980136478</v>
      </c>
      <c r="BI72" s="9">
        <v>198521393.30900002</v>
      </c>
      <c r="BJ72" s="9">
        <v>336047673.33999997</v>
      </c>
      <c r="BK72" s="9">
        <v>0</v>
      </c>
      <c r="BL72" s="9">
        <v>28954049.142999999</v>
      </c>
      <c r="BM72" s="9">
        <v>935664.49200000009</v>
      </c>
      <c r="BN72" s="9">
        <v>0</v>
      </c>
      <c r="BO72" s="9">
        <v>145642595.884</v>
      </c>
      <c r="BP72" s="9">
        <v>143873612.345</v>
      </c>
      <c r="BQ72" s="9">
        <v>173954181.15200001</v>
      </c>
      <c r="BR72" s="9">
        <v>762053.58700000006</v>
      </c>
      <c r="BS72" s="9">
        <v>71817152.211999997</v>
      </c>
      <c r="BT72" s="9">
        <v>34400802489.953667</v>
      </c>
      <c r="BU72" s="9">
        <v>27616199.568999998</v>
      </c>
      <c r="BV72" s="9">
        <v>64512888.160000004</v>
      </c>
      <c r="BW72" s="9">
        <v>196434188</v>
      </c>
      <c r="BX72" s="9">
        <v>0</v>
      </c>
      <c r="BY72" s="9">
        <v>35749989.848999999</v>
      </c>
      <c r="BZ72" s="9">
        <v>546036033.61199999</v>
      </c>
    </row>
    <row r="73" spans="1:78">
      <c r="A73" s="4" t="s">
        <v>213</v>
      </c>
      <c r="B73" s="9">
        <v>531756.71</v>
      </c>
      <c r="C73" s="9">
        <v>13895020.074999999</v>
      </c>
      <c r="D73" s="9">
        <v>407043.57199999999</v>
      </c>
      <c r="E73" s="9">
        <v>2503936.0529999998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35662467.350000001</v>
      </c>
      <c r="L73" s="9">
        <v>558156.15899999999</v>
      </c>
      <c r="M73" s="9">
        <v>204817.07800000001</v>
      </c>
      <c r="N73" s="9">
        <v>506165</v>
      </c>
      <c r="O73" s="9">
        <v>26132.429</v>
      </c>
      <c r="P73" s="9">
        <v>0</v>
      </c>
      <c r="Q73" s="9">
        <v>293259.67</v>
      </c>
      <c r="R73" s="9">
        <v>561557.38</v>
      </c>
      <c r="S73" s="9">
        <v>306489.91499999998</v>
      </c>
      <c r="T73" s="9">
        <v>15092</v>
      </c>
      <c r="U73" s="9">
        <v>10899912.140000001</v>
      </c>
      <c r="V73" s="9">
        <v>1477169.5060000001</v>
      </c>
      <c r="W73" s="9">
        <v>48930051.806999996</v>
      </c>
      <c r="X73" s="9">
        <v>609506.125</v>
      </c>
      <c r="Y73" s="9">
        <v>2684.64</v>
      </c>
      <c r="Z73" s="9">
        <v>1271461.608</v>
      </c>
      <c r="AA73" s="9">
        <v>4626567.8530000001</v>
      </c>
      <c r="AB73" s="9">
        <v>22365549.66</v>
      </c>
      <c r="AC73" s="9">
        <v>2080238.642</v>
      </c>
      <c r="AD73" s="9">
        <v>12536762.706</v>
      </c>
      <c r="AE73" s="9">
        <v>0</v>
      </c>
      <c r="AF73" s="9">
        <v>2246126</v>
      </c>
      <c r="AG73" s="9">
        <v>1278932</v>
      </c>
      <c r="AH73" s="9">
        <v>0</v>
      </c>
      <c r="AI73" s="9">
        <v>259583.40100000001</v>
      </c>
      <c r="AJ73" s="9">
        <v>137397.94</v>
      </c>
      <c r="AK73" s="9">
        <v>3877213</v>
      </c>
      <c r="AL73" s="9">
        <v>1676025.83</v>
      </c>
      <c r="AM73" s="9">
        <v>6924498.2189999996</v>
      </c>
      <c r="AN73" s="9">
        <v>2919832.6720000003</v>
      </c>
      <c r="AO73" s="9">
        <v>489463.62</v>
      </c>
      <c r="AP73" s="9">
        <v>47500</v>
      </c>
      <c r="AQ73" s="9">
        <v>3758523</v>
      </c>
      <c r="AR73" s="9">
        <v>0</v>
      </c>
      <c r="AS73" s="9">
        <v>0</v>
      </c>
      <c r="AT73" s="9">
        <v>7.0170000000000003</v>
      </c>
      <c r="AU73" s="9">
        <v>0</v>
      </c>
      <c r="AV73" s="9">
        <v>13328568.757999999</v>
      </c>
      <c r="AW73" s="9">
        <v>2803014</v>
      </c>
      <c r="AX73" s="9">
        <v>63445.599000000002</v>
      </c>
      <c r="AY73" s="9">
        <v>243.24</v>
      </c>
      <c r="AZ73" s="9">
        <v>3239.9079999999999</v>
      </c>
      <c r="BA73" s="9">
        <v>16428805.136</v>
      </c>
      <c r="BB73" s="9">
        <v>4624957.8439999996</v>
      </c>
      <c r="BC73" s="9">
        <v>3228764.7949999999</v>
      </c>
      <c r="BD73" s="9">
        <v>1093823.977</v>
      </c>
      <c r="BE73" s="9">
        <v>1820251.4240000001</v>
      </c>
      <c r="BF73" s="9">
        <v>213187.67</v>
      </c>
      <c r="BG73" s="9">
        <v>325356</v>
      </c>
      <c r="BH73" s="9">
        <v>738118</v>
      </c>
      <c r="BI73" s="9">
        <v>597759.89399999997</v>
      </c>
      <c r="BJ73" s="9">
        <v>0</v>
      </c>
      <c r="BK73" s="9">
        <v>0</v>
      </c>
      <c r="BL73" s="9">
        <v>338731530.199</v>
      </c>
      <c r="BM73" s="9">
        <v>0</v>
      </c>
      <c r="BN73" s="9">
        <v>30021.105</v>
      </c>
      <c r="BO73" s="9">
        <v>65181.034999999996</v>
      </c>
      <c r="BP73" s="9">
        <v>123737.997</v>
      </c>
      <c r="BQ73" s="9">
        <v>4333204.4380000001</v>
      </c>
      <c r="BR73" s="9">
        <v>25040.264999999999</v>
      </c>
      <c r="BS73" s="9">
        <v>944704.01199999999</v>
      </c>
      <c r="BT73" s="9">
        <v>4306580</v>
      </c>
      <c r="BU73" s="9">
        <v>4277399154.5934935</v>
      </c>
      <c r="BV73" s="9">
        <v>173150.66</v>
      </c>
      <c r="BW73" s="9">
        <v>99291413</v>
      </c>
      <c r="BX73" s="9">
        <v>0</v>
      </c>
      <c r="BY73" s="9">
        <v>781440.28099999996</v>
      </c>
      <c r="BZ73" s="9">
        <v>287250536.847</v>
      </c>
    </row>
    <row r="74" spans="1:78">
      <c r="A74" s="4" t="s">
        <v>215</v>
      </c>
      <c r="B74" s="9">
        <v>0</v>
      </c>
      <c r="C74" s="9">
        <v>2862.3989999999999</v>
      </c>
      <c r="D74" s="9">
        <v>29942.49</v>
      </c>
      <c r="E74" s="9">
        <v>162927.524</v>
      </c>
      <c r="F74" s="9">
        <v>0</v>
      </c>
      <c r="G74" s="9">
        <v>592759.95000000007</v>
      </c>
      <c r="H74" s="9">
        <v>0</v>
      </c>
      <c r="I74" s="9">
        <v>0</v>
      </c>
      <c r="J74" s="9">
        <v>0</v>
      </c>
      <c r="K74" s="9">
        <v>4178429.42</v>
      </c>
      <c r="L74" s="9">
        <v>323481.02399999998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275744.04200000002</v>
      </c>
      <c r="T74" s="9">
        <v>71839</v>
      </c>
      <c r="U74" s="9">
        <v>2011082.8629999999</v>
      </c>
      <c r="V74" s="9">
        <v>99933.047000000006</v>
      </c>
      <c r="W74" s="9">
        <v>15782.436</v>
      </c>
      <c r="X74" s="9">
        <v>40543202.438000001</v>
      </c>
      <c r="Y74" s="9">
        <v>723905.65</v>
      </c>
      <c r="Z74" s="9">
        <v>8055.451</v>
      </c>
      <c r="AA74" s="9">
        <v>328956.51499999996</v>
      </c>
      <c r="AB74" s="9">
        <v>251709.391</v>
      </c>
      <c r="AC74" s="9">
        <v>33519.326999999997</v>
      </c>
      <c r="AD74" s="9">
        <v>0</v>
      </c>
      <c r="AE74" s="9">
        <v>255601</v>
      </c>
      <c r="AF74" s="9">
        <v>819678</v>
      </c>
      <c r="AG74" s="9">
        <v>35904</v>
      </c>
      <c r="AH74" s="9">
        <v>123463.508</v>
      </c>
      <c r="AI74" s="9">
        <v>0</v>
      </c>
      <c r="AJ74" s="9">
        <v>0</v>
      </c>
      <c r="AK74" s="9">
        <v>0</v>
      </c>
      <c r="AL74" s="9">
        <v>459754.33600000001</v>
      </c>
      <c r="AM74" s="9">
        <v>0</v>
      </c>
      <c r="AN74" s="9">
        <v>0</v>
      </c>
      <c r="AO74" s="9">
        <v>0</v>
      </c>
      <c r="AP74" s="9">
        <v>0</v>
      </c>
      <c r="AQ74" s="9">
        <v>48882</v>
      </c>
      <c r="AR74" s="9">
        <v>0</v>
      </c>
      <c r="AS74" s="9">
        <v>264918</v>
      </c>
      <c r="AT74" s="9">
        <v>5588.915</v>
      </c>
      <c r="AU74" s="9">
        <v>681426.29599999997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13493.347000000002</v>
      </c>
      <c r="BB74" s="9">
        <v>1310817.6240000001</v>
      </c>
      <c r="BC74" s="9">
        <v>107408.75599999999</v>
      </c>
      <c r="BD74" s="9">
        <v>0</v>
      </c>
      <c r="BE74" s="9">
        <v>0</v>
      </c>
      <c r="BF74" s="9">
        <v>0</v>
      </c>
      <c r="BG74" s="9">
        <v>0</v>
      </c>
      <c r="BH74" s="9">
        <v>1822061</v>
      </c>
      <c r="BI74" s="9">
        <v>180031.22500000001</v>
      </c>
      <c r="BJ74" s="9">
        <v>878675.15</v>
      </c>
      <c r="BK74" s="9">
        <v>0</v>
      </c>
      <c r="BL74" s="9">
        <v>114195.46400000001</v>
      </c>
      <c r="BM74" s="9">
        <v>69392.627999999997</v>
      </c>
      <c r="BN74" s="9">
        <v>0</v>
      </c>
      <c r="BO74" s="9">
        <v>162727.68400000001</v>
      </c>
      <c r="BP74" s="9">
        <v>32536.66</v>
      </c>
      <c r="BQ74" s="9">
        <v>6880.1970000000001</v>
      </c>
      <c r="BR74" s="9">
        <v>83075.826000000001</v>
      </c>
      <c r="BS74" s="9">
        <v>0</v>
      </c>
      <c r="BT74" s="9">
        <v>74808</v>
      </c>
      <c r="BU74" s="9">
        <v>0</v>
      </c>
      <c r="BV74" s="9">
        <v>0</v>
      </c>
      <c r="BW74" s="9">
        <v>3714997</v>
      </c>
      <c r="BX74" s="9">
        <v>0</v>
      </c>
      <c r="BY74" s="9">
        <v>0</v>
      </c>
      <c r="BZ74" s="9">
        <v>37201811.533999994</v>
      </c>
    </row>
    <row r="75" spans="1:78">
      <c r="A75" s="4" t="s">
        <v>217</v>
      </c>
      <c r="B75" s="9">
        <v>44310902.609999999</v>
      </c>
      <c r="C75" s="9">
        <v>2679395846.756</v>
      </c>
      <c r="D75" s="9">
        <v>594539011.84799993</v>
      </c>
      <c r="E75" s="9">
        <v>207274466.30399999</v>
      </c>
      <c r="F75" s="9">
        <v>0</v>
      </c>
      <c r="G75" s="9">
        <v>14374360.404000001</v>
      </c>
      <c r="H75" s="9">
        <v>0</v>
      </c>
      <c r="I75" s="9">
        <v>382771934</v>
      </c>
      <c r="J75" s="9">
        <v>1020375.848</v>
      </c>
      <c r="K75" s="9">
        <v>28868415086.318001</v>
      </c>
      <c r="L75" s="9">
        <v>428218432.90399998</v>
      </c>
      <c r="M75" s="9">
        <v>752729914.18799996</v>
      </c>
      <c r="N75" s="9">
        <v>7858297829</v>
      </c>
      <c r="O75" s="9">
        <v>32905607.695000004</v>
      </c>
      <c r="P75" s="9">
        <v>0</v>
      </c>
      <c r="Q75" s="9">
        <v>382801401.95999998</v>
      </c>
      <c r="R75" s="9">
        <v>110894033.79000001</v>
      </c>
      <c r="S75" s="9">
        <v>2670583.196</v>
      </c>
      <c r="T75" s="9">
        <v>367079757</v>
      </c>
      <c r="U75" s="9">
        <v>4645768801.776001</v>
      </c>
      <c r="V75" s="9">
        <v>7603788.2740000002</v>
      </c>
      <c r="W75" s="9">
        <v>39489209.309</v>
      </c>
      <c r="X75" s="9">
        <v>86285748.137999997</v>
      </c>
      <c r="Y75" s="9">
        <v>32909180.280000001</v>
      </c>
      <c r="Z75" s="9">
        <v>28045715.155000001</v>
      </c>
      <c r="AA75" s="9">
        <v>54099204.772999994</v>
      </c>
      <c r="AB75" s="9">
        <v>730203026.71700001</v>
      </c>
      <c r="AC75" s="9">
        <v>7827634.409</v>
      </c>
      <c r="AD75" s="9">
        <v>37132105.740000002</v>
      </c>
      <c r="AE75" s="9">
        <v>1054832</v>
      </c>
      <c r="AF75" s="9">
        <v>1242865</v>
      </c>
      <c r="AG75" s="9">
        <v>24384326</v>
      </c>
      <c r="AH75" s="9">
        <v>33977725.096000001</v>
      </c>
      <c r="AI75" s="9">
        <v>22273359.383000001</v>
      </c>
      <c r="AJ75" s="9">
        <v>16910184.050999999</v>
      </c>
      <c r="AK75" s="9">
        <v>268854547</v>
      </c>
      <c r="AL75" s="9">
        <v>47594790.137000002</v>
      </c>
      <c r="AM75" s="9">
        <v>126530471.50799999</v>
      </c>
      <c r="AN75" s="9">
        <v>1014811455.0420001</v>
      </c>
      <c r="AO75" s="9">
        <v>562267841.47000003</v>
      </c>
      <c r="AP75" s="9">
        <v>30073631.210000001</v>
      </c>
      <c r="AQ75" s="9">
        <v>2454787762</v>
      </c>
      <c r="AR75" s="9">
        <v>0</v>
      </c>
      <c r="AS75" s="9">
        <v>60077228</v>
      </c>
      <c r="AT75" s="9">
        <v>11671427.824999999</v>
      </c>
      <c r="AU75" s="9">
        <v>2127695.5209999997</v>
      </c>
      <c r="AV75" s="9">
        <v>72729684.557000011</v>
      </c>
      <c r="AW75" s="9">
        <v>5675804641</v>
      </c>
      <c r="AX75" s="9">
        <v>489346.495</v>
      </c>
      <c r="AY75" s="9">
        <v>15000</v>
      </c>
      <c r="AZ75" s="9">
        <v>7414517.6209999993</v>
      </c>
      <c r="BA75" s="9">
        <v>2289250707.2209997</v>
      </c>
      <c r="BB75" s="9">
        <v>191355293.09799999</v>
      </c>
      <c r="BC75" s="9">
        <v>60170601.189999998</v>
      </c>
      <c r="BD75" s="9">
        <v>245642045.273</v>
      </c>
      <c r="BE75" s="9">
        <v>2154989.5439999998</v>
      </c>
      <c r="BF75" s="9">
        <v>262281014.70999998</v>
      </c>
      <c r="BG75" s="9">
        <v>83586308</v>
      </c>
      <c r="BH75" s="9">
        <v>495184344</v>
      </c>
      <c r="BI75" s="9">
        <v>3684886.6869999999</v>
      </c>
      <c r="BJ75" s="9">
        <v>10256708.540000001</v>
      </c>
      <c r="BK75" s="9">
        <v>0</v>
      </c>
      <c r="BL75" s="9">
        <v>2440427900.8569999</v>
      </c>
      <c r="BM75" s="9">
        <v>52570885.209999993</v>
      </c>
      <c r="BN75" s="9">
        <v>14028277.830999998</v>
      </c>
      <c r="BO75" s="9">
        <v>118197595.72899999</v>
      </c>
      <c r="BP75" s="9">
        <v>36769237.854999997</v>
      </c>
      <c r="BQ75" s="9">
        <v>73976534.770999998</v>
      </c>
      <c r="BR75" s="9">
        <v>16949519.277999997</v>
      </c>
      <c r="BS75" s="9">
        <v>11308804.206999999</v>
      </c>
      <c r="BT75" s="9">
        <v>35872553</v>
      </c>
      <c r="BU75" s="9">
        <v>444727480.70200002</v>
      </c>
      <c r="BV75" s="9">
        <v>494547422.66000003</v>
      </c>
      <c r="BW75" s="9">
        <v>512620968821.7959</v>
      </c>
      <c r="BX75" s="9">
        <v>0</v>
      </c>
      <c r="BY75" s="9">
        <v>333875082.04799998</v>
      </c>
      <c r="BZ75" s="9">
        <v>11574121911.407999</v>
      </c>
    </row>
    <row r="76" spans="1:78">
      <c r="A76" s="4" t="s">
        <v>219</v>
      </c>
      <c r="B76" s="9">
        <v>0</v>
      </c>
      <c r="C76" s="9">
        <v>6574.58</v>
      </c>
      <c r="D76" s="9">
        <v>0</v>
      </c>
      <c r="E76" s="9">
        <v>2348.8939999999998</v>
      </c>
      <c r="F76" s="9">
        <v>0</v>
      </c>
      <c r="G76" s="9">
        <v>0</v>
      </c>
      <c r="H76" s="9">
        <v>0</v>
      </c>
      <c r="I76" s="9">
        <v>308470</v>
      </c>
      <c r="J76" s="9">
        <v>0</v>
      </c>
      <c r="K76" s="9">
        <v>5703972.6540000001</v>
      </c>
      <c r="L76" s="9">
        <v>49036.213000000003</v>
      </c>
      <c r="M76" s="9">
        <v>0</v>
      </c>
      <c r="N76" s="9">
        <v>14677</v>
      </c>
      <c r="O76" s="9">
        <v>64928.991999999998</v>
      </c>
      <c r="P76" s="9">
        <v>0</v>
      </c>
      <c r="Q76" s="9">
        <v>0</v>
      </c>
      <c r="R76" s="9">
        <v>0</v>
      </c>
      <c r="S76" s="9">
        <v>0</v>
      </c>
      <c r="T76" s="9">
        <v>356907</v>
      </c>
      <c r="U76" s="9">
        <v>4319659.4869999997</v>
      </c>
      <c r="V76" s="9">
        <v>0</v>
      </c>
      <c r="W76" s="9">
        <v>0</v>
      </c>
      <c r="X76" s="9">
        <v>74352.506999999299</v>
      </c>
      <c r="Y76" s="9">
        <v>0</v>
      </c>
      <c r="Z76" s="9">
        <v>44956.987000000001</v>
      </c>
      <c r="AA76" s="9">
        <v>254.097999999998</v>
      </c>
      <c r="AB76" s="9">
        <v>4617464.665</v>
      </c>
      <c r="AC76" s="9">
        <v>10067.691999999999</v>
      </c>
      <c r="AD76" s="9">
        <v>287692.17599999998</v>
      </c>
      <c r="AE76" s="9">
        <v>0</v>
      </c>
      <c r="AF76" s="9">
        <v>0</v>
      </c>
      <c r="AG76" s="9">
        <v>23490</v>
      </c>
      <c r="AH76" s="9">
        <v>0</v>
      </c>
      <c r="AI76" s="9">
        <v>57932.21</v>
      </c>
      <c r="AJ76" s="9">
        <v>0</v>
      </c>
      <c r="AK76" s="9">
        <v>0</v>
      </c>
      <c r="AL76" s="9">
        <v>58239.290999999997</v>
      </c>
      <c r="AM76" s="9">
        <v>0</v>
      </c>
      <c r="AN76" s="9">
        <v>144450.25699999998</v>
      </c>
      <c r="AO76" s="9">
        <v>203850</v>
      </c>
      <c r="AP76" s="9">
        <v>1168778</v>
      </c>
      <c r="AQ76" s="9">
        <v>3373304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2414819.96</v>
      </c>
      <c r="AZ76" s="9">
        <v>0</v>
      </c>
      <c r="BA76" s="9">
        <v>0</v>
      </c>
      <c r="BB76" s="9">
        <v>131019.481</v>
      </c>
      <c r="BC76" s="9">
        <v>2810.5450000000001</v>
      </c>
      <c r="BD76" s="9">
        <v>49217.913999999997</v>
      </c>
      <c r="BE76" s="9">
        <v>953326.84499999997</v>
      </c>
      <c r="BF76" s="9">
        <v>37408.53</v>
      </c>
      <c r="BG76" s="9">
        <v>2795583</v>
      </c>
      <c r="BH76" s="9">
        <v>0</v>
      </c>
      <c r="BI76" s="9">
        <v>0</v>
      </c>
      <c r="BJ76" s="9">
        <v>9482.9500000000007</v>
      </c>
      <c r="BK76" s="9">
        <v>0</v>
      </c>
      <c r="BL76" s="9">
        <v>122458.93</v>
      </c>
      <c r="BM76" s="9">
        <v>2320.6550000000002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97201419</v>
      </c>
      <c r="BX76" s="9">
        <v>9473908463.5604153</v>
      </c>
      <c r="BY76" s="9">
        <v>0</v>
      </c>
      <c r="BZ76" s="9">
        <v>2207127.4380000001</v>
      </c>
    </row>
    <row r="77" spans="1:78">
      <c r="A77" s="4" t="s">
        <v>221</v>
      </c>
      <c r="B77" s="9">
        <v>1160712.76</v>
      </c>
      <c r="C77" s="9">
        <v>497820588.41600001</v>
      </c>
      <c r="D77" s="9">
        <v>184372094.88299999</v>
      </c>
      <c r="E77" s="9">
        <v>426742602.50400001</v>
      </c>
      <c r="F77" s="9">
        <v>0</v>
      </c>
      <c r="G77" s="9">
        <v>7783388.807</v>
      </c>
      <c r="H77" s="9">
        <v>0</v>
      </c>
      <c r="I77" s="9">
        <v>25208315</v>
      </c>
      <c r="J77" s="9">
        <v>0</v>
      </c>
      <c r="K77" s="9">
        <v>68938129.481999993</v>
      </c>
      <c r="L77" s="9">
        <v>248992706.375</v>
      </c>
      <c r="M77" s="9">
        <v>945315.35</v>
      </c>
      <c r="N77" s="9">
        <v>20986370</v>
      </c>
      <c r="O77" s="9">
        <v>34195481.005000003</v>
      </c>
      <c r="P77" s="9">
        <v>0</v>
      </c>
      <c r="Q77" s="9">
        <v>12465.23</v>
      </c>
      <c r="R77" s="9">
        <v>2673529.0299999998</v>
      </c>
      <c r="S77" s="9">
        <v>5121999.7289999994</v>
      </c>
      <c r="T77" s="9">
        <v>212169671</v>
      </c>
      <c r="U77" s="9">
        <v>4592755063.1090002</v>
      </c>
      <c r="V77" s="9">
        <v>0</v>
      </c>
      <c r="W77" s="9">
        <v>33890493.833999999</v>
      </c>
      <c r="X77" s="9">
        <v>539216133.25999999</v>
      </c>
      <c r="Y77" s="9">
        <v>51223778.009999998</v>
      </c>
      <c r="Z77" s="9">
        <v>42131998.329000004</v>
      </c>
      <c r="AA77" s="9">
        <v>36768376.152000003</v>
      </c>
      <c r="AB77" s="9">
        <v>1693208803.0539999</v>
      </c>
      <c r="AC77" s="9">
        <v>43637223.725000001</v>
      </c>
      <c r="AD77" s="9">
        <v>5604440.057</v>
      </c>
      <c r="AE77" s="9">
        <v>0</v>
      </c>
      <c r="AF77" s="9">
        <v>0</v>
      </c>
      <c r="AG77" s="9">
        <v>16603480</v>
      </c>
      <c r="AH77" s="9">
        <v>0</v>
      </c>
      <c r="AI77" s="9">
        <v>28822239.028000001</v>
      </c>
      <c r="AJ77" s="9">
        <v>5854831.5720000006</v>
      </c>
      <c r="AK77" s="9">
        <v>1779396</v>
      </c>
      <c r="AL77" s="9">
        <v>72415256.165999994</v>
      </c>
      <c r="AM77" s="9">
        <v>7138146.5140000004</v>
      </c>
      <c r="AN77" s="9">
        <v>427872643.29399997</v>
      </c>
      <c r="AO77" s="9">
        <v>437581.42000000004</v>
      </c>
      <c r="AP77" s="9">
        <v>60341</v>
      </c>
      <c r="AQ77" s="9">
        <v>179942788</v>
      </c>
      <c r="AR77" s="9">
        <v>0</v>
      </c>
      <c r="AS77" s="9">
        <v>4618</v>
      </c>
      <c r="AT77" s="9">
        <v>2710608.753</v>
      </c>
      <c r="AU77" s="9">
        <v>0</v>
      </c>
      <c r="AV77" s="9">
        <v>3723996.6680000001</v>
      </c>
      <c r="AW77" s="9">
        <v>1197860</v>
      </c>
      <c r="AX77" s="9">
        <v>116762.954</v>
      </c>
      <c r="AY77" s="9">
        <v>0</v>
      </c>
      <c r="AZ77" s="9">
        <v>49253.351999999999</v>
      </c>
      <c r="BA77" s="9">
        <v>22785078.138999999</v>
      </c>
      <c r="BB77" s="9">
        <v>63062185.289000005</v>
      </c>
      <c r="BC77" s="9">
        <v>95005954.035999998</v>
      </c>
      <c r="BD77" s="9">
        <v>42494532.905000001</v>
      </c>
      <c r="BE77" s="9">
        <v>462475.52399999998</v>
      </c>
      <c r="BF77" s="9">
        <v>1420629.47</v>
      </c>
      <c r="BG77" s="9">
        <v>748352</v>
      </c>
      <c r="BH77" s="9">
        <v>205265865</v>
      </c>
      <c r="BI77" s="9">
        <v>14719274.042000001</v>
      </c>
      <c r="BJ77" s="9">
        <v>19249153.66</v>
      </c>
      <c r="BK77" s="9">
        <v>0</v>
      </c>
      <c r="BL77" s="9">
        <v>131011944.72499999</v>
      </c>
      <c r="BM77" s="9">
        <v>24683059.627</v>
      </c>
      <c r="BN77" s="9">
        <v>15108014.527000001</v>
      </c>
      <c r="BO77" s="9">
        <v>55068207.434</v>
      </c>
      <c r="BP77" s="9">
        <v>32251284.042000003</v>
      </c>
      <c r="BQ77" s="9">
        <v>4510204.5659999996</v>
      </c>
      <c r="BR77" s="9">
        <v>2900277.213</v>
      </c>
      <c r="BS77" s="9">
        <v>2453010.5699999998</v>
      </c>
      <c r="BT77" s="9">
        <v>415430771</v>
      </c>
      <c r="BU77" s="9">
        <v>207553659.42000002</v>
      </c>
      <c r="BV77" s="9">
        <v>16791961.75</v>
      </c>
      <c r="BW77" s="9">
        <v>1815122057</v>
      </c>
      <c r="BX77" s="9">
        <v>0</v>
      </c>
      <c r="BY77" s="9">
        <v>8586828135.799696</v>
      </c>
      <c r="BZ77" s="9">
        <v>1709115719.319</v>
      </c>
    </row>
    <row r="78" spans="1:78">
      <c r="A78" s="4" t="s">
        <v>223</v>
      </c>
      <c r="B78" s="9">
        <v>71595002.090000004</v>
      </c>
      <c r="C78" s="9">
        <v>3913308.9270000001</v>
      </c>
      <c r="D78" s="9">
        <v>3125748.628</v>
      </c>
      <c r="E78" s="9">
        <v>89239626.530000001</v>
      </c>
      <c r="F78" s="9">
        <v>0</v>
      </c>
      <c r="G78" s="9">
        <v>3521581.173</v>
      </c>
      <c r="H78" s="9">
        <v>0</v>
      </c>
      <c r="I78" s="9">
        <v>241063306</v>
      </c>
      <c r="J78" s="9">
        <v>22924.924999999999</v>
      </c>
      <c r="K78" s="9">
        <v>1077509.2120000001</v>
      </c>
      <c r="L78" s="9">
        <v>18009614.351</v>
      </c>
      <c r="M78" s="9">
        <v>140169264.745</v>
      </c>
      <c r="N78" s="9">
        <v>579117</v>
      </c>
      <c r="O78" s="9">
        <v>15809277.475</v>
      </c>
      <c r="P78" s="9">
        <v>0</v>
      </c>
      <c r="Q78" s="9">
        <v>71833630.030000001</v>
      </c>
      <c r="R78" s="9">
        <v>3666722.5500000003</v>
      </c>
      <c r="S78" s="9">
        <v>3830181.0759999999</v>
      </c>
      <c r="T78" s="9">
        <v>182027101</v>
      </c>
      <c r="U78" s="9">
        <v>23746026.699000001</v>
      </c>
      <c r="V78" s="9">
        <v>4942783.2510000011</v>
      </c>
      <c r="W78" s="9">
        <v>4389119.5060000001</v>
      </c>
      <c r="X78" s="9">
        <v>88874455.302999988</v>
      </c>
      <c r="Y78" s="9">
        <v>57587603.799999997</v>
      </c>
      <c r="Z78" s="9">
        <v>513641.52099999995</v>
      </c>
      <c r="AA78" s="9">
        <v>28508691.672000002</v>
      </c>
      <c r="AB78" s="9">
        <v>11411457.993000001</v>
      </c>
      <c r="AC78" s="9">
        <v>841549.20299999998</v>
      </c>
      <c r="AD78" s="9">
        <v>23917875.858999997</v>
      </c>
      <c r="AE78" s="9">
        <v>7790860</v>
      </c>
      <c r="AF78" s="9">
        <v>2048488</v>
      </c>
      <c r="AG78" s="9">
        <v>20533169</v>
      </c>
      <c r="AH78" s="9">
        <v>562468.99400000006</v>
      </c>
      <c r="AI78" s="9">
        <v>26384248.605999999</v>
      </c>
      <c r="AJ78" s="9">
        <v>570241.33199999994</v>
      </c>
      <c r="AK78" s="9">
        <v>150000</v>
      </c>
      <c r="AL78" s="9">
        <v>9734955.4890000001</v>
      </c>
      <c r="AM78" s="9">
        <v>7092512.6540000001</v>
      </c>
      <c r="AN78" s="9">
        <v>1582589.44</v>
      </c>
      <c r="AO78" s="9">
        <v>266491733.21000001</v>
      </c>
      <c r="AP78" s="9">
        <v>876067</v>
      </c>
      <c r="AQ78" s="9">
        <v>1043584</v>
      </c>
      <c r="AR78" s="9">
        <v>0</v>
      </c>
      <c r="AS78" s="9">
        <v>13360297</v>
      </c>
      <c r="AT78" s="9">
        <v>22985743.978999998</v>
      </c>
      <c r="AU78" s="9">
        <v>300088.80499999999</v>
      </c>
      <c r="AV78" s="9">
        <v>2362957.2570000002</v>
      </c>
      <c r="AW78" s="9">
        <v>0</v>
      </c>
      <c r="AX78" s="9">
        <v>104892.78700000001</v>
      </c>
      <c r="AY78" s="9">
        <v>0</v>
      </c>
      <c r="AZ78" s="9">
        <v>3864997.7650000001</v>
      </c>
      <c r="BA78" s="9">
        <v>173482164.79699999</v>
      </c>
      <c r="BB78" s="9">
        <v>68198262.052000001</v>
      </c>
      <c r="BC78" s="9">
        <v>1153960.3599999999</v>
      </c>
      <c r="BD78" s="9">
        <v>229338.79300000001</v>
      </c>
      <c r="BE78" s="9">
        <v>20892017.774</v>
      </c>
      <c r="BF78" s="9">
        <v>0</v>
      </c>
      <c r="BG78" s="9">
        <v>19076551</v>
      </c>
      <c r="BH78" s="9">
        <v>59677523</v>
      </c>
      <c r="BI78" s="9">
        <v>436298.375</v>
      </c>
      <c r="BJ78" s="9">
        <v>4572250.68</v>
      </c>
      <c r="BK78" s="9">
        <v>0</v>
      </c>
      <c r="BL78" s="9">
        <v>65451054.631000005</v>
      </c>
      <c r="BM78" s="9">
        <v>26099334.088</v>
      </c>
      <c r="BN78" s="9">
        <v>71173.822</v>
      </c>
      <c r="BO78" s="9">
        <v>601989797.11100006</v>
      </c>
      <c r="BP78" s="9">
        <v>10075333.494999999</v>
      </c>
      <c r="BQ78" s="9">
        <v>1087636.575</v>
      </c>
      <c r="BR78" s="9">
        <v>3290800.4070000001</v>
      </c>
      <c r="BS78" s="9">
        <v>2836841.324</v>
      </c>
      <c r="BT78" s="9">
        <v>7049307</v>
      </c>
      <c r="BU78" s="9">
        <v>32644.513999999999</v>
      </c>
      <c r="BV78" s="9">
        <v>895276.05</v>
      </c>
      <c r="BW78" s="9">
        <v>136857831</v>
      </c>
      <c r="BX78" s="9">
        <v>0</v>
      </c>
      <c r="BY78" s="9">
        <v>16573151.287999999</v>
      </c>
      <c r="BZ78" s="9">
        <v>3033926511027.3223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"/>
  <sheetViews>
    <sheetView showGridLines="0" workbookViewId="0"/>
  </sheetViews>
  <sheetFormatPr defaultRowHeight="13.8"/>
  <cols>
    <col min="1" max="2" width="12" customWidth="1"/>
    <col min="3" max="3" width="44" customWidth="1"/>
    <col min="4" max="4" width="16" customWidth="1"/>
    <col min="5" max="5" width="19" customWidth="1"/>
    <col min="6" max="6" width="14" customWidth="1"/>
    <col min="7" max="7" width="72" customWidth="1"/>
  </cols>
  <sheetData>
    <row r="1" spans="1:7">
      <c r="A1" s="24" t="s">
        <v>392</v>
      </c>
      <c r="B1" s="25" t="s">
        <v>393</v>
      </c>
      <c r="C1" s="25" t="s">
        <v>394</v>
      </c>
      <c r="D1" s="25" t="s">
        <v>395</v>
      </c>
      <c r="E1" s="25" t="s">
        <v>396</v>
      </c>
      <c r="F1" s="25" t="s">
        <v>397</v>
      </c>
      <c r="G1" s="26" t="s">
        <v>398</v>
      </c>
    </row>
    <row r="2" spans="1:7">
      <c r="A2" s="10" t="s">
        <v>399</v>
      </c>
      <c r="B2" s="11" t="b">
        <v>1</v>
      </c>
      <c r="C2" s="10" t="s">
        <v>400</v>
      </c>
      <c r="D2" s="22">
        <v>77</v>
      </c>
      <c r="E2" s="43">
        <f>COUNTA(ICIO_intensity!A2:A78)</f>
        <v>77</v>
      </c>
      <c r="F2" s="42" t="str">
        <f t="shared" ref="F2:F14" si="0">IF(ABS(E2-D2)&lt;0.0000001,"PASS","FAIL")</f>
        <v>PASS</v>
      </c>
      <c r="G2" s="10" t="s">
        <v>401</v>
      </c>
    </row>
    <row r="3" spans="1:7">
      <c r="A3" s="10" t="s">
        <v>402</v>
      </c>
      <c r="B3" s="11" t="b">
        <v>1</v>
      </c>
      <c r="C3" s="10" t="s">
        <v>403</v>
      </c>
      <c r="D3" s="22">
        <v>105</v>
      </c>
      <c r="E3" s="43">
        <f>COUNTA(BOM_raw!A2:A1001)</f>
        <v>105</v>
      </c>
      <c r="F3" s="42" t="str">
        <f t="shared" si="0"/>
        <v>PASS</v>
      </c>
      <c r="G3" s="10" t="s">
        <v>404</v>
      </c>
    </row>
    <row r="4" spans="1:7">
      <c r="A4" s="10" t="s">
        <v>405</v>
      </c>
      <c r="B4" s="11" t="b">
        <v>1</v>
      </c>
      <c r="C4" s="10" t="s">
        <v>406</v>
      </c>
      <c r="D4" s="22">
        <v>7</v>
      </c>
      <c r="E4" s="43">
        <f>IF(COUNTIF(BOM_raw!A2:A1001,"CHN")&gt;0,1,0)+IF(COUNTIF(BOM_raw!A2:A1001,"DEU")&gt;0,1,0)+IF(COUNTIF(BOM_raw!A2:A1001,"JPN")&gt;0,1,0)+IF(COUNTIF(BOM_raw!A2:A1001,"KOR")&gt;0,1,0)+IF(COUNTIF(BOM_raw!A2:A1001,"MEX")&gt;0,1,0)+IF(COUNTIF(BOM_raw!A2:A1001,"USA")&gt;0,1,0)+IF(COUNTIF(BOM_raw!A2:A1001,"OTHERS")&gt;0,1,0)</f>
        <v>7</v>
      </c>
      <c r="F4" s="42" t="str">
        <f t="shared" si="0"/>
        <v>PASS</v>
      </c>
      <c r="G4" s="10" t="s">
        <v>407</v>
      </c>
    </row>
    <row r="5" spans="1:7">
      <c r="A5" s="10" t="s">
        <v>408</v>
      </c>
      <c r="B5" s="11" t="b">
        <v>1</v>
      </c>
      <c r="C5" s="10" t="s">
        <v>409</v>
      </c>
      <c r="D5" s="22">
        <v>15</v>
      </c>
      <c r="E5" s="43">
        <f>COUNTIF(BOM_raw!A2:A1001,"OTHERS")</f>
        <v>15</v>
      </c>
      <c r="F5" s="42" t="str">
        <f t="shared" si="0"/>
        <v>PASS</v>
      </c>
      <c r="G5" s="10" t="s">
        <v>410</v>
      </c>
    </row>
    <row r="6" spans="1:7">
      <c r="A6" s="10" t="s">
        <v>411</v>
      </c>
      <c r="B6" s="11" t="b">
        <v>1</v>
      </c>
      <c r="C6" s="10" t="s">
        <v>412</v>
      </c>
      <c r="D6" s="22">
        <v>0</v>
      </c>
      <c r="E6" s="43">
        <f>SUM(BOM_scenarios!E2:E8)</f>
        <v>0</v>
      </c>
      <c r="F6" s="42" t="str">
        <f t="shared" si="0"/>
        <v>PASS</v>
      </c>
      <c r="G6" s="10" t="s">
        <v>413</v>
      </c>
    </row>
    <row r="7" spans="1:7">
      <c r="A7" s="10" t="s">
        <v>414</v>
      </c>
      <c r="B7" s="11" t="b">
        <v>1</v>
      </c>
      <c r="C7" s="10" t="s">
        <v>415</v>
      </c>
      <c r="D7" s="22">
        <v>0</v>
      </c>
      <c r="E7" s="43">
        <f>COUNTIF(BOM_scenarios!S2:S8,"FAIL")</f>
        <v>0</v>
      </c>
      <c r="F7" s="42" t="str">
        <f t="shared" si="0"/>
        <v>PASS</v>
      </c>
      <c r="G7" s="10" t="s">
        <v>416</v>
      </c>
    </row>
    <row r="8" spans="1:7">
      <c r="A8" s="10" t="s">
        <v>417</v>
      </c>
      <c r="B8" s="11" t="b">
        <v>1</v>
      </c>
      <c r="C8" s="10" t="s">
        <v>418</v>
      </c>
      <c r="D8" s="22">
        <v>7</v>
      </c>
      <c r="E8" s="43">
        <f>COUNTA(BOM_scenarios!B2:B8)</f>
        <v>7</v>
      </c>
      <c r="F8" s="42" t="str">
        <f t="shared" si="0"/>
        <v>PASS</v>
      </c>
      <c r="G8" s="10" t="s">
        <v>419</v>
      </c>
    </row>
    <row r="9" spans="1:7">
      <c r="A9" s="10" t="s">
        <v>420</v>
      </c>
      <c r="B9" s="11" t="b">
        <v>1</v>
      </c>
      <c r="C9" s="10" t="s">
        <v>421</v>
      </c>
      <c r="D9" s="22">
        <v>8</v>
      </c>
      <c r="E9" s="43">
        <f>COUNTA(Sector_mapping!A2:A9)</f>
        <v>8</v>
      </c>
      <c r="F9" s="42" t="str">
        <f t="shared" si="0"/>
        <v>PASS</v>
      </c>
      <c r="G9" s="10" t="s">
        <v>422</v>
      </c>
    </row>
    <row r="10" spans="1:7">
      <c r="A10" s="10" t="s">
        <v>423</v>
      </c>
      <c r="B10" s="11" t="b">
        <v>1</v>
      </c>
      <c r="C10" s="10" t="s">
        <v>424</v>
      </c>
      <c r="D10" s="22">
        <v>2</v>
      </c>
      <c r="E10" s="43">
        <f>COUNTIF(Sector_mapping!B2:B9,"E")</f>
        <v>2</v>
      </c>
      <c r="F10" s="42" t="str">
        <f t="shared" si="0"/>
        <v>PASS</v>
      </c>
      <c r="G10" s="10" t="s">
        <v>425</v>
      </c>
    </row>
    <row r="11" spans="1:7">
      <c r="A11" s="10" t="s">
        <v>426</v>
      </c>
      <c r="B11" s="11" t="b">
        <v>1</v>
      </c>
      <c r="C11" s="10" t="s">
        <v>427</v>
      </c>
      <c r="D11" s="22">
        <v>6</v>
      </c>
      <c r="E11" s="43">
        <f>COUNTIF(Beta_derived!D2:D78,"EXACT")</f>
        <v>6</v>
      </c>
      <c r="F11" s="42" t="str">
        <f t="shared" si="0"/>
        <v>PASS</v>
      </c>
      <c r="G11" s="10" t="s">
        <v>428</v>
      </c>
    </row>
    <row r="12" spans="1:7">
      <c r="A12" s="10" t="s">
        <v>429</v>
      </c>
      <c r="B12" s="11" t="b">
        <v>1</v>
      </c>
      <c r="C12" s="10" t="s">
        <v>430</v>
      </c>
      <c r="D12" s="22">
        <v>0</v>
      </c>
      <c r="E12" s="43">
        <f>COUNTIF(Beta_derived!AA2:AA78,"FAIL")</f>
        <v>0</v>
      </c>
      <c r="F12" s="42" t="str">
        <f t="shared" si="0"/>
        <v>PASS</v>
      </c>
      <c r="G12" s="10" t="s">
        <v>431</v>
      </c>
    </row>
    <row r="13" spans="1:7">
      <c r="A13" s="10" t="s">
        <v>432</v>
      </c>
      <c r="B13" s="11" t="b">
        <v>1</v>
      </c>
      <c r="C13" s="10" t="s">
        <v>433</v>
      </c>
      <c r="D13" s="22">
        <v>0</v>
      </c>
      <c r="E13" s="43">
        <f>COUNTIFS(Beta_derived!E2:E78,TRUE,Beta_derived!Y2:Y78,"&lt;-0.0000001")+COUNTIFS(Beta_derived!E2:E78,TRUE,Beta_derived!Y2:Y78,"&gt;0.0000001")</f>
        <v>0</v>
      </c>
      <c r="F13" s="42" t="str">
        <f t="shared" si="0"/>
        <v>PASS</v>
      </c>
      <c r="G13" s="10" t="s">
        <v>434</v>
      </c>
    </row>
    <row r="14" spans="1:7">
      <c r="A14" s="10" t="s">
        <v>435</v>
      </c>
      <c r="B14" s="11" t="b">
        <v>1</v>
      </c>
      <c r="C14" s="10" t="s">
        <v>436</v>
      </c>
      <c r="D14" s="22">
        <v>0</v>
      </c>
      <c r="E14" s="43">
        <f>COUNTIFS(Beta_derived!E2:E78,TRUE,Beta_derived!Z2:Z78,"&lt;0.9999999")+COUNTIFS(Beta_derived!E2:E78,TRUE,Beta_derived!Z2:Z78,"&gt;1.0000001")</f>
        <v>0</v>
      </c>
      <c r="F14" s="42" t="str">
        <f t="shared" si="0"/>
        <v>PASS</v>
      </c>
      <c r="G14" s="10" t="s">
        <v>437</v>
      </c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6"/>
  <sheetViews>
    <sheetView showGridLines="0" workbookViewId="0">
      <selection sqref="A1:N1"/>
    </sheetView>
  </sheetViews>
  <sheetFormatPr defaultRowHeight="13.8"/>
  <cols>
    <col min="1" max="9" width="12" customWidth="1"/>
    <col min="10" max="10" width="4" customWidth="1"/>
    <col min="11" max="11" width="14" customWidth="1"/>
    <col min="12" max="12" width="16" customWidth="1"/>
    <col min="13" max="13" width="44" customWidth="1"/>
    <col min="14" max="14" width="10" customWidth="1"/>
  </cols>
  <sheetData>
    <row r="1" spans="1:14" ht="30" customHeight="1">
      <c r="A1" s="51" t="s">
        <v>438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24" t="s">
        <v>439</v>
      </c>
      <c r="L3" s="25" t="s">
        <v>440</v>
      </c>
      <c r="M3" s="26" t="s">
        <v>441</v>
      </c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5" t="s">
        <v>239</v>
      </c>
      <c r="L4" s="46">
        <f>BOM_scenarios!F8</f>
        <v>0.29000000000000004</v>
      </c>
      <c r="M4" s="10" t="s">
        <v>238</v>
      </c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5" t="s">
        <v>251</v>
      </c>
      <c r="L5" s="46">
        <f>BOM_scenarios!G8</f>
        <v>3.5999999999999997E-2</v>
      </c>
      <c r="M5" s="10" t="s">
        <v>442</v>
      </c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5" t="s">
        <v>256</v>
      </c>
      <c r="L6" s="46">
        <f>BOM_scenarios!H8</f>
        <v>5.3000000000000005E-2</v>
      </c>
      <c r="M6" s="10" t="s">
        <v>443</v>
      </c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5" t="s">
        <v>289</v>
      </c>
      <c r="L7" s="46">
        <f>BOM_scenarios!I8</f>
        <v>5.8999999999999997E-2</v>
      </c>
      <c r="M7" s="10" t="s">
        <v>288</v>
      </c>
      <c r="N7" s="4"/>
    </row>
    <row r="8" spans="1:14">
      <c r="A8" s="4"/>
      <c r="B8" s="4"/>
      <c r="C8" s="4"/>
      <c r="D8" s="4"/>
      <c r="E8" s="4"/>
      <c r="F8" s="4"/>
      <c r="G8" s="4"/>
      <c r="H8" s="4"/>
      <c r="I8" s="4"/>
      <c r="J8" s="4"/>
      <c r="K8" s="45" t="s">
        <v>284</v>
      </c>
      <c r="L8" s="46">
        <f>BOM_scenarios!J8</f>
        <v>0.10299999999999999</v>
      </c>
      <c r="M8" s="10" t="s">
        <v>283</v>
      </c>
      <c r="N8" s="4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5" t="s">
        <v>245</v>
      </c>
      <c r="L9" s="46">
        <f>BOM_scenarios!K8</f>
        <v>0.01</v>
      </c>
      <c r="M9" s="10" t="s">
        <v>244</v>
      </c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5" t="s">
        <v>275</v>
      </c>
      <c r="L10" s="46">
        <f>BOM_scenarios!L8</f>
        <v>0.44900000000000001</v>
      </c>
      <c r="M10" s="10" t="s">
        <v>444</v>
      </c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5" t="s">
        <v>445</v>
      </c>
      <c r="L11" s="47">
        <f>SUM(L4:L10)</f>
        <v>1</v>
      </c>
      <c r="M11" s="21" t="s">
        <v>446</v>
      </c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53" t="s">
        <v>447</v>
      </c>
      <c r="B36" s="54" t="s">
        <v>447</v>
      </c>
      <c r="C36" s="54" t="s">
        <v>447</v>
      </c>
      <c r="D36" s="54" t="s">
        <v>447</v>
      </c>
      <c r="E36" s="54" t="s">
        <v>447</v>
      </c>
      <c r="F36" s="54" t="s">
        <v>447</v>
      </c>
      <c r="G36" s="54" t="s">
        <v>447</v>
      </c>
      <c r="H36" s="54" t="s">
        <v>447</v>
      </c>
      <c r="I36" s="54" t="s">
        <v>447</v>
      </c>
      <c r="J36" s="54" t="s">
        <v>447</v>
      </c>
      <c r="K36" s="54" t="s">
        <v>447</v>
      </c>
      <c r="L36" s="54" t="s">
        <v>447</v>
      </c>
      <c r="M36" s="54" t="s">
        <v>447</v>
      </c>
      <c r="N36" s="55" t="s">
        <v>447</v>
      </c>
    </row>
  </sheetData>
  <mergeCells count="2">
    <mergeCell ref="A1:N1"/>
    <mergeCell ref="A36:N36"/>
  </mergeCells>
  <phoneticPr fontId="7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README</vt:lpstr>
      <vt:lpstr>Countries</vt:lpstr>
      <vt:lpstr>Sectors</vt:lpstr>
      <vt:lpstr>BOM_raw</vt:lpstr>
      <vt:lpstr>BOM_scenarios</vt:lpstr>
      <vt:lpstr>Sector_mapping</vt:lpstr>
      <vt:lpstr>ICIO_intensity</vt:lpstr>
      <vt:lpstr>Beta_derived</vt:lpstr>
      <vt:lpstr>Alpha_2020</vt:lpstr>
      <vt:lpstr>Alpha_history</vt:lpstr>
      <vt:lpstr>IMshareM</vt:lpstr>
      <vt:lpstr>IMshareC</vt:lpstr>
      <vt:lpstr>Pi_T</vt:lpstr>
      <vt:lpstr>Pi_M</vt:lpstr>
      <vt:lpstr>Pi_E</vt:lpstr>
      <vt:lpstr>EV_trade</vt:lpstr>
      <vt:lpstr>FV_trade</vt:lpstr>
      <vt:lpstr>QA</vt:lpstr>
      <vt:lpstr>BOM_figure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 叶</cp:lastModifiedBy>
  <dcterms:created xsi:type="dcterms:W3CDTF">2026-08-20T15:30:33Z</dcterms:created>
  <dcterms:modified xsi:type="dcterms:W3CDTF">2026-10-22T12:57:49Z</dcterms:modified>
</cp:coreProperties>
</file>